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Niğde 52ye kadar 54den devam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6" i="2" l="1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<sst xmlns="http://schemas.openxmlformats.org/spreadsheetml/2006/main" count="134814" uniqueCount="5505">
  <si>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</si>
  <si>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</si>
  <si>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</si>
  <si>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</si>
  <si>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</si>
  <si>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</si>
  <si>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</si>
  <si>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</si>
  <si>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</si>
  <si>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</si>
  <si>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</si>
  <si>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</si>
  <si>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</si>
  <si>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</si>
  <si>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</si>
  <si>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</si>
  <si>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</si>
  <si>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</si>
  <si>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</si>
  <si>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</si>
  <si>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</si>
  <si>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</si>
  <si>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</si>
  <si>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</si>
  <si>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</si>
  <si>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</si>
  <si>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</si>
  <si>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</si>
  <si>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</si>
  <si>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</si>
  <si>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</si>
  <si>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</si>
  <si>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</si>
  <si>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</si>
  <si>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</si>
  <si>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</si>
  <si>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</si>
  <si>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</si>
  <si>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</si>
  <si>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</si>
  <si>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</si>
  <si>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</si>
  <si>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</si>
  <si>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</si>
  <si>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</si>
  <si>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</si>
  <si>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</si>
  <si>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</si>
  <si>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</si>
  <si>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</si>
  <si>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</si>
  <si>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</si>
  <si>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</si>
  <si>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</si>
  <si>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</si>
  <si>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</si>
  <si>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</si>
  <si>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</si>
  <si>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</si>
  <si>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</si>
  <si>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</si>
  <si>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</si>
  <si>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</si>
  <si>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</si>
  <si>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</si>
  <si>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</si>
  <si>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</si>
  <si>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</si>
  <si>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</si>
  <si>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</si>
  <si>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</si>
  <si>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</si>
  <si>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</si>
  <si>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</si>
  <si>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</si>
  <si>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</si>
  <si>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</si>
  <si>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</si>
  <si>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</si>
  <si>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</si>
  <si>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</si>
  <si>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</si>
  <si>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@'li Burger, Merkez (Aşağı Kayabaşı Mah. - Dr. Sami Yağız Cad.)</t>
  </si>
  <si>
    <t>Kral İkili Menü</t>
  </si>
  <si>
    <t>Cheeseburger + Kasap Burger + Soğan Halkası (6 Adet) + Patates Kızartması + Coca-Cola (1 L.)</t>
  </si>
  <si>
    <t>79,90 TL</t>
  </si>
  <si>
    <t>Klasik Burger</t>
  </si>
  <si>
    <t>130 gr. dana hamburger köftesi, karamelize soğan, turşu, marul, özel sos, özel ekmek. Patates kızartması ile</t>
  </si>
  <si>
    <t>44,90 TL</t>
  </si>
  <si>
    <t>Vodafone Menüsü (Kasap Burger)</t>
  </si>
  <si>
    <t>Kasap Burger + Pepsi (33 cl.) (Kampanya koşulları için restoranın Promosyonlar bölümüne göz atınız. İndirimli fiyat ürün sepete eklendikten sonra uygulanır.)</t>
  </si>
  <si>
    <t>39,50 TL</t>
  </si>
  <si>
    <t>@'li Burger Süper İkili Menü</t>
  </si>
  <si>
    <t>2 Adet Burger + 2 Adet Patates Kızartması + 6'lı Soğan Halkası + Pepsi (1 L.)</t>
  </si>
  <si>
    <t>82,90 TL</t>
  </si>
  <si>
    <t>52,80 TL</t>
  </si>
  <si>
    <t>Vodafone Menüsü (İtalyan Burger)</t>
  </si>
  <si>
    <t>İtalyan Burger + Pepsi (33 cl.) (Kampanya koşulları için restoranın Promosyonlar bölümüne göz atınız. İndirimli fiyat ürün sepete eklendikten sonra uygulanır.)</t>
  </si>
  <si>
    <t>@'li Burger Menü</t>
  </si>
  <si>
    <t>@'li Burger + Patates Kızartması + Kutu içecek</t>
  </si>
  <si>
    <t>59,90 TL</t>
  </si>
  <si>
    <t>@'li Burger Tekim Menü</t>
  </si>
  <si>
    <t>1 Adet Burger + 1 Adet Patates Kızartması + Kutu İçecek</t>
  </si>
  <si>
    <t>54,90 TL</t>
  </si>
  <si>
    <t>@'li Burger Süper 3'lü Menü</t>
  </si>
  <si>
    <t>3 Adet Burger + 3 Adet Patates Kızartması + 6'lı Soğan Halkası + Pepsi (1 L.)</t>
  </si>
  <si>
    <t>119,90 TL</t>
  </si>
  <si>
    <t>@'li Burger Süper Aile Menü</t>
  </si>
  <si>
    <t>4 Adet Burger + 4 Adet Patates Kızartması +12'li Soğan Halkası + Pepsi (1 L.)</t>
  </si>
  <si>
    <t>139,90 TL</t>
  </si>
  <si>
    <t>Dondurmalı Menü</t>
  </si>
  <si>
    <t>Klasik Burger + Patates Kızartması + Kızarmış Dondurma + Kutu İçecek</t>
  </si>
  <si>
    <t>69,90 TL</t>
  </si>
  <si>
    <t>Tatlılı Burger Menü</t>
  </si>
  <si>
    <t>Kasap Burger + Patates Kızartması + Kabak Tatlısı + Kutu İçecek</t>
  </si>
  <si>
    <t>Tatlılı Burger Menü 2</t>
  </si>
  <si>
    <t>@'li Burger + Patates Kızartması + Ayva Tatlısı + Kutu İçecek</t>
  </si>
  <si>
    <t>Sucuklu Burger Menü</t>
  </si>
  <si>
    <t>Sucuklu Burger + Patates Kızartması + Kutu içecek</t>
  </si>
  <si>
    <t>55,90 TL</t>
  </si>
  <si>
    <t>Kasap Burger Menü</t>
  </si>
  <si>
    <t>Kasap Burger + Patates Kızartması + Kutu içecek</t>
  </si>
  <si>
    <t>Klasik Burger Menü</t>
  </si>
  <si>
    <t>Klasik Burger + Patates Kızartması + Kutu içecek</t>
  </si>
  <si>
    <t>İtalyan Burger Menü</t>
  </si>
  <si>
    <t>İtalyan Burger + Patates Kızartması + Kutu İçecek</t>
  </si>
  <si>
    <t>Cheeseburger Menü</t>
  </si>
  <si>
    <t>Cheeseburger + Patates Kızartması + Kutu İçecek</t>
  </si>
  <si>
    <t>Kanka Menü</t>
  </si>
  <si>
    <t>Klasik Burger + Tavuk Burger + Soğan Halkası (4 Adet) + Patates Kızartması + 2 Adet Kutu İçecek</t>
  </si>
  <si>
    <t>89,90 TL</t>
  </si>
  <si>
    <t>Geniş Aile Menü</t>
  </si>
  <si>
    <t>Seçeceğiniz 4 Adet Burger + Soğan Halkası (6 Adet) + Patates Kızartması + Coca-Cola (1 L.)</t>
  </si>
  <si>
    <t>129,90 TL</t>
  </si>
  <si>
    <t>Çılgın Menü</t>
  </si>
  <si>
    <t>Klasik Burger + Soğan Halkası (4 Adet) + Patates Kızartması + Kutu İçecek</t>
  </si>
  <si>
    <t>56,90 TL</t>
  </si>
  <si>
    <t>Günün Çorbası</t>
  </si>
  <si>
    <t>7,90 TL</t>
  </si>
  <si>
    <t>Sucuk Burger</t>
  </si>
  <si>
    <t>100 gr. özel kesim dana sucuk, domates dilimleri, turşu, özel sos, marul. Patates kızartması ile</t>
  </si>
  <si>
    <t>46,90 TL</t>
  </si>
  <si>
    <t>Cheeseburger</t>
  </si>
  <si>
    <t>130 gr. dana hamburger köftesi, cheddar peyniri, karamelize soğan, turşu, marul, özel sos. Patates kızartması ile</t>
  </si>
  <si>
    <t>Kasap Burger</t>
  </si>
  <si>
    <t>130 gr. dana hamburger köftesi, dana jambon, karamelize soğan, cheddar peyniri, marul, turşu. Patates kızartması ile</t>
  </si>
  <si>
    <t>Mexican Burger</t>
  </si>
  <si>
    <t>130 gr. dana hamburger köftesi, jalapeno biberi, közlenmiş kırmızıbiber, cheddar peyniri, turşu, karamelize soğan</t>
  </si>
  <si>
    <t>Mantarlı Burger</t>
  </si>
  <si>
    <t>130 gr. dana hamburger köftesi, tereyağlı mantar sos, karamelize soğan, özel sos, turşu, marul, cheddar peyniri</t>
  </si>
  <si>
    <t>48,90 TL</t>
  </si>
  <si>
    <t>İtalyan Burger</t>
  </si>
  <si>
    <t>130 gr. dana hamburger köftesi, İtalyan sos, karamelize soğan, cheddar peyniri, marul, turşu</t>
  </si>
  <si>
    <t>Double Burger</t>
  </si>
  <si>
    <t>260 gr. dana hamburger köftesi, çift cheddar peyniri, karamelize soğan, turşu, marul</t>
  </si>
  <si>
    <t>51,90 TL</t>
  </si>
  <si>
    <t>Çocuk Burger</t>
  </si>
  <si>
    <t>2 adet 40 gr. dana hamburger köftesi, cheddar peyniri, marul, turşu, karamelize soğan. Oyuncak ile</t>
  </si>
  <si>
    <t>Patates Kızartması (Küçük)</t>
  </si>
  <si>
    <t>14,90 TL</t>
  </si>
  <si>
    <t>Patates Kızartması (Büyük)</t>
  </si>
  <si>
    <t>16,90 TL</t>
  </si>
  <si>
    <t>Soğan Halkası (Büyük)</t>
  </si>
  <si>
    <t>Soğan Halkası (Küçük)</t>
  </si>
  <si>
    <t>Ortaya Karışık</t>
  </si>
  <si>
    <t>Büyük boy patates kızartması, 3 adet soğan halkası, 6 adet çıtır tavuk topları</t>
  </si>
  <si>
    <t>41,90 TL</t>
  </si>
  <si>
    <t>Pepsi (33 cl.)</t>
  </si>
  <si>
    <t>Pepsi Light (33 cl.)</t>
  </si>
  <si>
    <t>Pepsi Max (33 cl.)</t>
  </si>
  <si>
    <t>Yedigün (33 cl.)</t>
  </si>
  <si>
    <t>Fruko (33 cl.)</t>
  </si>
  <si>
    <t>Tropicana (33 cl.)</t>
  </si>
  <si>
    <t>Niğde Gazozu (20 cl.)</t>
  </si>
  <si>
    <t>4,90 TL</t>
  </si>
  <si>
    <t>Şalgam Suyu (30 cl.)</t>
  </si>
  <si>
    <t>5,90 TL</t>
  </si>
  <si>
    <t>Lipton Ice Tea (33 cl.)</t>
  </si>
  <si>
    <t>Ayran (30 cl.)</t>
  </si>
  <si>
    <t>Meyveli Soda (20 cl.)</t>
  </si>
  <si>
    <t>Soda (20 cl.)</t>
  </si>
  <si>
    <t>Su (50 cl.)</t>
  </si>
  <si>
    <t>3,50 TL</t>
  </si>
  <si>
    <t>Poşet</t>
  </si>
  <si>
    <t>0,25 TL</t>
  </si>
  <si>
    <t>NIĞDE</t>
  </si>
  <si>
    <t>Merkez</t>
  </si>
  <si>
    <t>Aşağı Kayabaşı Mah. - Dr. Sami Yağız Cad.</t>
  </si>
  <si>
    <t>@'li Burger</t>
  </si>
  <si>
    <t>***=HYPERLINK("file:///C:/rest_photo/@'li Burger, Merkez (Aşağı Kayabaşı Mah. - Dr. Sami Yağız Cad.).jpg","@'li Burger, Merkez (Aşağı Kayabaşı Mah. - Dr. Sami Yağız Cad.)")</t>
  </si>
  <si>
    <t>65-75 dk.</t>
  </si>
  <si>
    <t>Adıyaman Subaşı Çiğ Köfte, Merkez (Aşağı Kayabaşı Mah. - Dr. Sami Yağız Cad.)</t>
  </si>
  <si>
    <t>Çiğ Köfte Dürüm</t>
  </si>
  <si>
    <t>120 gr. çiğ köfte, domates, turşu, iceberg marul</t>
  </si>
  <si>
    <t>5,25 TL</t>
  </si>
  <si>
    <t>Adıyaman Mega Çiğ Köfte Dürüm</t>
  </si>
  <si>
    <t>200 gr. çiğ köfte, domates, turşu, iceberg marul</t>
  </si>
  <si>
    <t>9,00 TL</t>
  </si>
  <si>
    <t>Çiğ Köfte (500 gr.)</t>
  </si>
  <si>
    <t>Garnitür ile</t>
  </si>
  <si>
    <t>26,25 TL</t>
  </si>
  <si>
    <t>Çiğ Köfte Sushi (250 gr.)</t>
  </si>
  <si>
    <t>15,00 TL</t>
  </si>
  <si>
    <t>Aile Boyu Çiğ Köfte (750 gr.)</t>
  </si>
  <si>
    <t>37,50 TL</t>
  </si>
  <si>
    <t>Adana Usulü Çiğ Köfte Dürüm</t>
  </si>
  <si>
    <t>Domates, maydanoz, soğan</t>
  </si>
  <si>
    <t>6,00 TL</t>
  </si>
  <si>
    <t>Mega Adana Usulü Çiğ Köfte Dürüm</t>
  </si>
  <si>
    <t>10,50 TL</t>
  </si>
  <si>
    <t>Çiğ Köfte (250 gr.)</t>
  </si>
  <si>
    <t>Çiğ Köfte Sushi (500 gr.)</t>
  </si>
  <si>
    <t>30,00 TL</t>
  </si>
  <si>
    <t>Aile Boyu Çiğ Köfte Sushi (750 gr.)</t>
  </si>
  <si>
    <t>45,00 TL</t>
  </si>
  <si>
    <t>Adıyaman Subaşı Çiğ Köfte (1 kg.)</t>
  </si>
  <si>
    <t>48,75 TL</t>
  </si>
  <si>
    <t>Mega Çiğ Köfte Sushi (1 kg.)</t>
  </si>
  <si>
    <t>60,00 TL</t>
  </si>
  <si>
    <t>Pamuk Şeker</t>
  </si>
  <si>
    <t>2,25 TL</t>
  </si>
  <si>
    <t>Patos Cips (Mega)</t>
  </si>
  <si>
    <t>Fıstık Rüyası Pasta</t>
  </si>
  <si>
    <t>Devil's Fudge Cake</t>
  </si>
  <si>
    <t>Limonlu Cheesecake</t>
  </si>
  <si>
    <t>Tiramisu</t>
  </si>
  <si>
    <t>Profiterollü Pasta</t>
  </si>
  <si>
    <t>Frambuazlı Çikolatalı Pasta</t>
  </si>
  <si>
    <t>Frambuazlı Cheesecake</t>
  </si>
  <si>
    <t>Coca-Cola (33 cl.)</t>
  </si>
  <si>
    <t>Fanta (33 cl.)</t>
  </si>
  <si>
    <t>Sprite (33 cl.)</t>
  </si>
  <si>
    <t>Fuse Tea (33 cl.)</t>
  </si>
  <si>
    <t>Cappy (33 cl.)</t>
  </si>
  <si>
    <t>Niğde Gazozu (25 cl.)</t>
  </si>
  <si>
    <t>3,00 TL</t>
  </si>
  <si>
    <t>Şalgam Suyu (25 cl.)</t>
  </si>
  <si>
    <t>4,50 TL</t>
  </si>
  <si>
    <t>Ayran (20 cl.)</t>
  </si>
  <si>
    <t>1,88 TL</t>
  </si>
  <si>
    <t>2,63 TL</t>
  </si>
  <si>
    <t>1,50 TL</t>
  </si>
  <si>
    <t>Coca-Cola (1 L.)</t>
  </si>
  <si>
    <t>7,50 TL</t>
  </si>
  <si>
    <t>Şalgam Suyu (1 L.)</t>
  </si>
  <si>
    <t>Ayran (1 L.)</t>
  </si>
  <si>
    <t>Çiğ Köfte</t>
  </si>
  <si>
    <t>Adıyaman Subaşı Çiğ Köfte</t>
  </si>
  <si>
    <t>***=HYPERLINK("file:///C:/rest_photo/Adıyaman Subaşı Çiğ Köfte, Merkez (Aşağı Kayabaşı Mah. - Dr. Sami Yağız Cad.).jpg","Adıyaman Subaşı Çiğ Köfte, Merkez (Aşağı Kayabaşı Mah. - Dr. Sami Yağız Cad.)")</t>
  </si>
  <si>
    <t>35-45 dk.</t>
  </si>
  <si>
    <t>Adıyaman Subaşı Çiğköfte, Merkez (Aşağı Kayabaşı Mah. - Özbelde)</t>
  </si>
  <si>
    <t>100 gr. çiğ köfte, domates, turşu, iceberg marul</t>
  </si>
  <si>
    <t>7,00 TL</t>
  </si>
  <si>
    <t>12,00 TL</t>
  </si>
  <si>
    <t>50,00 TL</t>
  </si>
  <si>
    <t>Çiğ Köfte (2 Kişilik)</t>
  </si>
  <si>
    <t>35,00 TL</t>
  </si>
  <si>
    <t>Çiğ Köfte Sushi (Tek Kişilik)</t>
  </si>
  <si>
    <t>20,00 TL</t>
  </si>
  <si>
    <t>Seçilmiş Menü (Çiğ Köfte 1 Kişilik)</t>
  </si>
  <si>
    <t>Çiğ Köfte (1 Kişilik) + Coca-Cola (33 cl.)</t>
  </si>
  <si>
    <t>18,75 TL</t>
  </si>
  <si>
    <t>Seçilmiş Menü (Çiğ Köfte 2 Kişilik)</t>
  </si>
  <si>
    <t>Çiğ Köfte (2 Kişilik) + 2 Adet Coca-Cola (33 cl.)</t>
  </si>
  <si>
    <t>33,00 TL</t>
  </si>
  <si>
    <t>Vodafone Menüsü (Adıyaman Subaşı Çiğ Köfte 1 kg.)</t>
  </si>
  <si>
    <t>Adıyaman Subaşı Çiğ Köfte (1 kg.) + Ayran (1 L.) (Kampanya koşulları için restoranın Promosyonlar bölümüne göz atınız. İndirimli fiyat ürün sepete eklendikten sonra uygulanır.)</t>
  </si>
  <si>
    <t>65,00 TL</t>
  </si>
  <si>
    <t>8,00 TL</t>
  </si>
  <si>
    <t>14,00 TL</t>
  </si>
  <si>
    <t>Çiğ Köfte (1 Kişilik)</t>
  </si>
  <si>
    <t>Çiğ Köfte Sushi (2 Kişilik)</t>
  </si>
  <si>
    <t>40,00 TL</t>
  </si>
  <si>
    <t>Aile Boyu Çiğ Köfte Sushi</t>
  </si>
  <si>
    <t>750 gr. çiğ köfte. Garnitür ile</t>
  </si>
  <si>
    <t>Mega Çiğ Köfte Sushi</t>
  </si>
  <si>
    <t>1 kg. çiğ köfte. Garnitür ile</t>
  </si>
  <si>
    <t>80,00 TL</t>
  </si>
  <si>
    <t>Frambuazlı Çikolata Pasta</t>
  </si>
  <si>
    <t>4,00 TL</t>
  </si>
  <si>
    <t>Ayran (17,5 cl.)</t>
  </si>
  <si>
    <t>2,50 TL</t>
  </si>
  <si>
    <t>Ayran (29,5 cl.)</t>
  </si>
  <si>
    <t>Soda</t>
  </si>
  <si>
    <t>Meyveli Soda</t>
  </si>
  <si>
    <t>Su</t>
  </si>
  <si>
    <t>2,00 TL</t>
  </si>
  <si>
    <t>10,00 TL</t>
  </si>
  <si>
    <t>Aşağı Kayabaşı Mah. - Özbelde</t>
  </si>
  <si>
    <t>Adıyaman Subaşı Çiğköfte</t>
  </si>
  <si>
    <t>***=HYPERLINK("file:///C:/rest_photo/Adıyaman Subaşı Çiğköfte, Merkez (Aşağı Kayabaşı Mah. - Özbelde).jpg","Adıyaman Subaşı Çiğköfte, Merkez (Aşağı Kayabaşı Mah. - Özbelde)")</t>
  </si>
  <si>
    <t>30-40 dk.</t>
  </si>
  <si>
    <t>Adıyaman Subaşı Çiğ Köfte, Merkez (Selçuk Mah.)</t>
  </si>
  <si>
    <t>Marul, domates, turşu, nar ekşisi, acı sos</t>
  </si>
  <si>
    <t>Mega Çiğ Köfte Dürüm</t>
  </si>
  <si>
    <t>200 gr. çiğ köfte, marul, domates, turşu, nar ekşisi, acı sos</t>
  </si>
  <si>
    <t>500 gr. çiğ köfte, marul, salatalık turşusu, biber turşusu, maydanoz, nane, limon, lavaş, domates ile</t>
  </si>
  <si>
    <t>Puding (100 gr.)</t>
  </si>
  <si>
    <t>Çiğ Köfte (750 gr.)</t>
  </si>
  <si>
    <t>750 gr. çiğ köfte, marul, salatalık turşusu, biber turşusu, maydanoz, nane, limon, lavaş, domates ile</t>
  </si>
  <si>
    <t>Seçilmiş Menü (Mega Çiğ Köfte Dürüm)</t>
  </si>
  <si>
    <t>Mega Çiğ Köfte Dürüm + Coca-Cola (33 cl.)</t>
  </si>
  <si>
    <t>14,25 TL</t>
  </si>
  <si>
    <t>Seçilmiş Menü (Çiğ Köfte (500 gr.))</t>
  </si>
  <si>
    <t>Çiğ Köfte (500 gr.) (2 Kişilik) + Coca-Cola (1 L.)</t>
  </si>
  <si>
    <t>40,50 TL</t>
  </si>
  <si>
    <t>Vodafone Menüsü (Çiğ Köfte (1 kg.))</t>
  </si>
  <si>
    <t>Çiğ Köfte (1 kg.) + İçecek (1 L.) (Kampanya koşulları için restoranın Promosyonlar bölümüne göz atınız. İndirimli fiyat ürün sepete eklendikten sonra uygulanır.)</t>
  </si>
  <si>
    <t>75,00 TL</t>
  </si>
  <si>
    <t>250 gr. çiğ köfte, iceberg marul, domates, salatalık turşusu, biber turşusu, nane, maydanoz, limon ile</t>
  </si>
  <si>
    <t>250 gr. öiğ köfte, marul, salatalık turşusu, biber turşusu, maydanoz, nane, limon, lavaş, domates ile</t>
  </si>
  <si>
    <t>Çiğ Köfte Sushi (İki Kişilik)</t>
  </si>
  <si>
    <t>500 gr. çiğ köfte, iceberg marul, domates, salatalık turşusu, biber turşusu, nane, maydanoz, limon ile</t>
  </si>
  <si>
    <t>750 gr. çiğ köfte, iceberg marul, domates, salatalık turşusu, biber turşusu, nane, maydanoz, limon ile</t>
  </si>
  <si>
    <t>Çiğ Köfte (1 kg.)</t>
  </si>
  <si>
    <t>Marul, salatalık turşusu, biber turşusu, maydanoz, nane, limon, lavaş, domates ile</t>
  </si>
  <si>
    <t>Çiğ Köfte Sushi (1 kğ)</t>
  </si>
  <si>
    <t>1 kg. çiğ köfte, iceberg marul, domates, salatalık turşusu, biber turşusu, nane, maydanoz, limon ile</t>
  </si>
  <si>
    <t>Cips (Mega)</t>
  </si>
  <si>
    <t>Lavaş (Adet)</t>
  </si>
  <si>
    <t>0,75 TL</t>
  </si>
  <si>
    <t>Iceberg Marul (Adet)</t>
  </si>
  <si>
    <t>Nar Ekşisi (1 L.)</t>
  </si>
  <si>
    <t>Nar Ekşisi (12 gr.)</t>
  </si>
  <si>
    <t>Acı Sos (20 gr.)</t>
  </si>
  <si>
    <t>Şalgam Suyu (33 cl.)</t>
  </si>
  <si>
    <t>Cam şişe</t>
  </si>
  <si>
    <t>Fanta (1 L.)</t>
  </si>
  <si>
    <t>Selçuk Mah.</t>
  </si>
  <si>
    <t>***=HYPERLINK("file:///C:/rest_photo/Adıyaman Subaşı Çiğ Köfte, Merkez (Selçuk Mah.).jpg","Adıyaman Subaşı Çiğ Köfte, Merkez (Selçuk Mah.)")</t>
  </si>
  <si>
    <t>Adıyaman Subaşı Çiğ Köfte, Merkez (Yukarı Kayabaşı Mah.)</t>
  </si>
  <si>
    <t>Ekler (Adet)</t>
  </si>
  <si>
    <t>150 gr. çiğ köfte, domates, marul, maydanoz, havuç, mor lahana, turşu, nane, nar ekşisi, acı sos</t>
  </si>
  <si>
    <t>100 gr. çiğ köfte, domates, marul, maydanoz, havuç, mor lahana, turşu, nane, nar ekşisi, acı sos</t>
  </si>
  <si>
    <t>Turşu, domates, marul, maydanoz, nane, limon, biber turşusu, lavaş ile</t>
  </si>
  <si>
    <t>Çiğ Köfte (1 kg.) Menü</t>
  </si>
  <si>
    <t>Çiğ Köfte (1 kg.) (Turşu, domates, marul, maydanoz, nane, limon, biber turşusu, lavaş) + Ayran (1 L.)</t>
  </si>
  <si>
    <t>Aile Boyu Çiğ Köfte (750 gr.) Menü</t>
  </si>
  <si>
    <t>Aile Boyu Çiğ Köfte (750 gr.) (Turşu, domates, marul, maydanoz, nane, limon, biber turşusu, lavaş) + Didi Şeftali (1 L.)</t>
  </si>
  <si>
    <t>Kadife Tatlısı</t>
  </si>
  <si>
    <t>Kazandibi</t>
  </si>
  <si>
    <t>Sütlaç</t>
  </si>
  <si>
    <t>Kıbrıs Tatlısı</t>
  </si>
  <si>
    <t>Red Bull (25 cl.)</t>
  </si>
  <si>
    <t>Limonata</t>
  </si>
  <si>
    <t>Pepsi (1 L.)</t>
  </si>
  <si>
    <t>Yedigün (1 L.)</t>
  </si>
  <si>
    <t>Didi Şeftali (1 L.)</t>
  </si>
  <si>
    <t>Pepsi (2,5 L.)</t>
  </si>
  <si>
    <t>Yedigün (2,5 L.)</t>
  </si>
  <si>
    <t>Fruko (2,5 L.)</t>
  </si>
  <si>
    <t>Yukarı Kayabaşı Mah.</t>
  </si>
  <si>
    <t>***=HYPERLINK("file:///C:/rest_photo/Adıyaman Subaşı Çiğ Köfte, Merkez (Yukarı Kayabaşı Mah.).jpg","Adıyaman Subaşı Çiğ Köfte, Merkez (Yukarı Kayabaşı Mah.)")</t>
  </si>
  <si>
    <t>Ala Balık, Merkez (Aşağı Kayabaşı Mah. - Bor Yolu)</t>
  </si>
  <si>
    <t>Vodafone Menüsü (Midye Dolma (Büyük) (15 Adet))</t>
  </si>
  <si>
    <t>Midye Dolma (Büyük) (15 Adet) + Şalgam Suyu (33 cl.) (Kampanya koşulları için restoranın Promosyonlar bölümüne göz atınız. İndirimli fiyat ürün sepete eklendikten sonra uygulanır.)</t>
  </si>
  <si>
    <t>Vodafone Menüsü (Hamsi Tava (700 gr.))</t>
  </si>
  <si>
    <t>Hamsi Tava (700 gr.) + Pepsi Max (1 L.) (Kampanya koşulları için restoranın Promosyonlar bölümüne göz atınız. İndirimli fiyat ürün sepete eklendikten sonra uygulanır.)</t>
  </si>
  <si>
    <t>49,00 TL</t>
  </si>
  <si>
    <t>Vodafone Menüsü (Izgara Çipura (600 gr.))</t>
  </si>
  <si>
    <t>Izgara Çipura (600 gr.) + Pepsi (33 cl.) (Kampanya koşulları için restoranın Promosyonlar bölümüne göz atınız. İndirimli fiyat ürün sepete eklendikten sonra uygulanır.)</t>
  </si>
  <si>
    <t>56,00 TL</t>
  </si>
  <si>
    <t>Midye Dolma (Büyük) (15 Adet)</t>
  </si>
  <si>
    <t>Limon ile</t>
  </si>
  <si>
    <t>Izgara Deniz Levreği (600 gr.)</t>
  </si>
  <si>
    <t>(Fırınlanmış) Salata, limon, turp ile</t>
  </si>
  <si>
    <t>55,00 TL</t>
  </si>
  <si>
    <t>Izgara Çipura (600 gr.)</t>
  </si>
  <si>
    <t>Kofana Fileto (400 gr.)</t>
  </si>
  <si>
    <t>90,00 TL</t>
  </si>
  <si>
    <t>Hamsi Tava (700 gr.)</t>
  </si>
  <si>
    <t>Salata, limon, turp ile</t>
  </si>
  <si>
    <t>39,00 TL</t>
  </si>
  <si>
    <t>Erikli Su (50 cl.)</t>
  </si>
  <si>
    <t>Doğuş Limonata (1 L.)</t>
  </si>
  <si>
    <t>Balık &amp; Deniz Ürünleri</t>
  </si>
  <si>
    <t>Aşağı Kayabaşı Mah. - Bor Yolu</t>
  </si>
  <si>
    <t>Ala Balık</t>
  </si>
  <si>
    <t>***=HYPERLINK("file:///C:/rest_photo/Ala Balık, Merkez (Aşağı Kayabaşı Mah. - Bor Yolu).jpg","Ala Balık, Merkez (Aşağı Kayabaşı Mah. - Bor Yolu)")</t>
  </si>
  <si>
    <t>Alo Piliç, Merkez (Selçuk Mah.)</t>
  </si>
  <si>
    <t>Izgara Tavuk Kelebek (1 kg.)</t>
  </si>
  <si>
    <t>Mevsim salata, ekmek, tulumba tatlısı ile</t>
  </si>
  <si>
    <t>Karışık Izgara Tavuk (1 kg.)</t>
  </si>
  <si>
    <t>Izgara tavuk kanat, ızgara tavuk kelebek, ızgara tavuk pirzola, ızgara tavuk biftek, ızgara tavuk açma, ızgara tavuk sarma. Mevsim salata, ekmek, tulumba tatlısı ile</t>
  </si>
  <si>
    <t>Izgara Kasap Köfte (1 kg.)</t>
  </si>
  <si>
    <t>95,00 TL</t>
  </si>
  <si>
    <t>Izgara Tavuk Kanat (1 kg.)</t>
  </si>
  <si>
    <t>Izgara Tavuk Biftek (1 kg.)</t>
  </si>
  <si>
    <t>Kuzu Pirzola (1 kg.)</t>
  </si>
  <si>
    <t>129,00 TL</t>
  </si>
  <si>
    <t>Izgara Tavuk Sarma (1 kg.)</t>
  </si>
  <si>
    <t>Izgara Tavuk Açma (1 kg.)</t>
  </si>
  <si>
    <t>Izgara Tavuk Pirzola (1 kg.)</t>
  </si>
  <si>
    <t>Tavuk Kaburga (1 kg.)</t>
  </si>
  <si>
    <t>Mevsim salata, pide, tulumba tatlısı</t>
  </si>
  <si>
    <t>Tavuk</t>
  </si>
  <si>
    <t>Alo Piliç</t>
  </si>
  <si>
    <t>***=HYPERLINK("file:///C:/rest_photo/Alo Piliç, Merkez (Selçuk Mah.).jpg","Alo Piliç, Merkez (Selçuk Mah.)")</t>
  </si>
  <si>
    <t>Arsamiea Çiğ Köfte, Bor (Sokubaşı Mah.)</t>
  </si>
  <si>
    <t>Çiğ Köfte (420 gr.)</t>
  </si>
  <si>
    <t>4 adet lavaş, göbek marul, turşu ile</t>
  </si>
  <si>
    <t>25,00 TL</t>
  </si>
  <si>
    <t>Çiğ Köfte (200 gr.)</t>
  </si>
  <si>
    <t>2 adet lavaş, göbek marul, turşu ile</t>
  </si>
  <si>
    <t>12 adet lavaş, göbek marul, turşu ile</t>
  </si>
  <si>
    <t>200 gr. çiğ köfte, yeşillik, limon</t>
  </si>
  <si>
    <t>11,00 TL</t>
  </si>
  <si>
    <t>Çiğ Köfte (835 gr.)</t>
  </si>
  <si>
    <t>8 adet lavaş, göbek marul, turşu ile</t>
  </si>
  <si>
    <t>100 gr. çiğ köfte, yeşillik, limon</t>
  </si>
  <si>
    <t>6 adet lavaş, göbek marul, turşu ile</t>
  </si>
  <si>
    <t>Bor</t>
  </si>
  <si>
    <t>Sokubaşı Mah.</t>
  </si>
  <si>
    <t>Arsamiea Çiğ Köfte</t>
  </si>
  <si>
    <t>***=HYPERLINK("file:///C:/rest_photo/Arsamiea Çiğ Köfte, Bor (Sokubaşı Mah.).jpg","Arsamiea Çiğ Köfte, Bor (Sokubaşı Mah.)")</t>
  </si>
  <si>
    <t>Aşiyan Cafe &amp; Pizza, Merkez (Aşağı Kayabaşı Mah. - Dr. Sami Yağız Cad.)</t>
  </si>
  <si>
    <t>Kumru Menü</t>
  </si>
  <si>
    <t>Kumru Sandviç (Dana sosis, dana salam, dana sucuk, kaşar peyniri, tereyağı, turşu) + Patates Kızartması + Pepsi (20 cl.)</t>
  </si>
  <si>
    <t>23,00 TL</t>
  </si>
  <si>
    <t>Combo 3</t>
  </si>
  <si>
    <t>3 Dilim Karışık Pizza + Patates Kızartması + Pepsi (20 cl.)</t>
  </si>
  <si>
    <t>Ayvalık Tostu Menü</t>
  </si>
  <si>
    <t>Ayvalık Tostu (Kaşar peyniri, dana sucuk, dana sosis, domates, turşu, Rus salatası ) + Patates Kızartması + Pepsi (20 cl.)</t>
  </si>
  <si>
    <t>Karışık Kumpir Menü</t>
  </si>
  <si>
    <t>Karışık Kumpir (Tereyağı, kaşar peyniri, dana salam, dana sosis, mısır, zeytin, turşu, Rus salatası) + Pepsi (20 cl.)</t>
  </si>
  <si>
    <t>24,00 TL</t>
  </si>
  <si>
    <t>Köri Soslu Tavuk Menü</t>
  </si>
  <si>
    <t>200 Gr Köri Soslu Tavuk + soslu Makarna + Salata + Pepsi (20 cl.)</t>
  </si>
  <si>
    <t>34,00 TL</t>
  </si>
  <si>
    <t>Tavuk Kavurma Menü</t>
  </si>
  <si>
    <t>Baharatlı Tavuk Kavurma (300 gr.) + Soslu Şerit Makarna + Salata + Pepsi (20 cl.)</t>
  </si>
  <si>
    <t>Sebzeli Çin Tavuk Menü</t>
  </si>
  <si>
    <t>Tavuk Fleto (200 gr.) (Mantar, kapya biber, köy biberi, mısır, zeytin, domates, soya sosu, krema, kekik) + Şerit Makarna + Salata + Pepsi (20cl.)</t>
  </si>
  <si>
    <t>Chicken Fileto Menü</t>
  </si>
  <si>
    <t>Chicken Fileto (6 Adet) + Soslu Şerit Makarna + Salata + Pepsi (20 cl.)</t>
  </si>
  <si>
    <t>Aşiyan Sandviç Menü</t>
  </si>
  <si>
    <t>Aşiyan Sandviç (Dana salam, kaşar peyniri, patates kızartması, siyah zeytin, domates, turşu, göbek marul) + Pepsi (20 cl.)</t>
  </si>
  <si>
    <t>22,00 TL</t>
  </si>
  <si>
    <t>Tavuklu Sandviç Menü</t>
  </si>
  <si>
    <t>Tavuklu Sandviç (Patates kızartması, özel sos, domates, turşu, göbek marul) + Pepsi (20 cl.)</t>
  </si>
  <si>
    <t>Sosisli Sandviç Menü</t>
  </si>
  <si>
    <t>Sosisli Sandviç (kaşar peyniri, patates kızartması, turşu, domates, göbek marul + Pepsi (20 cl.)</t>
  </si>
  <si>
    <t>19,00 TL</t>
  </si>
  <si>
    <t>Kavurmalı Sandviç Menü</t>
  </si>
  <si>
    <t>Kavurmalı Sandviç (Özel sos, soğan, domates, göbek marul, turşu, patates kızartması + Pepsi (20 cl.)</t>
  </si>
  <si>
    <t>Ton Balıklı Sandviç Menü</t>
  </si>
  <si>
    <t>Ton Balıklı Sandviç (Soğan, patates kızartması, domates, turşu, göbek marul) + Pepsi (20 cl.)</t>
  </si>
  <si>
    <t>Beyaz Peynirli Sandviç Menü</t>
  </si>
  <si>
    <t>Beyaz Peynirli Sandviç (Zeytin, salatalık, domates, göbek marul) + Pepsi (20 cl.)</t>
  </si>
  <si>
    <t>Aile Boyu Menü</t>
  </si>
  <si>
    <t>Special Pizza (Jumbo Boy) (12 Dilim) + 2 Adet Patates Kızartması + 5 Adet Nugget + 5 Adet Soğan Halkası + İçecek (1 L.)</t>
  </si>
  <si>
    <t>85,00 TL</t>
  </si>
  <si>
    <t>Barbekü Soslu Tavuk Menü</t>
  </si>
  <si>
    <t>Barbekü Soslu Tavuk + Makarna + Salata + Pepsi (20 cl.)</t>
  </si>
  <si>
    <t>Junior Menü</t>
  </si>
  <si>
    <t>Special Pizza (Küçük Boy) (4 Dilim) + Patates Kızartması + Pepsi (20 cl.)</t>
  </si>
  <si>
    <t>32,00 TL</t>
  </si>
  <si>
    <t>Large Menü</t>
  </si>
  <si>
    <t>Special Pizza (Büyük Boy) (8 Dilim) + 2 Adet Patates Kızartması + 3 Adet Nugget + 3 Adet Soğan Halkası + İçecek (1 L.)</t>
  </si>
  <si>
    <t>Medium Menü</t>
  </si>
  <si>
    <t>Special Pizza (Orta Boy) (6 Dilim)+ 2 Adet Patates Kızartması + İçecek (1 L.)</t>
  </si>
  <si>
    <t>48,00 TL</t>
  </si>
  <si>
    <t>Veggie Kumpir Menü</t>
  </si>
  <si>
    <t>Veggie Kumpir (Tereyağı, kaşar peyniri, mantar, zeytin, mısır, turşu, Rus salatası) + Pepsi (20 cl.)</t>
  </si>
  <si>
    <t>Onion Burger Menü</t>
  </si>
  <si>
    <t>Onion Burger (80 gr. el yapımı dana köfte, karamelize soğan, kaşar peyniri, turşu, domates, marul, barbekü sos) + Patates Kızartması + Pepsi (20 cl.)</t>
  </si>
  <si>
    <t>27,00 TL</t>
  </si>
  <si>
    <t>Anadolu Burger Menü</t>
  </si>
  <si>
    <t>Anadolu Burger (80 gr. el yapımı dana köfte, cheddar peyniri, kıtır soğan, turşu, burger sos, domates, marul) + Patates Kızartması + Pepsi (20 cl.)</t>
  </si>
  <si>
    <t>26,00 TL</t>
  </si>
  <si>
    <t>Duble Burger Menü</t>
  </si>
  <si>
    <t>Duble Burger (2 adet 45 gr. dana burger köftesi, Aşiyan sos, cheddar peyniri, kıtır soğan, turşu, domates, marul) + Patates Kızartması + Pepsi (20 cl.)</t>
  </si>
  <si>
    <t>Tavuk Burger Menü</t>
  </si>
  <si>
    <t>Çıtır Tavuk Burger (60 gr.çıtır tavuk, Aşiyan sosi, kıtır soğan, turşu, domates, marul) + Patates Kızartması + Pepsi (20 cl.)</t>
  </si>
  <si>
    <t>Hamburger Menü</t>
  </si>
  <si>
    <t>Hamburger (45 gr. dana burger köftesi, Aşiyan sos, turşu, domates, marul ) + Patates Kızartması + Pepsi (20 cl.)</t>
  </si>
  <si>
    <t>Cheeseburger (45 gr. dana burger köftesi, Aşiyan sos, çift cheddar peyniri, kıtır soğan, domates, göbek marul, turşu) + Patates Kızartması + Pepsi (20 cl.)</t>
  </si>
  <si>
    <t>Sıcak Kahvaltı</t>
  </si>
  <si>
    <t>Tulum peyniri, Beyaz peynir, kaşar peyniri, dana salam, patates kızartması, kızarmış sosis, tereyağı, bal, reçel, salatalık, domates, yeşilzeytin, siyah zeytin, karışık omlet</t>
  </si>
  <si>
    <t>36,00 TL</t>
  </si>
  <si>
    <t>Tadında Kahvaltı</t>
  </si>
  <si>
    <t>Beyaz peynir, patates kızartması, kızarmış sosis, salatalık, domates, yeşilzeytin, siyah zeytin, çay</t>
  </si>
  <si>
    <t>Karışık Menemen</t>
  </si>
  <si>
    <t>Patates kızartması, kornişon turşu, salatalık söğüş ile</t>
  </si>
  <si>
    <t>Karışık Omlet</t>
  </si>
  <si>
    <t>Kaşar peyniri, dana salam, dana sucuk, dana sosis, mantar. Patates kızartması, salatalık, domates ile</t>
  </si>
  <si>
    <t>Çift Yumurtalı Menemen</t>
  </si>
  <si>
    <t>Patatesli Gözleme</t>
  </si>
  <si>
    <t>Patates kızartması, domates, salatalık, söğüş ile</t>
  </si>
  <si>
    <t>Peynirli Gözleme</t>
  </si>
  <si>
    <t>Kaşar peyniri, mozzarella peyniri, tulum peyniri. Patates kızartması, söğüş domates, salatalık ile</t>
  </si>
  <si>
    <t>Sucuklu Kaşarlı Gözleme</t>
  </si>
  <si>
    <t>Kavurmalı Kaşarlı Gözleme</t>
  </si>
  <si>
    <t>Pastırmalı Kaşarlı Gözleme</t>
  </si>
  <si>
    <t>Kaşarlı Gözleme</t>
  </si>
  <si>
    <t>Karışık Tost</t>
  </si>
  <si>
    <t>Sucuk, kaşar peyniri. Patates kızartması, domates, kornişon turşu, salatalık söğüş ile</t>
  </si>
  <si>
    <t>Kaşarlı Tost</t>
  </si>
  <si>
    <t>Patates kızartması, domates, kornişon turşu, salatalık söğüş ile</t>
  </si>
  <si>
    <t>Kavurmalı Kaşarlı Tost</t>
  </si>
  <si>
    <t>Pastırmalı Kaşarlı Tost</t>
  </si>
  <si>
    <t>Pizza Tulum (Küçük Boy)</t>
  </si>
  <si>
    <t>Pizza sosu, mozzarella peyniri, tulum peyniri, mantar, biber, soğan, domates, kekik</t>
  </si>
  <si>
    <t>Pastırmalı Pizza (Küçük Boy)</t>
  </si>
  <si>
    <t>Pizza sosu, mozzarella peyniri, pastırma, dana sucuk,mantar, biber, soğan</t>
  </si>
  <si>
    <t>28,00 TL</t>
  </si>
  <si>
    <t>Ton Balıklı Pizza (Küçük Boy)</t>
  </si>
  <si>
    <t>Pizza sosu, mozzarella peyniri, ton balığı, soğan, biber, mısır, domates, kekik</t>
  </si>
  <si>
    <t>Pizza Türk (Küçük Boy)</t>
  </si>
  <si>
    <t>Pizza sosu, mozzarella peyniri, el yapımı dana kavurma, mantar, biber, soğan, domates, kekik</t>
  </si>
  <si>
    <t>Veggie Pizza (Küçük Boy)</t>
  </si>
  <si>
    <t>Pizza sosu, mozzarella peyniri, mantar, biber, mısır, zeytin, domates, kekik</t>
  </si>
  <si>
    <t>Special Pizza (Küçük Boy)</t>
  </si>
  <si>
    <t>Pizza sosu, mozzarella peyniri, dana sucuk, dana salam, dana sosis, mantar, biber, mısır, zeytin</t>
  </si>
  <si>
    <t>Bahçevan Pizza (Küçük Boy)</t>
  </si>
  <si>
    <t>Pizza sosu, mozzarella peyniri, beyaz peynir, mısır, zeytin, domates, kekik</t>
  </si>
  <si>
    <t>Tavuklum (Küçük Boy)</t>
  </si>
  <si>
    <t>Pizza sosu, mozzarella peyniri, tavuk, kavurma, mantar, mısır, biber, domates, kekik</t>
  </si>
  <si>
    <t>Pizza Tulum (Orta Boy)</t>
  </si>
  <si>
    <t>Pizza Türk (Orta Boy)</t>
  </si>
  <si>
    <t>Bahçevan Pizza (Orta Boy)</t>
  </si>
  <si>
    <t>Pastırmalı Pizza (Orta Boy)</t>
  </si>
  <si>
    <t>Veggie Pizza (Orta Boy)</t>
  </si>
  <si>
    <t>Ton Balıklı Pizza (Orta Boy)</t>
  </si>
  <si>
    <t>Special Pizza (Orta Boy)</t>
  </si>
  <si>
    <t>Tavuklum (Orta Boy)</t>
  </si>
  <si>
    <t>Trabzon Yağlısı Pizza (Orta Boy)</t>
  </si>
  <si>
    <t>Tereyağı, kaşar peyniri, mozzarella peyniri, 2 adet yumurta</t>
  </si>
  <si>
    <t>Bahçevan Pizza (Büyük Boy)</t>
  </si>
  <si>
    <t>43,00 TL</t>
  </si>
  <si>
    <t>Ton Balıklı Pizza (Büyük Boy)</t>
  </si>
  <si>
    <t>Veggie Pizza (Büyük Boy)</t>
  </si>
  <si>
    <t>Special Pizza (Büyük Boy)</t>
  </si>
  <si>
    <t>Pizza Tulum (Büyük Boy)</t>
  </si>
  <si>
    <t>Pastırmalı Pizza (Büyük Boy)</t>
  </si>
  <si>
    <t>Pizza Türk (Büyük Boy)</t>
  </si>
  <si>
    <t>Tavuklum (Büyük Boy)</t>
  </si>
  <si>
    <t>Bahçevan Pizza (Jumbo Boy)</t>
  </si>
  <si>
    <t>Tavuklum (Jumbo Boy)</t>
  </si>
  <si>
    <t>62,00 TL</t>
  </si>
  <si>
    <t>Pastırmalı Pizza (Jumbo Boy)</t>
  </si>
  <si>
    <t>70,00 TL</t>
  </si>
  <si>
    <t>Pizza Tulum (Jumbo Boy)</t>
  </si>
  <si>
    <t>Pizza Türk (Jumbo Boy)</t>
  </si>
  <si>
    <t>Special Pizza (Jumbo Boy)</t>
  </si>
  <si>
    <t>Ton Balıklı Pizza (Jumbo Boy)</t>
  </si>
  <si>
    <t>Veggie Pizza (Jumbo Boy)</t>
  </si>
  <si>
    <t>Kremalı Tagliatelle</t>
  </si>
  <si>
    <t>Domates, kornişon turşu, salatalık söğüş ile</t>
  </si>
  <si>
    <t>Tavuklu Tagliatelle</t>
  </si>
  <si>
    <t>Anne Makarna</t>
  </si>
  <si>
    <t>Bonfile Tagliatelle</t>
  </si>
  <si>
    <t>Mix Kızartma</t>
  </si>
  <si>
    <t>2 adet nugget, 2 adet soğan halkası, patates kızartması</t>
  </si>
  <si>
    <t>16,00 TL</t>
  </si>
  <si>
    <t>Acı Sos (Küçük)</t>
  </si>
  <si>
    <t>Barbekü Sos</t>
  </si>
  <si>
    <t>Pizza Baharatı</t>
  </si>
  <si>
    <t>Tavuk Nugget (3 Adet)</t>
  </si>
  <si>
    <t>Tavuk Nugget (5 Adet)</t>
  </si>
  <si>
    <t>Soğan Halkası (3 Adet)</t>
  </si>
  <si>
    <t>Soğan Halkası (5 Adet)</t>
  </si>
  <si>
    <t>Chicken Fingers (3 Adet)</t>
  </si>
  <si>
    <t>Chicken Fingers (5 Adet)</t>
  </si>
  <si>
    <t>Çıtır Tavuk Kanat (3 Adet)</t>
  </si>
  <si>
    <t>Çıtır Tavuk Kanat (5 Adet)</t>
  </si>
  <si>
    <t>Çıtır Tavuk Gögüs (3 Adet)</t>
  </si>
  <si>
    <t>Çıtır Tavuk Gögüs (5 Adet)</t>
  </si>
  <si>
    <t>Çıtır Kovası Tek</t>
  </si>
  <si>
    <t>2 adet çıtır tavauk göğüs, 1 adet çıtır tavuk kanat, 2 adet soğan halkası, 2 adet nugget, 1 adet chicken fingers, küçük boy patates kızartması</t>
  </si>
  <si>
    <t>Çıtır Kovası Duble</t>
  </si>
  <si>
    <t>4 adet çıtır tavuk göğüs, 2 adet çıtır tavuk kanat, 2 adet chicken fingers, 4 adet soğan halkası, 4 adet nugget, patates kızartması</t>
  </si>
  <si>
    <t>Elma Dilim Patates Kızartması</t>
  </si>
  <si>
    <t>Patates Kızartması</t>
  </si>
  <si>
    <t>Chicken Finger (Adet)</t>
  </si>
  <si>
    <t>5,00 TL</t>
  </si>
  <si>
    <t>Soğan Halkası (Adet)</t>
  </si>
  <si>
    <t>Nugget (Adet)</t>
  </si>
  <si>
    <t>Akdeniz Salata</t>
  </si>
  <si>
    <t>Beyaz peynir, marul, domates, salatalık, siyah zeytin, mısır</t>
  </si>
  <si>
    <t>Yeşil Salata</t>
  </si>
  <si>
    <t>Mevsim yeşillikleri, marul, domates, salatalık, siyah zeytin, mısır</t>
  </si>
  <si>
    <t>18,00 TL</t>
  </si>
  <si>
    <t>Çıtır Tavuk Salata</t>
  </si>
  <si>
    <t>Çıtır tavuk, marul, domates, salatalık, siyah zeytin, mısır</t>
  </si>
  <si>
    <t>Ton Balıklı Salata</t>
  </si>
  <si>
    <t>Ton balığı, marul, domates, salatalık, siyah zeytin, mısır</t>
  </si>
  <si>
    <t>Tiramisu (Dilim)</t>
  </si>
  <si>
    <t>Fıstık Rüyası (Dilim)</t>
  </si>
  <si>
    <t>Frambuazlı Cheesecake (Dilim)</t>
  </si>
  <si>
    <t>Devil's Fudge Cake (Dilim)</t>
  </si>
  <si>
    <t>Hindistan Cevizli Portakallı (Dilim)</t>
  </si>
  <si>
    <t>Çikolatalı Suffle</t>
  </si>
  <si>
    <t>Siyah Profiterollü Pasta (Dilim)</t>
  </si>
  <si>
    <t>Kalpli Pasta</t>
  </si>
  <si>
    <t>Pepsi (20 cl.)</t>
  </si>
  <si>
    <t>Yedigün (20 cl.)</t>
  </si>
  <si>
    <t>Sütaş Ayran (20 cl.)</t>
  </si>
  <si>
    <t>Freşa Meyveli Soda (20 cl.)</t>
  </si>
  <si>
    <t>Pepsi Max (1 L.)</t>
  </si>
  <si>
    <t>Fruko (1 L.)</t>
  </si>
  <si>
    <t>Pizza</t>
  </si>
  <si>
    <t>Aşiyan Cafe &amp; Pizza</t>
  </si>
  <si>
    <t>***=HYPERLINK("file:///C:/rest_photo/Aşiyan Cafe &amp; Pizza, Merkez (Aşağı Kayabaşı Mah. - Dr. Sami Yağız Cad.).jpg","Aşiyan Cafe &amp; Pizza, Merkez (Aşağı Kayabaşı Mah. - Dr. Sami Yağız Cad.)")</t>
  </si>
  <si>
    <t>Avcılar Lokantası, Merkez (Sırali Mah.)</t>
  </si>
  <si>
    <t>Lahmacun</t>
  </si>
  <si>
    <t>Salata ile</t>
  </si>
  <si>
    <t>Adana Dürüm</t>
  </si>
  <si>
    <t>Maydanoz, domates, soğan</t>
  </si>
  <si>
    <t>Tavuk Şiş Dürüm</t>
  </si>
  <si>
    <t>Mercimek Çorbası</t>
  </si>
  <si>
    <t>Kıymalı Pide</t>
  </si>
  <si>
    <t>Paça Çorbası</t>
  </si>
  <si>
    <t>Etli Ekmek</t>
  </si>
  <si>
    <t>Kaşarlı Pide</t>
  </si>
  <si>
    <t>Kuşbaşılı Pide</t>
  </si>
  <si>
    <t>Bıçak Arası Pide</t>
  </si>
  <si>
    <t>Karışık Pide</t>
  </si>
  <si>
    <t>Kaşar peyniri, kıyma, kuşbaşı. Salata ile</t>
  </si>
  <si>
    <t>Adana Kebap</t>
  </si>
  <si>
    <t>Beyti Sarma Kebap</t>
  </si>
  <si>
    <t>Patlıcan Kebabı</t>
  </si>
  <si>
    <t>Ekmek, salata ile</t>
  </si>
  <si>
    <t>Urfa Kebap</t>
  </si>
  <si>
    <t>Çöp Şiş</t>
  </si>
  <si>
    <t>Ciğer Şiş</t>
  </si>
  <si>
    <t>Tavuk Şiş</t>
  </si>
  <si>
    <t>Tavuk Kanat</t>
  </si>
  <si>
    <t>Kuzu Pirzola</t>
  </si>
  <si>
    <t>Karışık Izgara</t>
  </si>
  <si>
    <t>Adana kebap, tavuk şiş, tavuk kanat. Salata ile</t>
  </si>
  <si>
    <t>Barbunya</t>
  </si>
  <si>
    <t>Pirinç Pilavı</t>
  </si>
  <si>
    <t>Nohut</t>
  </si>
  <si>
    <t>Pöç Tandır</t>
  </si>
  <si>
    <t>Çöp Şiş Dürüm</t>
  </si>
  <si>
    <t>17,00 TL</t>
  </si>
  <si>
    <t>Ciğer Şiş Dürüm</t>
  </si>
  <si>
    <t>Urfa Dürüm</t>
  </si>
  <si>
    <t>Gurme Dürüm</t>
  </si>
  <si>
    <t>Lahmacun, kebap. Maydanoz, domates, soğan</t>
  </si>
  <si>
    <t>Kadayıf</t>
  </si>
  <si>
    <t>Coca-Cola Zero Sugar (33 cl.)</t>
  </si>
  <si>
    <t>Coca-Cola Light (33 cl.)</t>
  </si>
  <si>
    <t>Acılı</t>
  </si>
  <si>
    <t>Ayran (17 cl.)</t>
  </si>
  <si>
    <t>Su (33 cl.)</t>
  </si>
  <si>
    <t>Kebap &amp; Türk Mutfağı</t>
  </si>
  <si>
    <t>Sırali Mah.</t>
  </si>
  <si>
    <t>Avcılar Lokantası</t>
  </si>
  <si>
    <t>***=HYPERLINK("file:///C:/rest_photo/Avcılar Lokantası, Merkez (Sırali Mah.).jpg","Avcılar Lokantası, Merkez (Sırali Mah.)")</t>
  </si>
  <si>
    <t>Aykut'un Yeri Fırıncım, Merkez (Aşağı Kayabaşı Mah. - Özbelde)</t>
  </si>
  <si>
    <t>Maydanoz, marul salatası, limon ile</t>
  </si>
  <si>
    <t>Fındık Lahmacun (10 Adet)</t>
  </si>
  <si>
    <t>(Lütfen acı seçimini sipariş notunda belirtiniz.) Salata, yoğurt, maydanoz ile</t>
  </si>
  <si>
    <t>Soğan</t>
  </si>
  <si>
    <t>13,00 TL</t>
  </si>
  <si>
    <t>Adana Lahmacun (5 Adet)</t>
  </si>
  <si>
    <t>Karışık Tavuk (1 kg.)</t>
  </si>
  <si>
    <t>Soğan, marul salatası, pilav, 2 adet ekmek ile</t>
  </si>
  <si>
    <t>Kuzu Pirzola (1 kg.) (Pişirilmiş) Menü - Şu anda mevcut değil.</t>
  </si>
  <si>
    <t>Kuzu Pirzola (1 kg.) (Pişirilmiş) + 3 Çeşit Salata + 2 Adet Pide + Ayran (1 L.) (Ürünün gramaj bilgisi çiğ halinin gramajıdır.)</t>
  </si>
  <si>
    <t>120,00 TL</t>
  </si>
  <si>
    <t>Mercimek Çorbası - Şu anda mevcut değil.</t>
  </si>
  <si>
    <t>Somun ekmek veya pide ile</t>
  </si>
  <si>
    <t>Soğan tabla salatası, ezme, pilav pide ile</t>
  </si>
  <si>
    <t>Et Şiş</t>
  </si>
  <si>
    <t>Izgara Köfte</t>
  </si>
  <si>
    <t>Kıyma, dana kuşbaşı eti, kaşar peyniri. Maydanoz, marul salatası, limon ile</t>
  </si>
  <si>
    <t>Kuşbaşı Kaşarlı Pide</t>
  </si>
  <si>
    <t>Mevlana Etli Ekmek</t>
  </si>
  <si>
    <t>Kaşar peyniri, yumurta. Maydanoz, marul salatası, limon ile</t>
  </si>
  <si>
    <t>Tavuk Döner Dürüm</t>
  </si>
  <si>
    <t>Ketçap, mayonez</t>
  </si>
  <si>
    <t>Pilav Üstü Tavuk Döner</t>
  </si>
  <si>
    <t>Bol tereyağlı. Marul salatası, soğan salatası ile</t>
  </si>
  <si>
    <t>İskender (Tavuk Dönerden)</t>
  </si>
  <si>
    <t>Et Şiş Dürüm</t>
  </si>
  <si>
    <t>Köfte Dürüm</t>
  </si>
  <si>
    <t>Tavuk Pirzola (1 kg.) (Pişirilmiş)</t>
  </si>
  <si>
    <t>Tavuk Kanat (1 kg.) (Pişirilmiş)</t>
  </si>
  <si>
    <t>Tavuk Kelebek (1 kg.) (Pişirilmiş)</t>
  </si>
  <si>
    <t>Tavuk Baget (1 kg.) (Pişirilmiş)</t>
  </si>
  <si>
    <t>Tavuk Pirzola (1,5 kg) (Pişirilmiş)</t>
  </si>
  <si>
    <t>Tavuk Kelebek (1,5 kg) (Pişirilmiş)</t>
  </si>
  <si>
    <t>Tavuk Baget (1,5 kg) (Pişirilmiş)</t>
  </si>
  <si>
    <t>Karışık Izgara (1,5 kg.)</t>
  </si>
  <si>
    <t>Soğan, marul salatası, 2 adet ekmek ile</t>
  </si>
  <si>
    <t>Künefe</t>
  </si>
  <si>
    <t>Şerbetli</t>
  </si>
  <si>
    <t>Acılı Şalgam Suyu (23 cl.)</t>
  </si>
  <si>
    <t>Coca-Cola (2,5 L.)</t>
  </si>
  <si>
    <t>12,50 TL</t>
  </si>
  <si>
    <t>Fanta (2,5 L.)</t>
  </si>
  <si>
    <t>Pide &amp; Lahmacun</t>
  </si>
  <si>
    <t>Aykut'un Yeri Fırıncım</t>
  </si>
  <si>
    <t>***=HYPERLINK("file:///C:/rest_photo/Aykut'un Yeri Fırıncım, Merkez (Aşağı Kayabaşı Mah. - Özbelde).jpg","Aykut'un Yeri Fırıncım, Merkez (Aşağı Kayabaşı Mah. - Özbelde)")</t>
  </si>
  <si>
    <t>Bereket Kebap &amp; Ciğer, Merkez (Esenbey Mah.)</t>
  </si>
  <si>
    <t>Adana Kebap Dürüm</t>
  </si>
  <si>
    <t>Salata, ezme, közlenmiş biber, közlenmiş domates, sumaklı soğan, turşu biber ile</t>
  </si>
  <si>
    <t>Adana Dürüm (1,5)</t>
  </si>
  <si>
    <t>Adana kebap, ciğer şiş, çöp şiş, tavuk şiş. Salata, ezme, közlenmiş biber, közlenmiş domates, sumaklı soğan, turşu biber ile</t>
  </si>
  <si>
    <t>Ciğer Şiş Dürüm (1,5)</t>
  </si>
  <si>
    <t>Tavuk Dürüm (1,5)</t>
  </si>
  <si>
    <t>Et Şiş Dürüm (1,5)</t>
  </si>
  <si>
    <t>Et Çöp Şiş Dürüm</t>
  </si>
  <si>
    <t>Coca-Cola (20 cl.)</t>
  </si>
  <si>
    <t>Fanta (20 cl.)</t>
  </si>
  <si>
    <t>Limonlu Soda (20 cl.)</t>
  </si>
  <si>
    <t>Esenbey Mah.</t>
  </si>
  <si>
    <t>Bereket Kebap &amp; Ciğer</t>
  </si>
  <si>
    <t>***=HYPERLINK("file:///C:/rest_photo/Bereket Kebap &amp; Ciğer, Merkez (Esenbey Mah.).jpg","Bereket Kebap &amp; Ciğer, Merkez (Esenbey Mah.)")</t>
  </si>
  <si>
    <t>Bi Çorba Bi Kebap, Merkez (Selçuk Mah.)</t>
  </si>
  <si>
    <t>Domates, soğan, yeşillik. Biber turşusu ile</t>
  </si>
  <si>
    <t>Ekmek Arası Köfte</t>
  </si>
  <si>
    <t>5 adet köfte, domates, soğan, marul. Közlenmiş biber, biber turşusu ile</t>
  </si>
  <si>
    <t>Ciğer Dürüm</t>
  </si>
  <si>
    <t>Seçilmiş Menü (Karışık Izgara) - Şu anda mevcut değil.</t>
  </si>
  <si>
    <t>Karışık Izgara + Coca-Cola (33 cl.)</t>
  </si>
  <si>
    <t>40,75 TL</t>
  </si>
  <si>
    <t>İşkembe Çorbası - Şu anda mevcut değil.</t>
  </si>
  <si>
    <t>Közlenmiş biber, közlenmiş domates, ezme salata, soğan salatası, biber turşusu ile</t>
  </si>
  <si>
    <t>10 adet köfte, közlenmiş biber, közlenmiş domates, ezme salata, soğan salatası, biber turşusu ile</t>
  </si>
  <si>
    <t>Sac Tavuk Sote</t>
  </si>
  <si>
    <t>Ciğer Kavurma</t>
  </si>
  <si>
    <t>Ekmek Arası Sucuk</t>
  </si>
  <si>
    <t>Domates, soğan. Közlenmiş biber, biber turşusu ile</t>
  </si>
  <si>
    <t>Ayran (15 cl.)</t>
  </si>
  <si>
    <t>Bi Çorba Bi Kebap</t>
  </si>
  <si>
    <t>***=HYPERLINK("file:///C:/rest_photo/Bi Çorba Bi Kebap, Merkez (Selçuk Mah.).jpg","Bi Çorba Bi Kebap, Merkez (Selçuk Mah.)")</t>
  </si>
  <si>
    <t>Black Plate, Merkez (Selçuk Mah.)</t>
  </si>
  <si>
    <t>Köri Soslu Tavuk</t>
  </si>
  <si>
    <t>Jülyen tavuk, mantar, paprika, köri baharatı, krema. Akdeniz yeşillikleri, patates kızartması, makarna ile</t>
  </si>
  <si>
    <t>110 gr. burger köftesi, marul, domates, salatalık turşusu, burger sos, patates kızartması, ranch sos, sweet chili sos, kıtır soğan</t>
  </si>
  <si>
    <t>Dağ Kekikli Tavuk</t>
  </si>
  <si>
    <t>Jülyen tavuk, mantar, paprika, dağ kekiği, krema. Akdeniz yeşillikleri, patates kızartması, makarna ile</t>
  </si>
  <si>
    <t>Cheddar Soslu Tavuk</t>
  </si>
  <si>
    <t>Jülyen tavuk, mantar, paprika, cheddar sos, krema. Akdeniz yeşillikleri, patates kızartması, makarna ile</t>
  </si>
  <si>
    <t>Çıtır Tavuk Burger</t>
  </si>
  <si>
    <t>Panelenmiş tavuk fileto, burger sos, göbek marul, domates, turşu, kıtır soğan. Patates kızartması, özel soslar ile</t>
  </si>
  <si>
    <t>Et Çökertme</t>
  </si>
  <si>
    <t>Dry aged beef parçaları, tereyağında sotelenmiş küp doğranan bazlama ekmeği, kibrit patates kızartması, özel soslar ile</t>
  </si>
  <si>
    <t>Çıldırtan Karışım</t>
  </si>
  <si>
    <t>Dry aged beef parçaları, porçini mantarı, jalapeno biberi, soya sosu, cheddar peyniri. Mevsim yeşillikleri, patates kızartması ile</t>
  </si>
  <si>
    <t>Et Schnitzel</t>
  </si>
  <si>
    <t>Dry aged beef parçaları, spesiyal baharatlar ile hazırlanmış pane, özel baharatlar ile hazırlanmış tereyağı</t>
  </si>
  <si>
    <t>Köftehor</t>
  </si>
  <si>
    <t>Özel hazırlanmış köfte harcı, kaşar peyniri, cheddar peyniri. Akdeniz yeşillikleri, patates kızartması ile</t>
  </si>
  <si>
    <t>Bonfile Beğendi</t>
  </si>
  <si>
    <t>Özel harmanlanmış beğendi sos, dry aged beef, sotelenmiş sebzeler, özel soslar ile</t>
  </si>
  <si>
    <t>Slayzer Kontrfile</t>
  </si>
  <si>
    <t>Slayzer kontrfile, meze çeşitleri, ara sıcak ile</t>
  </si>
  <si>
    <t>Dry Aged Antrikot</t>
  </si>
  <si>
    <t>Dry aged antrikot, meze çeşitleri, ara sıcak ile</t>
  </si>
  <si>
    <t>Meat Ball</t>
  </si>
  <si>
    <t>Meat ball köfte, meze çeşitleri, ara sıcak ile</t>
  </si>
  <si>
    <t>Black Flate Spesiyal Köfte</t>
  </si>
  <si>
    <t>Black flate spesiyal köfte, meze çeşitleri, ara sıcak ile</t>
  </si>
  <si>
    <t>Dana Antrikot</t>
  </si>
  <si>
    <t>250 gr. dana antrikot, patates püresi, ızgara sebzeler ile</t>
  </si>
  <si>
    <t>New York Steak</t>
  </si>
  <si>
    <t>Patates püresi, haşlanmış sebzeler ile</t>
  </si>
  <si>
    <t>150,00 TL</t>
  </si>
  <si>
    <t>Kuzu pirzola eti, meze çeşitleri, mevsim yeşillikleri ile</t>
  </si>
  <si>
    <t>Soslu Biftek</t>
  </si>
  <si>
    <t>Özel soslarla marine edilmiş biftek, meze çeşitleri, ara sıcak ile</t>
  </si>
  <si>
    <t>Izgara Bonfile</t>
  </si>
  <si>
    <t>Pirinç pilavı, yoğurt ile</t>
  </si>
  <si>
    <t>Cafe De Paris Soslu Bonfile</t>
  </si>
  <si>
    <t>Izgara dana bonfile, krema, Cafe De Paris sos. Akdeniz yeşillikleri, patates kızartması, makarna ile</t>
  </si>
  <si>
    <t>Mexican Soslu Bonfile</t>
  </si>
  <si>
    <t>Izgara dana bonfile, krema, Meksika sos, Meksika fasulyesi, jalapeno biberi. Akdeniz yeşillikleri, patates kızartması, makarna ile</t>
  </si>
  <si>
    <t>Demi Glace Soslu Bonfile</t>
  </si>
  <si>
    <t>250 gr. ızgara dana bonfile, demi glace sos. Patates püresi, ızgara mevsim sebzeleri ile</t>
  </si>
  <si>
    <t>T-Bone Steak</t>
  </si>
  <si>
    <t>500 gr. T-bone steak. Patates püresi, haşlanmış mevsim sebzeleri, meze ile</t>
  </si>
  <si>
    <t>175,00 TL</t>
  </si>
  <si>
    <t>Dallas Steak</t>
  </si>
  <si>
    <t>400 gr. dallas steak. Patates püresi, haşlanmış mevsim sebzeleri, meze ile</t>
  </si>
  <si>
    <t>165,00 TL</t>
  </si>
  <si>
    <t>Barbekü Soslu Tavuk</t>
  </si>
  <si>
    <t>Jülyen tavuk, mantar, paprika, barbekü sos, krema. Akdeniz yeşillikleri, patates kızartması, makarna ile</t>
  </si>
  <si>
    <t>Beğendili Tavuk</t>
  </si>
  <si>
    <t>Özel harmanlanmış beğendi sos, tavuk fileto, sotelenmiş sebzeler. Özel soslar ile</t>
  </si>
  <si>
    <t>Mexican Tavuk</t>
  </si>
  <si>
    <t>Jülyen tavuk, mantar, paprika, Mexican sos, krema. Akdeniz yeşillikleri, patates kızartması, makarna ile</t>
  </si>
  <si>
    <t>Ispanak Yatağında Tavuk</t>
  </si>
  <si>
    <t>Beşamel soslu ıspanak, sotelenmiş tavuk parçaları. Kibrit patates kızartması ile</t>
  </si>
  <si>
    <t>Tavuk Schnitzel</t>
  </si>
  <si>
    <t>Fileto tavuk, special, baharatlar ile hazırlanmış pane, özel baharat karışımı ile hazırlanmış tereyağı</t>
  </si>
  <si>
    <t>Tavuk Çökertme</t>
  </si>
  <si>
    <t>Jülyen tavuk parçaları, tereyağında sotelenmiş küp doğrananmış bazlama ekmeği, kibrit patates kızartması, özel soslar ile</t>
  </si>
  <si>
    <t>Mantar Soslu Tavuk Fileto</t>
  </si>
  <si>
    <t>Jülyen tavuk, mantar, paprika, krema. Akdeniz yeşillikleri, patates kızartması, makarna ile</t>
  </si>
  <si>
    <t>Izgara Tavuk Fileto</t>
  </si>
  <si>
    <t>Matrak Tavuk</t>
  </si>
  <si>
    <t>Mısır unlu tavuk fileto, mantar, krema, kaşar peyniri, cheddar sos. Akdeniz yeşillikleri, patates kızartması ile</t>
  </si>
  <si>
    <t>Izgara Çupra</t>
  </si>
  <si>
    <t>Roka, turp, karışık sebzeler ile</t>
  </si>
  <si>
    <t>Izgara Levrek</t>
  </si>
  <si>
    <t>Izgara Orkinos</t>
  </si>
  <si>
    <t>100,00 TL</t>
  </si>
  <si>
    <t>Kalamar Tava</t>
  </si>
  <si>
    <t>Dil Balığı Tava</t>
  </si>
  <si>
    <t>Karides Güveç</t>
  </si>
  <si>
    <t>Somon Izgara</t>
  </si>
  <si>
    <t>Deniz Mahsullü Kova</t>
  </si>
  <si>
    <t>Kalamar, karides pane, akdeniz lokumu, kızartılmış karides, patates kızartması, ranch sos, sweet chili sos</t>
  </si>
  <si>
    <t>Alaturka Burger</t>
  </si>
  <si>
    <t>Burger köftesi, göbek marul, domates, salatalık turşusu, burger sos, göz yumurta, pastırma. Patates kızartması, özel soslar ile</t>
  </si>
  <si>
    <t>Double burger köftesi, burger sos, cheddar peyniri. Patates kızartması, özel soslar ile</t>
  </si>
  <si>
    <t>110 gr. burger köftesi, marul, domates, salatalık turşusu, burger sos, patates kızartması, ranch sos, sweet chili sos, kıtır soğan, cheddar peyniri, kaşar peyniri</t>
  </si>
  <si>
    <t>38,00 TL</t>
  </si>
  <si>
    <t>Steak Burger</t>
  </si>
  <si>
    <t>150 gr. dana bonfile, marul, domates, salatalık turşusu, burger sos, patates kızartması, ranch sos, sweet chili sos, kıtır soğan</t>
  </si>
  <si>
    <t>Tavuk Fileto Burger</t>
  </si>
  <si>
    <t>110 gr. tavuk fileto, marul, domates, salatalık turşusu, burger sos, patates kızartması, ranch sos, sweet chili sos, kıtır soğan</t>
  </si>
  <si>
    <t>5 Peynirli Pizza</t>
  </si>
  <si>
    <t>Mozzarella peyniri, cheddar peyniri, parmesan peyniri, rokfor peynir, çeçil peyniri</t>
  </si>
  <si>
    <t>Alaturca Pizza</t>
  </si>
  <si>
    <t>Mozzarella peyniri, sucuk, pastırma, kavurma, mantar, paprika, zeytin, mısır</t>
  </si>
  <si>
    <t>Deniz Mahsullü Pizza</t>
  </si>
  <si>
    <t>Mozzarella peyniri, kalamar, karides, somon füme, midye, yengeç bacağı</t>
  </si>
  <si>
    <t>Etli Mexican Pizza</t>
  </si>
  <si>
    <t>Jülyen dry aged beef, mantar, paprika, zeytin, mısır</t>
  </si>
  <si>
    <t>Karışık Pizza</t>
  </si>
  <si>
    <t>Mozzarella peyniri, sosis, salam, sucuk, mantar, paprika, zeytin, mısır</t>
  </si>
  <si>
    <t>Margherita Pizza</t>
  </si>
  <si>
    <t>Domates sos, mozzarella peynir</t>
  </si>
  <si>
    <t>Pepperoni Pizza</t>
  </si>
  <si>
    <t>Mozzarella peyniri, dana pepperoni</t>
  </si>
  <si>
    <t>Simit Kenarlı Pizza</t>
  </si>
  <si>
    <t>Sosis, salam, sucuk, paprika, zeytin, mantar, mısır</t>
  </si>
  <si>
    <t>Steak Pizza</t>
  </si>
  <si>
    <t>Mozzarella peyniri, ızgara dana bonfile parçaları, mantar, paprika, zeytin, mısır</t>
  </si>
  <si>
    <t>Tavuklu Mexican Pizza</t>
  </si>
  <si>
    <t>Jülyen tavuk, mantar, soğan, jalapeno biber, Mexican sos, zeytin, mısır</t>
  </si>
  <si>
    <t>Ton Balıklı Pizza</t>
  </si>
  <si>
    <t>Ton balığı, mısır</t>
  </si>
  <si>
    <t>Veggie Pizza</t>
  </si>
  <si>
    <t>Izgara kabak, ızgara patlıcan, ızgara havuç, paprika, mantar, cherry domates, zeytin, mısır</t>
  </si>
  <si>
    <t>California Sushi</t>
  </si>
  <si>
    <t>Surumi, havuç, stick salatalık, avokado, sushi pirinci, yosun. Ginger wasabi, soya sos ile</t>
  </si>
  <si>
    <t>Happy Crazy</t>
  </si>
  <si>
    <t>4 farklı sushi roll</t>
  </si>
  <si>
    <t>Crunch Panko Sushi</t>
  </si>
  <si>
    <t>Sushi pirinci, yosun, Norveç somonu, avokado, havuç, salatalık, un, yumurta. Ginger wasabi, soya sos ile</t>
  </si>
  <si>
    <t>Prawn Tempura Sushi Roll</t>
  </si>
  <si>
    <t>Sushi pirinci, yosun, karides, avokado, havuç. Ginger wasabi, soya sos ile</t>
  </si>
  <si>
    <t>24. Philadelphia Sushi</t>
  </si>
  <si>
    <t>Sushi pirinci, yosun, kıtır soğan, ceviz, avokado, havuç, stick salatalık. Ginger wasabi, soya sos ile</t>
  </si>
  <si>
    <t>Tavuklu Quesadilla</t>
  </si>
  <si>
    <t>Tortilla ekmeğine; jülyen doğranmış tavuk parçaları, kabak, havuç, paprika, kajun baharatı, mozzarella peyniri, patates kızartması, özel soslar. domates, salatalık ile</t>
  </si>
  <si>
    <t>Etli Quesadilla</t>
  </si>
  <si>
    <t>Tortilla ekmeğine; jülyen doğranmış et parçaları, kabak, havuç, paprika, kajun baharatı, mozzarella peyniri, patates kızartması, özel soslar. domates, salatalık ile</t>
  </si>
  <si>
    <t>Etli Wrap</t>
  </si>
  <si>
    <t>Tortilla ekmeğine; jülyen et, paprika, cajun baharatı, kaşar peyniri. Ranch sos, sweet chili sos, patates kızartması ile</t>
  </si>
  <si>
    <t>Sebzeli 3 Peynirli Wrap</t>
  </si>
  <si>
    <t>Tortilla ekmeğine; mantar, paprika, chaddar peyniri, mozzarella peyniri, parmesan peyniri, kajun. Patates kızartması, sweet chili sos, ranch sos ile</t>
  </si>
  <si>
    <t>Tavuklu Wrap</t>
  </si>
  <si>
    <t>Tortilla ekmeğine; jülyen tavuk, paprika, cajun baharatı, kaşar peyniri. Ranch sos, sweet chili sos, patates kızartması ile</t>
  </si>
  <si>
    <t>Fajita Combo</t>
  </si>
  <si>
    <t>Özel soslarla marine edilmiş dry aged beef parçaları, tavuk fileto parçaları, sotelanmiş sebzeler, tortilla ekmeği, özel soslar</t>
  </si>
  <si>
    <t>Fajita Beef</t>
  </si>
  <si>
    <t>Özel soslarla marine edilmiş dry aged beef parçaları, sotelenmiş sebzeler, salsa ekşi krema, tortilla ekmeği, özel soslar</t>
  </si>
  <si>
    <t>Fajita Chicken</t>
  </si>
  <si>
    <t>Özel soslarla marine edilmiş tavuk fileto parçaları, sotelenmiş sebzeler, tortilla ekmeği, özel soslar</t>
  </si>
  <si>
    <t>Fajita Karides</t>
  </si>
  <si>
    <t>Özel soslarla marine edilmiş jumbo karides parçaları, sotelenmiş sebzeler, salsa ekşi krema, tortilla ekmeği, özel soslar</t>
  </si>
  <si>
    <t>Combo Fajita</t>
  </si>
  <si>
    <t>Özel soslarla marine edilmiş jumbo karides parçaları, tavuk fileto, dry aged beef parçaları sotelenmiş sebzeler, tortilla ekmeği, özel soslar</t>
  </si>
  <si>
    <t>115,00 TL</t>
  </si>
  <si>
    <t>Combo Sepeti</t>
  </si>
  <si>
    <t>Patates kızartması, soğan halkası, mozzarella stick, sigara böreği, sosis, cajun baharatlı tavuk. Ranch sos, sweet chili sos ile</t>
  </si>
  <si>
    <t>Anne Patates Kızartması</t>
  </si>
  <si>
    <t>Ranch sos, sweet chilli sos ile</t>
  </si>
  <si>
    <t>Coca-Cola Şekersiz (33 cl.)</t>
  </si>
  <si>
    <t>Dünya Mutfağı &amp; Cafe</t>
  </si>
  <si>
    <t>Black Plate</t>
  </si>
  <si>
    <t>***=HYPERLINK("file:///C:/rest_photo/Black Plate, Merkez (Selçuk Mah.).jpg","Black Plate, Merkez (Selçuk Mah.)")</t>
  </si>
  <si>
    <t>Bor Ay Döner, Bor (Harım Mah.)</t>
  </si>
  <si>
    <t>Marul, domates, kornişon turşu, patates kızartması isteğe göre soğan. Lavaş ekmek ile</t>
  </si>
  <si>
    <t>Tam Ekmek Arası Tavuk Döner</t>
  </si>
  <si>
    <t>Tam somun ekmek arasına; 220 gr. tavuk döner, sos, isteğe göre soğan</t>
  </si>
  <si>
    <t>Kebap Ekmeği &amp; Pide Arası Tavuk Döner</t>
  </si>
  <si>
    <t>Marul, domates, kornişon turşu, patates kızartması isteğe göre soğan</t>
  </si>
  <si>
    <t>Yarım Somun Ekmek Arası Tavuk Döner</t>
  </si>
  <si>
    <t>3/4 Ekmek Arası Tavuk Döner</t>
  </si>
  <si>
    <t>17,50 TL</t>
  </si>
  <si>
    <t>Yarım Ekmek Arası Izgara Köfte (90 gr.)</t>
  </si>
  <si>
    <t>3/4 Somun Ekmek Arası Izgara Köfte (140 gr.)</t>
  </si>
  <si>
    <t>3/4 Somun Ekmek Arası Köfte (90 gr.)</t>
  </si>
  <si>
    <t>Tam Ekmek Arası Köfte</t>
  </si>
  <si>
    <t>Tam somun ekmek arasına; 220 gr. köfte</t>
  </si>
  <si>
    <t>Coca-Cola (25 cl.)</t>
  </si>
  <si>
    <t>6,50 TL</t>
  </si>
  <si>
    <t>7UP (33 cl.)</t>
  </si>
  <si>
    <t>İçi taneli</t>
  </si>
  <si>
    <t>Ev Yapımı Şalgam Suyu (5 L.)</t>
  </si>
  <si>
    <t>Döner</t>
  </si>
  <si>
    <t>Harım Mah.</t>
  </si>
  <si>
    <t>Bor Ay Döner</t>
  </si>
  <si>
    <t>***=HYPERLINK("file:///C:/rest_photo/Bor Ay Döner, Bor (Harım Mah.).jpg","Bor Ay Döner, Bor (Harım Mah.)")</t>
  </si>
  <si>
    <t>Bor Döner Evi, Bor (Harım Mah.)</t>
  </si>
  <si>
    <t>100 gr tavuk döner. Patates kızartması, turşu, domates, sos</t>
  </si>
  <si>
    <t>Zurna Et Döner Dürüm</t>
  </si>
  <si>
    <t>70 gr et döner. Patates kızartması, turşu, domates, sos</t>
  </si>
  <si>
    <t>100 gr. tavuk döner. Yoğurt, pirinç pilavı, sos, tereyağı ile</t>
  </si>
  <si>
    <t>Zurna Tavuk Döner Dürüm</t>
  </si>
  <si>
    <t>70 gr. tavuk döner. Patates kızartması, turşu, domates, sos</t>
  </si>
  <si>
    <t>60 gr. tavuk döner. Patates kızartması, turşu, domates, sos</t>
  </si>
  <si>
    <t>Tavuk Döner</t>
  </si>
  <si>
    <t>Et Döner Dürüm</t>
  </si>
  <si>
    <t>60 gr et döner. Patates kızartması, turşu, domates, sos</t>
  </si>
  <si>
    <t>Pilav Üstü Et Döner</t>
  </si>
  <si>
    <t>100 gr et döner. Patates kızartması, turşu, domates, sos</t>
  </si>
  <si>
    <t>İskender (Et Dönerden)</t>
  </si>
  <si>
    <t>100 gr. et döner. Yoğurt, pirinç pilavı, sos, tereyağı ile</t>
  </si>
  <si>
    <t>Et Döner</t>
  </si>
  <si>
    <t>Bor Döner Evi</t>
  </si>
  <si>
    <t>***=HYPERLINK("file:///C:/rest_photo/Bor Döner Evi, Bor (Harım Mah.).jpg","Bor Döner Evi, Bor (Harım Mah.)")</t>
  </si>
  <si>
    <t>Burger King, Merkez (Selçuk Mah.)</t>
  </si>
  <si>
    <t>Kral Avantaj</t>
  </si>
  <si>
    <t>Chicken Royale® + Whopper Jr.® + Orta Boy Patates + 6’lı Soğan Halkası + 1L. İçecek</t>
  </si>
  <si>
    <t>39,99 TL</t>
  </si>
  <si>
    <t>Seçilmiş Menü (2'li Big King® Fırsatı)</t>
  </si>
  <si>
    <t>Big King® + Big King® + Büyük Boy Patates + 10'lu Soğan Halkası + 1 L. İçecek</t>
  </si>
  <si>
    <t>59,99 TL</t>
  </si>
  <si>
    <t>Seçilmiş Menü (2’li Whopper® Fırsatı)</t>
  </si>
  <si>
    <t>2 Adet Whopper® + Büyük Boy Patates + 8'li Soğan Halkası + 1 L. İçecek</t>
  </si>
  <si>
    <t>74,99 TL</t>
  </si>
  <si>
    <t>Seçilmiş Menü (5’li Whopper® Fırsatı)</t>
  </si>
  <si>
    <t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</t>
  </si>
  <si>
    <t>89,99 TL</t>
  </si>
  <si>
    <t>Seçilmiş Menü (3'lü Whopper® Fırsatı)</t>
  </si>
  <si>
    <t>3 Adet Whopper Jr.® + Büyük Boy Patates + 1 L. İçecek (Whopper Jr.® seçimleri için geçerlidir. Whopper® veya Plant Based Whopper® seçimlerinde 12,50 TL, Double Whopper® seçimlerinde 21,99 TL ve Triple Whopper® seçimlerinde 28,99 TL fark alınmaktadır.)</t>
  </si>
  <si>
    <t>55,50 TL</t>
  </si>
  <si>
    <t>Seçilmiş Menü (Diamond Gamer Menü)</t>
  </si>
  <si>
    <t>Whopper Jr.® veya Chicken Royale® + Orta Boy Patates + 4’lü Soğan Halkası + 4'lü BK King Nuggets® + Coca-Cola (33 cl.)</t>
  </si>
  <si>
    <t>38,99 TL</t>
  </si>
  <si>
    <t>Seçilmiş Menü (Kral Fırsat)</t>
  </si>
  <si>
    <t>2 Adet Big King®? + 2 Adet King Chicken®? + King Boy Patates Kızartması + 8’li Soğan Halkası + 1 L. İçecek</t>
  </si>
  <si>
    <t>94,99 TL</t>
  </si>
  <si>
    <t>Seçilmiş Menü (4'lü Fırsat Menüsü)</t>
  </si>
  <si>
    <t>4 Adet King Chicken® + King Boy Patates Kızartması + 8’li Soğan Halkası + 1 L. İçecek 112,44 TL yerine 74,99 TL!</t>
  </si>
  <si>
    <t>Vodafone Menüsü (King Chicken Menü &amp; Cheeseburger)</t>
  </si>
  <si>
    <t>King Chicken® Menü + Cheeseburger 52,99 TL yerine 37,99 TL. (Kampanya koşulları için restoranın Promosyonlar bölümüne göz atınız)</t>
  </si>
  <si>
    <t>52,99 TL</t>
  </si>
  <si>
    <t>Vodafone Menüsü (Whopper Jr.® Menü &amp; Tavukburger®)</t>
  </si>
  <si>
    <t>Whopper Jr.® Menü + Tavukburger® 51,98 TL yerine 37,99 TL. (Kampanya koşulları için restoranın Promosyonlar bölümüne göz atınız)</t>
  </si>
  <si>
    <t>51,98 TL</t>
  </si>
  <si>
    <t>Algida Menüsü (Barbekü Lezzeti)</t>
  </si>
  <si>
    <t>Etli Barbekü Deluxe Burger + Tavuklu Barbekü Deluxe Burger + Orta Boy Patates + 2 Adet Algida Mini Nogger + 1 L. İçecek</t>
  </si>
  <si>
    <t>47,99 TL</t>
  </si>
  <si>
    <t>Burger King® Algida Menüsü 2</t>
  </si>
  <si>
    <t>2 Adet Chicken Royale® + Büyük Boy Patates + 2 Adet Algida Mini Nogger + 1 L. İçecek (Sadece Chicken Royale® ve Etli Barbekü Deluxe Burger seçimleri için geçerlidir. BK Kral Burger seçimlerinde 6,50 TL, Whopper® seçimlerinde 9 TL fark alınmaktadır.)</t>
  </si>
  <si>
    <t>Maximum Menü</t>
  </si>
  <si>
    <t>Double Cheeseburger + King Chicken® + Büyük Boy Patates + Soğan Halkaları (8'li) + Litrelik İçecek (Maximum Menü indirimi, Maximum özellikli tüm kredi kartları ve İş Bankası Bankamatik Kartları ile yapılacak online ödemelerde ödeme anında uygulanacaktır.)</t>
  </si>
  <si>
    <t>54,99 TL</t>
  </si>
  <si>
    <t>4'lü Big King® Fırsatı</t>
  </si>
  <si>
    <t>4 Adet Big King® + Büyük Boy Patates + Litrelik İçecek</t>
  </si>
  <si>
    <t>104,99 TL</t>
  </si>
  <si>
    <t>3’lü King Chicken® Fırsatı</t>
  </si>
  <si>
    <t>3 Adet King Chicken® + Büyük Boy Patates + Litrelik İçecek</t>
  </si>
  <si>
    <t>52,50 TL</t>
  </si>
  <si>
    <t>2'li Barbeko Burger Menü</t>
  </si>
  <si>
    <t>2 Adet Barbeko Burger + Patates Kızartması (Büyük) + Litrelik İçecek</t>
  </si>
  <si>
    <t>51,99 TL</t>
  </si>
  <si>
    <t>Lezzet Kovalı Maç Menüsü</t>
  </si>
  <si>
    <t>2 Adet Whopper Jr.® + BK King Nuggets® (6’lı) + Soğan Halkaları (8'li) + Chicken Tenders® (4’lü) + Büyük Boy Patates + 1 L. İçecek</t>
  </si>
  <si>
    <t>64,99 TL</t>
  </si>
  <si>
    <t>Karışık Lezzet Kova Menü</t>
  </si>
  <si>
    <t>BK King Nuggets® (6’lı) + Soğan Halkası (8’li) + Chicken Tenders® (4'lü) + Patates Kızartması (Büyük) + Litrelik İçecek</t>
  </si>
  <si>
    <t>Pro Gamer Tavuklu BBQ Deluxe Menü</t>
  </si>
  <si>
    <t>2 Adet Tavuklu Barbekü Deluxe Burger + Büyük Boy Patates + 1 L. İçecek</t>
  </si>
  <si>
    <t>41,99 TL</t>
  </si>
  <si>
    <t>Pro Gamer Big King® Menü</t>
  </si>
  <si>
    <t>Big King® + Büyük Boy Patates + Soğan Halkaları (4'lü) + 1 L. İçecek</t>
  </si>
  <si>
    <t>44,99 TL</t>
  </si>
  <si>
    <t>Dört Dörtlük Menü</t>
  </si>
  <si>
    <t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</t>
  </si>
  <si>
    <t>129,99 TL</t>
  </si>
  <si>
    <t>Benim İkilim</t>
  </si>
  <si>
    <t>2 Adet Seçeceğiniz Sandviç + Büyük Boy Patates + 1 L. İçecek (Tavukburger® seçimleri için geçerlidir. King Chicken® ve Big King Jr.® seçimlerinde 4 TL, Chicken Royale 6 TL, Big King® seçimlerinde 10,50 TL fark alınmaktadır.)</t>
  </si>
  <si>
    <t>Kral Teklif Menü</t>
  </si>
  <si>
    <t>BK Kral Burger + Whopper Jr.® + Büyük Boy Patates Kızartması + Soğan Halkaları (8'li) + 1 L. İçecek</t>
  </si>
  <si>
    <t>Kral İkili</t>
  </si>
  <si>
    <t>Big King® Sandviç + King Chicken® Sandviç + Büyük Boy Patates + 1 L. İçecek</t>
  </si>
  <si>
    <t>49,99 TL</t>
  </si>
  <si>
    <t>Plant Based Whopper® Menü</t>
  </si>
  <si>
    <t>BK Planty Whopper® + Büyük Boy Patates + Kutu İçecek</t>
  </si>
  <si>
    <t>Barbeko Burger Menü</t>
  </si>
  <si>
    <t>Barbeko Burger + Büyük Boy Patates Kızartması + Kutu İçecek</t>
  </si>
  <si>
    <t>34,99 TL</t>
  </si>
  <si>
    <t>Whopper Jr.® Menü</t>
  </si>
  <si>
    <t>Whopper Jr.® + Büyük Boy Patates + Kutu İçecek</t>
  </si>
  <si>
    <t>31,99 TL</t>
  </si>
  <si>
    <t>Whopper® Menü</t>
  </si>
  <si>
    <t>Whopper® + Büyük Boy Patates + Kutu İçecek</t>
  </si>
  <si>
    <t>Double Whopper® Menü</t>
  </si>
  <si>
    <t>Double Whopper® + Büyük Boy Patates + Kutu İçecek</t>
  </si>
  <si>
    <t>Triple Whopper® Menü</t>
  </si>
  <si>
    <t>Triple Whopper® + Büyük Boy Patates + Kutu İçecek</t>
  </si>
  <si>
    <t>Big King®Jr. Menü</t>
  </si>
  <si>
    <t>Big King®Jr. + Büyük Boy Patates + Kutu İçecek</t>
  </si>
  <si>
    <t>Big King® Menü</t>
  </si>
  <si>
    <t>Big King® + Büyük Boy Patates + Kutu İçecek</t>
  </si>
  <si>
    <t>Double Big King® Menü</t>
  </si>
  <si>
    <t>Double Big King® + Büyük Boy Patates + Kutu İçecek</t>
  </si>
  <si>
    <t>Big King XXL® Menü</t>
  </si>
  <si>
    <t>Big King XXL® + Büyük Boy Patates + Kutu İçecek</t>
  </si>
  <si>
    <t>BK Crispy Chicken Menü</t>
  </si>
  <si>
    <t>BK Crispy Chicken + Büyük Boy Patates + Kutu İçecek</t>
  </si>
  <si>
    <t>30,99 TL</t>
  </si>
  <si>
    <t>Chicken Royale® Menü</t>
  </si>
  <si>
    <t>Chicken Royale® + Büyük Boy Patates + Kutu İçecek</t>
  </si>
  <si>
    <t>King Chicken® Menü</t>
  </si>
  <si>
    <t>King Chicken® + Büyük Boy Patates + Kutu İçecek</t>
  </si>
  <si>
    <t>29,99 TL</t>
  </si>
  <si>
    <t>Double King Chicken® Menü</t>
  </si>
  <si>
    <t>Double King Chicken® + Büyük Boy Patates + Kutu İçecek</t>
  </si>
  <si>
    <t>36,99 TL</t>
  </si>
  <si>
    <t>Mangalda Izgara Tavuk Menü</t>
  </si>
  <si>
    <t>Mangalda Izgara Tavuk + Büyük Boy Patates + Kutu İçecek</t>
  </si>
  <si>
    <t>37,99 TL</t>
  </si>
  <si>
    <t>Klasik Gurme Tavuk® Menü</t>
  </si>
  <si>
    <t>Klasik Gurme Tavuk® + Büyük Boy Patates + Kutu İçecek</t>
  </si>
  <si>
    <t>Spicy Gurme Tavuk® Menü</t>
  </si>
  <si>
    <t>Spicy Gurme Tavuk® + Büyük Boy Patates + Kutu İçecek</t>
  </si>
  <si>
    <t>Double Cheeseburger Menü</t>
  </si>
  <si>
    <t>Double Cheeseburger + Büyük Boy Patates + Kutu İçecek</t>
  </si>
  <si>
    <t>Mega Double Cheeseburger Menü</t>
  </si>
  <si>
    <t>Mega Double Cheeseburger + Büyük Boy Patates + Kutu İçecek</t>
  </si>
  <si>
    <t>62,99 TL</t>
  </si>
  <si>
    <t>Etli Master Burger Menü</t>
  </si>
  <si>
    <t>Etli Master Burger + Büyük Boy Patates + Kutu İçecek</t>
  </si>
  <si>
    <t>42,99 TL</t>
  </si>
  <si>
    <t>Tavuklu Master Burger Menü</t>
  </si>
  <si>
    <t>Tavuklu Master Burger + Büyük Boy Patates + Kutu İçecek</t>
  </si>
  <si>
    <t>Etli Barbekü Brioche® Menü</t>
  </si>
  <si>
    <t>Etli Barbekü Brioche® + Büyük Boy Patates + Kutu İçecek</t>
  </si>
  <si>
    <t>Tavuklu Barbekü Brioche® Menü</t>
  </si>
  <si>
    <t>Tavuklu Barbekü Brioche® + Büyük Boy Patates + Kutu İçecek</t>
  </si>
  <si>
    <t>Rodeo Whopper® Menü</t>
  </si>
  <si>
    <t>Rodeo Whopper® + Büyük Boy Patates + Kutu İçecek (Bu ürünün garnitürlerinde değişiklik yapılamamaktadır.)</t>
  </si>
  <si>
    <t>BK Steakhouse Burger® Menü</t>
  </si>
  <si>
    <t>Steakhouse Burger® + Büyük Boy Patates + Kutu İçecek</t>
  </si>
  <si>
    <t>Texas Smokehouse Burger® Menü</t>
  </si>
  <si>
    <t>Texas Smokehouse Burger® + Büyük Boy Patates + Kutu İçecek</t>
  </si>
  <si>
    <t>Double Texas Smokehouse Burger® Menü</t>
  </si>
  <si>
    <t>Double Texas Smokehouse Burger® + Büyük Boy Patates + Kutu İçecek</t>
  </si>
  <si>
    <t>63,99 TL</t>
  </si>
  <si>
    <t>BK Kral Burger Menü</t>
  </si>
  <si>
    <t>BK Kral Burger + Büyük Boy Patates + Kutu İçecek</t>
  </si>
  <si>
    <t>Hamburger + Orta Boy Patates + Kutu İçecek</t>
  </si>
  <si>
    <t>27,50 TL</t>
  </si>
  <si>
    <t>Cheeseburger + Orta Boy Patates + Kutu İçecek</t>
  </si>
  <si>
    <t>Tavukburger® Menü</t>
  </si>
  <si>
    <t>Tavukburger® + Orta Boy Patates + Kutu İçecek</t>
  </si>
  <si>
    <t>25,99 TL</t>
  </si>
  <si>
    <t>Köfteburger® Menü</t>
  </si>
  <si>
    <t>Köfteburger® + Büyük Boy Patates + Kutu İçecek</t>
  </si>
  <si>
    <t>26,50 TL</t>
  </si>
  <si>
    <t>Double Köfteburger® Menü</t>
  </si>
  <si>
    <t>Double Köfteburger® + Büyük Boy Patates + Kutu İçecek</t>
  </si>
  <si>
    <t>36,50 TL</t>
  </si>
  <si>
    <t>Etli Barbekü Deluxe Burger Menü</t>
  </si>
  <si>
    <t>Etli Barbekü Deluxe Burger + Büyük Boy Patates + Kutu İçecek</t>
  </si>
  <si>
    <t>Tavuklu Barbekü Deluxe Burger Menü</t>
  </si>
  <si>
    <t>Tavuklu Barbekü Deluxe Burger + Büyük Boy Patates + Kutu İçecek</t>
  </si>
  <si>
    <t>Fish Royale® Menü</t>
  </si>
  <si>
    <t>Fish Royale® + Büyük Boy Patates + Kutu İçecek</t>
  </si>
  <si>
    <t>BK King Nuggets® Menü 6’ lı</t>
  </si>
  <si>
    <t>BK King Nuggets® 6’lı + Büyük Boy Patates + Kutu İçecek</t>
  </si>
  <si>
    <t>28,99 TL</t>
  </si>
  <si>
    <t>BK King Nuggets® Menü 9’ lu</t>
  </si>
  <si>
    <t>BK King Nuggets® 9’lu + Büyük Boy Patates + Kutu İçecek</t>
  </si>
  <si>
    <t>33,99 TL</t>
  </si>
  <si>
    <t>Chicken Tenders® Menü 6’ lı</t>
  </si>
  <si>
    <t>Chicken Tenders® 6’lı + Büyük Boy Patates + Kutu İçecek</t>
  </si>
  <si>
    <t>Chicken Tenders® Menü 9’ lu</t>
  </si>
  <si>
    <t>Chicken Tenders® 9’lu + Büyük Boy Patates + Kutu İçecek</t>
  </si>
  <si>
    <t>Bean Burger® Menü</t>
  </si>
  <si>
    <t>Bean Burger® + Büyük Boy Patates + Kutu İçecek</t>
  </si>
  <si>
    <t>Tavukburger® Cheese Menü</t>
  </si>
  <si>
    <t>Tavukburger® Cheese + Orta Boy Patates + Kutu İçecek</t>
  </si>
  <si>
    <t>27,99 TL</t>
  </si>
  <si>
    <t>Kids Hamburger Menü</t>
  </si>
  <si>
    <t>Kids Hamburger + Orta Boy Patates + Kutu İçecek + Sürpriz Oyuncak</t>
  </si>
  <si>
    <t>Kids Cheese Menü</t>
  </si>
  <si>
    <t>Kids Cheeseburger + Orta Boy Patates + Kutu İçecek + Sürpriz Oyuncak</t>
  </si>
  <si>
    <t>Kids Chicken Tenders® Menü</t>
  </si>
  <si>
    <t>4'lü Chicken Tenders® + Orta Boy Patates + Kutu İçecek + Sürpriz Oyuncak</t>
  </si>
  <si>
    <t>29,50 TL</t>
  </si>
  <si>
    <t>Tavuklu Kids Cheese Menü</t>
  </si>
  <si>
    <t>Tavuklu Kids Cheese + Orta Boy Patates + Kutu İçecek + Sürpriz Oyuncak</t>
  </si>
  <si>
    <t>32,99 TL</t>
  </si>
  <si>
    <t>Tavuklu Kids Menü</t>
  </si>
  <si>
    <t>Tavuklu Kids + Orta Boy Patates + Kutu İçecek + Sürpriz Oyuncak</t>
  </si>
  <si>
    <t>Plant Based Whopper®</t>
  </si>
  <si>
    <t>Sebze proteininden oluşan Planty Whopper®, 5'' ekmek, turşu, ketçap, mayonez, göbek salata, domates, soğan</t>
  </si>
  <si>
    <t>Barbeko Burger</t>
  </si>
  <si>
    <t>4,5'' patatesli ekmek, BK Kral Burger eti (dana), barbekü sos, mayonez, doğranmış marul, domates, soğan</t>
  </si>
  <si>
    <t>BK Crispy Chicken</t>
  </si>
  <si>
    <t>3,75" ekmek, crispy chicken eti, mayonez, marul, domates</t>
  </si>
  <si>
    <t>24,99 TL</t>
  </si>
  <si>
    <t>Whopper Jr.®</t>
  </si>
  <si>
    <t>Hamburger eti (dana), 4'' ekmek, turşu, ketçap, mayonez, göbek salata, domates, soğan</t>
  </si>
  <si>
    <t>26,99 TL</t>
  </si>
  <si>
    <t>Whopper®</t>
  </si>
  <si>
    <t>Whopper® eti (dana), 5'' ekmek, turşu, ketçap, mayonez, göbek salata, domates, soğan</t>
  </si>
  <si>
    <t>Double Whopper®</t>
  </si>
  <si>
    <t>Triple Whopper®</t>
  </si>
  <si>
    <t>Big King®Jr.</t>
  </si>
  <si>
    <t>Hamburger eti (dana), 3,75'' ekmek, 1 dilim peynir, turşu, Big King sosu, göbek salata, soğan</t>
  </si>
  <si>
    <t>Big King®</t>
  </si>
  <si>
    <t>Hamburger eti (dana), 4'' ekmek, 1 dilim peynir, turşu, Big King sosu, göbek salata, soğan</t>
  </si>
  <si>
    <t>Double Big King®</t>
  </si>
  <si>
    <t>4 adet hamburger eti (dana), 4'' ekmek, 1 dilim cheddar peyniri, turşu, Big King sosu, göbek salata, soğan</t>
  </si>
  <si>
    <t>Big King XXL®</t>
  </si>
  <si>
    <t>Whopper® eti (dana), 5'' ekmek, 4 dilim peynir, turşu, Big King sosu, göbek salata, soğan</t>
  </si>
  <si>
    <t>Chicken Royale®</t>
  </si>
  <si>
    <t>Chicken Royale® eti, 7'' ekmek, mayonez, göbek salata</t>
  </si>
  <si>
    <t>King Chicken®</t>
  </si>
  <si>
    <t>King Chicken® tavuk eti, 4,25'' ekmek, mayonez, göbek salata</t>
  </si>
  <si>
    <t>Double King Chicken®</t>
  </si>
  <si>
    <t>King Chicken tavuk eti, 4,25'' ekmek, mayonez, göbek salata</t>
  </si>
  <si>
    <t>Mangalda Izgara Tavuk</t>
  </si>
  <si>
    <t>4,5'' ekmek, kalça tavuk, mayonez, 2 dilim domates, göbek salata, 2 dilim cheddar peyniri, kızartılmış kaplamalı soğan, barbekü sos</t>
  </si>
  <si>
    <t>Klasik Gurme Tavuk®</t>
  </si>
  <si>
    <t>Klasik Gurme Tavuk® eti, 4,5'' ekmek, mayonez, göbek salata, domates</t>
  </si>
  <si>
    <t>Spicy Gurme Tavuk®</t>
  </si>
  <si>
    <t>Spicy Gurme Tavuk® eti, 4,5'' ekmek, spicy sos, göbek salata, domates</t>
  </si>
  <si>
    <t>Double Cheeseburger</t>
  </si>
  <si>
    <t>Hamburger eti (dana), 4'' ekmek, 2 dilim peynir, turşu, hardal, ketçap</t>
  </si>
  <si>
    <t>Mega Double Cheeseburger</t>
  </si>
  <si>
    <t>Hamburger eti (dana), 5'' ekmek, 4 dilim peynir, turşu, hardal, ketçap</t>
  </si>
  <si>
    <t>55,99 TL</t>
  </si>
  <si>
    <t>Etli Master Burger</t>
  </si>
  <si>
    <t>Whopper® eti (dana), 5'' ekmek, mantar sos, mozzarella peyniri, çıtır soğan, mayonez</t>
  </si>
  <si>
    <t>35,99 TL</t>
  </si>
  <si>
    <t>Tavuklu Master Burger</t>
  </si>
  <si>
    <t>Klasik Gurme Tavuk® eti, 5'' ekmek, mantar sos, çıtır soğan, mayonez</t>
  </si>
  <si>
    <t>Etli Barbekü Brioche®</t>
  </si>
  <si>
    <t>2 dilim peynir, marul, mayonez, barbekü sos, çıtır soğan</t>
  </si>
  <si>
    <t>Tavuklu Barbekü Brioche®</t>
  </si>
  <si>
    <t>2 dilim peynir, marul, mayonez, barbekü sos</t>
  </si>
  <si>
    <t>Rodeo Whopper®</t>
  </si>
  <si>
    <t>Whopper eti, 5" ekmek, mayonez, göbek salata, 4 adet soğan halkası, 2 dilim domates, barbekü sos, 2 dilim peynir (Bu ürünün garnitürlerinde değişiklik yapılamamaktadır.)</t>
  </si>
  <si>
    <t>BK Steakhouse Burger®</t>
  </si>
  <si>
    <t>Baharatlı biftek, 4,5'' ekmek, mayonez, domates, göbek salata, 2 dilim peynir, özel steak sos, kızartılmış kaplamalı soğan</t>
  </si>
  <si>
    <t>Texas Smokehouse Burger®</t>
  </si>
  <si>
    <t>Texas Smokehouse Burger®, Whopper® eti (dana), 4,5” ekmek, 2 dilim cheddar peyniri, füme et, barbekü sos, çıtır soğan</t>
  </si>
  <si>
    <t>45,99 TL</t>
  </si>
  <si>
    <t>Double Texas Smokehouse Burger®</t>
  </si>
  <si>
    <t>Texas Smokehouse Burger®, 2 adet Whopper® eti (dana), 4,5” ekmek, 4 dilim cheddar peyniri, füme et, barbekü sos, çıtır soğan</t>
  </si>
  <si>
    <t>56,99 TL</t>
  </si>
  <si>
    <t>BK Kral Burger</t>
  </si>
  <si>
    <t>4,5'' patatesli ekmek, BK Kral Burger eti (dana), garlic sos, domates, göbek salata, 1 dilim peynir</t>
  </si>
  <si>
    <t>Hamburger</t>
  </si>
  <si>
    <t>Hamburger eti (dana), 4'' ekmek, turşu, hardal, ketçap</t>
  </si>
  <si>
    <t>19,99 TL</t>
  </si>
  <si>
    <t>Tavukburger®</t>
  </si>
  <si>
    <t>Tavukburger®, 4'' ekmek, mayonez, göbek salata</t>
  </si>
  <si>
    <t>20,99 TL</t>
  </si>
  <si>
    <t>Hamburger eti (dana), 4'' ekmek, 1 dilim peynir, turşu, hardal, ketçap</t>
  </si>
  <si>
    <t>21,99 TL</t>
  </si>
  <si>
    <t>Köfteburger®</t>
  </si>
  <si>
    <t>Turşu, ketçap, mayonez, göbek salata</t>
  </si>
  <si>
    <t>22,99 TL</t>
  </si>
  <si>
    <t>Double Köfteburger®</t>
  </si>
  <si>
    <t>1 dilim peynir, turşu, hardal, göbek salata, mayonez</t>
  </si>
  <si>
    <t>Etli Barbekü Deluxe Burger</t>
  </si>
  <si>
    <t>Hamburger eti (dana), 3,75'' ekmek, 1 cheddar peynir, mayonez, göbek salata, barbekü sos, çıtır soğan</t>
  </si>
  <si>
    <t>Tavuklu Barbekü Deluxe Burger</t>
  </si>
  <si>
    <t>Tavukburger eti, 3,75'' ekmek, 1 cheddar peynir, mayonez, göbek salata, barbekü sos, çıtır soğan</t>
  </si>
  <si>
    <t>23,99 TL</t>
  </si>
  <si>
    <t>Fish Royale®</t>
  </si>
  <si>
    <t>Fish Royale®, 4'' ekmek, tartar sos, göbek salata</t>
  </si>
  <si>
    <t>Tavukburger® Cheese</t>
  </si>
  <si>
    <t>Tavukburger®, 4'' ekmek, peynir, mayonez, göbek salata</t>
  </si>
  <si>
    <t>Kids Cheese</t>
  </si>
  <si>
    <t>Hamburger eti (dana), 4'' ekmek, 1 dilim peynir, ketçap</t>
  </si>
  <si>
    <t>Kids Hamburger</t>
  </si>
  <si>
    <t>Hamburger eti (dana), 4'' ekmek, ketçap</t>
  </si>
  <si>
    <t>Tavuklu Kids</t>
  </si>
  <si>
    <t>Tavukburger®, 4'' ekmek, ketçap</t>
  </si>
  <si>
    <t>Bean Burger®</t>
  </si>
  <si>
    <t>Bean Burger®, 4,5'' ekmek, 2 dilim peynir, ketçap, domates</t>
  </si>
  <si>
    <t>Hot Wrap</t>
  </si>
  <si>
    <t>Izgara tavuk but eti, tortilla ekmek, mayonez, göbek salata, domates</t>
  </si>
  <si>
    <t>King Delight® Akdeniz Salata</t>
  </si>
  <si>
    <t>Taze marul, kıvırcık salata, dilimli siyah zeytin, küp kesilmiş beyaz peynir parçaları, cherry domates</t>
  </si>
  <si>
    <t>King Delight® Izgara Tavuklu Salata</t>
  </si>
  <si>
    <t>Taze marul, kıvırcık salata, ızgara tavuk but eti, ince kaşar peyniri dilimleri, küp kesilmiş domates parçaları</t>
  </si>
  <si>
    <t>King Delight® Ton Balıklı Salata</t>
  </si>
  <si>
    <t>Taze marul, kıvırcık salata, ton balığı parçaları, tatlı mısır konservesi</t>
  </si>
  <si>
    <t>Mini Salata</t>
  </si>
  <si>
    <t>Akdeniz yeşilliği, cherry domates, salatalık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</si>
  <si>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</si>
  <si>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</si>
  <si>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</si>
  <si>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</si>
  <si>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</si>
  <si>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</si>
  <si>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</si>
  <si>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</si>
  <si>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</si>
  <si>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</si>
  <si>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</si>
  <si>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11,99 TL</t>
  </si>
  <si>
    <t>Çıtır Peynir (6'lı)</t>
  </si>
  <si>
    <t>15,50 TL</t>
  </si>
  <si>
    <t>Çıtır Peynir (9'lu)</t>
  </si>
  <si>
    <t>6,99 TL</t>
  </si>
  <si>
    <t>Patates Kızartması (Orta)</t>
  </si>
  <si>
    <t>7,99 TL</t>
  </si>
  <si>
    <t>8,99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</si>
  <si>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</si>
  <si>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</si>
  <si>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</si>
  <si>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</si>
  <si>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</si>
  <si>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</si>
  <si>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</si>
  <si>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</si>
  <si>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</si>
  <si>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</si>
  <si>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</si>
  <si>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</si>
  <si>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</si>
  <si>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</si>
  <si>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Çikolatalı Sufle</t>
  </si>
  <si>
    <t>Dondurmalı Çikolatalı Sufle</t>
  </si>
  <si>
    <t>Elmalı Tatlı</t>
  </si>
  <si>
    <t>Vişneli Tatlı</t>
  </si>
  <si>
    <t>Bkool</t>
  </si>
  <si>
    <t>Çikolata Parçacıklı / Renkli Çikolata Drajeli</t>
  </si>
  <si>
    <t>9,50 TL</t>
  </si>
  <si>
    <t>Sundae</t>
  </si>
  <si>
    <t>Sade / Çilekli / Böğürtlenli / Çikolatalı / Karamelli</t>
  </si>
  <si>
    <t>King Sundae</t>
  </si>
  <si>
    <t>Algida Carte d'Or Mini Cup Meyve Rüyası (110 ml.)</t>
  </si>
  <si>
    <t>Algida Maraş Usulü Cup Dondurma (100 ml.)</t>
  </si>
  <si>
    <t>Algida Carte d'Or Mini Cup Çikolata Karnavalı (110 ml.)</t>
  </si>
  <si>
    <t>Algida Carte d'Or Mini Cup Çilekli Yoğurtlu (110 ml.)</t>
  </si>
  <si>
    <t>Algida Classics Cookie Cup (105 ml.)</t>
  </si>
  <si>
    <t>Algida Mini Nogger (60 ml.)</t>
  </si>
  <si>
    <t>Algida Magnum Mini Cookie (58 ml.)</t>
  </si>
  <si>
    <t>Fuse Tea Şeftali (33 cl.)</t>
  </si>
  <si>
    <t>Fuse Tea Limon (33 cl.)</t>
  </si>
  <si>
    <t>Ayran (Küçük - 195 ml.)</t>
  </si>
  <si>
    <t>4,99 TL</t>
  </si>
  <si>
    <t>Ayran (Büyük - 300 ml.)</t>
  </si>
  <si>
    <t>5,99 TL</t>
  </si>
  <si>
    <t>Milkshake</t>
  </si>
  <si>
    <t>Vanilyalı / Çikolatalı / Çilekli / Espressolu. Küçük Boy (250 ml.), Orta Boy (400 ml.), Büyük Boy (500 ml.)</t>
  </si>
  <si>
    <t>8,50 TL</t>
  </si>
  <si>
    <t>Cappy Elma Suyu (20 cl.)</t>
  </si>
  <si>
    <t>Cappy Atom (20 cl.)</t>
  </si>
  <si>
    <t>Sütaş Sade Süt (20 cl.)</t>
  </si>
  <si>
    <t>Sütaş Çikolatalı Süt (20 cl.)</t>
  </si>
  <si>
    <t>Su (0,5 L.)</t>
  </si>
  <si>
    <t>2,99 TL</t>
  </si>
  <si>
    <t>Coca-Cola Light (1 L.)</t>
  </si>
  <si>
    <t>Coca-Cola Zero Sugar (1 L.)</t>
  </si>
  <si>
    <t>Sprite (1 L.)</t>
  </si>
  <si>
    <t>Fuse Tea Şeftali (1 L.)</t>
  </si>
  <si>
    <t>Fuse Tea Limon (1 L.)</t>
  </si>
  <si>
    <t>Mayonez</t>
  </si>
  <si>
    <t>Ketçap</t>
  </si>
  <si>
    <t>Acı Sos</t>
  </si>
  <si>
    <t>Ranch Sos</t>
  </si>
  <si>
    <t>Sarımsaklı Mayonez</t>
  </si>
  <si>
    <t>Zeytinyağı - Limon Sosu</t>
  </si>
  <si>
    <t>Burger King</t>
  </si>
  <si>
    <t>***=HYPERLINK("file:///C:/rest_photo/Burger King, Merkez (Selçuk Mah.).jpg","Burger King, Merkez (Selçuk Mah.)")</t>
  </si>
  <si>
    <t>50-60 dk.</t>
  </si>
  <si>
    <t>Cadde Snack House, Merkez (Aşağı Kayabaşı Mah. - Dr. Sami Yağız Cad.)</t>
  </si>
  <si>
    <t>Kumru + Patates Kızartması + İçecek</t>
  </si>
  <si>
    <t>Double Kumru Menü</t>
  </si>
  <si>
    <t>Double Kumru + Patates Kızartması + İçecek</t>
  </si>
  <si>
    <t>Double Kumru</t>
  </si>
  <si>
    <t>(1,5 Porsiyon) Sucuk, sosis, salam, kaşar peyniri, turşu, domates</t>
  </si>
  <si>
    <t>18,99 TL</t>
  </si>
  <si>
    <t>Atom Tost</t>
  </si>
  <si>
    <t>Sucuk, salam, sosis, kaşar peyniri, yumurta, pul biber, toz biber</t>
  </si>
  <si>
    <t>Kumru</t>
  </si>
  <si>
    <t>Sucuk, sosis, salam, kaşar peyniri, turşu, domates</t>
  </si>
  <si>
    <t>Seçilmiş Menü (Kumru)</t>
  </si>
  <si>
    <t>Kumru + Coca-Cola (33 cl.)</t>
  </si>
  <si>
    <t>21,50 TL</t>
  </si>
  <si>
    <t>Seçilmiş Menü (Sucuklu Kaşarlı Tost)</t>
  </si>
  <si>
    <t>Sucuklu Kaşarlı Tost + Coca-Cola (33 cl.)</t>
  </si>
  <si>
    <t>Vodafone Menüsü (Sucuklu Patso)</t>
  </si>
  <si>
    <t>Sucuklu Patso + Coca-Cola Şekersiz (33 cl.) (Kampanya koşulları için restoranın Promosyonlar bölümüne göz atınız. İndirimli fiyat ürün sepete eklendikten sonra uygulanır.)</t>
  </si>
  <si>
    <t>27,98 TL</t>
  </si>
  <si>
    <t>Algida Menüsü (Klasik Sandviç)</t>
  </si>
  <si>
    <t>Klasik Sandviç + Algida Maraş Usulü Cup Dondurma (100 ml.) + Fanta (33 cl.)</t>
  </si>
  <si>
    <t>Lavaş Kumru Menü</t>
  </si>
  <si>
    <t>Lavaş Kumru (Domates, turşu, ketçap, mayonez) + Patates Kızartması + İçecek</t>
  </si>
  <si>
    <t>Mexican Lavaş Kumru Menü</t>
  </si>
  <si>
    <t>Mexican Lavaş Kumru (Kaşar peyniri, domates, turşu, jalapeno biber, dana sucuk, dana salam, dana sosis, ketçap, mayonez) + Patates Kızartması + İçecek</t>
  </si>
  <si>
    <t>Sarımsak Soslu Kumru Menü</t>
  </si>
  <si>
    <t>Sarımsak Soslu Kumru + Patates Kızartması + İçecek</t>
  </si>
  <si>
    <t>Barbekü Soslu Kumru Menü</t>
  </si>
  <si>
    <t>Barbekü Soslu Kumru + Patates + İçecek</t>
  </si>
  <si>
    <t>Cheddarlı Kumru Menü</t>
  </si>
  <si>
    <t>Cheddarlı Kumru + Patates + İçecek</t>
  </si>
  <si>
    <t>Sarımsak Soslu Double Kumru Menü</t>
  </si>
  <si>
    <t>Sarımsak Soslu Double Kumru + Patates + İçecek</t>
  </si>
  <si>
    <t>Barbekü Soslu Double Kumru Menü</t>
  </si>
  <si>
    <t>Barbekü Soslu Double Kumru + Patates + İçecek</t>
  </si>
  <si>
    <t>Cheddarlı Double Kumru Menü</t>
  </si>
  <si>
    <t>Cheddarlı Double Kumru + Patates + İçecek</t>
  </si>
  <si>
    <t>Yumurtalı Kumru Menü</t>
  </si>
  <si>
    <t>Yumurtalı Kumru + Patates Kızartması + İçecek</t>
  </si>
  <si>
    <t>XXL Double Kumru Menü</t>
  </si>
  <si>
    <t>XXL Double Kumru + Patates Kızartması + İçecek</t>
  </si>
  <si>
    <t>Sayaslı Kumru Menü</t>
  </si>
  <si>
    <t>Sayaslı Kumru + Patates Kızartması + İçecek</t>
  </si>
  <si>
    <t>Klasik Sandviç Menü</t>
  </si>
  <si>
    <t>Klasik Sandviç + Patates Kızartması + İçecek</t>
  </si>
  <si>
    <t>3'lü Kumru Sandviç Menü</t>
  </si>
  <si>
    <t>3 Adet Kumru Sandviç + İçecek (1 L.)</t>
  </si>
  <si>
    <t>5'li Kumru Sandviç Menü</t>
  </si>
  <si>
    <t>5 Adet Kumru Sandviç + İçecek (1 L.)</t>
  </si>
  <si>
    <t>88,99 TL</t>
  </si>
  <si>
    <t>Kumru Tost Menü</t>
  </si>
  <si>
    <t>Kumru Tost + Patates Kızartması + İçecek</t>
  </si>
  <si>
    <t>3'ü Bir Arada Menü</t>
  </si>
  <si>
    <t>Sucuklu Kaşarlı Tost + Kumru Sandviç + Sade Patso + İçecek (1 L.)</t>
  </si>
  <si>
    <t>53,99 TL</t>
  </si>
  <si>
    <t>Kumru Burger Menü</t>
  </si>
  <si>
    <t>Kumru Burger + Patates Kızartması + İçecek</t>
  </si>
  <si>
    <t>Ekmek Arası Kaşarlı Köfte Menü</t>
  </si>
  <si>
    <t>Ekmek Arası Kaşarlı Köfte + Patates Kızartması + İçecek</t>
  </si>
  <si>
    <t>Çocuk Et Burger Menü</t>
  </si>
  <si>
    <t>Et Burger + Patates Kızartması + Oyuncak + İçecek</t>
  </si>
  <si>
    <t>Hamburger + Patates Kızartması + Soğan Halkası + İçecek</t>
  </si>
  <si>
    <t>Köfte Ekmek Menü</t>
  </si>
  <si>
    <t>Köfte Ekmek + Patates Kızartması + İçecek</t>
  </si>
  <si>
    <t>Bol kaşar peyniri</t>
  </si>
  <si>
    <t>13,99 TL</t>
  </si>
  <si>
    <t>Sucuklu Kaşarlı Tost</t>
  </si>
  <si>
    <t>Sucuk, kaşar peyniri</t>
  </si>
  <si>
    <t>Kavurma, kaşar peyniri</t>
  </si>
  <si>
    <t>Sosisli Salamlı Tost</t>
  </si>
  <si>
    <t>Salam, sosis, kaşar peyniri</t>
  </si>
  <si>
    <t>Yumurtalı Tost</t>
  </si>
  <si>
    <t>Sucuk, kaşar peyniri, yumurta</t>
  </si>
  <si>
    <t>Pastırmalı Tost</t>
  </si>
  <si>
    <t>Pastırma, kaşar peyniri</t>
  </si>
  <si>
    <t>Sanayi Tostu</t>
  </si>
  <si>
    <t>Sucuk, kaşar peyniri, salça, yumurta</t>
  </si>
  <si>
    <t>Yengen Tost</t>
  </si>
  <si>
    <t>Sucuk, kaşar peyniri, domates, ketçap, mayonez</t>
  </si>
  <si>
    <t>Köylüm Tost</t>
  </si>
  <si>
    <t>Sucuk, kaşar peyniri, közlenmiş köy biberi, krem peynir</t>
  </si>
  <si>
    <t>Çikolatalı &amp; Hindistan Cevizli Tost</t>
  </si>
  <si>
    <t>Klasik Sandviç</t>
  </si>
  <si>
    <t>Beyaz peynir, salam, domates, biber</t>
  </si>
  <si>
    <t>Veggie Sandviç</t>
  </si>
  <si>
    <t>Beyaz peynir, yeşillik</t>
  </si>
  <si>
    <t>Lavaş Kumru</t>
  </si>
  <si>
    <t>Domates, turşu, ketçap, mayonez</t>
  </si>
  <si>
    <t>Mexican Lavaş Kumru</t>
  </si>
  <si>
    <t>Kaşar peyniri, domates, jalapeno biber, turşu, sucuk, salam, sosis, ketçap, mayonez</t>
  </si>
  <si>
    <t>Cheddarlı Double Kumru Sandviç</t>
  </si>
  <si>
    <t>Sucuk, sosis, salam, turşu, domates, cheddar peyniri, mayonez, ketçap</t>
  </si>
  <si>
    <t>Sarımsak Soslu Double Kumru Sandviç</t>
  </si>
  <si>
    <t>Sucuk, sosis, salam, kaşar peyniri, turşu, domates, sarımsaklı mayonez</t>
  </si>
  <si>
    <t>Barbekü Soslu Double Kumru Sandviç</t>
  </si>
  <si>
    <t>Sucuk, sosis, salam, kaşar peyniri, turşu, domates, barbekü sos, mayonez</t>
  </si>
  <si>
    <t>Sarımsak Soslu Kumru Sandviç</t>
  </si>
  <si>
    <t>Barbekü Soslu Kumru Sandviç</t>
  </si>
  <si>
    <t>Cheddarlı Kumru Sandviç</t>
  </si>
  <si>
    <t>Yumurtalı Kumru Sandviç</t>
  </si>
  <si>
    <t>Yumurta, sucuk, sosis, salam, kaşar peyniri, turşu, domates, ketçap, mayonez</t>
  </si>
  <si>
    <t>XXL Double Kumru Sandviç</t>
  </si>
  <si>
    <t>Double sucuk, double sosis, double salam, double kaşar peyniri, turşu, domates, ketçap, mayonez</t>
  </si>
  <si>
    <t>Sayaslı Kumru Sandviç</t>
  </si>
  <si>
    <t>Sayas peyniri, sucuk, sosis, salam, kaşar peyniri, turşu, domates, ketçap, mayonez</t>
  </si>
  <si>
    <t>Kumru Tost Sandviç</t>
  </si>
  <si>
    <t>Sucuk, sosis, kaşar peyniri, turşu, domates</t>
  </si>
  <si>
    <t>Ton Sandviç</t>
  </si>
  <si>
    <t>Ton balığı, yeşillik, domates, maydanoz, limon</t>
  </si>
  <si>
    <t>Kumru Burger Sandviç</t>
  </si>
  <si>
    <t>Köfte eti, sucuk, salam, ketçap, mayonez, domates, kornişon turşu</t>
  </si>
  <si>
    <t>Sade Patso</t>
  </si>
  <si>
    <t>Patates kızartması</t>
  </si>
  <si>
    <t>Karışık Patso</t>
  </si>
  <si>
    <t>Patates kızartması, sosis, salam, kaşar peyniri</t>
  </si>
  <si>
    <t>Peynirli Patso</t>
  </si>
  <si>
    <t>Patates kızartması, sosis, salam, cheddar peyniri</t>
  </si>
  <si>
    <t>Sucuklu Patso</t>
  </si>
  <si>
    <t>Patates kızartması, dana sucuk, kaşar peyniri</t>
  </si>
  <si>
    <t>Sucuklu Patso Dürüm</t>
  </si>
  <si>
    <t>Patates kızartması, sucuk, kaşar peyniri</t>
  </si>
  <si>
    <t>Cheddarlı Patso Dürüm</t>
  </si>
  <si>
    <t>Ketçap, mayonez, göbek salata, domates</t>
  </si>
  <si>
    <t>Yeşillik, patates kızartması, lavaş ile</t>
  </si>
  <si>
    <t>Köfte Ekmek</t>
  </si>
  <si>
    <t>Soğan, domates, közlenmiş biber</t>
  </si>
  <si>
    <t>Ekmek Arası Kaşarlı Köfte</t>
  </si>
  <si>
    <t>Mevsim yeşillikleri, ton balığı</t>
  </si>
  <si>
    <t>Mevsim yeşillikleri, domates, beyaz peynir, zeytin</t>
  </si>
  <si>
    <t>Sezar Tavuklu Salata</t>
  </si>
  <si>
    <t>Göbek marul, tavuk, Sezar sos</t>
  </si>
  <si>
    <t>Tavuk Nugget (6 Adet)</t>
  </si>
  <si>
    <t>Soğan Halkası (8 Adet)</t>
  </si>
  <si>
    <t>Patates Kızartması (100 gr.)</t>
  </si>
  <si>
    <t>Patates Kızartması (200 gr.)</t>
  </si>
  <si>
    <t>Patates Kızartması (400 gr.)</t>
  </si>
  <si>
    <t>Çıtır Tabağı</t>
  </si>
  <si>
    <t>250 gr. patates kızartması, 4 adet nugget, 4 adet soğan halkası, 75 gr. çıtır tavuk</t>
  </si>
  <si>
    <t>3,99 TL</t>
  </si>
  <si>
    <t>1,00 TL</t>
  </si>
  <si>
    <t>Tost &amp; Sandviç</t>
  </si>
  <si>
    <t>Cadde Snack House</t>
  </si>
  <si>
    <t>***=HYPERLINK("file:///C:/rest_photo/Cadde Snack House, Merkez (Aşağı Kayabaşı Mah. - Dr. Sami Yağız Cad.).jpg","Cadde Snack House, Merkez (Aşağı Kayabaşı Mah. - Dr. Sami Yağız Cad.)")</t>
  </si>
  <si>
    <t>Çınar Kavurma &amp; Tost ,Merkez (Aşağı Kayabaşı Mah. - Hastane Bölgesi)</t>
  </si>
  <si>
    <t>Domates</t>
  </si>
  <si>
    <t>Seçilmiş Menü (Kavurmalı Kaşarlı Tost)</t>
  </si>
  <si>
    <t>Kavurmalı Kaşarlı Tost + Coca-Cola (33 cl.)</t>
  </si>
  <si>
    <t>16,50 TL</t>
  </si>
  <si>
    <t>3/4 Ekmek Arası Kıyma</t>
  </si>
  <si>
    <t>19,50 TL</t>
  </si>
  <si>
    <t>Vodafone Menüsü (Kaşarlı Tost)</t>
  </si>
  <si>
    <t>Kaşarlı Tost + Ayran (20 cl.) (Kampanya koşulları için restoranın Promosyonlar bölümüne göz atınız. İndirimli fiyat ürün sepete eklendikten sonra uygulanır.)</t>
  </si>
  <si>
    <t>Kavurmalı Tost</t>
  </si>
  <si>
    <t>Sucuklu Tost</t>
  </si>
  <si>
    <t>Ekmek Arası Et Kavurma - Şu anda mevcut değil.</t>
  </si>
  <si>
    <t>Maydanoz, soğan, domates</t>
  </si>
  <si>
    <t>Ekmek Arası Kıyma</t>
  </si>
  <si>
    <t>Domates, marul, soğan, maydanoz</t>
  </si>
  <si>
    <t>Tam Ekmek Arası Kıyma</t>
  </si>
  <si>
    <t>ınar Kavurma &amp; Tost ,Merkez</t>
  </si>
  <si>
    <t>Aşağı Kayabaşı Mah. - Hastane Bölgesi</t>
  </si>
  <si>
    <t xml:space="preserve">Çınar Kavurma &amp; Tost </t>
  </si>
  <si>
    <t>***=HYPERLINK("file:///C:/rest_photo/Çınar Kavurma &amp; Tost ,Merkez (Aşağı Kayabaşı Mah. - Hastane Bölgesi).jpg","Çınar Kavurma &amp; Tost ,Merkez (Aşağı Kayabaşı Mah. - Hastane Bölgesi)")</t>
  </si>
  <si>
    <t>Çıtır Kebap, Merkez (Yenice Mah.)</t>
  </si>
  <si>
    <t>Ezme, çoban salata, yeşillik, soğan salatası ile</t>
  </si>
  <si>
    <t>Ciğer Şiş Dürüm - Şu anda mevcut değil.</t>
  </si>
  <si>
    <t>Yenice Mah.</t>
  </si>
  <si>
    <t>Çıtır Kebap</t>
  </si>
  <si>
    <t>***=HYPERLINK("file:///C:/rest_photo/Çıtır Kebap, Merkez (Yenice Mah.).jpg","Çıtır Kebap, Merkez (Yenice Mah.)")</t>
  </si>
  <si>
    <t>Çiğ Köfteci Ömer Usta, Merkez (Aşağı Kayabaşı Mah. - Hastane Bölgesi)</t>
  </si>
  <si>
    <t>Iceberg marul, nar ekşisi, acı sos, limon, turşu, nane, domates</t>
  </si>
  <si>
    <t>Çiğ Köfte (600 gr.)</t>
  </si>
  <si>
    <t>Iceberg marul, nar ekşisi, acı sos, limon, turşu, nane, domates, 6 adet lavaş ile</t>
  </si>
  <si>
    <t>Iceberg marul, nar ekşisi, acı sos, limon, turşu, nane, domates, 10 adet lavaş ile</t>
  </si>
  <si>
    <t>Iceberg marul, nar ekşisi, acı sos, limon, turşu, nane, domates, 5 adet lavaş ile</t>
  </si>
  <si>
    <t>Seçilmiş Menü (Çiğ Köfte (300 gr.)) - Şu anda mevcut değil.</t>
  </si>
  <si>
    <t>Çiğ Köfte (300 gr.) + Coca-Cola (20 cl.)</t>
  </si>
  <si>
    <t>15,25 TL</t>
  </si>
  <si>
    <t>Vodafone Menüsü (Mega Çiğ Köfte Dürüm) - Şu anda mevcut değil.</t>
  </si>
  <si>
    <t>Mega Çiğ Köfte Dürüm + Sütaş Ayran (30 cl.)(Kampanya koşulları için restoranın Promosyonlar bölümüne göz atınız. İndirimli fiyat ürün sepete eklendikten sonra uygulanır.)</t>
  </si>
  <si>
    <t>11,50 TL</t>
  </si>
  <si>
    <t>Çiğ Köfte (300 gr.)</t>
  </si>
  <si>
    <t>Iceberg marul, nar ekşisi, acı sos, limon, turşu, nane, domates, 3 adet lavaş ile</t>
  </si>
  <si>
    <t>Çiğ Köfte (400 gr.)</t>
  </si>
  <si>
    <t>Iceberg marul, nar ekşisi, acı sos, limon, turşu, nane, domates, 4 adet lavaş ile</t>
  </si>
  <si>
    <t>Çiğ Köfte (700 gr.)</t>
  </si>
  <si>
    <t>Iceberg marul, nar ekşisi, acı sos, limon, turşu, nane, domates, 7 adet lavaş ile</t>
  </si>
  <si>
    <t>Çiğ Köfte (800 gr.)</t>
  </si>
  <si>
    <t>Iceberg marul, nar ekşisi, acı sos, limon, turşu, nane, domates, 8 adet lavaş ile</t>
  </si>
  <si>
    <t>Çiğ Köfte (900 gr.)</t>
  </si>
  <si>
    <t>Iceberg marul, nar ekşisi, acı sos, limon, turşu, nane, domates, 9 adet lavaş ile</t>
  </si>
  <si>
    <t>Midye Dolma (Orta) (Adet) - Şu anda mevcut değil.</t>
  </si>
  <si>
    <t>Bensun Nar Ekşisi (1 L.)</t>
  </si>
  <si>
    <t>Marul</t>
  </si>
  <si>
    <t>Nar Ekşisi Sos</t>
  </si>
  <si>
    <t>Pet şişe</t>
  </si>
  <si>
    <t>Sütaş Ayran (30 cl.)</t>
  </si>
  <si>
    <t>Niğde Gazozu (30 cl.)</t>
  </si>
  <si>
    <t>Soda (20 cl.) - Şu anda mevcut değil.</t>
  </si>
  <si>
    <t>Sütaş Ayran (1 L.)</t>
  </si>
  <si>
    <t>Çiğ Köfteci Ömer Usta</t>
  </si>
  <si>
    <t>***=HYPERLINK("file:///C:/rest_photo/Çiğ Köfteci Ömer Usta, Merkez (Aşağı Kayabaşı Mah. - Hastane Bölgesi).jpg","Çiğ Köfteci Ömer Usta, Merkez (Aşağı Kayabaşı Mah. - Hastane Bölgesi)")</t>
  </si>
  <si>
    <t>Çiğ Köfteci Rıdvan Toprak, Bor (Harım Mah.)</t>
  </si>
  <si>
    <t>Yarım ekmeğe; sucuk</t>
  </si>
  <si>
    <t>Çiğ Köfte (1 kg.) (10 adet lavaş, acı sos, nar ekşisi, lahana turşusu, salatalık turşusu, biber turşusu, limon, domates, yeşillik ile) + Ayran (1 L.)</t>
  </si>
  <si>
    <t>68,00 TL</t>
  </si>
  <si>
    <t>Yarım ekmeğe; kaşar peyniri</t>
  </si>
  <si>
    <t>Çiğ Köfte Dürüm Menü</t>
  </si>
  <si>
    <t>Çiğ Köfte Dürüm + Ayran (20 cl.)</t>
  </si>
  <si>
    <t>Aile Boyu Çiğ Köfte Menü</t>
  </si>
  <si>
    <t>Çiğ Köfte (1 kg.) (10 adet lavaş, acı sos, nar ekşisi, lahana turşusu, salatalık turşusu, biber turşusu, limon, domates, yeşillik ile) + İçecek (1 L.)</t>
  </si>
  <si>
    <t>Yarım ekmeğe; kaşar peyniri, sucuk</t>
  </si>
  <si>
    <t>95 gr. çiğ köfte, atom marul, domates, isteğe göre salatalık turşusu, lahana turşusu, acı sos, nar ekşisi</t>
  </si>
  <si>
    <t>Çift lavaşa; 150 gr. çiğ köfte, atom marul, domates, isteğe göre salatalık turşusu, lahana turşusu, acı sos, nar ekşisi</t>
  </si>
  <si>
    <t>Çiğ Köfte Suşi (1 Kişilik) - Şu anda mevcut değil.</t>
  </si>
  <si>
    <t>Çiğ Köfte Suşi (2 Kişilik)</t>
  </si>
  <si>
    <t>4 adet lavaş, yeşillik, sos, göbek marul ile</t>
  </si>
  <si>
    <t>7 adet lavaş, marul, salata, turşu, soslar ile</t>
  </si>
  <si>
    <t>10 adet lavaş, marul, salata, turşu, soslar, lahana turşusu ile</t>
  </si>
  <si>
    <t>13 adet lavaş, marul, acı sos, nar ekşisi, marul, salata ile</t>
  </si>
  <si>
    <t>Çiğ Köfte (1 kg.) (Sıkılmamış)</t>
  </si>
  <si>
    <t>Garnitürsüz.</t>
  </si>
  <si>
    <t>Limonata (1 L.)</t>
  </si>
  <si>
    <t>Çiğ Köfteci Rıdvan Toprak</t>
  </si>
  <si>
    <t>***=HYPERLINK("file:///C:/rest_photo/Çiğ Köfteci Rıdvan Toprak, Bor (Harım Mah.).jpg","Çiğ Köfteci Rıdvan Toprak, Bor (Harım Mah.)")</t>
  </si>
  <si>
    <t>Çiğ Köfteci Rıdvan Toprak, Merkez (Efendibey Mah.)</t>
  </si>
  <si>
    <t>Vodafone Menüsü (Çiğ Köfte Dürüm)</t>
  </si>
  <si>
    <t>Çiğ Köfte Dürüm + Ayran (20 cl.) (Kampanya koşulları için restoranın Promosyonlar bölümüne göz atınız. İndirimli fiyat ürün sepete eklendikten sonra uygulanır.)</t>
  </si>
  <si>
    <t>Çiğ Köfte (1 kg.) + Ayran (1 L.)</t>
  </si>
  <si>
    <t>Çiğ Köfte Dürüm Ayran (20 cl.)</t>
  </si>
  <si>
    <t>95 gr. çiğ köfte, göbek marul, domates, salatalık turşusu, nar ekşisi, acı sos</t>
  </si>
  <si>
    <t>125 gr. çiğ köfte, göbek marul, domates, salatalık turşusu, nar ekşisi, acı sos</t>
  </si>
  <si>
    <t>Ultra Çiğ Köfte Dürüm</t>
  </si>
  <si>
    <t>160 gr. çiğ köfte, göbek marul, domates, salatalık turşusu, nar ekşisi, acı sos</t>
  </si>
  <si>
    <t>3 adet lavaş, yeşillik, sos, marul ile</t>
  </si>
  <si>
    <t>5 adet lavaş, yeşillik, sos, marul ile</t>
  </si>
  <si>
    <t>8 adet lavaş, yeşillik, sos, marul ile</t>
  </si>
  <si>
    <t>10 adet lavaş, yeşillik, sos, marul ile</t>
  </si>
  <si>
    <t>Çiğ Köfte (1 kg.) (Garnitürsüz)</t>
  </si>
  <si>
    <t>Efendibey Mah.</t>
  </si>
  <si>
    <t>***=HYPERLINK("file:///C:/rest_photo/Çiğ Köfteci Rıdvan Toprak, Merkez (Efendibey Mah.).jpg","Çiğ Köfteci Rıdvan Toprak, Merkez (Efendibey Mah.)")</t>
  </si>
  <si>
    <t>Damak Lahmacun, Merkez (Esenbey Mah.)</t>
  </si>
  <si>
    <t>Adana kebap, kuzu şiş, tavuk şiş, kuzu pirzola, közlenmiş domates, közlenmiş biber, mevsim salatası, közlenmiş soğan</t>
  </si>
  <si>
    <t>Közlenmiş domates, közlenmiş biber, mevsim salatası, közlenmiş soğan</t>
  </si>
  <si>
    <t>Kuşbaşı, kaşar peyniri, kıyma, közlenmiş soğan, salata, maydanoz, limon</t>
  </si>
  <si>
    <t>Domatesli Kebap</t>
  </si>
  <si>
    <t>Patlıcanlı Kebap</t>
  </si>
  <si>
    <t>Kuzu Şiş</t>
  </si>
  <si>
    <t>Tavuk Pirzola</t>
  </si>
  <si>
    <t>Közlenmiş soğan, salata, maydanoz, limon</t>
  </si>
  <si>
    <t>Kıymalı Kaşarlı Pide</t>
  </si>
  <si>
    <t>Kuşbaşılı Kaşarlı Pide</t>
  </si>
  <si>
    <t>Kaşarlı Sucuklu Pide</t>
  </si>
  <si>
    <t>Çoban Salatası</t>
  </si>
  <si>
    <t>Ezme Salata</t>
  </si>
  <si>
    <t>Mevsim Salatası</t>
  </si>
  <si>
    <t>1,25 TL</t>
  </si>
  <si>
    <t>Damak Lahmacun</t>
  </si>
  <si>
    <t>***=HYPERLINK("file:///C:/rest_photo/Damak Lahmacun, Merkez (Esenbey Mah.).jpg","Damak Lahmacun, Merkez (Esenbey Mah.)")</t>
  </si>
  <si>
    <t>Domino's Pizza, Merkez (Aşağı Kayabaşı Mah. - Dr. Sami Yağız Cad.)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</si>
  <si>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</si>
  <si>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</si>
  <si>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</si>
  <si>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</si>
  <si>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</si>
  <si>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</si>
  <si>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57,99 TL</t>
  </si>
  <si>
    <t>Seçilmiş Menü (Makarnos)</t>
  </si>
  <si>
    <t>Makarnos + Seçeceğiniz Yan Ürün + Coca-Cola (33 cl.)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</si>
  <si>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</si>
  <si>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</si>
  <si>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</si>
  <si>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</si>
  <si>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Algida Menüsü (Büyük Boy Pizza)</t>
  </si>
  <si>
    <t>Büyük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</si>
  <si>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</si>
  <si>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</si>
  <si>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3 Al 1 Öde</t>
  </si>
  <si>
    <t>79,99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</si>
  <si>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</si>
  <si>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</si>
  <si>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</si>
  <si>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65,99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</si>
  <si>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</si>
  <si>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</si>
  <si>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</si>
  <si>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</si>
  <si>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</si>
  <si>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</si>
  <si>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</si>
  <si>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Büyük Boy Pizzalar</t>
  </si>
  <si>
    <t>Büyük Boy Bol Malzemos</t>
  </si>
  <si>
    <t>50,99 TL</t>
  </si>
  <si>
    <t>Büyük Boy Bol Malzemos + Litrelik İçecek</t>
  </si>
  <si>
    <t>58,99 TL</t>
  </si>
  <si>
    <t>Orta Boy Bol Malzemos + Kutu İçecek</t>
  </si>
  <si>
    <t>Orta Boy Bol Malzemos Fırsatı</t>
  </si>
  <si>
    <t>40,99 TL</t>
  </si>
  <si>
    <t>Orta Boy Pizzalar</t>
  </si>
  <si>
    <t>2 Adet Çikolatalı Sufle</t>
  </si>
  <si>
    <t>3 Adet Fırından Lezzet</t>
  </si>
  <si>
    <t>10'lu Çıtır Tavuk Topları, 4'lü Tavuk Parçaları, Gurme Patates (100 gr.) veya 6'lı Çıtır Tavuk Finger</t>
  </si>
  <si>
    <t>4 Adet Çikolatalı Sufle</t>
  </si>
  <si>
    <t>2'li Algida Dondurma</t>
  </si>
  <si>
    <t>2 Adet Seçeceğiniz Algida Dondurma</t>
  </si>
  <si>
    <t>4'lü Algida Dondurma</t>
  </si>
  <si>
    <t>4 Adet Seçeceğiniz Algida Dondurma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</si>
  <si>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</si>
  <si>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</si>
  <si>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</si>
  <si>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</si>
  <si>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</si>
  <si>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</si>
  <si>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</si>
  <si>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77,99 TL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</si>
  <si>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</si>
  <si>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</si>
  <si>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Küçük Boy Pizzalar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</si>
  <si>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</si>
  <si>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</si>
  <si>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</si>
  <si>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</si>
  <si>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</si>
  <si>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</si>
  <si>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</si>
  <si>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</si>
  <si>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</si>
  <si>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</si>
  <si>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</si>
  <si>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</si>
  <si>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2 Adet Orta Boy Bol Malzemos Pizza + Litrelik İçecek</t>
  </si>
  <si>
    <t>68,99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</si>
  <si>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</si>
  <si>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</si>
  <si>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</si>
  <si>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</si>
  <si>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</si>
  <si>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139,99 TL</t>
  </si>
  <si>
    <t>2 Adet Büyük Boy Pizza + Litrelik İçecek</t>
  </si>
  <si>
    <t>95,99 TL</t>
  </si>
  <si>
    <t>3 Adet Büyük Boy Pizza</t>
  </si>
  <si>
    <t>124,99 TL</t>
  </si>
  <si>
    <t>2 Adet Büyük Boy Pizza</t>
  </si>
  <si>
    <t>87,99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</si>
  <si>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</si>
  <si>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</si>
  <si>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109,99 TL</t>
  </si>
  <si>
    <t>5 Adet Orta Boy Pizza</t>
  </si>
  <si>
    <t>134,99 TL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</si>
  <si>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</si>
  <si>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</si>
  <si>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</si>
  <si>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</si>
  <si>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</si>
  <si>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</si>
  <si>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</si>
  <si>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</si>
  <si>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</si>
  <si>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</si>
  <si>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82,99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</si>
  <si>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</si>
  <si>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</si>
  <si>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</si>
  <si>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</si>
  <si>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</si>
  <si>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</si>
  <si>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</si>
  <si>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</si>
  <si>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</si>
  <si>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</si>
  <si>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85,99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</si>
  <si>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</si>
  <si>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</si>
  <si>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</si>
  <si>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</si>
  <si>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</si>
  <si>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</si>
  <si>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Karışık Pizza (Orta)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</si>
  <si>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</si>
  <si>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</si>
  <si>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</si>
  <si>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</si>
  <si>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</si>
  <si>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</si>
  <si>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</si>
  <si>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</si>
  <si>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</si>
  <si>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</si>
  <si>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</si>
  <si>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</si>
  <si>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</si>
  <si>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</si>
  <si>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</si>
  <si>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</si>
  <si>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</si>
  <si>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</si>
  <si>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</si>
  <si>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</si>
  <si>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</si>
  <si>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101,99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</si>
  <si>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</si>
  <si>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</si>
  <si>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</si>
  <si>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</si>
  <si>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</si>
  <si>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</si>
  <si>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</si>
  <si>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</si>
  <si>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</si>
  <si>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</si>
  <si>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107,99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</si>
  <si>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</si>
  <si>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</si>
  <si>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</si>
  <si>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</si>
  <si>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</si>
  <si>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</si>
  <si>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</si>
  <si>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</si>
  <si>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110,99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</si>
  <si>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</si>
  <si>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</si>
  <si>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</si>
  <si>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</si>
  <si>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</si>
  <si>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</si>
  <si>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</si>
  <si>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</si>
  <si>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</si>
  <si>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</si>
  <si>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</si>
  <si>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</si>
  <si>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</si>
  <si>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</si>
  <si>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</si>
  <si>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</si>
  <si>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</si>
  <si>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</si>
  <si>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</si>
  <si>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</si>
  <si>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</si>
  <si>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</si>
  <si>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</si>
  <si>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</si>
  <si>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</si>
  <si>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</si>
  <si>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</si>
  <si>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</si>
  <si>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</si>
  <si>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</si>
  <si>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</si>
  <si>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Pastırma-Cheddar Tostilla</t>
  </si>
  <si>
    <t>Pastırma, mozzarella peyniri, cheddar peyniri, tereyağı sos, mayonez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</si>
  <si>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</si>
  <si>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</si>
  <si>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</si>
  <si>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</si>
  <si>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</si>
  <si>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</si>
  <si>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</si>
  <si>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</si>
  <si>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</si>
  <si>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</si>
  <si>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</si>
  <si>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</si>
  <si>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</si>
  <si>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</si>
  <si>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</si>
  <si>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</si>
  <si>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</si>
  <si>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</si>
  <si>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</si>
  <si>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</si>
  <si>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</si>
  <si>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</si>
  <si>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</si>
  <si>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</si>
  <si>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</si>
  <si>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</si>
  <si>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</si>
  <si>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</si>
  <si>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</si>
  <si>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</si>
  <si>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</si>
  <si>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</si>
  <si>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10'lu Çıtır Tavuk Topları</t>
  </si>
  <si>
    <t>10 adet baharatlı ve lezzetli tavuk topları</t>
  </si>
  <si>
    <t>6'lı Çıtır Tavuk Finger</t>
  </si>
  <si>
    <t>6 adet marine edilmiş tavuk parçaları</t>
  </si>
  <si>
    <t>4'lü Tavuk Parçaları</t>
  </si>
  <si>
    <t>4 adet marine edilmiş tavuk parçaları</t>
  </si>
  <si>
    <t>8'li Tavuk Parçaları</t>
  </si>
  <si>
    <t>8 adet marine edilmiş tavuk parçaları</t>
  </si>
  <si>
    <t>20'li Çıtır Tavuk Topları</t>
  </si>
  <si>
    <t>20 adet baharatlı ve lezzetli tavuk topları</t>
  </si>
  <si>
    <t>12'li Çıtır Tavuk Finger</t>
  </si>
  <si>
    <t>12 adet çıtır tavuk finger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</si>
  <si>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</si>
  <si>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</si>
  <si>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</si>
  <si>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</si>
  <si>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</si>
  <si>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</si>
  <si>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Sarımsak Soslu Tavuk Kanatları</t>
  </si>
  <si>
    <t>5 adet tavuk kanat, gurme patates (100 gr.), sarımsak sos</t>
  </si>
  <si>
    <t>Acılı Tavuk Kanatları</t>
  </si>
  <si>
    <t>5 adet tavuk kanat, gurme patates (100 gr.), acılı chili baharatı</t>
  </si>
  <si>
    <t>BBQ Soslu Tavuk Kanatları</t>
  </si>
  <si>
    <t>5 adet tavuk kanat, gurme patates (100 gr.), BBQ sos</t>
  </si>
  <si>
    <t>Çıtır Tavuk Topları Ekonomik Kova</t>
  </si>
  <si>
    <t>30 Adet Çıtır Tavuk Topları + 100 gr. Gurme Patates + Meksika Sos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</si>
  <si>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</si>
  <si>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</si>
  <si>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</si>
  <si>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</si>
  <si>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Barbekü Soslu Tavuk &amp; Patates</t>
  </si>
  <si>
    <t>12 adet çıtır tavuk finger, barbekü sos, mozzarella peyniri, acı Meksika biberi, gurme patates (100 gr.)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</si>
  <si>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</si>
  <si>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</si>
  <si>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</si>
  <si>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</si>
  <si>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</si>
  <si>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</si>
  <si>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</si>
  <si>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</si>
  <si>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</si>
  <si>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</si>
  <si>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</si>
  <si>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</si>
  <si>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</si>
  <si>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Bol Peynirli Ekmek</t>
  </si>
  <si>
    <t>Cheddar peynirli ve mozzarellalı, sarımsaklı çeşnili dilimler</t>
  </si>
  <si>
    <t>Algida Carte d'or Mini Cup Meyve Rüyası</t>
  </si>
  <si>
    <t>Algida Carte d'or Mini Cup Çikolata Karnavalı</t>
  </si>
  <si>
    <t>Algida Magnum Mini Double Karamel Gold</t>
  </si>
  <si>
    <t>Sıcak akışkan çikolatalı sufle</t>
  </si>
  <si>
    <t>Çokominos</t>
  </si>
  <si>
    <t>Mozzarella peyniri, sütlü çikolata, tarçın &amp; toz şeker karışımı</t>
  </si>
  <si>
    <t>Cappy Şeftali (33 cl.)</t>
  </si>
  <si>
    <t>Cappy Vişne (33 cl.)</t>
  </si>
  <si>
    <t>Cappy Portakal (33 cl.)</t>
  </si>
  <si>
    <t>Cappy Karışık (33 cl.)</t>
  </si>
  <si>
    <t>Sütaş Ayran (300 ml.)</t>
  </si>
  <si>
    <t>Ayran (200 ml.)</t>
  </si>
  <si>
    <t>Damla Su (500 ml.)</t>
  </si>
  <si>
    <t>Yoğurtlu Sos</t>
  </si>
  <si>
    <t>Meksika Sos</t>
  </si>
  <si>
    <t>Domino's Pizza</t>
  </si>
  <si>
    <t>***=HYPERLINK("file:///C:/rest_photo/Domino's Pizza, Merkez (Aşağı Kayabaşı Mah. - Dr. Sami Yağız Cad.).jpg","Domino's Pizza, Merkez (Aşağı Kayabaşı Mah. - Dr. Sami Yağız Cad.)")</t>
  </si>
  <si>
    <t>Ekrem Coşkun Döner, Merkez (Saruhan Mah.)</t>
  </si>
  <si>
    <t>Et Döner Lavaş Dürüm (55 - 60 gr.)</t>
  </si>
  <si>
    <t>İsteğe göre soğan</t>
  </si>
  <si>
    <t>Et Döner Lavaş Dürüm (75 - 80 gr.)</t>
  </si>
  <si>
    <t>Et Döner Lavaş Dürüm (95 - 100 gr.)</t>
  </si>
  <si>
    <t>21,00 TL</t>
  </si>
  <si>
    <t>Et Döner Lavaş Dürüm (115 - 120 gr.)</t>
  </si>
  <si>
    <t>Et Döner Lavaş Dürüm (145 - 150 gr.)</t>
  </si>
  <si>
    <t>Et Döner Lavaş Dürüm (195 - 200 gr.)</t>
  </si>
  <si>
    <t>Ekmek Arası Et Döner (55 - 60 gr.)</t>
  </si>
  <si>
    <t>Ekmek Arası Et Döner (75 - 80 gr.)</t>
  </si>
  <si>
    <t>Ekmek Arası Et Döner (95 - 100 gr.)</t>
  </si>
  <si>
    <t>Ekmek Arası Et Döner (115 - 120 gr.)</t>
  </si>
  <si>
    <t>Ekmek Arası Et Döner (145 - 150 gr.)</t>
  </si>
  <si>
    <t>29,00 TL</t>
  </si>
  <si>
    <t>Ekmek Arası Et Döner (195 - 200 gr.)</t>
  </si>
  <si>
    <t>Pilav Üstü Et Döner (100 gr.)</t>
  </si>
  <si>
    <t>Pilav Üstü Et Döner (120 gr.)</t>
  </si>
  <si>
    <t>Pilav Üstü Et Döner (150 gr.)</t>
  </si>
  <si>
    <t>37,00 TL</t>
  </si>
  <si>
    <t>Pilav Üstü Et Döner (200 gr.)</t>
  </si>
  <si>
    <t>47,00 TL</t>
  </si>
  <si>
    <t>Pilav Üstü Et Döner (250 gr.)</t>
  </si>
  <si>
    <t>İskender (Et Dönerden) (1,5 Porsiyon)</t>
  </si>
  <si>
    <t>Double İskender (Et Dönerden)</t>
  </si>
  <si>
    <t>Et Döner (250 gr.)</t>
  </si>
  <si>
    <t>52,00 TL</t>
  </si>
  <si>
    <t>Et Döner (500 gr.)</t>
  </si>
  <si>
    <t>105,00 TL</t>
  </si>
  <si>
    <t>Et Döner (750 gr.)</t>
  </si>
  <si>
    <t>Et Döner (1 kg.)</t>
  </si>
  <si>
    <t>190,00 TL</t>
  </si>
  <si>
    <t>Pilav</t>
  </si>
  <si>
    <t>Ayran (27 cl.)</t>
  </si>
  <si>
    <t>Saruhan Mah.</t>
  </si>
  <si>
    <t>Ekrem Coşkun Döner</t>
  </si>
  <si>
    <t>***=HYPERLINK("file:///C:/rest_photo/Ekrem Coşkun Döner, Merkez (Saruhan Mah.).jpg","Ekrem Coşkun Döner, Merkez (Saruhan Mah.)")</t>
  </si>
  <si>
    <t>Enjoy Burger House, Merkez (Aşağı Kayabaşı Mah. - Bor Yolu)</t>
  </si>
  <si>
    <t>Enjoy Special Burger Menü</t>
  </si>
  <si>
    <t>Enjoy Special Burger + Patates Kızartması + Kutu İçecek</t>
  </si>
  <si>
    <t>43,90 TL</t>
  </si>
  <si>
    <t>Enjoy Special Burger</t>
  </si>
  <si>
    <t>Enjoy burger köftesi, dana bacon, cheddar peyniri, karamelize soğan, sote mantar, közlenmiş kırmızıbiber, domates, turşu, yeşillik, kibrit patates, Enjoy sos</t>
  </si>
  <si>
    <t>Klasik Burger + Patates Kızartması + Kutu İçecek</t>
  </si>
  <si>
    <t>35,90 TL</t>
  </si>
  <si>
    <t>Chef's Special Burger Menü</t>
  </si>
  <si>
    <t>Chef's Special Burger + Patates Kızartması + Kutu İçecek</t>
  </si>
  <si>
    <t>Cheese Burger Menü</t>
  </si>
  <si>
    <t>Cheese Burger + Patates Kızartması + Kutu İçecek</t>
  </si>
  <si>
    <t>38,90 TL</t>
  </si>
  <si>
    <t>3'lü Mini Burger Menü</t>
  </si>
  <si>
    <t>3'lü Mini Burger + Patates Kızartması + Kutu İçecek</t>
  </si>
  <si>
    <t>42,90 TL</t>
  </si>
  <si>
    <t>Barbeque Burger Menü</t>
  </si>
  <si>
    <t>Barbeque Burger + Patates Kızartması + Kutu İçecek</t>
  </si>
  <si>
    <t>39,90 TL</t>
  </si>
  <si>
    <t>Black Burger Menü</t>
  </si>
  <si>
    <t>Black Burger + Patates Kızartması + Kutu İçecek</t>
  </si>
  <si>
    <t>Blue Cheese Burger Menü</t>
  </si>
  <si>
    <t>Blue Cheese Burger + Patates Kızartması + Kutu İçecek</t>
  </si>
  <si>
    <t>40,90 TL</t>
  </si>
  <si>
    <t>Café de Paris Burger Menü</t>
  </si>
  <si>
    <t>Café de Paris Burger + Patates Kızartması + Kutu İçecek</t>
  </si>
  <si>
    <t>Cherry Burger Menü</t>
  </si>
  <si>
    <t>Cherry Burger + Patates Kızartması + Kutu İçecek</t>
  </si>
  <si>
    <t>Chicken &amp; Cheese Sandwich Menü</t>
  </si>
  <si>
    <t>Chicken &amp; Cheese Sandwich + Patates Kızartması + Kutu İçecek</t>
  </si>
  <si>
    <t>Chicken Double Cheese Burger Menü</t>
  </si>
  <si>
    <t>Chicken Double Cheese Burger + Patates Kızartması + Kutu İçecek</t>
  </si>
  <si>
    <t>Chicken Enjoy's Special Burger Menü</t>
  </si>
  <si>
    <t>Chicken Enjoy's Special Burger + Patates Kızartması + Kutu İçecek</t>
  </si>
  <si>
    <t>Chicken Garlic Mushroom Burger Menü</t>
  </si>
  <si>
    <t>Chicken Garlic Mushroom Burger + Patates Kızartması + Kutu İçecek</t>
  </si>
  <si>
    <t>Chili Burger Menü</t>
  </si>
  <si>
    <t>Chili Burger + Patates Kızartması + Kutu İçecek</t>
  </si>
  <si>
    <t>Cleopatra Burger Menü</t>
  </si>
  <si>
    <t>Cleopatra Burger + Patates Kızartması + Kutu İçecek</t>
  </si>
  <si>
    <t>50,90 TL</t>
  </si>
  <si>
    <t>Dana Bacon Cheese Burger Menü</t>
  </si>
  <si>
    <t>Dana Bacon &amp; Cheese Burger + Patates Kızartması + Kutu İçecek</t>
  </si>
  <si>
    <t>Double Cheese Burger Menü</t>
  </si>
  <si>
    <t>Double Cheese Burger + Patates Kızartması + Kutu İçecek</t>
  </si>
  <si>
    <t>45,90 TL</t>
  </si>
  <si>
    <t>Enjoy Chicken Wrap Menü</t>
  </si>
  <si>
    <t>Enjoy Chicken Wrap + Patates Kızartması + Kutu İçecek</t>
  </si>
  <si>
    <t>34,90 TL</t>
  </si>
  <si>
    <t>Enjoy Wrap Menü</t>
  </si>
  <si>
    <t>Enjoy Wrap + Patates Kızartması + Kutu İçecek</t>
  </si>
  <si>
    <t>Garlic Mushroom Burger Menü</t>
  </si>
  <si>
    <t>Garlic Mushroom Burger + Patates Kızartması + Kutu İçecek</t>
  </si>
  <si>
    <t>Huge Burger Menü</t>
  </si>
  <si>
    <t>Huge Burger + Patates Kızartması + Kutu İçecek</t>
  </si>
  <si>
    <t>Klasik Chicken Burger Menü</t>
  </si>
  <si>
    <t>Klasik Chicken Burger + Patates Kızartması + Kutu İçecek</t>
  </si>
  <si>
    <t>Köfte Sandwich Menü</t>
  </si>
  <si>
    <t>Köfte Sandwich + Patates Kızartması + Kutu İçecek</t>
  </si>
  <si>
    <t>Sports Burger Menü</t>
  </si>
  <si>
    <t>Sports Burger + Patates Kızartması + Kutu İçecek</t>
  </si>
  <si>
    <t>Weggie Burger Menü</t>
  </si>
  <si>
    <t>Weggie Burger + Patates Kızartması + Kutu İçecek</t>
  </si>
  <si>
    <t>Chicken Kids Menü</t>
  </si>
  <si>
    <t>Mini Tavuk Bonfile Klasik Burger (50 gr.) + Mini Cheeseburger (50 gr.) + Patates Kızartması + İçecek</t>
  </si>
  <si>
    <t>28,50 TL</t>
  </si>
  <si>
    <t>Kids Menü</t>
  </si>
  <si>
    <t>Mini Klasik Burger (50 gr.) + Mini Cheeseburger (50 gr.) + Patates Kızartması + İçecek</t>
  </si>
  <si>
    <t>3'lü Mini Burger</t>
  </si>
  <si>
    <t>Mini dana bacon &amp; cheeseburger (50 gr.), mini garlic mushroom burger (50 gr.), mini Café de Paris burger (50 gr.)</t>
  </si>
  <si>
    <t>3'lü Mini Chicken Burger</t>
  </si>
  <si>
    <t>Tavuk bonfile klasik burger, chicken cheeseburger, chicken garlic burger</t>
  </si>
  <si>
    <t>35,50 TL</t>
  </si>
  <si>
    <t>Barbeque Burger</t>
  </si>
  <si>
    <t>Enjoy burger köftesi, kıtır soğan, yeşillik, közlenmiş kırmızıbiber, jalapeno biber, BBQ sos</t>
  </si>
  <si>
    <t>33,50 TL</t>
  </si>
  <si>
    <t>Black Burger</t>
  </si>
  <si>
    <t>Enjoy dana burger köftesi, cheddar peyniri, karamelize soğan, sarımsaklı sote mantar, jalapeno biber, közlenmiş kırmızıbiber, Enjoy sos, yeşillik, BBQ sos</t>
  </si>
  <si>
    <t>Blue Cheese Burger</t>
  </si>
  <si>
    <t>Enjoy burger köftesi, karamelize soğan, yeşillik, turşu, blue cheese sos</t>
  </si>
  <si>
    <t>34,50 TL</t>
  </si>
  <si>
    <t>Café de Paris Burger</t>
  </si>
  <si>
    <t>Enjoy burger köftesi, karamelize soğan, yeşillik, turşu, Café de Paris sos</t>
  </si>
  <si>
    <t>Enjoy burger köftesi, cheddar peyniri, karamelize soğan, yeşillik, turşu, relish sos</t>
  </si>
  <si>
    <t>32,50 TL</t>
  </si>
  <si>
    <t>Chef's Special Burger</t>
  </si>
  <si>
    <t>Enjoy burger köftesi, dana bacon, cheddar peyniri, karamelize soğan, sote mantar, közlenmiş kırmızıbiber, domates, turşu, kibrit patates, chef's sos</t>
  </si>
  <si>
    <t>Cherry Burger</t>
  </si>
  <si>
    <t>Dana eti, karamelize soğan, yeşillik, turşu, cherry sos</t>
  </si>
  <si>
    <t>Chicken Double Cheese Burger</t>
  </si>
  <si>
    <t>Tavuk bonfile, cheddar peyniri, karamelize soğan, domates, turşu, yeşillik, Enjoy sos</t>
  </si>
  <si>
    <t>38,50 TL</t>
  </si>
  <si>
    <t>Chicken Enjoy's Special Burger</t>
  </si>
  <si>
    <t>Tavuk bonfile, cheddar peyniri, karamelize soğan, sarımsaklı sote mantar, közlenmiş kırmızıbiber, turşu, yeşillik, kibrit patates, Enjoy sos</t>
  </si>
  <si>
    <t>Chicken Garlic Mushroom Burger</t>
  </si>
  <si>
    <t>Tavuk bonfile, cheddar peyniri, sarımsaklı sote mantar, karamelize soğan, yeşillik, turşu, mayonez</t>
  </si>
  <si>
    <t>Chili Burger</t>
  </si>
  <si>
    <t>Enjoy burger köftesi, ızgara soğan, yeşillik, közlenmiş kırmızıbiber, jalapeno biberi, acı Arnavut sos</t>
  </si>
  <si>
    <t>Cleopatra Burger</t>
  </si>
  <si>
    <t>2 adet 120 gr. dahan eti, soğan turşusu, közlenmiş biber, jalapeno biberi, yeşillik, kibrit patates. Avokado sos</t>
  </si>
  <si>
    <t>44,50 TL</t>
  </si>
  <si>
    <t>Dana Bacon &amp; Cheese Burger</t>
  </si>
  <si>
    <t>Enjoy burger köftesi, dana bacon, cheddar peyniri, domates, yeşillik, turşu, relish sos</t>
  </si>
  <si>
    <t>Double Cheese Burger</t>
  </si>
  <si>
    <t>2 adet Enjoy burger köftesi, cheddar peyniri, karamelize soğan, domates, turşu, yeşillik, turşu, relish sos</t>
  </si>
  <si>
    <t>Garlic Mushroom Burger</t>
  </si>
  <si>
    <t>Enjoy burger köftesi, sarımsaklı sote mantar, cheddar peyniri, karamelize soğan, yeşillik, turşu, relish sos</t>
  </si>
  <si>
    <t>Huge Burger</t>
  </si>
  <si>
    <t>250 gr. Enjoy dana burger köftesi, dana bacon, cheddar peyniri, karamelize soğan, sarımsaklı sote mantar, Enjoy sos, acı Arnavut sos, yeşillik</t>
  </si>
  <si>
    <t>46,50 TL</t>
  </si>
  <si>
    <t>Enjoy burger köftesi, karamelize soğan, yeşillik, turşu, relish sos</t>
  </si>
  <si>
    <t>Klasik Chicken Burger</t>
  </si>
  <si>
    <t>Tavuk bonfile, karamelize soğan, yeşillik, turşu, mayonez</t>
  </si>
  <si>
    <t>Sports Burger</t>
  </si>
  <si>
    <t>Dana eti, karamelize soğan, turşu, enjoy sos, yeşillik, domates</t>
  </si>
  <si>
    <t>Weggie Burger</t>
  </si>
  <si>
    <t>3 adet çıtır hellim peyniri, karamelize soğan, sote mantar, közlenmiş kırmızıbiber, yeşillik, relish sos</t>
  </si>
  <si>
    <t>Enjoy Chicken Wrap</t>
  </si>
  <si>
    <t>Tavuk bonfile, soğan turşusu, yeşillik, közlenmiş biber, jalapeno biberi, acı sos</t>
  </si>
  <si>
    <t>Enjoy Wrap</t>
  </si>
  <si>
    <t>Dana eti, soğan turşusu, yeşillik, közlenmiş biber, jalapeno biberi, acı sos</t>
  </si>
  <si>
    <t>Çıtır Tavuk Sandwich</t>
  </si>
  <si>
    <t>Çıtır tavuk, domates, yeşillik, turşu, Enjoy sos</t>
  </si>
  <si>
    <t>Köfte Sandwich</t>
  </si>
  <si>
    <t>Dana köfte, domates, yeşillik, turşu, Enjoy sos, acı Arnavut sos</t>
  </si>
  <si>
    <t>Steak &amp; Cheese Sandwich</t>
  </si>
  <si>
    <t>Dana bonfile, cheddar peyniri, karamelize soğan, yeşillik, közlenmiş kırmızıbiber, sote mantar, Café de Paris sos</t>
  </si>
  <si>
    <t>Chicken &amp; Cheese Sandwich</t>
  </si>
  <si>
    <t>Tavuk bonfile, cheddar peyniri, karamelize soğan, yeşillik, közlenmiş kırmızıbiber, sote mantar, Enjoy sos</t>
  </si>
  <si>
    <t>Enjoy Lokum</t>
  </si>
  <si>
    <t>64,50 TL</t>
  </si>
  <si>
    <t>Izgara Kasap Köfte</t>
  </si>
  <si>
    <t>Izgara Hellim Salata</t>
  </si>
  <si>
    <t>Izgara hellim peyniri, Akdeniz yeşillikleri, zeytinyağı, limon</t>
  </si>
  <si>
    <t>24,50 TL</t>
  </si>
  <si>
    <t>Çıtır tavuk, Akdeniz yeşillikleri, zeytinyağı, limon</t>
  </si>
  <si>
    <t>Çıtır Hellim Salata</t>
  </si>
  <si>
    <t>Çıtır hellim peyniri, Akdeniz yeşillikleri, zeytinyağı, limon</t>
  </si>
  <si>
    <t>Izgara Tavuk Salata</t>
  </si>
  <si>
    <t>Izgara tavuk, Akdeniz yeşillikleri, zeytinyağı, limon</t>
  </si>
  <si>
    <t>Ton balığı, Akdeniz yeşillikleri, zeytinyağı, limon</t>
  </si>
  <si>
    <t>Steak Salata</t>
  </si>
  <si>
    <t>Dana biftek, Akdeniz yeşillikleri, zeytinyağı, limon</t>
  </si>
  <si>
    <t>Burgerella</t>
  </si>
  <si>
    <t>18,50 TL</t>
  </si>
  <si>
    <t>Chicken Balls (10 Adet)</t>
  </si>
  <si>
    <t>Çıtır Deneme Tabağı</t>
  </si>
  <si>
    <t>2 adet çıtır hellim peyniri, 2 adet çıtır tavuk, 2 adet soğan halkası, chicken balls, zeytin sos, acı sos, BBQ sos</t>
  </si>
  <si>
    <t>13,50 TL</t>
  </si>
  <si>
    <t>Çıtır Hellim Peyniri (4 Adet)</t>
  </si>
  <si>
    <t>20,50 TL</t>
  </si>
  <si>
    <t>Çıtır Tavuk (5 Adet)</t>
  </si>
  <si>
    <t>Soğan Halkası (7 Adet)</t>
  </si>
  <si>
    <t>14,50 TL</t>
  </si>
  <si>
    <t>7,75 TL</t>
  </si>
  <si>
    <t>Schweppes (25 cl.)</t>
  </si>
  <si>
    <t>Damla Su (50 cl.)</t>
  </si>
  <si>
    <t>Relish Sos</t>
  </si>
  <si>
    <t>Acı Arnavut Sos</t>
  </si>
  <si>
    <t>Zeytin Sos</t>
  </si>
  <si>
    <t>Café de Paris Sos</t>
  </si>
  <si>
    <t>Blue Cheese Sos</t>
  </si>
  <si>
    <t>Buffalo Sos</t>
  </si>
  <si>
    <t>BBQ Sos</t>
  </si>
  <si>
    <t>Enjoy Sos</t>
  </si>
  <si>
    <t>Enjoy Burger House</t>
  </si>
  <si>
    <t>***=HYPERLINK("file:///C:/rest_photo/Enjoy Burger House, Merkez (Aşağı Kayabaşı Mah. - Bor Yolu).jpg","Enjoy Burger House, Merkez (Aşağı Kayabaşı Mah. - Bor Yolu)")</t>
  </si>
  <si>
    <t>55-65 dk.</t>
  </si>
  <si>
    <t>Gözleme Cafe, Merkez (Selçuk Mah.)</t>
  </si>
  <si>
    <t>Fesleğen soslu penne, mevsim salata ile</t>
  </si>
  <si>
    <t>31,90 TL</t>
  </si>
  <si>
    <t>15,90 TL</t>
  </si>
  <si>
    <t>Bazlama ekmeğine; kaşar peyniri, sucuk</t>
  </si>
  <si>
    <t>20,90 TL</t>
  </si>
  <si>
    <t>Mantı</t>
  </si>
  <si>
    <t>27,90 TL</t>
  </si>
  <si>
    <t>Kavurmalı Omlet</t>
  </si>
  <si>
    <t>24,90 TL</t>
  </si>
  <si>
    <t>Sade Omlet</t>
  </si>
  <si>
    <t>18,90 TL</t>
  </si>
  <si>
    <t>Sebzeli Omlet</t>
  </si>
  <si>
    <t>23,90 TL</t>
  </si>
  <si>
    <t>Kaşarlı Omlet</t>
  </si>
  <si>
    <t>19,90 TL</t>
  </si>
  <si>
    <t>Pastırmalı Omlet</t>
  </si>
  <si>
    <t>Sucuklu Omlet</t>
  </si>
  <si>
    <t>21,90 TL</t>
  </si>
  <si>
    <t>Patatesli Yoğurtlu Gözleme</t>
  </si>
  <si>
    <t>17,90 TL</t>
  </si>
  <si>
    <t>Kıymalı Yoğurtlu Gözleme</t>
  </si>
  <si>
    <t>Zeytinli Yoğurt Gözleme</t>
  </si>
  <si>
    <t>Ispanaklı Yoğurtlu Gözleme</t>
  </si>
  <si>
    <t>Mantarlı Yoğurtlu Gözleme</t>
  </si>
  <si>
    <t>Patlıcanlı Yoğurtlu Gözleme</t>
  </si>
  <si>
    <t>Kaşarlı Yoğurtlu Gözleme</t>
  </si>
  <si>
    <t>Menemenli Yoğurtlu Gözleme</t>
  </si>
  <si>
    <t>Yumurtalı Gözleme</t>
  </si>
  <si>
    <t>13,90 TL</t>
  </si>
  <si>
    <t>Beyaz Peynirli Gözleme</t>
  </si>
  <si>
    <t>Ispanaklı Gözleme</t>
  </si>
  <si>
    <t>Siyah Zeytinli Gözleme</t>
  </si>
  <si>
    <t>Menemenli Gözleme</t>
  </si>
  <si>
    <t>Karışık Sebzeli Gözleme</t>
  </si>
  <si>
    <t>Mantarlı Gözleme</t>
  </si>
  <si>
    <t>Çikolatalı Gözleme</t>
  </si>
  <si>
    <t>Salamlı Gözleme</t>
  </si>
  <si>
    <t>Sosisli Gözleme</t>
  </si>
  <si>
    <t>Tulum Peynirli Gözleme</t>
  </si>
  <si>
    <t>Tereyağlı Ballı Gözleme</t>
  </si>
  <si>
    <t>Kıymalı Gözleme</t>
  </si>
  <si>
    <t>Sucuklu Gözleme</t>
  </si>
  <si>
    <t>Pizzalı Gözleme</t>
  </si>
  <si>
    <t>Ton Balıklı Gözleme</t>
  </si>
  <si>
    <t>Pastırmalı Kaşarlı Yoğurtlu Gözleme</t>
  </si>
  <si>
    <t>25,90 TL</t>
  </si>
  <si>
    <t>Kavurmalı Kaşarlı Yoğurtlu Gözleme</t>
  </si>
  <si>
    <t>Bazlama ekmeğine</t>
  </si>
  <si>
    <t>Kremalı Mantarlı Tavuk</t>
  </si>
  <si>
    <t>Soya Soslu Tavuk</t>
  </si>
  <si>
    <t>Hot Chili Soslu Tavuk</t>
  </si>
  <si>
    <t>Geleneksel Tavuk Sote</t>
  </si>
  <si>
    <t>29,90 TL</t>
  </si>
  <si>
    <t>33,90 TL</t>
  </si>
  <si>
    <t>Kremalı Fesleğen Soslu Penne</t>
  </si>
  <si>
    <t>Kremalı Köri Soslu Penne</t>
  </si>
  <si>
    <t>Spaghetti Bolognese</t>
  </si>
  <si>
    <t>Spaghetti Napolitan</t>
  </si>
  <si>
    <t>Fettuccine Alfredo</t>
  </si>
  <si>
    <t>Kremalı Pesto Soslu Penne</t>
  </si>
  <si>
    <t>Kremalı Mantarlı Tavuklu Penne</t>
  </si>
  <si>
    <t>Sıcak Tabağı 3</t>
  </si>
  <si>
    <t>Patates kızartması, soğan halkası, nugget, cordon blue, kroket, chicken fingers</t>
  </si>
  <si>
    <t>Sıcak Tabağı 1</t>
  </si>
  <si>
    <t>Patates kızartması, sigara böreği, paçanga böreği</t>
  </si>
  <si>
    <t>Sıcak Tabağı 2</t>
  </si>
  <si>
    <t>Patates kızartması, soğan halkası, nugget</t>
  </si>
  <si>
    <t>Çoban Salata</t>
  </si>
  <si>
    <t>Domates, salatalık, soğan, yeşilbiber</t>
  </si>
  <si>
    <t>Mevsim Salata</t>
  </si>
  <si>
    <t>Iceberg marul, mor lahana, havuç, salatalık, domates, maydanoz</t>
  </si>
  <si>
    <t>Akdeniz Salatası</t>
  </si>
  <si>
    <t>Kıvırcık marul, cherry domates, salatalık, mısır, maydanoz, beyaz peynir</t>
  </si>
  <si>
    <t>Ev Yemekleri</t>
  </si>
  <si>
    <t>Gözleme Cafe</t>
  </si>
  <si>
    <t>***=HYPERLINK("file:///C:/rest_photo/Gözleme Cafe, Merkez (Selçuk Mah.).jpg","Gözleme Cafe, Merkez (Selçuk Mah.)")</t>
  </si>
  <si>
    <t>Grande Döner, Merkez (Aşağı Kayabaşı Mah. - Dr. Sami Yağız Cad.)</t>
  </si>
  <si>
    <t>Patates kızartması, yeşillik, sos, mayonez, salatalık turşusu</t>
  </si>
  <si>
    <t>Menü 5</t>
  </si>
  <si>
    <t>5 Adet Tavuk Döner Dürüm (Patates kızartması, yeşillik, sos, mayonez, salatalık turşusu) + Coca-Cola (2,5 L.)</t>
  </si>
  <si>
    <t>Menü 1</t>
  </si>
  <si>
    <t>4 Adet Tavuk Döner Dürüm (Patates kızartması, yeşillik, sos, mayonez, salatalık turşusu) + İçecek (1 L.)</t>
  </si>
  <si>
    <t>Menü 2</t>
  </si>
  <si>
    <t>3 Adet Tavuk Döner Dürüm (Patates kızartması, yeşillik, sos, mayonez, salatalık turşusu) + İçecek (1 L.)</t>
  </si>
  <si>
    <t>Menü 3</t>
  </si>
  <si>
    <t>4 Adet Tavuk Döner Dürüm (Patates kızartması, yeşillik, sos, mayonez, salatalık turşusu) + 4 Adet Ayran (33 cl.)</t>
  </si>
  <si>
    <t>Menü 4</t>
  </si>
  <si>
    <t>3 Adet Tavuk Döner Dürüm (Patates kızartması, yeşillik, sos, mayonez, salatalık turşusu) + 3 Adet Ayran (33 cl.)</t>
  </si>
  <si>
    <t>Menü 6</t>
  </si>
  <si>
    <t>5 Adet Tavuk Döner Dürüm (Patates kızartması, yeşillik, sos, mayonez, salatalık turşusu) + İçecek (1 L.)</t>
  </si>
  <si>
    <t>73,00 TL</t>
  </si>
  <si>
    <t>Menü 7</t>
  </si>
  <si>
    <t>10 Adet Tavuk Döner Dürüm (Patates kızartması, yeşillik, sos, mayonez, salatalık turşusu) + Coca-Cola (2,5 L.)</t>
  </si>
  <si>
    <t>135,00 TL</t>
  </si>
  <si>
    <t>Menü 8</t>
  </si>
  <si>
    <t>4 Adet Ekmek Arası Et Döner (Patates kızartması, yeşillik, sos, mayonez, salatalık turşusu) + İçecek (1 L.)</t>
  </si>
  <si>
    <t>78,00 TL</t>
  </si>
  <si>
    <t>Menü 9</t>
  </si>
  <si>
    <t>3 Adet Ekmek Arası Et Döner (Patates kızartması, yeşillik, sos, mayonez, salatalık turşusu) + İçecek (1 L.)</t>
  </si>
  <si>
    <t>Menü 10</t>
  </si>
  <si>
    <t>4 Adet Ekmek Arası Et Döner (Patates kızartması, yeşillik, sos, mayonez, salatalık turşusu) + 4 Adet Ayran (30 cl.)</t>
  </si>
  <si>
    <t>83,00 TL</t>
  </si>
  <si>
    <t>Menü 11</t>
  </si>
  <si>
    <t>3 Adet Ekmek Arası Et Döner (Patates kızartması, yeşillik, sos, mayonez, salatalık turşusu) + 3 Adet Ayran (30 cl.)</t>
  </si>
  <si>
    <t>Menü 12</t>
  </si>
  <si>
    <t>7 Adet Ekmek Arası Et Döner (Patates kızartması, yeşillik, sos, mayonez, salatalık turşusu) + Coca-Cola (2,5 L.)</t>
  </si>
  <si>
    <t>130,00 TL</t>
  </si>
  <si>
    <t>Menü 13</t>
  </si>
  <si>
    <t>Tavuk Döner Dürüm + Patates Kızartması + Ayran (30 cl.)</t>
  </si>
  <si>
    <t>Menü 14</t>
  </si>
  <si>
    <t>Tavuk Döner Dürüm + Patates Kızartması + Kutu İçecek</t>
  </si>
  <si>
    <t>Menü 15</t>
  </si>
  <si>
    <t>Sebzeli Dürüm + Patates Kızartması + Kutu İçecek</t>
  </si>
  <si>
    <t>İskender (Et Dönerden) Menü</t>
  </si>
  <si>
    <t>İskender (Et Dönerden) + Kutu İçecek</t>
  </si>
  <si>
    <t>İskender (Tavuk Dönerden) Menü</t>
  </si>
  <si>
    <t>İskender (Tavuk Dönerden) + Kutu İçecek</t>
  </si>
  <si>
    <t>Çocuk Etli Menü 1</t>
  </si>
  <si>
    <t>Yarım Ekmek Arası Et Döner (Patates kızartması, yeşillik, sos, mayonez, salatalık turşusu) + Patates Kızartması + Ayran (30 cl.)</t>
  </si>
  <si>
    <t>Çocuk Etli Menü 2</t>
  </si>
  <si>
    <t>Yarım Ekmek Arası Et Döner (Patates kızartması, yeşillik, sos, mayonez, salatalık turşusu) + Patates Kızartması + Kutu İçecek</t>
  </si>
  <si>
    <t>Çocuk Tavuklu Menü 1</t>
  </si>
  <si>
    <t>Yarım Ekmek Arası Tavuk Döner (Patates kızartması, yeşillik, sos, mayonez, salatalık turşusu) + Patates Kızartması + Ayran (30 cl.)</t>
  </si>
  <si>
    <t>Çocuk Tavuklu Menü 2</t>
  </si>
  <si>
    <t>Yarım Ekmek Arası Tavuk Döner (Patates kızartması, yeşillik, sos, mayonez, salatalık turşusu) + Patates Kızartması + Kutu İçecek</t>
  </si>
  <si>
    <t>Patates kızartması, yeşillik, sos, mayonez, pide, salatalık turşusu ile</t>
  </si>
  <si>
    <t>Patates kızartması, yeşillik, sos, mayonez, salatalık turşusu, yoğurt</t>
  </si>
  <si>
    <t>Et &amp; Tavuk Döner Dürüm</t>
  </si>
  <si>
    <t>Zurna Et &amp; Tavuk Döner Dürüm</t>
  </si>
  <si>
    <t>Sebzeli Dürüm</t>
  </si>
  <si>
    <t>Patates kızartması, yeşillik, sos, mayonez, salatalık turşusu, domates</t>
  </si>
  <si>
    <t>Ekmek Arası Et Döner</t>
  </si>
  <si>
    <t>Soğan Halkası (6 Adet)</t>
  </si>
  <si>
    <t>Lipton Ice Tea Limon (33 cl.)</t>
  </si>
  <si>
    <t>Coca-Cola Şekersiz (1 L.)</t>
  </si>
  <si>
    <t>Pepsi Light (1 L.)</t>
  </si>
  <si>
    <t>Grande Döner</t>
  </si>
  <si>
    <t>***=HYPERLINK("file:///C:/rest_photo/Grande Döner, Merkez (Aşağı Kayabaşı Mah. - Dr. Sami Yağız Cad.).jpg","Grande Döner, Merkez (Aşağı Kayabaşı Mah. - Dr. Sami Yağız Cad.)")</t>
  </si>
  <si>
    <t>Halil İbrahim Sofrası, Merkez (Aşağı Kayabaşı Mah. - Hastane Bölgesi)</t>
  </si>
  <si>
    <t>Maydanoz, domates, sumaklı soğan, biber turşusu</t>
  </si>
  <si>
    <t>Antep Lahmacun</t>
  </si>
  <si>
    <t>Maydanoz, yeşil salata ile</t>
  </si>
  <si>
    <t>11,90 TL</t>
  </si>
  <si>
    <t>Yeşillik, yeşil salata ile</t>
  </si>
  <si>
    <t>9,90 TL</t>
  </si>
  <si>
    <t>Ezme, sumaklı soğan, yeşil salata, koyu cacık, çoban salata, közlenmiş biber, közlenmiş domates, yeşillik ile</t>
  </si>
  <si>
    <t>36,90 TL</t>
  </si>
  <si>
    <t>Beyin Çorbası</t>
  </si>
  <si>
    <t>Yeşillik, biber turşusu, isteğe göre acı sos, sarımsak, sirke ile</t>
  </si>
  <si>
    <t>Beyran Çorbası</t>
  </si>
  <si>
    <t>Çürük Çorbası</t>
  </si>
  <si>
    <t>Dil Çorbası</t>
  </si>
  <si>
    <t>İşkembe Çorbası</t>
  </si>
  <si>
    <t>Kelle Paça Çorbası</t>
  </si>
  <si>
    <t>Yeşillik, biber turşusu ile</t>
  </si>
  <si>
    <t>Tavuk Çorbası</t>
  </si>
  <si>
    <t>Yayla Çorbası</t>
  </si>
  <si>
    <t>Adana Lahmacun (6 Adet)</t>
  </si>
  <si>
    <t>Maydanoz, yeşil salata, yeşillik,çoban salata ile</t>
  </si>
  <si>
    <t>32,90 TL</t>
  </si>
  <si>
    <t>Kıyma, kuşbaşı, kaşar peyniri. Maydanoz, yeşil salata, yeşillik,çoban salata ile</t>
  </si>
  <si>
    <t>Sucuklu Kaşarlı Pide</t>
  </si>
  <si>
    <t>26,90 TL</t>
  </si>
  <si>
    <t>Kıymalı Yumurtalı Pide</t>
  </si>
  <si>
    <t>Mantarlı Kaşarlı Pide</t>
  </si>
  <si>
    <t>Bor Söğürme (2 Kişilik)</t>
  </si>
  <si>
    <t>Çoban salata, sumaklı soğan, soğan salatası ile</t>
  </si>
  <si>
    <t>Sarma Beyti Kebap</t>
  </si>
  <si>
    <t>Lavaşa sarılı, yoğurtlu, soslu. Ezme, sumaklı soğan, yeşil salata, koyu cacık, çoban salata, közlenmiş biber, közlenmiş domates, yeşillik ile</t>
  </si>
  <si>
    <t>Special Karışık Izgara (2 Kişilik)</t>
  </si>
  <si>
    <t>Adana kebap, 2 adet kuzu pi·rzola, et şi·ş, ci·ğer şi·ş, tavuk kanat, 2 adet kaburga, ızgara köfte</t>
  </si>
  <si>
    <t>Adana kebap, et şiş, ciğer şiş, 2 adet tavuk kanat, 2 adet ızgara köfte. Ezme, sumaklı soğan, yeşil salata, koyu cacık, çoban salata, közlenmiş biber, közlenmiş domates, yeşillik ile</t>
  </si>
  <si>
    <t>64,90 TL</t>
  </si>
  <si>
    <t>Kelle Söğüş (Tam)</t>
  </si>
  <si>
    <t>Çoban salata, yeşillik ile</t>
  </si>
  <si>
    <t>Kelle Söğüş (Yarım)</t>
  </si>
  <si>
    <t>Kiremitte Et</t>
  </si>
  <si>
    <t>Kiremitte Tavuk</t>
  </si>
  <si>
    <t>Kiremitte Köfte</t>
  </si>
  <si>
    <t>Kuzu Şiş Dürüm</t>
  </si>
  <si>
    <t>Izgara Köfte Dürüm</t>
  </si>
  <si>
    <t>Duble Adana Dürüm</t>
  </si>
  <si>
    <t>Duble Et Şiş Dürüm</t>
  </si>
  <si>
    <t>Duble Ciğer Dürüm</t>
  </si>
  <si>
    <t>Duble Tavuk Şiş Dürüm</t>
  </si>
  <si>
    <t>12,90 TL</t>
  </si>
  <si>
    <t>Koyu Cacık</t>
  </si>
  <si>
    <t>Yoğurt</t>
  </si>
  <si>
    <t>Pişmiş Soğan Salatası</t>
  </si>
  <si>
    <t>Fırında Sütlaç</t>
  </si>
  <si>
    <t>Katmer Tatlısı</t>
  </si>
  <si>
    <t>Antep Fıstıklı Kadayıf</t>
  </si>
  <si>
    <t>8,90 TL</t>
  </si>
  <si>
    <t>3,90 TL</t>
  </si>
  <si>
    <t>Eker Ayran (30 cl.)</t>
  </si>
  <si>
    <t>1,90 TL</t>
  </si>
  <si>
    <t>Su (1 L.)</t>
  </si>
  <si>
    <t>Kuzu Pirzola (350 gr.)</t>
  </si>
  <si>
    <t>Kuzu Pirzola (750 gr.)</t>
  </si>
  <si>
    <t>Kuzu Pirzola (500 gr.)</t>
  </si>
  <si>
    <t>Halil İbrahim Sofrası</t>
  </si>
  <si>
    <t>***=HYPERLINK("file:///C:/rest_photo/Halil İbrahim Sofrası, Merkez (Aşağı Kayabaşı Mah. - Hastane Bölgesi).jpg","Halil İbrahim Sofrası, Merkez (Aşağı Kayabaşı Mah. - Hastane Bölgesi)")</t>
  </si>
  <si>
    <t>Hamsi Finger, Merkez (Aşağı Kayabaşı Mah. - Dr. Sami Yağız Cad.)</t>
  </si>
  <si>
    <t>Yarım Ekmek Arası Hamsi</t>
  </si>
  <si>
    <t>Yeşillik, domates, isteğe göre soğan</t>
  </si>
  <si>
    <t>Double Kalamar</t>
  </si>
  <si>
    <t>Salata, yeşillik, ekmek, isteğe göre soğan</t>
  </si>
  <si>
    <t>94,00 TL</t>
  </si>
  <si>
    <t>Yarım Ekmek Arası Uskumru Menü</t>
  </si>
  <si>
    <t>Yarım Ekmek Arası Uskumru + Patates Kızartması + Helva + Kutu İçecek</t>
  </si>
  <si>
    <t>Hamsi Menü (250 gr.) (Pişirilmiş)</t>
  </si>
  <si>
    <t>Hamsi (250 gr.) + Salata + Kutu İçecek</t>
  </si>
  <si>
    <t>Hamsi Menü (500 gr.) (Pişirilmiş)</t>
  </si>
  <si>
    <t>Hamsi (500 gr.) (Gramaj bilgisi ürünün çiğ halinin gramajıdır.) + Salata + Kutu İçecek</t>
  </si>
  <si>
    <t>Kanca Menü</t>
  </si>
  <si>
    <t>2 Adet Yarım Ekmek Arası Hamsi + Patates Kızartması (200 gr.) + Soğan Halkası (6 Adet) + Coca-Cola (1 L.)</t>
  </si>
  <si>
    <t>Levrek Fora Menü</t>
  </si>
  <si>
    <t>2 Adet Yarım Ekmek Arası Levrek + Patates Kızartması (200 gr.) + Helva + Coca-Cola (1 L.)</t>
  </si>
  <si>
    <t>Hamsi Menü (1 kg.) (Pişirilmiş)</t>
  </si>
  <si>
    <t>Hamsi (1 kg.) (Gramaj bilgisi ürünün çiğ halinin gramajıdır.) + Salata + Kutu İçecek</t>
  </si>
  <si>
    <t>Yarım Ekmek Arası Levrek Menü</t>
  </si>
  <si>
    <t>Yarım Ekmek Arası Levrek + Patates Kızartması + Helva + Kutu İçecek</t>
  </si>
  <si>
    <t>36,60 TL</t>
  </si>
  <si>
    <t>Yarım Ekmek Arası Midye Tava Menü</t>
  </si>
  <si>
    <t>Yarım Ekmek Arası Midye Tava + Patates Kızartması + Helva + Kutu İçecek</t>
  </si>
  <si>
    <t>Yarım Ekmek Arası Mezgit Menü</t>
  </si>
  <si>
    <t>Yarım Ekmek Arası Mezgit + Patates Kızartması + Helva + Kutu İçecek</t>
  </si>
  <si>
    <t>Yarım Ekmek Arası Hamsi Menü</t>
  </si>
  <si>
    <t>Yarım Ekmek Arası Hamsi + Patates Kızartması + Helva + Kutu İçecek</t>
  </si>
  <si>
    <t>Yarım Ekmek Arası Sardalya Menü</t>
  </si>
  <si>
    <t>Yarım Ekmek Arası Sardalya + Patates Kızartması + Helva + Kutu İçecek</t>
  </si>
  <si>
    <t>Yarım Ekmek Arası Kalamar Menü</t>
  </si>
  <si>
    <t>Yarım Ekmek Arası Kalamar + Patates Kızartması + Helva + Kutu İçecek</t>
  </si>
  <si>
    <t>Yarım Ekmek Arası Karides Menü</t>
  </si>
  <si>
    <t>Yarım Ekmek Arası Karides + Patates Kızartması + Helva + Kutu İçecek</t>
  </si>
  <si>
    <t>Yarım Ekmek Arası Çipura Menü</t>
  </si>
  <si>
    <t>Yarım Ekmek Arası Çipura + Patates Kızartması + Helva + Kutu İçecek</t>
  </si>
  <si>
    <t>2 Kişilik Tayfa Menü</t>
  </si>
  <si>
    <t>Hamsi Tava + Karides + Kalamar + Midye Tava + Patates Kızartması + Soğan Halkası + Sos + Coca-Cola (1 L.)</t>
  </si>
  <si>
    <t>4 Kişilik Tayfa Menü</t>
  </si>
  <si>
    <t>174,90 TL</t>
  </si>
  <si>
    <t>Izgara Hamsi</t>
  </si>
  <si>
    <t>Izgara Sardalya</t>
  </si>
  <si>
    <t>Izgara İstavrit</t>
  </si>
  <si>
    <t>Izgara Uskumru</t>
  </si>
  <si>
    <t>Izgara Mezgit</t>
  </si>
  <si>
    <t>Izgara Alabalık</t>
  </si>
  <si>
    <t>Double Izgara Hamsi</t>
  </si>
  <si>
    <t>Izgara Çipura</t>
  </si>
  <si>
    <t>Hamsi Tava (1 Kişilik)</t>
  </si>
  <si>
    <t>Salata, ekmek, isteğe göre soğan</t>
  </si>
  <si>
    <t>Hamsi Tava (2 Kişilik)</t>
  </si>
  <si>
    <t>Sardalya Tava (1 Kişilik)</t>
  </si>
  <si>
    <t>Sardalya Tava (2 Kişilik)</t>
  </si>
  <si>
    <t>44,00 TL</t>
  </si>
  <si>
    <t>Yarım Ekmek Arası Patsi</t>
  </si>
  <si>
    <t>Hamsi, patates kızartması, isteğe göre soğan</t>
  </si>
  <si>
    <t>Yarım Ekmek Arası Sardalya</t>
  </si>
  <si>
    <t>Yarım Ekmek Arası Midye Dolma</t>
  </si>
  <si>
    <t>Yarım Ekmek Arası Uskumru</t>
  </si>
  <si>
    <t>Yarım Ekmek Arası Double Hamsi</t>
  </si>
  <si>
    <t>Yarım Ekmek Arası Mezgit</t>
  </si>
  <si>
    <t>Yarım Ekmek Arası Karides</t>
  </si>
  <si>
    <t>Yarım Ekmek Arası Midye Tava</t>
  </si>
  <si>
    <t>Yarım Ekmek Arası Çipura</t>
  </si>
  <si>
    <t>Yarım Ekmek Arası Levrek</t>
  </si>
  <si>
    <t>Yarım Ekmek Arası Şerit Kalamar</t>
  </si>
  <si>
    <t>Yarım Ekmek Arası Kalamar</t>
  </si>
  <si>
    <t>Midye Tava</t>
  </si>
  <si>
    <t>Karides</t>
  </si>
  <si>
    <t>Şerit Kalamar</t>
  </si>
  <si>
    <t>54,00 TL</t>
  </si>
  <si>
    <t>Kalamar</t>
  </si>
  <si>
    <t>Fish &amp; Chips</t>
  </si>
  <si>
    <t>Patates kızartması ile</t>
  </si>
  <si>
    <t>Midye Dolma (10 Adet)</t>
  </si>
  <si>
    <t>Karides Salata</t>
  </si>
  <si>
    <t>Domates, yeşillik, isteğe göre soğan</t>
  </si>
  <si>
    <t>Helva</t>
  </si>
  <si>
    <t>Hamsi Finger</t>
  </si>
  <si>
    <t>***=HYPERLINK("file:///C:/rest_photo/Hamsi Finger, Merkez (Aşağı Kayabaşı Mah. - Dr. Sami Yağız Cad.).jpg","Hamsi Finger, Merkez (Aşağı Kayabaşı Mah. - Dr. Sami Yağız Cad.)")</t>
  </si>
  <si>
    <t>Han Burger House, Merkez (Aşağı Kayabaşı Mah. - Bor Yolu)</t>
  </si>
  <si>
    <t>31,50 TL</t>
  </si>
  <si>
    <t>Boss Burger Menü</t>
  </si>
  <si>
    <t>Boss Burger + Patates Kızartması + 3 Adet Soğan Halkası + Kutu İçecek</t>
  </si>
  <si>
    <t>El yapımı Han burger köftesi, marul, domates, turşu, karamelize soğan, sebzeli kapak sos. Patates kızartması ile</t>
  </si>
  <si>
    <t>25,50 TL</t>
  </si>
  <si>
    <t>El yapımı Han burger köftesi, marul, domates, turşu, cheddar peyniri, sebzeli kapak sos. Patates kızartması ile</t>
  </si>
  <si>
    <t>2'li Bosses Burger Menü</t>
  </si>
  <si>
    <t>2 Adet Boss Burger + 2 Adet Patates Kızartması + 4 Adet Soğan Halkası + 6 Adet Patates Kroket + 2 Adet İçecek</t>
  </si>
  <si>
    <t>96,00 TL</t>
  </si>
  <si>
    <t>2'li Mushroom Burger Menü</t>
  </si>
  <si>
    <t>2 Adet Mushroom Burger + 2 Adet Patates Kızartması + Cheddar Soslu Parmak Patates Kızartması + 6 Adet Soğan Halkası + 2 Adet İçecek</t>
  </si>
  <si>
    <t>86,25 TL</t>
  </si>
  <si>
    <t>2'li Füme Burger Menü</t>
  </si>
  <si>
    <t>2 Adet Füme Burger + 2 Adet Patates Kızartması + 6 Adet Soğan Halkası + 6 Adet Patates Kroket + 2 Adet İçecek</t>
  </si>
  <si>
    <t>91,50 TL</t>
  </si>
  <si>
    <t>2'li Peynir Sever Burger Menü</t>
  </si>
  <si>
    <t>2 Adet Peynir Şöleni Burger + 2 Adet Patates Kızartması + 6 Adet Mozzarella Stick + 6 Adet Soğan Halkası + 2 Adet İçecek</t>
  </si>
  <si>
    <t>93,75 TL</t>
  </si>
  <si>
    <t>Ekmek Arası Et Burger + Baharatsız Patates Kızartması + 2 Adet Soğan Halkası + Ayran (20 cl.)</t>
  </si>
  <si>
    <t>Chef Burger Menü</t>
  </si>
  <si>
    <t>Chef Burger + Patates Kızartması + Kutu İçecek</t>
  </si>
  <si>
    <t>39,75 TL</t>
  </si>
  <si>
    <t>2'li Happy Burger Menü</t>
  </si>
  <si>
    <t>2 Adet Klasik Burger + 2 Adet Patates Kızartması + 4 Adet Soğan Halkası + 4 Adet Patates Kroket + 2 Adet İçecek</t>
  </si>
  <si>
    <t>66,00 TL</t>
  </si>
  <si>
    <t>2'li Cheeseburger Menü</t>
  </si>
  <si>
    <t>2 Adet Cheeseburger + 2 Adet Patates Kızartması + 2 Adet Soğan Halkası+ 6 Adet Patates Kroket + 2 Adet İçecek</t>
  </si>
  <si>
    <t>67,50 TL</t>
  </si>
  <si>
    <t>Hellim Burger</t>
  </si>
  <si>
    <t>El yapımı Han burger köftesi, marul, domates, turşu, ızgara hellim peyniri, cheddar peyniri, sebzeli kapak sos. Patates kızartması ile</t>
  </si>
  <si>
    <t>Emmental Burger</t>
  </si>
  <si>
    <t>El yapımı Han burger köftesi, marul, domates, turşu, közlenmiş patlıcan salatası, emmantel peyniri, sebzeli kapak sos. Patates kızartması ile</t>
  </si>
  <si>
    <t>BBQ Burger</t>
  </si>
  <si>
    <t>El yapımı Han burger köftesi, marul, domates, turşu, közlenmiş patlıcan salatası, kibrit patates kızartması, sebzeli kapak sos, barbekü sos. Patates kızartması ile</t>
  </si>
  <si>
    <t>Chef Burger</t>
  </si>
  <si>
    <t>El yapımı Han burger köftesi, domates, turşu, cheddar peyniri, közlenmiş patlıcan salatası, füme et, sebzeli kapak sos, mor soğan, karamelize mantar, rokfor peyniri. Patates kızartması ile</t>
  </si>
  <si>
    <t>El yapımı Han burger köftesi, marul, domates, turşu, özel Mexican sos, sebzeli kapak sos. Patates kızartması ile</t>
  </si>
  <si>
    <t>Füme Burger</t>
  </si>
  <si>
    <t>El yapımı Han burger köftesi, marul, domates, turşu, cheddar peyniri, füme et, mor soğan, sebzeli kapak sos. Patates kızartması ile</t>
  </si>
  <si>
    <t>Mushroom Burger</t>
  </si>
  <si>
    <t>El yapımı Han burger köftesi, marul, domates, turşu karamelize mantar, sebzeli kapak sos. Patates kızartması ile</t>
  </si>
  <si>
    <t>Peynir Şöleni</t>
  </si>
  <si>
    <t>El yapımı Han burger köftesi, marul, domates, turşu, cheddar peyniri, emmantel peyniri, rokfor peyniri, mozzarella peyniri, tulum peyniri, karamelize soğan, Ezine peyniri, sebzeli kapak sos. Patates kızartması ile</t>
  </si>
  <si>
    <t>35,25 TL</t>
  </si>
  <si>
    <t>Boss Burger</t>
  </si>
  <si>
    <t>2 adet el yapımı Han burger köftesi, marul, domates, turşu, çift cheddar peyniri, füme et, mor soğan, sebzeli kapak sos. Patates kızartması ile</t>
  </si>
  <si>
    <t>Mozzarella Stick (5 Adet)</t>
  </si>
  <si>
    <t>22,50 TL</t>
  </si>
  <si>
    <t>Patates Kroket (8 Adet)</t>
  </si>
  <si>
    <t>Mantarlı Cheddar Soslu Parmak Dilim Patates Kızartması</t>
  </si>
  <si>
    <t>Füme Etli Cheddar Soslu Parmak Dilim Patates Kızartması</t>
  </si>
  <si>
    <t>Cheddar Soslu Parmak Patates Kızartması</t>
  </si>
  <si>
    <t>17,25 TL</t>
  </si>
  <si>
    <t>Parmak Dilim Patates Kızartması</t>
  </si>
  <si>
    <t>Han'ın Özel Sosu</t>
  </si>
  <si>
    <t>Özel Mexican Sos</t>
  </si>
  <si>
    <t>Hardal Sos</t>
  </si>
  <si>
    <t>Sprite (20 cl.)</t>
  </si>
  <si>
    <t>Torku No-On (25 cl.)</t>
  </si>
  <si>
    <t>3,75 TL</t>
  </si>
  <si>
    <t>Han Burger House</t>
  </si>
  <si>
    <t>***=HYPERLINK("file:///C:/rest_photo/Han Burger House, Merkez (Aşağı Kayabaşı Mah. - Bor Yolu).jpg","Han Burger House, Merkez (Aşağı Kayabaşı Mah. - Bor Yolu)")</t>
  </si>
  <si>
    <t>40-50 dk.</t>
  </si>
  <si>
    <t>Hatay Döner, Merkez (Aşağı Kayabaşı Mah. - Hastane Bölgesi)</t>
  </si>
  <si>
    <t>Marul, patates kızartması, turşu, sos, mayonez</t>
  </si>
  <si>
    <t>11,25 TL</t>
  </si>
  <si>
    <t>Marul, patates kızartması, turşu, sos, mayonez, tavuk döner</t>
  </si>
  <si>
    <t>15,75 TL</t>
  </si>
  <si>
    <t>Çoban salata, mevsim salata, ezme, soğan söğüş ile</t>
  </si>
  <si>
    <t>İskender Kebap (Tavuk Dönerden)</t>
  </si>
  <si>
    <t>Çoban salata, ezme, mevsim salata, pilav, yoğurt, közlenmiş domates, közlenmiş biber ile</t>
  </si>
  <si>
    <t>Salata, soğan söğüş</t>
  </si>
  <si>
    <t>İskender Kebap (Et Dönerden)</t>
  </si>
  <si>
    <t>Marul, patates kızartması, turşu, sos, mayonez, et döner</t>
  </si>
  <si>
    <t>Salata, soğan söğüş, pirinç pilavı</t>
  </si>
  <si>
    <t>Çoban mevsim salata, ezme, lahana, patlıcan salatası, soğan salatası ile</t>
  </si>
  <si>
    <t>Karışık Izgara &amp; Döner</t>
  </si>
  <si>
    <t>40 gr. et döner, 40 gr. tavuk döner, 40 gr. köfte. Çoban salata, ezme, soğan, söğüş, pilav ile</t>
  </si>
  <si>
    <t>33,75 TL</t>
  </si>
  <si>
    <t>Karışık Dürüm</t>
  </si>
  <si>
    <t>Et döner dürüm, tavuk döner dürüm, köfte dürüm</t>
  </si>
  <si>
    <t>Hatay Döner</t>
  </si>
  <si>
    <t>***=HYPERLINK("file:///C:/rest_photo/Hatay Döner, Merkez (Aşağı Kayabaşı Mah. - Hastane Bölgesi).jpg","Hatay Döner, Merkez (Aşağı Kayabaşı Mah. - Hastane Bölgesi)")</t>
  </si>
  <si>
    <t>Hayat Su, Merkez (Şehitler Mah.)</t>
  </si>
  <si>
    <t>Hayat Damacana Su (19 L.)</t>
  </si>
  <si>
    <t>Damacana depozito bedeli 40 TL'dir. Farklı marka depozito değişim ücreti ise 10 TL’dir.</t>
  </si>
  <si>
    <t>Damacana Su</t>
  </si>
  <si>
    <t>Şehitler Mah.</t>
  </si>
  <si>
    <t>Hayat Su</t>
  </si>
  <si>
    <t>***=HYPERLINK("file:///C:/rest_photo/Hayat Su, Merkez (Şehitler Mah.).jpg","Hayat Su, Merkez (Şehitler Mah.)")</t>
  </si>
  <si>
    <t>2 sa.</t>
  </si>
  <si>
    <t>Hoburger, Merkez (Aşağı Kayabaşı Mah. - Bor Yolu)</t>
  </si>
  <si>
    <t>İsteğe göre; ketçap, mayonez, hardal sos, karamelize soğan, marul, turşu, mozzarella peyniri, patates kızartması ile</t>
  </si>
  <si>
    <t>İsteğe göre; ketçap, mayonez, hardal sos, karamelize soğan, marul, turşu, patates kızartması ile</t>
  </si>
  <si>
    <t>Vodafone Menüsü (Hamburger)</t>
  </si>
  <si>
    <t>Hamburger + Kutu İçecek (Kampanya koşulları için restoranın Promosyonlar bölümüne göz atınız. İndirimli fiyat ürün sepete eklendikten sonra uygulanır.)</t>
  </si>
  <si>
    <t>Cevizli Diyarbakır Burma Kadayıf</t>
  </si>
  <si>
    <t>Tavuk Burger</t>
  </si>
  <si>
    <t>Seçilmiş Menü (Cheeseburger)</t>
  </si>
  <si>
    <t>Cheeseburger + Coca-Cola (33 cl.)</t>
  </si>
  <si>
    <t>Hoburcuk Et Çocuk Burger</t>
  </si>
  <si>
    <t>HoBurger (Kavurmalı)</t>
  </si>
  <si>
    <t>Hoburcuk Tavuk Çocuk Burger</t>
  </si>
  <si>
    <t>Hot Burger</t>
  </si>
  <si>
    <t>Hoburger</t>
  </si>
  <si>
    <t>***=HYPERLINK("file:///C:/rest_photo/Hoburger, Merkez (Aşağı Kayabaşı Mah. - Bor Yolu).jpg","Hoburger, Merkez (Aşağı Kayabaşı Mah. - Bor Yolu)")</t>
  </si>
  <si>
    <t>Izgaracım, Merkez (Selçuk Mah.)</t>
  </si>
  <si>
    <t>Halka Tatlısı (Adet)</t>
  </si>
  <si>
    <t>2,80 TL</t>
  </si>
  <si>
    <t>Karışık Tavuk Izgara (1 kg.)</t>
  </si>
  <si>
    <t>Tavuk kanat, tavuk incik, tavuk kelebek, tavuk pirzola. Közlenmiş soğan, biber, domates, salata ile</t>
  </si>
  <si>
    <t>49,70 TL</t>
  </si>
  <si>
    <t>Kuzu pirzola, Adana kebap, tavuk şiş, kuzu şiş, ciğer şiş, ızgara köfte. Közlenmiş soğan, közlenmiş biber, ezme, salata, pide ile</t>
  </si>
  <si>
    <t>69,30 TL</t>
  </si>
  <si>
    <t>Közlenmiş soğan, közlenmiş biber, ezme, salata, pide ile</t>
  </si>
  <si>
    <t>30,80 TL</t>
  </si>
  <si>
    <t>Seçilmiş Menü (Tavuk Pirzola (1 kg.))</t>
  </si>
  <si>
    <t>Tavuk Pirzola (1 kg.) + Coca-Cola (1 L.)</t>
  </si>
  <si>
    <t>49,25 TL</t>
  </si>
  <si>
    <t>Seçilmiş Menü (Tavuk Kanat (1 kg.))</t>
  </si>
  <si>
    <t>Tavuk Kanat (1 kg.) + Coca-Cola (1 L.)</t>
  </si>
  <si>
    <t>76,43 TL</t>
  </si>
  <si>
    <t>Vodafone Menüsü (Tavuk Kelebek (1 kg.))</t>
  </si>
  <si>
    <t>Tavuk Kelebek (1 kg.) + Şalgam Suyu (25 cl.) (Kampanya koşulları için restoranın Promosyonlar bölümüne göz atınız. İndirimli fiyat ürün sepete eklendikten sonra uygulanır.)</t>
  </si>
  <si>
    <t>Adana Dürüm Menü</t>
  </si>
  <si>
    <t>Adana Dürüm (Közlenmiş soğan, biber, domates, salata) + Ayran (20 cl.) veya Şalgam Suyu (33 cl.)</t>
  </si>
  <si>
    <t>19,60 TL</t>
  </si>
  <si>
    <t>Tavuk Şiş Menü</t>
  </si>
  <si>
    <t>Tavuk Şiş + Ayran (20 cl.)</t>
  </si>
  <si>
    <t>Kuzu Çöp Şiş (1,5)</t>
  </si>
  <si>
    <t>Közlenmiş biber, közlenmiş soğan, salata, ekmek ile</t>
  </si>
  <si>
    <t>Kemiksiz Tavuk</t>
  </si>
  <si>
    <t>Köz biber, domates, salata, pide ile</t>
  </si>
  <si>
    <t>Dana Kuşbaşı</t>
  </si>
  <si>
    <t>Kuzu Çöp Şiş</t>
  </si>
  <si>
    <t>Pirzola</t>
  </si>
  <si>
    <t>Közlenmiş soğan, biber, domates, salata</t>
  </si>
  <si>
    <t>Tırnak Pide (Adet)</t>
  </si>
  <si>
    <t>1,75 TL</t>
  </si>
  <si>
    <t>Tulumba Tatlısı (500 gr.)</t>
  </si>
  <si>
    <t>13,30 TL</t>
  </si>
  <si>
    <t>Coca-Cola Light (20 cl.)</t>
  </si>
  <si>
    <t>Coca-Cola Zero Sugar (20 cl.)</t>
  </si>
  <si>
    <t>4,20 TL</t>
  </si>
  <si>
    <t>2,10 TL</t>
  </si>
  <si>
    <t>Izgara Köfte (1 kg.)</t>
  </si>
  <si>
    <t>Közlenmiş soğan, biber, domates, salata, 1 adet ekmek ile</t>
  </si>
  <si>
    <t>Tavuk Kanat (1 kg.)</t>
  </si>
  <si>
    <t>Közlenmiş soğan, biber, domates, salata ile</t>
  </si>
  <si>
    <t>Tavuk Kanat (1,5 kg.)</t>
  </si>
  <si>
    <t>Közlenmiş biber, közlenmiş domates, közlenmiş soğan, salata, ekmek ile</t>
  </si>
  <si>
    <t>Tavuk Kelebek (1 kg.)</t>
  </si>
  <si>
    <t>Tavuk Pirzola (1 kg.)</t>
  </si>
  <si>
    <t>Tavuk Pirzola (1,5 kg.)</t>
  </si>
  <si>
    <t>Közlenmiş biber, közlenmiş domates, soğan, salata, ekmek ile</t>
  </si>
  <si>
    <t>Izgaracım</t>
  </si>
  <si>
    <t>***=HYPERLINK("file:///C:/rest_photo/Izgaracım, Merkez (Selçuk Mah.).jpg","Izgaracım, Merkez (Selçuk Mah.)")</t>
  </si>
  <si>
    <t>İlmare Pizza, Merkez (Aşağı Kayabaşı Mah. - Dr. Sami Yağız Cad.)</t>
  </si>
  <si>
    <t>İlmare Pizza (Büyük)</t>
  </si>
  <si>
    <t>Pizza sosu, kaşar peyniri, mısır, salam, sucuk, sosis, mantar, biber, zeytin</t>
  </si>
  <si>
    <t>Combo 3 Menü</t>
  </si>
  <si>
    <t>3 Dilim İlmare Pizza + Patates Kızartması + Coca-Cola (20 cl.)</t>
  </si>
  <si>
    <t>Kumpir</t>
  </si>
  <si>
    <t>Kaşar peyniri, tereyağı, salam, sucuk, sosis, Rus salatası, mısır, zeytin, ketçap, mayonez</t>
  </si>
  <si>
    <t>İlmare Pizza (Orta)</t>
  </si>
  <si>
    <t>Özel Menü</t>
  </si>
  <si>
    <t>Seçeceğiniz İlmare Pizza + Patates Kızartması + 2 Adet Nugget + 2 Adet Patates Kroket + Kutu İçecek</t>
  </si>
  <si>
    <t>Cheeseburger (100 gr. dana burger, domates, turşu, marul, cheddar peyniri, burger sos, ketçap, mayonez) + Patates Kızartması + Coca-Cola (20 cl.)</t>
  </si>
  <si>
    <t>Aile Boyu Jumbo Menü</t>
  </si>
  <si>
    <t>Patates Kızartması (Büyük Boy) + 4 Adet Nugget + 4 Adet Kroket + 4 Adet Soğan Halkası + Coca-Cola (2 L.)</t>
  </si>
  <si>
    <t>Combo 1 (Elma Dilimli) Menü</t>
  </si>
  <si>
    <t>2 Dilim İlmare Pizza + Elma Dilim Patates Kızartması + Coca-Cola (20 cl.)</t>
  </si>
  <si>
    <t>Combo 1 Menü</t>
  </si>
  <si>
    <t>2 Dilim İlmare Pizza + Patates Kızartması + Coca-Cola (20 cl.)</t>
  </si>
  <si>
    <t>Combo 2 (Elma Dilimli) Menü</t>
  </si>
  <si>
    <t>2 Dilim İlmare Pizza + 2 Adet Nugget + Elma Dilim Patates Kızartması + Coca-Cola (20 cl.)</t>
  </si>
  <si>
    <t>Combo 2 Menü</t>
  </si>
  <si>
    <t>2 Dilim İlmare Pizza + 2 Adet Nugget + Patates Kızartması + Coca-Cola (20 cl.)</t>
  </si>
  <si>
    <t>Combo 3 (Elma Dilimli) Menü</t>
  </si>
  <si>
    <t>3 Dilim İlmare Pizza + Elma Dilim Patates Kızartması + Coca-Cola (20 cl.)</t>
  </si>
  <si>
    <t>Combo 4 (Veggie) Menü</t>
  </si>
  <si>
    <t>Kumpir (Kaşar peyniri, tereyağı, mısır, zeytin, Rus salatası, turşu) + Coca-Cola (20 cl.)</t>
  </si>
  <si>
    <t>Combo 4 Menü</t>
  </si>
  <si>
    <t>Kumpir (Kaşar peyniri, turşu, salam, sucuk, sosis, mısır, zeytin, Rus salatası, tereyağı) + Coca-Cola (20 cl.)</t>
  </si>
  <si>
    <t>Combo 5 Menü</t>
  </si>
  <si>
    <t>Patates Kızartması + Nugget + Soğan Halkası + Elma Dilim Patates Kızartması + Patates Kroket + Rus Salatası + Coca-Cola (20 cl.)</t>
  </si>
  <si>
    <t>Combo Bambino Menü</t>
  </si>
  <si>
    <t>1 Dilim İlmare Pizza + Patates Kızartması + Coca-Cola (20 cl.)</t>
  </si>
  <si>
    <t>Double Et Burger Menü</t>
  </si>
  <si>
    <t>Double Et Burger (180 gr. dana burger, domates, turşu, karamelize soğan, mantar, ketçap, mayonez) + Patates Kızartması + Coca-Cola (20 cl.)</t>
  </si>
  <si>
    <t>El Yapımı Dana Burger Menü</t>
  </si>
  <si>
    <t>El Yapımı Dana Burger (100 gr. dana burger, domates, turşu, marul, soğan, burger sos, ketçap, mayonez) + Patates Kızartması + Coca-Cola (20 cl.)</t>
  </si>
  <si>
    <t>Füme Burger Menü</t>
  </si>
  <si>
    <t>Füme Burger (100 gr. dana burger, dana füme, ketçap, mayonez, turşu, burger sos) + Patates Kızartması + Coca-Cola (20 cl.)</t>
  </si>
  <si>
    <t>Hamburger + Patates Kızartması + Coca-Cola (20 cl.)</t>
  </si>
  <si>
    <t>Hardal Et Burger Menü</t>
  </si>
  <si>
    <t>Hardal Et Burger (100 gr. dana burger, domates, turşu, ketçap, mayonez, marul, soğan, hardal sos) + Patates Kızartması + Coca-Cola (20 cl.)</t>
  </si>
  <si>
    <t>31,00 TL</t>
  </si>
  <si>
    <t>İlmare Menü</t>
  </si>
  <si>
    <t>Seçeceğiniz İlmare Pizza + Patates Kızartması + Kutu İçecek</t>
  </si>
  <si>
    <t>Jumbo Boy Menü</t>
  </si>
  <si>
    <t>Jumbo Boy İlmare Pizza + Büyük Boy Patates Kızartması + Coca-Cola (1 L.)</t>
  </si>
  <si>
    <t>Kapsalon Menü</t>
  </si>
  <si>
    <t>Kapsalon (Patates kızartması, tavuk döner, kaşar peyniri, marul, domates, salatalık, karalahana, sarımsak sos) + Coca-Cola (20 cl.)</t>
  </si>
  <si>
    <t>Karamelize Burger Menü</t>
  </si>
  <si>
    <t>Karamelize Burger (100 gr. dana burger, domates, turşu, marul, ketçap, mayonez, karamelize soğan, mantar, burger sos) + Patates Kızartması + Coca-Cola (20 cl.)</t>
  </si>
  <si>
    <t>Nugget Tabağı Menü</t>
  </si>
  <si>
    <t>Tavuk Nugget (6 Adet) + Patates Kızartması + Salata</t>
  </si>
  <si>
    <t>Şef Special Burger Menü</t>
  </si>
  <si>
    <t>Şef Special Burger (200 gr. dana burger, ketçap, mayonez, turşu, marul, karamelize mantar, cheddar peyniri, burger sos, soğan) + Patates Kızartması + Coca-Cola (20 cl.)</t>
  </si>
  <si>
    <t>42,50 TL</t>
  </si>
  <si>
    <t>Süper Combo Menü</t>
  </si>
  <si>
    <t>2 Dilim İlmare Pizza + 2 Adet Nugget + 2 Adet Soğan Halkası + 2 Adet Patates Kroket + Patates Kızartması + Elma Dilim Patates Kızartması + Coca-Cola (20 cl.)</t>
  </si>
  <si>
    <t>Tavuk Schnitzel Menü</t>
  </si>
  <si>
    <t>Tavuk Şnitzel + Patates Kızartması + Salata</t>
  </si>
  <si>
    <t>Alaturka Pizza (Küçük)</t>
  </si>
  <si>
    <t>Pizza sosu, kaşar peyniri, salam, sosis, sucuk</t>
  </si>
  <si>
    <t>Ispanaklı Pizza (Küçük)</t>
  </si>
  <si>
    <t>Pizza sosu, kaşar peyniri, dana kıyma, soğan, ıspanak, domates</t>
  </si>
  <si>
    <t>Kıymalı Pizza (Küçük)</t>
  </si>
  <si>
    <t>Pizza sosu, kaşar peyniri, dana kıyma, soğan, biber, domates, kekik</t>
  </si>
  <si>
    <t>Süper Ton Balıklı Pizza (Küçük)</t>
  </si>
  <si>
    <t>Pizza sosu, kaşar peyniri, ton balığı, soğan, sarımsak</t>
  </si>
  <si>
    <t>Süper Vegie Pizza (Küçük)</t>
  </si>
  <si>
    <t>Pizza sosu, kaşar peyniri, acı biber turşusu, mantar, biber, soğan, kapari, zeytin, kapya biber, domates</t>
  </si>
  <si>
    <t>Sucuklum Pizza (Küçük)</t>
  </si>
  <si>
    <t>Pizza sosu, kaşar peyniri, kasap dana sucuk, domates, biber, soğan</t>
  </si>
  <si>
    <t>Calzone Pizza (Küçük)</t>
  </si>
  <si>
    <t>Pizza sosu, kaşar peyniri, sucuk, sosis, biber, mantar, zeytin</t>
  </si>
  <si>
    <t>Fantazi Pizza (Küçük)</t>
  </si>
  <si>
    <t>Pizza sosu, kaşar peyniri, salam, sosis, mantar, mısır</t>
  </si>
  <si>
    <t>Funghi Pizza (Küçük)</t>
  </si>
  <si>
    <t>Pizza sosu, kaşar peyniri, mantar</t>
  </si>
  <si>
    <t>İlmare Pizza (Küçük)</t>
  </si>
  <si>
    <t>Kavurmalı Pizza (Küçük)</t>
  </si>
  <si>
    <t>Pizza sosu, kaşar peyniri, kavurma, yeşilbiber, dilim domates</t>
  </si>
  <si>
    <t>Margherita Pizza (Küçük)</t>
  </si>
  <si>
    <t>Pizza sosu, kaşar peyniri</t>
  </si>
  <si>
    <t>Marinara Pizza (Küçük)</t>
  </si>
  <si>
    <t>Pizza sosu, kaşar peyniri, midye, karides, kalamar, ton balığı, domates, biber</t>
  </si>
  <si>
    <t>Napoli Pizza (Küçük)</t>
  </si>
  <si>
    <t>Pizza sosu, kaşar peyniri, salam, sucuk, sosis, mantar, zeytin</t>
  </si>
  <si>
    <t>Pastırmalı Pizza (Küçük)</t>
  </si>
  <si>
    <t>Pizza sosu, kaşar peyniri, pastırma, yeşilbiber, dilim domates</t>
  </si>
  <si>
    <t>Romano Pizza (Küçük)</t>
  </si>
  <si>
    <t>Pizza sosu, kaşar peyniri, sucuk</t>
  </si>
  <si>
    <t>Special Pizza (Küçük)</t>
  </si>
  <si>
    <t>Pizza sosu, kaşar peyniri, zeytin, yeşilbiber, küp domates, beyaz peynir</t>
  </si>
  <si>
    <t>Tavuk Dönerli Pizza (Küçük)</t>
  </si>
  <si>
    <t>Pizza sosu, kaşar peyniri, tavuk döner, yeşilbiber, dilim domates</t>
  </si>
  <si>
    <t>Tonno Pizza (Küçük)</t>
  </si>
  <si>
    <t>Pizza sosu, kaşar peyniri, mantar, mısır, ton balığı</t>
  </si>
  <si>
    <t>Vejetaryen Pizza (Küçük)</t>
  </si>
  <si>
    <t>Pizza sosu, kaşar peyniri, mantar, biber, zeytin, mısır</t>
  </si>
  <si>
    <t>Ispanaklı Pizza (Orta)</t>
  </si>
  <si>
    <t>Kıymalı Pizza (Orta)</t>
  </si>
  <si>
    <t>Süper Ton Balıklı Pizza (Orta)</t>
  </si>
  <si>
    <t>Süper Vegi Pizza (Orta)</t>
  </si>
  <si>
    <t>Sucuklum Pizza (Orta)</t>
  </si>
  <si>
    <t>Alaturka Pizza (Orta)</t>
  </si>
  <si>
    <t>Calzone Pizza (Orta)</t>
  </si>
  <si>
    <t>Fantazi Pizza (Orta)</t>
  </si>
  <si>
    <t>Funghi Pizza (Orta)</t>
  </si>
  <si>
    <t>Kavurmalı Pizza (Orta)</t>
  </si>
  <si>
    <t>Margherita Pizza (Orta)</t>
  </si>
  <si>
    <t>Marinara Pizza (Orta)</t>
  </si>
  <si>
    <t>Napoli Pizza (Orta)</t>
  </si>
  <si>
    <t>Pastırmalı Pizza (Orta)</t>
  </si>
  <si>
    <t>Romano Pizza (Orta)</t>
  </si>
  <si>
    <t>Special Pizza (Orta)</t>
  </si>
  <si>
    <t>Tavuk Dönerli Pizza (Orta)</t>
  </si>
  <si>
    <t>Tonno Pizza (Orta)</t>
  </si>
  <si>
    <t>Vejetaryen Pizza (Orta)</t>
  </si>
  <si>
    <t>Alaturka Pizza (Büyük)</t>
  </si>
  <si>
    <t>Ispanaklı Pizza (Büyük)</t>
  </si>
  <si>
    <t>Kıymalı Pizza (Büyük)</t>
  </si>
  <si>
    <t>41,00 TL</t>
  </si>
  <si>
    <t>Süper Ton Balıklı Pizza (Büyük)</t>
  </si>
  <si>
    <t>Süper Vegi Pizza (Büyük)</t>
  </si>
  <si>
    <t>Sucuklum Pizza (Büyük)</t>
  </si>
  <si>
    <t>Calzone Pizza (Büyük)</t>
  </si>
  <si>
    <t>Fantazi Pizza (Büyük)</t>
  </si>
  <si>
    <t>Funghi Pizza (Büyük)</t>
  </si>
  <si>
    <t>Kavurmalı Pizza (Büyük)</t>
  </si>
  <si>
    <t>Margherita Pizza (Büyük)</t>
  </si>
  <si>
    <t>Marinara Pizza (Büyük)</t>
  </si>
  <si>
    <t>Napoli Pizza (Büyük)</t>
  </si>
  <si>
    <t>Pastırmalı Pizza (Büyük)</t>
  </si>
  <si>
    <t>Romano Pizza (Büyük)</t>
  </si>
  <si>
    <t>Special Pizza (Büyük)</t>
  </si>
  <si>
    <t>Tavuk Dönerli Pizza (Büyük)</t>
  </si>
  <si>
    <t>Tonno Pizza (Büyük)</t>
  </si>
  <si>
    <t>Vejetaryen Pizza (Büyük)</t>
  </si>
  <si>
    <t>Domates, marul, turşu, ketçap, mayonez</t>
  </si>
  <si>
    <t>Domates, marul, turşu, cheddar peyniri, ketçap, mayonez</t>
  </si>
  <si>
    <t>Chicken Burger</t>
  </si>
  <si>
    <t>Köri Soslu Kremalı Tavuk</t>
  </si>
  <si>
    <t>200 gr. tavuk göğüs. Salata, patates kızartması, makarna (penne veya spaghetti, pesto veya napolitan soslu)</t>
  </si>
  <si>
    <t>Barbekü Soslu Sebzeli Tavuk</t>
  </si>
  <si>
    <t>200 gr. tavuk göğüs. Yeşil salata, patates kızartması, makarna (penne veya spaghetti, pesto veya napolitan soslu)</t>
  </si>
  <si>
    <t>Fırında Tavuk Güveç</t>
  </si>
  <si>
    <t>Izgara Tavuk</t>
  </si>
  <si>
    <t>Pollo Funghi</t>
  </si>
  <si>
    <t>Sebzeli Tavuk</t>
  </si>
  <si>
    <t>Spaghetti Funghi</t>
  </si>
  <si>
    <t>Spaghetti Tonno</t>
  </si>
  <si>
    <t>Spaghetti Dele Casa</t>
  </si>
  <si>
    <t>Al Pesto</t>
  </si>
  <si>
    <t>Krema, sos, pesto sos</t>
  </si>
  <si>
    <t>Arrabbiata</t>
  </si>
  <si>
    <t>Acı soslu, napolitan</t>
  </si>
  <si>
    <t>Köri Soslu Makarna</t>
  </si>
  <si>
    <t>Köri sos, krema</t>
  </si>
  <si>
    <t>Lazanya (Vejetaryen)</t>
  </si>
  <si>
    <t>Lazanya</t>
  </si>
  <si>
    <t>Pollo</t>
  </si>
  <si>
    <t>Köri sos, krema, tavuk, mantar</t>
  </si>
  <si>
    <t>Mix Patates Kızartması</t>
  </si>
  <si>
    <t>Çıtır Kanat</t>
  </si>
  <si>
    <t>4 adet çıtır kanat, acı sos, sarımsak sos</t>
  </si>
  <si>
    <t>Çıtır Göğüs</t>
  </si>
  <si>
    <t>4 adet çıtır göğüs, acı sos, sarımsak sos</t>
  </si>
  <si>
    <t>Kumru Sandviç</t>
  </si>
  <si>
    <t>Salam, sucuk, sosis, kaşar peyniri, turşu, ketçap, mayonez</t>
  </si>
  <si>
    <t>Patates Kroket (Adet)</t>
  </si>
  <si>
    <t>Nugget (6 Adet)</t>
  </si>
  <si>
    <t>İlmare Dilim Pizza</t>
  </si>
  <si>
    <t>Patates Kroket (6 Adet)</t>
  </si>
  <si>
    <t>Akdeniz yeşillikleri</t>
  </si>
  <si>
    <t>Mevsim yeşillikleri</t>
  </si>
  <si>
    <t>Rus Salatası</t>
  </si>
  <si>
    <t>Diyet Salata</t>
  </si>
  <si>
    <t>Izgara Tavuklu Salata</t>
  </si>
  <si>
    <t>Mevsim yeşillikleri, ızgara tavuk göğüs</t>
  </si>
  <si>
    <t>Mozaik Pasta</t>
  </si>
  <si>
    <t>Brownie</t>
  </si>
  <si>
    <t>Çikolatalı Pasta</t>
  </si>
  <si>
    <t>Fıstık Dalgası</t>
  </si>
  <si>
    <t>Red Velvet Pasta</t>
  </si>
  <si>
    <t>Orman Meyveli Pasta</t>
  </si>
  <si>
    <t>Muzlu Pasta</t>
  </si>
  <si>
    <t>Dağ Meyveli Pasta</t>
  </si>
  <si>
    <t>Karamelli Trileçe</t>
  </si>
  <si>
    <t>Latte Pasta</t>
  </si>
  <si>
    <t>Ballı Pasta</t>
  </si>
  <si>
    <t>0,50 TL</t>
  </si>
  <si>
    <t>Ballı Hardal</t>
  </si>
  <si>
    <t>İlmare Pizza</t>
  </si>
  <si>
    <t>***=HYPERLINK("file:///C:/rest_photo/İlmare Pizza, Merkez (Aşağı Kayabaşı Mah. - Dr. Sami Yağız Cad.).jpg","İlmare Pizza, Merkez (Aşağı Kayabaşı Mah. - Dr. Sami Yağız Cad.)")</t>
  </si>
  <si>
    <t>İrem Pizza, Bor (Fatih Mah.)</t>
  </si>
  <si>
    <t>Karışık Pizza (Orta Boy)</t>
  </si>
  <si>
    <t>Pizza sosu, kaşar peyniri, salam, sucuk, domates, biber, mantar, mısır, zeytin</t>
  </si>
  <si>
    <t>Karışık Pizza (Büyük Boy)</t>
  </si>
  <si>
    <t>Küçük Boy Menü</t>
  </si>
  <si>
    <t>Seçeceğiniz Küçük Boy Pizza + Patates Kızartması + 2 Adet Tavuk Nugget + 2 Adet Soğan Halkası + Coca-Cola (20 cl.)</t>
  </si>
  <si>
    <t>Hamburger köftesi, ketçap, mayonez, marul, domates, turşu</t>
  </si>
  <si>
    <t>Seçeceğiniz Aile Boyu Pizza + Patates Kızartması + 2 Adet Tavuk Nugget + 2 Adet Soğan Halkası + Coca-Cola (1 L.)</t>
  </si>
  <si>
    <t>Di Pollo Menü</t>
  </si>
  <si>
    <t>Di Polo Pizza (Büyük Boy) + Patates Kızartması + 2 Adet Nugget + 2 Adet Soğan Halkası + Coca-Cola (1 L.)</t>
  </si>
  <si>
    <t>Di Tonno Menü</t>
  </si>
  <si>
    <t>Di Tonno Pizza (Büyük Boy) + Patates Kızartması + 2 Adet Nugget + 2 Adet Soğan Halkası + Coca-Cola (1 L.)</t>
  </si>
  <si>
    <t>Orta Boy Menü</t>
  </si>
  <si>
    <t>Seçeceğiniz Orta Boy Pizza + Patates Kızartması + 2 Adet Tavuk Nugget + 2 Adet Soğan Halkası + Coca-Cola (33 cl.)</t>
  </si>
  <si>
    <t>Büyük Boy Menü</t>
  </si>
  <si>
    <t>Seçeceğiniz Büyük Boy Pizza + Patates Kızartması + 2 Adet Tavuk Nugget + 2 Adet Soğan Halkası + Coca-Cola (1 L.)</t>
  </si>
  <si>
    <t>Cheeseburger + Patates Kızartması + Coca-Cola (20 cl.)</t>
  </si>
  <si>
    <t>Boy Di Pollo (Küçük Boy)</t>
  </si>
  <si>
    <t>Mozzarella peyniri, kırmızıbiber, yeşilbiber, mantar, tavuk parçaları</t>
  </si>
  <si>
    <t>Pizza hamuruna; pizza sosu, kavurma, yeşilbiber, domates</t>
  </si>
  <si>
    <t>Boy Di Tonno Pizza (Küçük Boy)</t>
  </si>
  <si>
    <t>Mozzarella peyniri, ton balığı, soğan, siyah zeytin, yeşilbiber, mantar, mısır, fesleğen</t>
  </si>
  <si>
    <t>Deluxe Pizza (Küçük Boy)</t>
  </si>
  <si>
    <t>Salam, yeşilbiber, siyah zeytin, kaşar peyniri</t>
  </si>
  <si>
    <t>Diavola Pizza (Küçük Boy)</t>
  </si>
  <si>
    <t>Kaşar peyniri, sucuk, domates, sarımsak, fesleğen</t>
  </si>
  <si>
    <t>Karışık Pizza (Küçük Boy)</t>
  </si>
  <si>
    <t>Margharita Pizza (Küçük Boy)</t>
  </si>
  <si>
    <t>Mozzarella peyniri, domates, fesleğen</t>
  </si>
  <si>
    <t>Napoli Pizza (Küçük Boy)</t>
  </si>
  <si>
    <t>Kaşar peyniri, domates, ton balığı, fesleğen</t>
  </si>
  <si>
    <t>Vejetaryen Pizza (Küçük Boy)</t>
  </si>
  <si>
    <t>Kaşar peyniri, mevsim sebzeleri</t>
  </si>
  <si>
    <t>Boy Di Pollo (Orta Boy)</t>
  </si>
  <si>
    <t>Kavurmalı Pizza (Orta Boy)</t>
  </si>
  <si>
    <t>Pizza hamuru, pizza sosu, kavurma, yeşilbiber, domates</t>
  </si>
  <si>
    <t>Boy Di Tonno Pizza (Orta Boy)</t>
  </si>
  <si>
    <t>Deluxe Pizza (Orta Boy)</t>
  </si>
  <si>
    <t>Diavola Pizza (Orta Boy)</t>
  </si>
  <si>
    <t>Margharita Pizza (Orta Boy)</t>
  </si>
  <si>
    <t>Napoli Pizza (Orta Boy)</t>
  </si>
  <si>
    <t>Vejetaryen Pizza (Orta Boy)</t>
  </si>
  <si>
    <t>Boy Di Pollo (Büyük Boy)</t>
  </si>
  <si>
    <t>Boy Di Tonno Pizza (Büyük Boy)</t>
  </si>
  <si>
    <t>Deluxe Pizza (Büyük Boy)</t>
  </si>
  <si>
    <t>Diavola Pizza (Büyük Boy)</t>
  </si>
  <si>
    <t>Margharita Pizza (Büyük Boy)</t>
  </si>
  <si>
    <t>Napoli Pizza (Büyük Boy)</t>
  </si>
  <si>
    <t>Vejetaryen Pizza (Büyük Boy)</t>
  </si>
  <si>
    <t>Boy Di Pollo (Aile Boyu)</t>
  </si>
  <si>
    <t>Kavurmalı Pizza</t>
  </si>
  <si>
    <t>Boy Di Tonno Pizza (Aile Boyu)</t>
  </si>
  <si>
    <t>Deluxe Pizza (Aile Boyu)</t>
  </si>
  <si>
    <t>Diavola Pizza (Aile Boyu)</t>
  </si>
  <si>
    <t>Karışık Pizza (Aile Boyu)</t>
  </si>
  <si>
    <t>Margharita Pizza (Aile Boyu)</t>
  </si>
  <si>
    <t>Napoli Pizza (Aile Boyu)</t>
  </si>
  <si>
    <t>Vejetaryen Pizza (Aile Boyu)</t>
  </si>
  <si>
    <t>Burger köftesi, cheddar peyniri, marul, domates, kornişon turşu</t>
  </si>
  <si>
    <t>5 adet köfte, domates, biber, patates kızartması ile</t>
  </si>
  <si>
    <t>4 adet köfte, kıvırcık marul, domates, ketçap, mayonez</t>
  </si>
  <si>
    <t>Soğan Halkası</t>
  </si>
  <si>
    <t>6 adet</t>
  </si>
  <si>
    <t>Tavuk Nugget</t>
  </si>
  <si>
    <t>Çıtır Tavuk</t>
  </si>
  <si>
    <t>Peynirli Stick</t>
  </si>
  <si>
    <t>Çıtır Paketi</t>
  </si>
  <si>
    <t>3 adet tavuk nugget, 3 adet soğan halkası, 3 adet peynir sticks, 3 adet çıtır tavuk</t>
  </si>
  <si>
    <t>Fatih Mah.</t>
  </si>
  <si>
    <t>İrem Pizza</t>
  </si>
  <si>
    <t>***=HYPERLINK("file:///C:/rest_photo/İrem Pizza, Bor (Fatih Mah.).jpg","İrem Pizza, Bor (Fatih Mah.)")</t>
  </si>
  <si>
    <t>İsotto Çiğ Köfte, Merkez (Aşağı Kayabaşı Mah. - Bor Yolu)</t>
  </si>
  <si>
    <t>Seçilmiş Menü (Çiğ Köfte Dürüm) - Şu anda mevcut değil.</t>
  </si>
  <si>
    <t>Çiğ Köfte Dürüm + Coca-Cola (33 cl.)</t>
  </si>
  <si>
    <t>90 gr. çiğ köfte, yeşillik, domates, turşu, nane</t>
  </si>
  <si>
    <t>Maxi Çiğ Köfte Dürüm</t>
  </si>
  <si>
    <t>Çift lavaşa 140 gr. çiğ köfte, yeşillik, domates, turşu, nane, nar ekşisi, limon</t>
  </si>
  <si>
    <t>Çeyrek göbek marul, 2 adet lavaş, nar ekşisi, acı sos ile</t>
  </si>
  <si>
    <t>Çeyrek göbek marul, 3 adet lavaş, nar ekşisi, acı sos ile</t>
  </si>
  <si>
    <t>Çeyrek göbek marul, 4 adet lavaş, nar ekşisi, acı sos ile</t>
  </si>
  <si>
    <t>Çeyrek göbek marul, 5 adet lavaş, nar ekşisi, acı sos ile</t>
  </si>
  <si>
    <t>2 çeyrek iceberg marul, 6 adet lavaş, 2 adet nar ekşisi, 2 adet acı sos ile</t>
  </si>
  <si>
    <t>3/4 göbek marul, 8 adet lavaş, 3 adet nar ekşisi, 3 adet acı sos ile</t>
  </si>
  <si>
    <t>Tam göbek marul, 10 adet lavaş, 4 adet nar ekşisi, 4 adet acı sos ile</t>
  </si>
  <si>
    <t>Midye Dolma (Adet) (Küçük)</t>
  </si>
  <si>
    <t>Midye Dolma (Adet) (Orta)</t>
  </si>
  <si>
    <t>Midye Dolma (Adet) (Büyük)</t>
  </si>
  <si>
    <t>Kadayıf (Adet)</t>
  </si>
  <si>
    <t>Sade Dondurma</t>
  </si>
  <si>
    <t>1 top</t>
  </si>
  <si>
    <t>Çikolatalı Dondurma</t>
  </si>
  <si>
    <t>Çileklik Dondurma</t>
  </si>
  <si>
    <t>Limonlu Dondurma</t>
  </si>
  <si>
    <t>Karışık Meyveli Dondurma</t>
  </si>
  <si>
    <t>Antep Fıstıklı Dondurma</t>
  </si>
  <si>
    <t>Böğürtlenli Dondurma</t>
  </si>
  <si>
    <t>Dondurma (1 kg.)</t>
  </si>
  <si>
    <t>Seçeceğiniz çeşit ile</t>
  </si>
  <si>
    <t>Dondurma (800 gr.)</t>
  </si>
  <si>
    <t>Dondurma (750 gr.)</t>
  </si>
  <si>
    <t>Dondurma (600 gr.)</t>
  </si>
  <si>
    <t>Dondurma (500 gr.)</t>
  </si>
  <si>
    <t>Dondurma (400 gr.)</t>
  </si>
  <si>
    <t>Dondurma (300 gr.)</t>
  </si>
  <si>
    <t>Dondurma (200 gr.)</t>
  </si>
  <si>
    <t>Kakaolu &amp; Sade Paket Dondurma (120 gr.)</t>
  </si>
  <si>
    <t>Maraş Usulü Sade Baton Dondurma (1 kg.)</t>
  </si>
  <si>
    <t>Keçi sütü</t>
  </si>
  <si>
    <t>Maraş Usulü Sade Baton Dondurma (500 gr.)</t>
  </si>
  <si>
    <t>Kadayıf (1 kg.)</t>
  </si>
  <si>
    <t>İsotto Çiğ Köfte</t>
  </si>
  <si>
    <t>***=HYPERLINK("file:///C:/rest_photo/İsotto Çiğ Köfte, Merkez (Aşağı Kayabaşı Mah. - Bor Yolu).jpg","İsotto Çiğ Köfte, Merkez (Aşağı Kayabaşı Mah. - Bor Yolu)")</t>
  </si>
  <si>
    <t>İstasyon Döner, Bor (Orta Mah.)</t>
  </si>
  <si>
    <t>Patates kızartması, marul, sos, mayonez</t>
  </si>
  <si>
    <t>Soğan, domates, patates kızartması, isteğe göre sarımsaklı mayonez</t>
  </si>
  <si>
    <t>İstasyon Tavuk Döner Dürüm</t>
  </si>
  <si>
    <t>Vodafone Menüsü (Tavuk Döner Dürüm)</t>
  </si>
  <si>
    <t>Tavuk Döner Dürüm + Ayran (30 cl.) (Kampanya koşulları için restoranın Promosyonlar bölümüne göz atınız. İndirimli fiyat ürün sepete eklendikten sonra uygulanır.)</t>
  </si>
  <si>
    <t>Seçilmiş Menü (İstasyon Tavuk Döner Dürüm)</t>
  </si>
  <si>
    <t>İstasyon Tavuk Döner Dürüm (Patates kızartması, marul, sos, mayonez) + Coca-Cola (33 cl.)</t>
  </si>
  <si>
    <t>20,75 TL</t>
  </si>
  <si>
    <t>Hamburger (Yeşillik, turşu, domates) + Patates Kızartması + Pepsi (25 cl.)</t>
  </si>
  <si>
    <t>Tavuk Burger (Yeşillik, turşu, domates) + Patates Kızartması + Pepsi (25 cl.)</t>
  </si>
  <si>
    <t>Salata, ezme, soğan, közlenmiş domates, közlenmiş biber ile</t>
  </si>
  <si>
    <t>Kuşbaşı Kebap</t>
  </si>
  <si>
    <t>Beyti Kebap (Açık)</t>
  </si>
  <si>
    <t>Lavaşa sarılı, soslu, yoğurtlu. Salata, ezme, soğan, közlenmiş domates, közlenmiş biber ile</t>
  </si>
  <si>
    <t>İstasyon Et Döner Dürüm</t>
  </si>
  <si>
    <t>Yeşillik, domates, soğan</t>
  </si>
  <si>
    <t>Kuşbaşı Şiş Dürüm</t>
  </si>
  <si>
    <t>Et Burger</t>
  </si>
  <si>
    <t>Yeşillik, turşu, domates</t>
  </si>
  <si>
    <t>Ekmek Arası Izgara Köfte</t>
  </si>
  <si>
    <t>Sac Kavurma</t>
  </si>
  <si>
    <t>Yedigün (25 cl.)</t>
  </si>
  <si>
    <t>Coca-Cola (2.5 L.)</t>
  </si>
  <si>
    <t>Orta Mah.</t>
  </si>
  <si>
    <t>İstasyon Döner</t>
  </si>
  <si>
    <t>***=HYPERLINK("file:///C:/rest_photo/İstasyon Döner, Bor (Orta Mah.).jpg","İstasyon Döner, Bor (Orta Mah.)")</t>
  </si>
  <si>
    <t>Karaaslan Restaurant, Merkez (Aşağı Kayabaşı Mah. - Dr. Sami Yağız Cad.)</t>
  </si>
  <si>
    <t>Ezme, maydanoz, turşu, domates, limon, roka ile</t>
  </si>
  <si>
    <t>Turşu, limon</t>
  </si>
  <si>
    <t>Yoğurt, ezme, salata, köz biber, köz domates ile</t>
  </si>
  <si>
    <t>Vodafone Menüsü (Kıymalı Pide)</t>
  </si>
  <si>
    <t>Kıymalı Pide + Ayran (20 cl.) (Kampanya koşulları için restoranın Promosyonlar bölümüne göz atınız. İndirimli fiyat ürün sepete eklendikten sonra uygulanır.)</t>
  </si>
  <si>
    <t>Salata, pilav, köz biber, köz domates, soğan ile</t>
  </si>
  <si>
    <t>Salata, ezme, domates, köz biber, bulgur pilavı ile</t>
  </si>
  <si>
    <t>Patlıcan Kebap</t>
  </si>
  <si>
    <t>Salata, pilav, köz biber, köz domates ile</t>
  </si>
  <si>
    <t>Salata, ezme, turşu, limon, maydanoz, roka ile</t>
  </si>
  <si>
    <t>(Lütfen acı durumunu sipariş notu kısmında belirtiniz.) Salata, limon ile</t>
  </si>
  <si>
    <t>Niğde Tava</t>
  </si>
  <si>
    <t>Tavuk Sote</t>
  </si>
  <si>
    <t>Kuru Fasulye</t>
  </si>
  <si>
    <t>Karaaslan Restaurant</t>
  </si>
  <si>
    <t>***=HYPERLINK("file:///C:/rest_photo/Karaaslan Restaurant, Merkez (Aşağı Kayabaşı Mah. - Dr. Sami Yağız Cad.).jpg","Karaaslan Restaurant, Merkez (Aşağı Kayabaşı Mah. - Dr. Sami Yağız Cad.)")</t>
  </si>
  <si>
    <t>Kebapçım, Merkez (Yukarı Kayabaşı Mah.)</t>
  </si>
  <si>
    <t>Soğan, domates, maydanoz</t>
  </si>
  <si>
    <t>Salata, közlenmiş domates, közlenmiş soğan ile</t>
  </si>
  <si>
    <t>Adana Dürüm (Duble)</t>
  </si>
  <si>
    <t>Kebapçım</t>
  </si>
  <si>
    <t>***=HYPERLINK("file:///C:/rest_photo/Kebapçım, Merkez (Yukarı Kayabaşı Mah.).jpg","Kebapçım, Merkez (Yukarı Kayabaşı Mah.)")</t>
  </si>
  <si>
    <t>Kebapçı Mefail, Merkez (İlhanlı Mah.)</t>
  </si>
  <si>
    <t>Çoban salata, ezme, soğan ile</t>
  </si>
  <si>
    <t>Kuşbaşı Et Şiş</t>
  </si>
  <si>
    <t>Et Kuşbaşı Dürüm</t>
  </si>
  <si>
    <t>İlhanlı Mah.</t>
  </si>
  <si>
    <t>Kebapçı Mefail</t>
  </si>
  <si>
    <t>***=HYPERLINK("file:///C:/rest_photo/Kebapçı Mefail, Merkez (İlhanlı Mah.).jpg","Kebapçı Mefail, Merkez (İlhanlı Mah.)")</t>
  </si>
  <si>
    <t>Kebapçı Osman Erler Kebap , Merkez (Sırali Mah.)</t>
  </si>
  <si>
    <t>Ezme salata, közlenmiş biber, közlenmiş domates, mevsim salata, soğan, yeşillik ile</t>
  </si>
  <si>
    <t>Izgara Köfte - Şu anda mevcut değil.</t>
  </si>
  <si>
    <t>Kuzu Kaburga</t>
  </si>
  <si>
    <t>Ciğer Şiş Dürüm Porsiyon</t>
  </si>
  <si>
    <t>Kuzu Şiş Dürüm Porsiyon</t>
  </si>
  <si>
    <t>Adana Dürüm Porsiyon</t>
  </si>
  <si>
    <t>Tavuk Şiş Dürüm Porsiyon</t>
  </si>
  <si>
    <t xml:space="preserve">Kebapçı Osman Erler Kebap </t>
  </si>
  <si>
    <t>***=HYPERLINK("file:///C:/rest_photo/Kebapçı Osman Erler Kebap , Merkez (Sırali Mah.).jpg","Kebapçı Osman Erler Kebap , Merkez (Sırali Mah.)")</t>
  </si>
  <si>
    <t>Kısmet Kebap, Merkez (Ahipaşa Mah.)</t>
  </si>
  <si>
    <t>150 gr. Adana kebap. Tablacı salatası, ezme, soğan salatası, közlenmiş domates, közlenmiş biber ile</t>
  </si>
  <si>
    <t>Tablacı salatası, ezme, soğan salatası, közlenmiş domates, közlenmiş biber ile</t>
  </si>
  <si>
    <t>Tavuk Kanat (8 Adet)</t>
  </si>
  <si>
    <t>Tavuk Dürüm</t>
  </si>
  <si>
    <t>80 gr. Adana kebap, domates, maydanoz, soğan</t>
  </si>
  <si>
    <t>Ahipaşa Mah.</t>
  </si>
  <si>
    <t>Kısmet Kebap</t>
  </si>
  <si>
    <t>***=HYPERLINK("file:///C:/rest_photo/Kısmet Kebap, Merkez (Ahipaşa Mah.).jpg","Kısmet Kebap, Merkez (Ahipaşa Mah.)")</t>
  </si>
  <si>
    <t>Kıtır Kebap &amp; Lahmacun, Merkez (Saruhan Mah.)</t>
  </si>
  <si>
    <t>Normal Lahmacun</t>
  </si>
  <si>
    <t>Çoban salata, maydanoz, limon ile</t>
  </si>
  <si>
    <t>Turşu, limon ile</t>
  </si>
  <si>
    <t>Çoban salata, közlenmiş domates, közlenmiş biber, ezme, sumaklı soğan ile</t>
  </si>
  <si>
    <t>Fındık Lahmacun</t>
  </si>
  <si>
    <t>Kızartılmış İçli Köfte</t>
  </si>
  <si>
    <t>Maydanoz, limon ile</t>
  </si>
  <si>
    <t>Kıtır Kebap &amp; Lahmacun</t>
  </si>
  <si>
    <t>***=HYPERLINK("file:///C:/rest_photo/Kıtır Kebap &amp; Lahmacun, Merkez (Saruhan Mah.).jpg","Kıtır Kebap &amp; Lahmacun, Merkez (Saruhan Mah.)")</t>
  </si>
  <si>
    <t>Komagene Etsiz Çiğ Köfte, Bor (Harım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</si>
  <si>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</si>
  <si>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</si>
  <si>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</si>
  <si>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</si>
  <si>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</si>
  <si>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</si>
  <si>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</si>
  <si>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</si>
  <si>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</si>
  <si>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</si>
  <si>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</si>
  <si>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</si>
  <si>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</si>
  <si>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Red Bull Sugarfree (25 cl.)</t>
  </si>
  <si>
    <t>Burger Sos (300 gr.)</t>
  </si>
  <si>
    <t>Doritos'lu Double Dürüm Menü</t>
  </si>
  <si>
    <t>Doritos'lu Double Dürüm + Komagene Ayran (29 cl.)</t>
  </si>
  <si>
    <t>23,50 TL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</si>
  <si>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</si>
  <si>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</si>
  <si>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</si>
  <si>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</si>
  <si>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Doritoslu Çiğ Köfte Tako Menü 1</t>
  </si>
  <si>
    <t>2 Adet Doritoslu Çiğ Köfte Tako + Komagene Ayran (29 cl.)</t>
  </si>
  <si>
    <t>2 Mega Çiğ Köfte Dürüm Fırsatı 2</t>
  </si>
  <si>
    <t>2 Adet Mega Çiğ Köfte Dürüm + İçecek (1 L.)</t>
  </si>
  <si>
    <t>3'lü Mega Dürüm Menü</t>
  </si>
  <si>
    <t>3 Adet Mega Çiğ Köfte Dürüm + İçecek (1 L.)</t>
  </si>
  <si>
    <t>45,50 TL</t>
  </si>
  <si>
    <t>Double Dürüm Menü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</si>
  <si>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</si>
  <si>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</si>
  <si>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</si>
  <si>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</si>
  <si>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</si>
  <si>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Mega Dürüm Menü</t>
  </si>
  <si>
    <t>Mega Çiğ Köfte Dürüm + Komagene Ayran (29 cl.)</t>
  </si>
  <si>
    <t>Süt Mısır &amp; Mega Dürüm Menü</t>
  </si>
  <si>
    <t>Mega Çiğ Köfte Dürüm + Haşlanmış Süt Mısır (100 gr.) + Komagene Ayran (29 cl.)</t>
  </si>
  <si>
    <t>Ultra Mega Dürüm Menü</t>
  </si>
  <si>
    <t>Ultra Mega Dürüm + Komagene Ayran (29 cl.)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</si>
  <si>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</si>
  <si>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</si>
  <si>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</si>
  <si>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</si>
  <si>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</si>
  <si>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</si>
  <si>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46,00 TL</t>
  </si>
  <si>
    <t>2’li Çiğ Köfte Tako Paketi</t>
  </si>
  <si>
    <t>2 Adet Çiğ Köfte Tako (Tako Lavaşı, Çiğ Köfte, Tako Peyniri, Meksika Fasulyesi, Burger Sos)</t>
  </si>
  <si>
    <t>Ambalajında Çiğ Köfte (600 gr.)</t>
  </si>
  <si>
    <t>3 çeyrek göbek marul, limon, 6 adet lavaş, 3 adet çiğ köfte sosu, 3 adet nar ekşili sos</t>
  </si>
  <si>
    <t>41,50 TL</t>
  </si>
  <si>
    <t>Çeyrek göbek marul, limon, 2 adet lavaş, 1 adet çiğ köfte sosu, 1 adet nar ekşili sos</t>
  </si>
  <si>
    <t>Yarım göbek marul, limon, 4 adet lavaş, 2 adet çiğ köfte sosu, 2 adet nar ekşili sos</t>
  </si>
  <si>
    <t>1 adet göbek marul, limon, 8 adet lavaş, 4 adet çiğ köfte sosu, 4 adet nar ekşili sos</t>
  </si>
  <si>
    <t>57,50 TL</t>
  </si>
  <si>
    <t>5 çeyrek göbek marul, limon, 10 adet lavaş, 5 adet çiğ köfte sosu, 5 adet nar ekşili sos</t>
  </si>
  <si>
    <t>90 gr. çiğ köfte, tek lavaş</t>
  </si>
  <si>
    <t>Doritos'lu Çiğ Köfte Dürüm</t>
  </si>
  <si>
    <t>90 gr. çiğ Köfte, Doritos taco, tek lavaş</t>
  </si>
  <si>
    <t>Doritos'lu Mega Çiğ Köfte Dürüm</t>
  </si>
  <si>
    <t>125 gr. çiğ köfte, Doritos taco, çift lavaş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</si>
  <si>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</si>
  <si>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</si>
  <si>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</si>
  <si>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</si>
  <si>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</si>
  <si>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</si>
  <si>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</si>
  <si>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</si>
  <si>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</si>
  <si>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Sade Haşlama İçli Köfte (2'li Paket)</t>
  </si>
  <si>
    <t>Yayla Çorbası (230 gr.)</t>
  </si>
  <si>
    <t>Antep Kuru Patlıcan Dolma (250 gr.)</t>
  </si>
  <si>
    <t>Antep Kuru Biber Dolması (250 gr.)</t>
  </si>
  <si>
    <t>Tavuk Ciğer Sote (200 gr.)</t>
  </si>
  <si>
    <t>Tavuk Sote (250 gr.)</t>
  </si>
  <si>
    <t>Soya Soslu Tavuk (250 gr.)</t>
  </si>
  <si>
    <t>Bademli Pilav (250 gr.)</t>
  </si>
  <si>
    <t>Sebzeli Pilav (250 gr.)</t>
  </si>
  <si>
    <t>Acılı Ezme (200 gr.)</t>
  </si>
  <si>
    <t>Amerikan Salatası (200 gr.)</t>
  </si>
  <si>
    <t>Barbunya Pilaki (200 gr.)</t>
  </si>
  <si>
    <t>Burger Sos (30 gr.)</t>
  </si>
  <si>
    <t>Çiğ Köfte Sos (22 gr.)</t>
  </si>
  <si>
    <t>Paket Nar Ekşisi (15 gr.)</t>
  </si>
  <si>
    <t>Lavaş (2 Adet)</t>
  </si>
  <si>
    <t>Ekstra Limon (1 Adet)</t>
  </si>
  <si>
    <t>Yeşillik (Büyük)</t>
  </si>
  <si>
    <t>Yeşillik (Küçük)</t>
  </si>
  <si>
    <t>Bardakta Turşu</t>
  </si>
  <si>
    <t>Şam Tatlısı (Adet)</t>
  </si>
  <si>
    <t>Elvan Today Donut Muzlu (50 gr.)</t>
  </si>
  <si>
    <t>Elvan Today Donut Kakaolu (50 gr.)</t>
  </si>
  <si>
    <t>Elvan Today Donut Çilekli (50 gr.)</t>
  </si>
  <si>
    <t>Today Snowball Kek (50 gr.)</t>
  </si>
  <si>
    <t>Komagene Ayran (29 cl.)</t>
  </si>
  <si>
    <t>Komagene Ayran (19,5 cl.)</t>
  </si>
  <si>
    <t>Kızılay Sade Soda (20 cl.)</t>
  </si>
  <si>
    <t>Kızılay Meyveli Soda (20 cl.)</t>
  </si>
  <si>
    <t>Serafresh Şalgam Suyu (30 cl.)</t>
  </si>
  <si>
    <t>Komagene Ayran (1 L.)</t>
  </si>
  <si>
    <t>Organik Şalgam Suyu (1 L.) (Kutulu)</t>
  </si>
  <si>
    <t>Komagene Etsiz Çiğ Köfte</t>
  </si>
  <si>
    <t>***=HYPERLINK("file:///C:/rest_photo/Komagene Etsiz Çiğ Köfte, Bor (Harım Mah.).jpg","Komagene Etsiz Çiğ Köfte, Bor (Harım Mah.)")</t>
  </si>
  <si>
    <t>Komagene Etsiz Çiğ Köfte, Merkez (Aşağı Kayabaşı Mah. - Bor Yolu)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</si>
  <si>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</si>
  <si>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</si>
  <si>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</si>
  <si>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</si>
  <si>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Doritos'lu Çiğ Köfte Dürüm Menü</t>
  </si>
  <si>
    <t>Doritos'lu Çiğ Köfte Dürüm + Komagene Ayran (19,5 cl.)</t>
  </si>
  <si>
    <t>Acıktım Menü 1</t>
  </si>
  <si>
    <t>Mega Çiğ Köfte Dürüm + Seçeceğiniz Tatlı + Komagene Ayran (29 cl.)</t>
  </si>
  <si>
    <t>Acıktım Menü 2</t>
  </si>
  <si>
    <t>Ultra Mega Dürüm + Seçeceğiniz Tatlı + Komagene Ayran (29 cl.)</t>
  </si>
  <si>
    <t>Acıktım Menü 3</t>
  </si>
  <si>
    <t>Mega Çiğ Köfte Dürüm + Büyük İçli Köfte (Adet) + Komagene Ayran (29 cl.)</t>
  </si>
  <si>
    <t>Acıktım Menü 4</t>
  </si>
  <si>
    <t>Mega Çiğ Köfte Dürüm + Zeytinyağlı Yaprak Sarma (250 gr.) + Komagene Ayran (29 cl.)</t>
  </si>
  <si>
    <t>Genç Menü</t>
  </si>
  <si>
    <t>Çiğ Köfte Dürüm + Seçeceğiniz Tatlı + Komagene Ayran (29 cl.)</t>
  </si>
  <si>
    <t>Kanka Menü 1</t>
  </si>
  <si>
    <t>2 Adet Çiğ Köfte Dürüm + Seçeceğiniz Tatlı + 2 Adet Komagene Ayran (29 cl.)</t>
  </si>
  <si>
    <t>Çiğ Köfte Menü (200 gr.)</t>
  </si>
  <si>
    <t>Çiğ Köfte (200 gr.) + Seçeceğiniz Tatlı + Komagene Ayran (29 cl.)</t>
  </si>
  <si>
    <t>Çiğ Köfte Menü (600 gr.)</t>
  </si>
  <si>
    <t>Çiğ Köfte (600 gr.) + İçecek (1 L.)</t>
  </si>
  <si>
    <t>50,50 TL</t>
  </si>
  <si>
    <t>Açız Menü 1</t>
  </si>
  <si>
    <t>Çiğ Köfte (400 gr.) + Seçeceğiniz 2 Adet Tatlı + İçecek (1 L.)</t>
  </si>
  <si>
    <t>51,00 TL</t>
  </si>
  <si>
    <t>Aile Menü 1</t>
  </si>
  <si>
    <t>Çiğ Köfte (1 kg.) + İçecek (1 L.)</t>
  </si>
  <si>
    <t>72,50 TL</t>
  </si>
  <si>
    <t>60 gr. tavuk eti, göbek marul, domates, turşu</t>
  </si>
  <si>
    <t>Tavuk Suyu Çorbası (230 gr.)</t>
  </si>
  <si>
    <t>Mercimek Çorbası (230 gr.)</t>
  </si>
  <si>
    <t>Ezogelin Çorbası (230 gr.)</t>
  </si>
  <si>
    <t>Afrika Ateşi Sos (30 gr.)</t>
  </si>
  <si>
    <t>Çok Acı Sos (22 gr.)</t>
  </si>
  <si>
    <t>Tako Lavaşı (10 Adet)</t>
  </si>
  <si>
    <t>Haşlanmış Süt Mısır (100 gr.)</t>
  </si>
  <si>
    <t>Cornetto Disc Milka (140 ml.)</t>
  </si>
  <si>
    <t>Cornetto Unicornetto (135 ml.)</t>
  </si>
  <si>
    <t>Cornetto Rose Yaz - Mango Ahududu (130 ml.)</t>
  </si>
  <si>
    <t>5,50 TL</t>
  </si>
  <si>
    <t>Cornetto Rose İlk Bakışma - Karadut Çikolata (130 ml.)</t>
  </si>
  <si>
    <t>Cornetto Rose Sonsuz Aşk - Orman Meyveleri Lavanta (130 ml.)</t>
  </si>
  <si>
    <t>Magnum Double - Karamel Gold (90 ml.)</t>
  </si>
  <si>
    <t>Magnum Cookie (95 ml.)</t>
  </si>
  <si>
    <t>Magnum Classic (100 ml.)</t>
  </si>
  <si>
    <t>Magnum Badem (100 ml.)</t>
  </si>
  <si>
    <t>Magnum Beyaz (100 ml.)</t>
  </si>
  <si>
    <t>Magnum Antep Fıstık (100 ml.)</t>
  </si>
  <si>
    <t>Magnum Double Çikolata (95 ml.)</t>
  </si>
  <si>
    <t>Magnum Double Karadut &amp; Böğürtlen (95 ml.)</t>
  </si>
  <si>
    <t>Cornetto Disc Oreo (140 ml.)</t>
  </si>
  <si>
    <t>Cornetto Disc Vanilya Karamel (140 ml.)</t>
  </si>
  <si>
    <t>Cornetto Disc Antep Fıstık Çikolata (140 ml.)</t>
  </si>
  <si>
    <t>Cornetto Classico Çikolata (125 ml.)</t>
  </si>
  <si>
    <t>Cornetto Classico Kaymak (125 ml.)</t>
  </si>
  <si>
    <t>Doritos Taco Mısır Cipsi (218 gr.)</t>
  </si>
  <si>
    <t>Doritos Taco Mısır Cipsi (69 gr.)</t>
  </si>
  <si>
    <t>Güllüoğlu Lalinella Tahinli Fındık Kreması (125 gr.)</t>
  </si>
  <si>
    <t>Eti Cin (25 gr.)</t>
  </si>
  <si>
    <t>Kağıt Helva (45 gr.)</t>
  </si>
  <si>
    <t>Today Kruvasan Çikolata (50 gr.)</t>
  </si>
  <si>
    <t>Doğanay Şalgam Suyu (30 cl.)</t>
  </si>
  <si>
    <t>Bardak Limonata (24 cl.)</t>
  </si>
  <si>
    <t>Doğanay Şalgam Suyu (1 L.)</t>
  </si>
  <si>
    <t>Organik Şalgam Suyu (1 L.)</t>
  </si>
  <si>
    <t>***=HYPERLINK("file:///C:/rest_photo/Komagene Etsiz Çiğ Köfte, Merkez (Aşağı Kayabaşı Mah. - Bor Yolu).jpg","Komagene Etsiz Çiğ Köfte, Merkez (Aşağı Kayabaşı Mah. - Bor Yolu)")</t>
  </si>
  <si>
    <t>Komagene Etsiz Çiğ Köfte, Merkez (Aşağı Kayabaşı Mah. - Dr. Sami Yağız Cad.)</t>
  </si>
  <si>
    <t>Tavuklu Pilav (300 gr.)</t>
  </si>
  <si>
    <t>250 gr. pilav, 50 gr. tavuk</t>
  </si>
  <si>
    <t>Patlıcan Salatası (200 gr.)</t>
  </si>
  <si>
    <t>Şakşuka (200 gr.)</t>
  </si>
  <si>
    <t>Zeytinyağlı Yaprak Sarma (250 gr.)</t>
  </si>
  <si>
    <t>Peynir Tatlısı (5'li Paket)</t>
  </si>
  <si>
    <t>(300 gr.)</t>
  </si>
  <si>
    <t>İrmik Helvası (120 gr.)</t>
  </si>
  <si>
    <t>İrmik Helvası (250 gr.)</t>
  </si>
  <si>
    <t>***=HYPERLINK("file:///C:/rest_photo/Komagene Etsiz Çiğ Köfte, Merkez (Aşağı Kayabaşı Mah. - Dr. Sami Yağız Cad.).jpg","Komagene Etsiz Çiğ Köfte, Merkez (Aşağı Kayabaşı Mah. - Dr. Sami Yağız Cad.)")</t>
  </si>
  <si>
    <t>Komagene Etsiz Çiğ Köfte, Merkez (Aşağı Kayabaşı Mah. - TOKİ Bor Yolu)</t>
  </si>
  <si>
    <t>Nutzz Acılı (50 gr.)</t>
  </si>
  <si>
    <t>Reyhanlı Beyoğlu Gazozu (25 cl.)</t>
  </si>
  <si>
    <t>Portakallı Beyoğlu Gazozu (25 cl.)</t>
  </si>
  <si>
    <t>Aşağı Kayabaşı Mah. - TOKİ Bor Yolu</t>
  </si>
  <si>
    <t>***=HYPERLINK("file:///C:/rest_photo/Komagene Etsiz Çiğ Köfte, Merkez (Aşağı Kayabaşı Mah. - TOKİ Bor Yolu).jpg","Komagene Etsiz Çiğ Köfte, Merkez (Aşağı Kayabaşı Mah. - TOKİ Bor Yolu)")</t>
  </si>
  <si>
    <t>Komagene Etsiz Çiğ Köfte, Merkez (Efendibey Mah.)</t>
  </si>
  <si>
    <t>***=HYPERLINK("file:///C:/rest_photo/Komagene Etsiz Çiğ Köfte, Merkez (Efendibey Mah.).jpg","Komagene Etsiz Çiğ Köfte, Merkez (Efendibey Mah.)")</t>
  </si>
  <si>
    <t>Komagene Etsiz Çiğ Köfte, Merkez (Eskisaray Mah.)</t>
  </si>
  <si>
    <t>Eskisaray Mah.</t>
  </si>
  <si>
    <t>***=HYPERLINK("file:///C:/rest_photo/Komagene Etsiz Çiğ Köfte, Merkez (Eskisaray Mah.).jpg","Komagene Etsiz Çiğ Köfte, Merkez (Eskisaray Mah.)")</t>
  </si>
  <si>
    <t>Komagene Etsiz Çiğ Köfte, Merkez (İlhanlı Mah.)</t>
  </si>
  <si>
    <t xml:space="preserve"> </t>
  </si>
  <si>
    <t>Komagene Etsiz Çiğ Köfte, Merkez (Yukarı Kayabaşı Mah.)</t>
  </si>
  <si>
    <t>Konak Sofrası, Merkez (Esenbey Mah.)</t>
  </si>
  <si>
    <t>Konya Etli Ekmek İzzet Usta, Merkez (Aşağı Kayabaşı Mah. - Hastane Bölgesi)</t>
  </si>
  <si>
    <t>Köşebaşı Döner &amp; İskender &amp; Kebap, Merkez (Yenice Mah.)</t>
  </si>
  <si>
    <t>Küçük Ev Cafe &amp; Bistro, Merkez (Saruhan Mah.)</t>
  </si>
  <si>
    <t>Küçükoğlu Restaurant, Merkez (Aşağı Kayabaşı Mah. - Dr. Sami Yağız Cad.)</t>
  </si>
  <si>
    <t>Lades Döner, Merkez (Aşağı Kayabaşı Mah. - Dr. Sami Yağız Cad.)</t>
  </si>
  <si>
    <t>Lavaş Center, Merkez (Sırali Mah.)</t>
  </si>
  <si>
    <t>Lavaş Döner, Merkez (Saruhan Mah.)</t>
  </si>
  <si>
    <t>Levent Börek, Merkez (Aşağı Kayabaşı Mah. - Dr. Sami Yağız Cad.)</t>
  </si>
  <si>
    <t>Kahvaltı &amp; Börek</t>
  </si>
  <si>
    <t>Lezzet Durağı, Merkez (Selçuk Mah.)</t>
  </si>
  <si>
    <t>Tatlı</t>
  </si>
  <si>
    <t>Mangal Evim, Merkez (Sungur Mah.)</t>
  </si>
  <si>
    <t>Sungur Mah.</t>
  </si>
  <si>
    <t>Mekan Tost, Merkez (Balhasan Mah.)</t>
  </si>
  <si>
    <t>Balhasan Mah.</t>
  </si>
  <si>
    <t>Melisa Döner, Merkez (Sırali Mah.)</t>
  </si>
  <si>
    <t>Merkez Cafe &amp; Pizza, Merkez (Sırali Mah.)</t>
  </si>
  <si>
    <t>Meşhur Adıyaman Çiğ Köftecisi Ömer Aybak, Merkez (Ahipaşa Mah.)</t>
  </si>
  <si>
    <t>Meşhur Adıyaman Çiğ Köftecisi Ömer Aybak, Merkez (Saruhan Mah.)</t>
  </si>
  <si>
    <t>Mis Pide &amp; Izgara, Merkez (Aşağı Kayabaşı Mah. - Dr. Sami Yağız Cad.)</t>
  </si>
  <si>
    <t>Nahita Fındık Lahmacun, Merkez (Kumluca Mah.)</t>
  </si>
  <si>
    <t>Kumluca Mah.</t>
  </si>
  <si>
    <t>Nefis Pide &amp; Lahmacun, Merkez (Aşağı Kayabaşı Mah. - Dr. Sami Yağız Cad.)</t>
  </si>
  <si>
    <t>Nizam Izgara, Merkez (Ahipaşa Mah.)</t>
  </si>
  <si>
    <t>Ocakbaşı 51, Merkez (Selçuk Mah.)</t>
  </si>
  <si>
    <t>Öncü Döner, Merkez (Selçuk Mah.)</t>
  </si>
  <si>
    <t>Özsüt, Merkez (Aşağı Kayabaşı Mah. - Dr. Sami Yağız Cad.)</t>
  </si>
  <si>
    <t>Pembe Çiğ Köfte &amp; Waffle, Merkez (Şehitler Mah.)</t>
  </si>
  <si>
    <t>Pia Balık Evi, Merkez (Yukarı Kayabaşı Mah.)</t>
  </si>
  <si>
    <t>Pizza Tomato, Merkez (Selçuk Mah.)</t>
  </si>
  <si>
    <t>Rampa Kavurma &amp; Izgara, Merkez (Aşağı Kayabaşı Mah. - Dr. Sami Yağız Cad.)</t>
  </si>
  <si>
    <t>Rıdvan Toprak Çiğ Köfte, Merkez (Şah Süleyman Mah.)</t>
  </si>
  <si>
    <t>Şah Süleyman Mah.</t>
  </si>
  <si>
    <t>Rıdvan Toprak Çiğ Köfte &amp; Cafe, Merkez (Aşağı Kayabaşı Mah. - Bor Yolu)</t>
  </si>
  <si>
    <t>Rüzgar Pide &amp; Kebap, Merkez (Sırali Mah.)</t>
  </si>
  <si>
    <t>Sarı Çiğ Köfte, Merkez (Aşağı Kayabaşı Mah. - Bor Yolu)</t>
  </si>
  <si>
    <t>Sofram, Merkez (Aşağı Kayabaşı Mah. - Bor Yolu)</t>
  </si>
  <si>
    <t>Sokak Kahvecisi, Merkez (Aşağı Kayabaşı Mah. - Dr. Sami Yağız Cad.)</t>
  </si>
  <si>
    <t>Kahve</t>
  </si>
  <si>
    <t>Şanlıurfa Gül Ağacı Kebap &amp; Lahmacun, Merkez (Esenbey Mah.)</t>
  </si>
  <si>
    <t>Şelale Döner, Bor (Orta Mah.)</t>
  </si>
  <si>
    <t>Tarihi Alaattin Yeri, Merkez (Aşağı Kayabaşı Mah. - Dr. Sami Yağız Cad.)</t>
  </si>
  <si>
    <t>Tavada Tavuk, Merkez (Aşağı Kayabaşı Mah. - Dr. Sami Yağız Cad.)</t>
  </si>
  <si>
    <t>Tekir Dostlar Kebap &amp; Mangal, Merkez (Şehitler Mah.)</t>
  </si>
  <si>
    <t>Terra Pizza - Pizza Pizza, Aşağı Kayabaşı Mah. (Dr. Sami Yağız Cad.)</t>
  </si>
  <si>
    <t>Terra Pizza - Pizza Pizza</t>
  </si>
  <si>
    <t>Aşağı Kayabaşı Mah.</t>
  </si>
  <si>
    <t>Dr. Sami Yağız Cad.</t>
  </si>
  <si>
    <t>Usta Kasap, Merkez (Aşağı Kayabaşı Mah. - Bor Yolu)</t>
  </si>
  <si>
    <t>Ustam Piknik &amp; Mangal, Merkez (Şehitler Mah.)</t>
  </si>
  <si>
    <t>Üç X Döner, Merkez (Aşağı Kayabaşı Mah. - Dr. Sami Yağız Cad.)</t>
  </si>
  <si>
    <t>Ünlü Tost &amp; Kavurma, Merkez (Sırali Mah.)</t>
  </si>
  <si>
    <t>Van Kahvaltı Sarayı, Merkez (Aşağı Kayabaşı Mah. - Bor Yolu)</t>
  </si>
  <si>
    <t>Viva Mexico, Merkez (Selçuk Mah.)</t>
  </si>
  <si>
    <t>Waffle House, Merkez (Aşağı Kayabaşı Mah. - Dr. Sami Yağız Cad.)</t>
  </si>
  <si>
    <t>Waffle</t>
  </si>
  <si>
    <t>XL Cafe, Merkez (Selçuk Mah.)</t>
  </si>
  <si>
    <t>Zigana Et, Merkez (Aşağı Kayabaşı Mah. - Hastane Bölgesi)</t>
  </si>
  <si>
    <t>Ziyade Unlu Mamülleri, Merkez (Sırali Mah.)</t>
  </si>
  <si>
    <t>Pastane &amp; Fırın</t>
  </si>
  <si>
    <t>Konak Sofrası</t>
  </si>
  <si>
    <t>Konya Etli Ekmek İzzet Usta</t>
  </si>
  <si>
    <t>Köşebaşı Döner &amp; İskender &amp; Kebap</t>
  </si>
  <si>
    <t>Küçük Ev Cafe &amp; Bistro</t>
  </si>
  <si>
    <t>Küçükoğlu Restaurant</t>
  </si>
  <si>
    <t>Lades Döner</t>
  </si>
  <si>
    <t>Lavaş Center</t>
  </si>
  <si>
    <t>Lavaş Döner</t>
  </si>
  <si>
    <t>Levent Börek</t>
  </si>
  <si>
    <t>Lezzet Durağı</t>
  </si>
  <si>
    <t>Mangal Evim</t>
  </si>
  <si>
    <t>Mekan Tost</t>
  </si>
  <si>
    <t>Melisa Döner</t>
  </si>
  <si>
    <t>Merkez Cafe &amp; Pizza</t>
  </si>
  <si>
    <t>Meşhur Adıyaman Çiğ Köftecisi Ömer Aybak</t>
  </si>
  <si>
    <t>Mis Pide &amp; Izgara</t>
  </si>
  <si>
    <t>Nahita Fındık Lahmacun</t>
  </si>
  <si>
    <t>Nefis Pide &amp; Lahmacun</t>
  </si>
  <si>
    <t>Nizam Izgara</t>
  </si>
  <si>
    <t>Ocakbaşı 51</t>
  </si>
  <si>
    <t>Öncü Döner</t>
  </si>
  <si>
    <t>Özsüt</t>
  </si>
  <si>
    <t>Pembe Çiğ Köfte &amp; Waffle</t>
  </si>
  <si>
    <t>Pia Balık Evi</t>
  </si>
  <si>
    <t>Pizza Tomato</t>
  </si>
  <si>
    <t>Rampa Kavurma &amp; Izgara</t>
  </si>
  <si>
    <t>Rıdvan Toprak Çiğ Köfte</t>
  </si>
  <si>
    <t>Rıdvan Toprak Çiğ Köfte &amp; Cafe</t>
  </si>
  <si>
    <t>Rüzgar Pide &amp; Kebap</t>
  </si>
  <si>
    <t>Sarı Çiğ Köfte</t>
  </si>
  <si>
    <t>Sofram</t>
  </si>
  <si>
    <t>Sokak Kahvecisi</t>
  </si>
  <si>
    <t>Şanlıurfa Gül Ağacı Kebap &amp; Lahmacun</t>
  </si>
  <si>
    <t>Şelale Döner</t>
  </si>
  <si>
    <t>Tarihi Alaattin Yeri</t>
  </si>
  <si>
    <t>Tavada Tavuk</t>
  </si>
  <si>
    <t>Tekir Dostlar Kebap &amp; Mangal</t>
  </si>
  <si>
    <t>Usta Kasap</t>
  </si>
  <si>
    <t>Ustam Piknik &amp; Mangal</t>
  </si>
  <si>
    <t>Üç X Döner</t>
  </si>
  <si>
    <t>Ünlü Tost &amp; Kavurma</t>
  </si>
  <si>
    <t>Van Kahvaltı Sarayı</t>
  </si>
  <si>
    <t>Viva Mexico</t>
  </si>
  <si>
    <t>Waffle House</t>
  </si>
  <si>
    <t>XL Cafe</t>
  </si>
  <si>
    <t>Zigana Et</t>
  </si>
  <si>
    <t>Ziyade Unlu Mamülleri</t>
  </si>
  <si>
    <t xml:space="preserve">2 Adet Çiğ Köfte Tako (Tako Lavaşı, Çiğ Köfte, Tako Peyniri, Meksika Fasulyesi, Burger Sos) + Coca-Cola (33 cl.) </t>
  </si>
  <si>
    <t xml:space="preserve">Çiğ Köfte (200 gr.) + Coca-Cola (33 cl.) </t>
  </si>
  <si>
    <t xml:space="preserve">Mega Çiğ Köfte Dürüm + Coca-Cola (33 cl.) </t>
  </si>
  <si>
    <t xml:space="preserve">2 Adet Ultra Mega Çiğ Köfte Dürüm + 2 Adet Komagene Ayran (29 cl.) (Kampanya koşulları için restoranın Promosyonlar bölümüne göz atınız. İndirimli fiyat ürün sepete eklendikten sonra uygulanır.) </t>
  </si>
  <si>
    <t xml:space="preserve">Mega Çiğ Köfte Dürüm + Komagene Ayran (29 cl.) (Maximum Menü indirimi, Maximum özellikli tüm kredi kartları ve İş Bankası Bankamatik Kartları ile yapılacak online ödemelerde ödeme anında uygulanacaktır.) </t>
  </si>
  <si>
    <t xml:space="preserve">Çiğ Köfte (400 gr.) + 2 Adet Komagene Ayran (29 cl.) (Maximum Menü indirimi, Maximum özellikli tüm kredi kartları ve İş Bankası Bankamatik Kartları ile yapılacak online ödemelerde ödeme anında uygulanacaktır.) </t>
  </si>
  <si>
    <t xml:space="preserve">2 Adet Mega Çiğ Köfte Dürüm + 2 Adet Komagene Ayran (19,5 cl.) </t>
  </si>
  <si>
    <t xml:space="preserve">Çiğ Köfte (200 gr.) + Seçeceğiniz Cips + Komagene Ayran (19,5 cl.) </t>
  </si>
  <si>
    <t xml:space="preserve">Çiğ Köfte (400 gr.) + Seçeceğiniz Cips + 2 Adet Komagene Ayran (19,5 cl.) </t>
  </si>
  <si>
    <t xml:space="preserve">Doritos'lu Çiğ Köfte Dürüm + Komagene Ayran (19,5 cl.) </t>
  </si>
  <si>
    <t xml:space="preserve">Doritos'lu Double Dürüm + Komagene Ayran (29 cl.) </t>
  </si>
  <si>
    <t xml:space="preserve">Doritos'lu Mega Çiğ Köfte Dürüm + Komagene Ayran (29 cl.) </t>
  </si>
  <si>
    <t xml:space="preserve">Doritos'lu Ultra Mega Dürüm + Komagene Ayran (29 cl.) </t>
  </si>
  <si>
    <t xml:space="preserve">2 Adet Doritoslu Çiğ Köfte Tako + Komagene Ayran (29 cl.) </t>
  </si>
  <si>
    <t>Doritoslu Çiğ Köfte Tako Menü 2</t>
  </si>
  <si>
    <t xml:space="preserve">4 Adet Doritoslu Çiğ Köfte Tako + Coca-Cola (1 L.) </t>
  </si>
  <si>
    <t xml:space="preserve">2 Adet Mega Çiğ Köfte Dürüm + İçecek (1 L.) </t>
  </si>
  <si>
    <t xml:space="preserve">3 Adet Mega Çiğ Köfte Dürüm + İçecek (1 L.) </t>
  </si>
  <si>
    <t xml:space="preserve">Mega Çiğ Köfte Dürüm + Seçeceğiniz Tatlı + Komagene Ayran (29 cl.) </t>
  </si>
  <si>
    <t xml:space="preserve">Ultra Mega Dürüm + Seçeceğiniz Tatlı + Komagene Ayran (29 cl.) </t>
  </si>
  <si>
    <t xml:space="preserve">Mega Çiğ Köfte Dürüm + Büyük İçli Köfte (Adet) + Komagene Ayran (29 cl.) </t>
  </si>
  <si>
    <t xml:space="preserve">Double Dürüm + Komagene Ayran (29 cl.) </t>
  </si>
  <si>
    <t xml:space="preserve">Çiğ Köfte Dürüm + Komagene Ayran (19,5 cl.) </t>
  </si>
  <si>
    <t xml:space="preserve">Çiğ Köfte Dürüm + Komagene Ayran (29 cl.) </t>
  </si>
  <si>
    <t xml:space="preserve">Çiğ Köfte Dürüm + Seçeceğiniz Tatlı + Komagene Ayran (29 cl.) </t>
  </si>
  <si>
    <t xml:space="preserve">2 Adet Çiğ Köfte Dürüm + Seçeceğiniz Tatlı + 2 Adet Komagene Ayran (29 cl.) </t>
  </si>
  <si>
    <t>Kanka Menü 2</t>
  </si>
  <si>
    <t xml:space="preserve">2 Adet Çiğ Köfte Dürüm + Büyük İçli Köfte (2 Adet) + 2 Adet Komagene Ayran (29 cl.) </t>
  </si>
  <si>
    <t>42,00 TL</t>
  </si>
  <si>
    <t xml:space="preserve">Mega Çiğ Köfte Dürüm + Komagene Ayran (29 cl.) </t>
  </si>
  <si>
    <t xml:space="preserve">Mega Çiğ Köfte Dürüm + Haşlanmış Süt Mısır (100 gr.) + Komagene Ayran (29 cl.) </t>
  </si>
  <si>
    <t xml:space="preserve">Ultra Mega Dürüm + Komagene Ayran (29 cl.) </t>
  </si>
  <si>
    <t xml:space="preserve">Çiğ Köfte (200 gr.) + Seçeceğiniz Tatlı + Komagene Ayran (29 cl.) </t>
  </si>
  <si>
    <t xml:space="preserve">Çiğ Köfte (600 gr.) + İçecek (1 L.) </t>
  </si>
  <si>
    <t>Hafif Menü</t>
  </si>
  <si>
    <t xml:space="preserve">Çiğ Köfte (200 gr.) + Büyük İçli Köfte (2 Adet) + İçecek (1 L.) </t>
  </si>
  <si>
    <t xml:space="preserve">Çiğ Köfte (400 gr.) + Seçeceğiniz 2 Adet Tatlı + İçecek (1 L.) </t>
  </si>
  <si>
    <t>Açız Menü 2</t>
  </si>
  <si>
    <t xml:space="preserve">Çiğ Köfte (400 gr.) + Büyük İçli Köfte (2 Adet) + İçecek (1 L.) </t>
  </si>
  <si>
    <t xml:space="preserve">Çiğ Köfte (1 kg.) + İçecek (1 L.) </t>
  </si>
  <si>
    <t xml:space="preserve">2 Adet Doritoslu Çiğ Köfte Tako (Tako lavaşı, çiğ köfte, tako peyniri, Meksika fasulyesi, burger sos, Doritos taco) </t>
  </si>
  <si>
    <t xml:space="preserve">2 Adet Çiğ Köfte Tako + Komagene Ayran (29 cl.) </t>
  </si>
  <si>
    <t xml:space="preserve">4 Adet Çiğ Köfte Tako + Coca-Cola (1 L.) </t>
  </si>
  <si>
    <t xml:space="preserve">2 Adet Çiğ Köfte Tako (Tako Lavaşı, Çiğ Köfte, Tako Peyniri, Meksika Fasulyesi, Burger Sos) </t>
  </si>
  <si>
    <t>Sıcak Sıcak Menü 1</t>
  </si>
  <si>
    <t xml:space="preserve">Tavuklu Pilav (300 gr.) + Komagene Ayran (29 cl.) </t>
  </si>
  <si>
    <t>Sıcak Sıcak Menü 2</t>
  </si>
  <si>
    <t xml:space="preserve">Tavuklu Pilav (300 gr.) + Seçeceğiniz Tatlı + Komagene Ayran (29 cl.) </t>
  </si>
  <si>
    <t xml:space="preserve">Çeyrek göbek marul, limon, 2 adet lavaş, 1 adet çiğ köfte sosu, 1 adet nar ekşili sos </t>
  </si>
  <si>
    <t xml:space="preserve">Yarım göbek marul, limon, 4 adet lavaş, 2 adet çiğ köfte sosu, 2 adet nar ekşili sos </t>
  </si>
  <si>
    <t xml:space="preserve">3 çeyrek göbek marul, limon, 6 adet lavaş, 3 adet çiğ köfte sosu, 3 adet nar ekşili sos </t>
  </si>
  <si>
    <t xml:space="preserve">1 adet göbek marul, limon, 8 adet lavaş, 4 adet çiğ köfte sosu, 4 adet nar ekşili sos </t>
  </si>
  <si>
    <t xml:space="preserve">5 çeyrek göbek marul, limon, 10 adet lavaş, 5 adet çiğ köfte sosu, 5 adet nar ekşili sos </t>
  </si>
  <si>
    <t xml:space="preserve">90 gr. çiğ Köfte, Doritos taco, tek lavaş </t>
  </si>
  <si>
    <t xml:space="preserve">175 gr. çiğ köfte, Doritos taco, çift lavaş </t>
  </si>
  <si>
    <t xml:space="preserve">150 gr. çiğ köfte, Doritos taco, çift lavaş </t>
  </si>
  <si>
    <t xml:space="preserve">90 gr. çiğ köfte, tek lavaş </t>
  </si>
  <si>
    <t xml:space="preserve">125 gr. çiğ köfte, Doritos taco, çift lavaş </t>
  </si>
  <si>
    <t xml:space="preserve">Çok bol çiğ köfteli. 175 gr. çiğ köfte, çift lavaş </t>
  </si>
  <si>
    <t xml:space="preserve">125 gr. çiğ köfte, çift lavaş </t>
  </si>
  <si>
    <t xml:space="preserve">Bol çiğ köfteli. 150 gr. çiğ köfte, çift lavaş </t>
  </si>
  <si>
    <t>Etli Kızartma İçli Köfte (Orta) (4'lü Paket)</t>
  </si>
  <si>
    <t xml:space="preserve">250 gr. pilav, 50 gr. tavuk </t>
  </si>
  <si>
    <t>Haydari (200 gr.)</t>
  </si>
  <si>
    <t>Carte d'Or Mini Cup - Çikolata Karnavalı (110 ml.)</t>
  </si>
  <si>
    <t>Carte d'Or Mini Cup - Çilekli Yoğurtlu (110 ml.)</t>
  </si>
  <si>
    <t>Algida Maraş Usulü Dilim Dondurma (82 ml.)</t>
  </si>
  <si>
    <t>Kadife Tatlısı (140 gr.)</t>
  </si>
  <si>
    <t>Kıbrıs Tatlısı (190 gr.)</t>
  </si>
  <si>
    <t>Supangle</t>
  </si>
  <si>
    <t>Profiterol</t>
  </si>
  <si>
    <t>Kemalpaşa Tatlısı (110 gr.)</t>
  </si>
  <si>
    <t>Fırın Sütlaç</t>
  </si>
  <si>
    <t>Höşmerim (120 gr.)</t>
  </si>
  <si>
    <t>Ruffles Sade (61 gr.)</t>
  </si>
  <si>
    <t>Çitliyo Kara Şimşek Klasik (80 gr.)</t>
  </si>
  <si>
    <t>Bahçeden Fındıklı Bar (30 gr.)</t>
  </si>
  <si>
    <t>4,25 TL</t>
  </si>
  <si>
    <t>Bahçeden Yer Fıstıklı Bar (30 gr.)</t>
  </si>
  <si>
    <t>3,25 TL</t>
  </si>
  <si>
    <t>Klasik Beyoğlu Gazozu (25 cl.)</t>
  </si>
  <si>
    <t>Zencefilli Beyoğlu Gazozu (25 cl.)</t>
  </si>
  <si>
    <t>Organik Şalgam Suyu (25 cl.)</t>
  </si>
  <si>
    <t>Sıcak Sıcak Menü 5</t>
  </si>
  <si>
    <t xml:space="preserve">Tavuklu Pilav (500 gr.) + Komagene Ayran (29 cl.) </t>
  </si>
  <si>
    <t>Etli Kızartma İçli Köfte (Küçük) (6'lı Paket)</t>
  </si>
  <si>
    <t>Etli Kızartma İçli Köfte (Büyük) (6'lı Paket)</t>
  </si>
  <si>
    <t>Peynir Tatlısı (3'lü Paket)</t>
  </si>
  <si>
    <t xml:space="preserve">(180 gr.) </t>
  </si>
  <si>
    <t xml:space="preserve">(300 gr.) </t>
  </si>
  <si>
    <t>Lay's Klasik (61 gr.)</t>
  </si>
  <si>
    <t>Haribo Mini Altın Ayıcık (12,5 gr.)</t>
  </si>
  <si>
    <t>Çokomel Marshmallow Sade (12 gr.)</t>
  </si>
  <si>
    <t>Çokomel Marshmallow Çilekli (12 gr.)</t>
  </si>
  <si>
    <t>Izgara Kelebek Tavuk Pirzola (1 kg.)</t>
  </si>
  <si>
    <t xml:space="preserve">Salata, soğan, közlenmiş biber, közlenmiş domates, pide ile </t>
  </si>
  <si>
    <t xml:space="preserve">Domates, maydanoz, isteğe göre soğan </t>
  </si>
  <si>
    <t>Yarım Ekmek Arası Tavuk Tantuni</t>
  </si>
  <si>
    <t>21,38 TL</t>
  </si>
  <si>
    <t>Seçilmiş Menü (Yarım Ekmek Arası Tavuk Tantuni)</t>
  </si>
  <si>
    <t xml:space="preserve">Yarım Ekmek Arası Tavuk Tantuni + Coca-Cola(20 cl.) </t>
  </si>
  <si>
    <t>29,25 TL</t>
  </si>
  <si>
    <t>Seçilmiş Menü (Karışık Izgara Tavuk (1 kg.))</t>
  </si>
  <si>
    <t xml:space="preserve">Karışık Izgara Tavuk (1 kg.) + Coca-Cola (1 L.) </t>
  </si>
  <si>
    <t>69,25 TL</t>
  </si>
  <si>
    <t>Seçilmiş Menü (Izgara Kelebek Tavuk Pirzola (1 kg.))</t>
  </si>
  <si>
    <t xml:space="preserve">Izgara Kelebek Tavuk Pirzola (1 kg.) + Coca-Cola (1 L.) </t>
  </si>
  <si>
    <t>60,75 TL</t>
  </si>
  <si>
    <t>Vodafone Menüsü (Adana Dürüm)</t>
  </si>
  <si>
    <t xml:space="preserve">Adana Dürüm + Pepsi (33 cl.) (Kampanya koşulları için restoranın Promosyonlar bölümüne göz atınız. İndirimli fiyat ürün sepete eklendikten sonra uygulanır.) </t>
  </si>
  <si>
    <t>Vodafone Menüsü (Et Şiş Dürüm)</t>
  </si>
  <si>
    <t xml:space="preserve">Et Şiş Dürüm + Pepsi (33 cl.) (Kampanya koşulları için restoranın Promosyonlar bölümüne göz atınız. İndirimli fiyat ürün sepete eklendikten sonra uygulanır.) </t>
  </si>
  <si>
    <t>43,50 TL</t>
  </si>
  <si>
    <t xml:space="preserve">Sucuk, kaşar peyniri </t>
  </si>
  <si>
    <t>12,38 TL</t>
  </si>
  <si>
    <t xml:space="preserve">Soğan, salata, közlenmiş biber, közlenmiş domates, pide ile </t>
  </si>
  <si>
    <t>31,88 TL</t>
  </si>
  <si>
    <t xml:space="preserve">Izgara kuzu pirzola, et şiş kebap, Adana kebap, ızgara köfte. Soğan, salata, közlenmiş biber, közlenmiş domates, pide ile </t>
  </si>
  <si>
    <t>71,25 TL</t>
  </si>
  <si>
    <t>28,88 TL</t>
  </si>
  <si>
    <t>Special Konak Sofrası</t>
  </si>
  <si>
    <t xml:space="preserve">1 Adet adana kebap, 1 adet tavuk şiş, 2 adet köfte, 1 adet tavuk pirzola,1 adet ekmek, salata ile </t>
  </si>
  <si>
    <t>74,63 TL</t>
  </si>
  <si>
    <t>20,25 TL</t>
  </si>
  <si>
    <t>Yarım Ekmek Arası Izgara Köfte</t>
  </si>
  <si>
    <t>Ekmek (Adet)</t>
  </si>
  <si>
    <t>5,63 TL</t>
  </si>
  <si>
    <t>4,88 TL</t>
  </si>
  <si>
    <t>Coca-Cola(20 cl.)</t>
  </si>
  <si>
    <t>3,94 TL</t>
  </si>
  <si>
    <t>4,13 TL</t>
  </si>
  <si>
    <t>3,38 TL</t>
  </si>
  <si>
    <t>2,06 TL</t>
  </si>
  <si>
    <t>8,63 TL</t>
  </si>
  <si>
    <t>8,25 TL</t>
  </si>
  <si>
    <t>Su (1.5 L.)</t>
  </si>
  <si>
    <t>Coca Cola (2.5 L.)</t>
  </si>
  <si>
    <t>Fanta (2.5 L.)</t>
  </si>
  <si>
    <t>11,63 TL</t>
  </si>
  <si>
    <t xml:space="preserve">Tavuk pirzola, tavuk göğüs, tavuk kelebek pirzola. Salata, soğan, közlenmiş biber, közlenmiş domates, pide ile </t>
  </si>
  <si>
    <t>Izgara Köfte (1 kg.) (Pişirilmiş)</t>
  </si>
  <si>
    <t xml:space="preserve">Salata, közlenmiş domates, közlenmiş biber, sumaklı soğan salatası, 2 adet pide ile </t>
  </si>
  <si>
    <t>112,50 TL</t>
  </si>
  <si>
    <t xml:space="preserve">Salata, maydanoz, limon, biber ile </t>
  </si>
  <si>
    <t xml:space="preserve">Kuşbaşı. Salata, maydanoz, limon, biber ile </t>
  </si>
  <si>
    <t>Mevlana Pide</t>
  </si>
  <si>
    <t xml:space="preserve">Kıyma, kaşar peyniri. Salata, maydanoz, limon, biber ile </t>
  </si>
  <si>
    <t>Fırın Tavuk Pide</t>
  </si>
  <si>
    <t>Kavurmalı Pide</t>
  </si>
  <si>
    <t>Sucuklu Kaşarlı Yumurtalı Pide</t>
  </si>
  <si>
    <t>Pastırmalı Kaşarlı Pide</t>
  </si>
  <si>
    <t>Kavurmalı Kaşarlı Pide</t>
  </si>
  <si>
    <t>Sebzeli Kaşarlı Pide</t>
  </si>
  <si>
    <t xml:space="preserve">Biber, domates. Salata, maydanoz, limon, biber ile </t>
  </si>
  <si>
    <t>Pastırmalı Kaşarlı Yumurtalı Pide</t>
  </si>
  <si>
    <t>Kavurmalı Kaşarlı Yumurtalı Pide</t>
  </si>
  <si>
    <t xml:space="preserve">Cam şişe </t>
  </si>
  <si>
    <t xml:space="preserve">1,5 porsiyon tavuk döner, domates, soğan, patates kızartması, özel sos, turşu, mayonez </t>
  </si>
  <si>
    <t>14,63 TL</t>
  </si>
  <si>
    <t>Mega Tavuk Döner Dürüm</t>
  </si>
  <si>
    <t xml:space="preserve">Domates, patates kızartması, özel sos, turşu, mayonez </t>
  </si>
  <si>
    <t>12,75 TL</t>
  </si>
  <si>
    <t xml:space="preserve">Domates, maydanoz, soğan </t>
  </si>
  <si>
    <t>Mega Menü</t>
  </si>
  <si>
    <t xml:space="preserve">Mega Tavuk Döner Dürüm + Sütlü Tatlı + Ayran (20 cl.) </t>
  </si>
  <si>
    <t xml:space="preserve">Bulgur pilavı, yoğurt, acılı ezme ile </t>
  </si>
  <si>
    <t>Mega Menü (Gazozlu)</t>
  </si>
  <si>
    <t xml:space="preserve">Mega Tavuk Döner Dürüm + Sütlü Tatlı + Niğde Gazozu (25 cl.) </t>
  </si>
  <si>
    <t>Tavuk Döner (Tabakta)</t>
  </si>
  <si>
    <t xml:space="preserve">Haydari ile </t>
  </si>
  <si>
    <t xml:space="preserve">Günün pilavı, soğan salatası, haydari, ezme ile </t>
  </si>
  <si>
    <t>8,21 TL</t>
  </si>
  <si>
    <t xml:space="preserve">Günün pilavı, patates kızartması, tırnak pide, kebap salatası, haydari, acılı ezme ile </t>
  </si>
  <si>
    <t>41,25 TL</t>
  </si>
  <si>
    <t>Adana Kebap (1 kg.)</t>
  </si>
  <si>
    <t xml:space="preserve">(10 Şiş) Patates kızartması, bulgur pilavı, çoban salata, haydari, ezme, sıcak pide ile </t>
  </si>
  <si>
    <t xml:space="preserve">Sucuk, kaşar peyniri, domates </t>
  </si>
  <si>
    <t xml:space="preserve">Tavuk köfte, domates, marul, kornişon turşu </t>
  </si>
  <si>
    <t>Karışık Gözleme</t>
  </si>
  <si>
    <t xml:space="preserve">Kaşar peyniri, sucuk, domates </t>
  </si>
  <si>
    <t>Sigara Böreği (8 Adet)</t>
  </si>
  <si>
    <t xml:space="preserve">Patates kızartması, domates, salatalık ile </t>
  </si>
  <si>
    <t xml:space="preserve">Izgara köfte, domates, marul, biber </t>
  </si>
  <si>
    <t>2 Dilim Pizza Menü</t>
  </si>
  <si>
    <t xml:space="preserve">2 Dilim Pizza (Mısır, mantar, sucuk, sosis, kaşar peyniri) + 2 Adet Soğan Halkası + 2 Adet Nugget + Patates Kızartması + Kutu İçecek </t>
  </si>
  <si>
    <t>4 Dilim Pizza Menü</t>
  </si>
  <si>
    <t xml:space="preserve">4 Dilim Pizza (Mısır, mantar, sucuk, sosis, kaşar peyniri) + 4 Adet Soğan Halkası + 4 Adet Nugget + Patates Kızartması + Kutu İçecek </t>
  </si>
  <si>
    <t>Izgara Köfte Menü</t>
  </si>
  <si>
    <t xml:space="preserve">Izgara Köfte + Patates Kızartması + Kutu İçecek </t>
  </si>
  <si>
    <t>Küçük Ev Kumru Sandviç Menü</t>
  </si>
  <si>
    <t xml:space="preserve">Küçük Ev Kumru Sandviç (Domates, salatalık, yeşillik, beyaz peynir) + Patates Kızartması + Kutu İçecek </t>
  </si>
  <si>
    <t xml:space="preserve">Çiğ Köfte (1 kg.) + Turşu + Domates + Marul + Maydanoz + Nane + Limon + Biber + Lavaş + Ayran (1 L.) </t>
  </si>
  <si>
    <t>Kıtır Tavuk Sandviç</t>
  </si>
  <si>
    <t xml:space="preserve">Domates, salatalık, yeşillik, nugget, tavuk şnitzel, kornişon turşu </t>
  </si>
  <si>
    <t>Soğuk Sandviç</t>
  </si>
  <si>
    <t xml:space="preserve">Domates, salatalık, salam, beyaz peynir, yeşillik, kaşar peyniri </t>
  </si>
  <si>
    <t>Sosisli Sandviç</t>
  </si>
  <si>
    <t xml:space="preserve">Domates, salatalık, yeşillik, kaşar peyniri, sosis </t>
  </si>
  <si>
    <t xml:space="preserve">Salata, patates kızartması ile </t>
  </si>
  <si>
    <t xml:space="preserve">Dana et köfte, domates, marul, kornişon turşu, cheddar peyniri </t>
  </si>
  <si>
    <t xml:space="preserve">Dana et köfte, domates, marul, kornişon turşu </t>
  </si>
  <si>
    <t>Küçük Ev Burger</t>
  </si>
  <si>
    <t xml:space="preserve">Double burger köftesi, domates, marul </t>
  </si>
  <si>
    <t>Pastırmalı Burger</t>
  </si>
  <si>
    <t xml:space="preserve">Dana et köfte, dana pastırma, domates, marul </t>
  </si>
  <si>
    <t>Çiğ Köfte (100 gr.)</t>
  </si>
  <si>
    <t xml:space="preserve">Marul, domates, turşu, nar ekşisi, acı sos </t>
  </si>
  <si>
    <t xml:space="preserve">Turşu, domates, marul, maydanoz, limon, lavaş </t>
  </si>
  <si>
    <t>Mega Çiğ Köfte Dürüm (125 gr.)</t>
  </si>
  <si>
    <t xml:space="preserve">Çift lavaş, marul, domates, turşu, nar ekşisi, isteğe göre acı sos </t>
  </si>
  <si>
    <t>Ekmek Arası Izgara Sucuk</t>
  </si>
  <si>
    <t xml:space="preserve">Izgara sucuk, domates, biber </t>
  </si>
  <si>
    <t>Ekmek Arası Kumru Sandviç</t>
  </si>
  <si>
    <t xml:space="preserve">Salam, sosis, sucuk, kaşar peyniri, turşu </t>
  </si>
  <si>
    <t>Dana Sosis (6 Adet)</t>
  </si>
  <si>
    <t>Combo Mix Börek Tabağı</t>
  </si>
  <si>
    <t xml:space="preserve">Paçanga böreği, tavuklu Çin böreği, sebzeli Çin böreği </t>
  </si>
  <si>
    <t>Kızartma İçli Köfte (6 Adet)</t>
  </si>
  <si>
    <t xml:space="preserve">Yoğurt, limon, maydanoz ile </t>
  </si>
  <si>
    <t>Ayran (75 cl.)</t>
  </si>
  <si>
    <t>Taze Sıkma Portakal Suyu (33 cl.)</t>
  </si>
  <si>
    <t>Taze Sıkma Havuç Suyu (33 cl.)</t>
  </si>
  <si>
    <t>İskender (Et Döner)</t>
  </si>
  <si>
    <t xml:space="preserve">Közlenmiş domates, közlenmiş biber, tereyağ, yoğurt, salata ile </t>
  </si>
  <si>
    <t xml:space="preserve">Ekmek ile </t>
  </si>
  <si>
    <t xml:space="preserve">Domates, marul, soğan </t>
  </si>
  <si>
    <t>Seçilmiş Menü (3 Lahmacun)</t>
  </si>
  <si>
    <t xml:space="preserve">3 Adet Lahmacun + Coca-Cola (33 cl.) </t>
  </si>
  <si>
    <t>Vodafone Menüsü (Tavuk Şiş Dürüm)</t>
  </si>
  <si>
    <t xml:space="preserve">Tavuk Şiş Dürüm (Domates, marul, soğan) + Ayran (20 cl.) (Kampanya koşulları için restoranın Promosyonlar bölümüne göz atınız. İndirimli fiyat ürün sepete eklendikten sonra uygulanır.) </t>
  </si>
  <si>
    <t>Omlet</t>
  </si>
  <si>
    <t xml:space="preserve">1 adet yumurta </t>
  </si>
  <si>
    <t>Menemen</t>
  </si>
  <si>
    <t xml:space="preserve">1 adet yumurta, domates, soğan, biber </t>
  </si>
  <si>
    <t xml:space="preserve">Közlenmiş domates, közlenmiş biber, salata ile </t>
  </si>
  <si>
    <t xml:space="preserve">Közlenmiş domates, közlenmiş biber, tereyağı, yoğurt, salata ile </t>
  </si>
  <si>
    <t xml:space="preserve">Közlenmiş domates, közlenmiş biber, yoğurt, salata ile </t>
  </si>
  <si>
    <t xml:space="preserve">Yarım Adana, yarım et şiş, yarım ciğer şiş, yarım tavuk şiş, iki adet kanat. Közlenmiş domates, közlenmiş biber, salata ile </t>
  </si>
  <si>
    <t>64,00 TL</t>
  </si>
  <si>
    <t xml:space="preserve">Salata ile </t>
  </si>
  <si>
    <t>Tavuklu Pide</t>
  </si>
  <si>
    <t>Bıçak Arası Kuşbaşılı Pide</t>
  </si>
  <si>
    <t>Kıymalı Kaşarlı Pide Mevlana Pide</t>
  </si>
  <si>
    <t xml:space="preserve">Kuşbaşı, kaşar peyniri, kıyma. Salata ile </t>
  </si>
  <si>
    <t>Pide Pizza</t>
  </si>
  <si>
    <t xml:space="preserve">Sucuk, kaşar peyniri, mısır, özel domates sos </t>
  </si>
  <si>
    <t xml:space="preserve">Pirinç pilavı, salata ile </t>
  </si>
  <si>
    <t xml:space="preserve">Yoğurt, tereyağı, özel baharat sos </t>
  </si>
  <si>
    <t xml:space="preserve">Biber, domates, salata ile </t>
  </si>
  <si>
    <t>Et Sac Tava</t>
  </si>
  <si>
    <t>Kızartma İçli Köfte (4 Adet)</t>
  </si>
  <si>
    <t>Tavuk Sac Tava</t>
  </si>
  <si>
    <t>Karnıyarık</t>
  </si>
  <si>
    <t>Kiremitte Mantar</t>
  </si>
  <si>
    <t>Katmer</t>
  </si>
  <si>
    <t>Lavaş Tavuk Döner</t>
  </si>
  <si>
    <t xml:space="preserve">Patates kızartması, yeşillik, sos, mayonez </t>
  </si>
  <si>
    <t>Lavaş Tavuk Zurna Döner</t>
  </si>
  <si>
    <t>Somun Tavuk Döner</t>
  </si>
  <si>
    <t>Lavaş Et Döner</t>
  </si>
  <si>
    <t xml:space="preserve">Yeşillik, sos, patates kızartması </t>
  </si>
  <si>
    <t>3 Adet Tavuk Döner &amp; Coca-Cola (1 L.) Menü</t>
  </si>
  <si>
    <t xml:space="preserve">3 Adet Tavuk Döner Dürüm + Coca-Cola (1 L.) </t>
  </si>
  <si>
    <t>5 Adet Tavuk Döner &amp; Coca-Cola (2,5 L.) Menü</t>
  </si>
  <si>
    <t xml:space="preserve">5 Adet Tavuk Döner Dürüm + Coca-Cola (2,5 L.) </t>
  </si>
  <si>
    <t>5 Adet Tavuk Döner &amp; 5 Adet Ayran (30 cl.) Menü</t>
  </si>
  <si>
    <t xml:space="preserve">5 Adet Tavuk Döner Dürüm + 5 Adet Ayran (30 cl.) </t>
  </si>
  <si>
    <t>10 Adet Tavuk Döner &amp; Coca-Cola (2,5 L.) Menü</t>
  </si>
  <si>
    <t xml:space="preserve">10 Adet Tavuk Döner Dürüm + Coca-Cola (2,5 L.) </t>
  </si>
  <si>
    <t>145,00 TL</t>
  </si>
  <si>
    <t>6 Adet Tavuk Döner &amp; Coca-Cola (1 L.) Menü</t>
  </si>
  <si>
    <t xml:space="preserve">6 Adet Tavuk Döner Dürüm + Coca-Cola (1 L.) </t>
  </si>
  <si>
    <t>4 Adet Et Döner &amp; 4 Adet Ayran (30 cl.) Menü</t>
  </si>
  <si>
    <t xml:space="preserve">4 Adet Et Döner Dürüm + 4 Adet Ayran (30 cl.) </t>
  </si>
  <si>
    <t>86,00 TL</t>
  </si>
  <si>
    <t>4 Adet Et Döner &amp; Coca-Cola (1 L.) Menü</t>
  </si>
  <si>
    <t xml:space="preserve">4 Adet Et Döner Dürüm + Coca-Cola (1 L.) </t>
  </si>
  <si>
    <t>7 Adet Et Döner &amp; Coca-Cola (2,5 L.) Menü</t>
  </si>
  <si>
    <t xml:space="preserve">7 Adet Et Döner Dürüm + Coca-Cola (2,5 L.) </t>
  </si>
  <si>
    <t>140,00 TL</t>
  </si>
  <si>
    <t>10 Adet Et Döner &amp; Coca-Cola (2,5 L.) Menü</t>
  </si>
  <si>
    <t xml:space="preserve">10 Adet Et Döner Dürüm + Coca-Cola (2,5 L.) </t>
  </si>
  <si>
    <t>6 Adet Et Döner &amp; Coca-Cola (1 L.) Menü</t>
  </si>
  <si>
    <t xml:space="preserve">6 Adet Et Döner Dürüm + Coca-Cola (1 L.) </t>
  </si>
  <si>
    <t>110,00 TL</t>
  </si>
  <si>
    <t>Köfte Burger Menü</t>
  </si>
  <si>
    <t xml:space="preserve">Köfte Burger + Patates Kızartması + Kutu İçecek </t>
  </si>
  <si>
    <t>Tavuk Döner &amp; Ayran &amp; Patates Menü</t>
  </si>
  <si>
    <t xml:space="preserve">Tavuk Döner Dürüm + Patates Kızartması + Ayran (30 cl.) </t>
  </si>
  <si>
    <t>Tavuk Döner &amp; Kutu İçecek &amp; Patates Menü</t>
  </si>
  <si>
    <t xml:space="preserve">Tavuk Döner Dürüm + Patates Kızartması + Kutu İçecek </t>
  </si>
  <si>
    <t>Et Döner &amp; Ayran &amp; Patates Menü</t>
  </si>
  <si>
    <t xml:space="preserve">Et Döner Dürüm + Patates Kızartması + Ayran (30 cl.) </t>
  </si>
  <si>
    <t>Et Döner &amp; Kutu İçecek &amp; Patates Menü</t>
  </si>
  <si>
    <t xml:space="preserve">Et Döner Dürüm + Patates Kızartması + Kutu İçecek </t>
  </si>
  <si>
    <t>Çocuk Tavuk Döner &amp; Ayran &amp; Patates Menü</t>
  </si>
  <si>
    <t xml:space="preserve">Çocuk Tavuk Döner Dürüm + Patates Kızartması + Ayran (30 cl.) </t>
  </si>
  <si>
    <t>Çocuk Tavuk Döner &amp; Kutu İçecek &amp; Patates Menü</t>
  </si>
  <si>
    <t xml:space="preserve">Çocuk Tavuk Döner Dürüm + Patates Kızartması + Kutu İçecek </t>
  </si>
  <si>
    <t>Çocuk Et Döner &amp; Ayran &amp; Patates Menü</t>
  </si>
  <si>
    <t xml:space="preserve">Çocuk Et Döner Dürüm + Patates Kızartması + Ayran (30 cl.) </t>
  </si>
  <si>
    <t>Çocuk Et Döner &amp; Kutu İçecek &amp; Patates Menü</t>
  </si>
  <si>
    <t xml:space="preserve">Çocuk Et Döner Dürüm + Patates Kızartması + Kutu İçecek </t>
  </si>
  <si>
    <t>Lavaş Et Zurna Döner</t>
  </si>
  <si>
    <t>Somun Et Döner</t>
  </si>
  <si>
    <t xml:space="preserve">Pilav, salata, patates kızartması, sos </t>
  </si>
  <si>
    <t>Bol Ekmek Bol Malzemeli Tavuk Döner</t>
  </si>
  <si>
    <t xml:space="preserve">Pilav, salata, patates kızartması, sos ile </t>
  </si>
  <si>
    <t xml:space="preserve">Marul, domates, sos, mayonez, turşu, patates kızartması </t>
  </si>
  <si>
    <t>Tavuk Döner Dürüm Menü 1</t>
  </si>
  <si>
    <t xml:space="preserve">Tavuk Döner Dürüm + Patates Kızartması + Ayran (20 cl.) </t>
  </si>
  <si>
    <t>Et Döner Menü 1</t>
  </si>
  <si>
    <t xml:space="preserve">Et Döner + Patates Kızartması + Tatlı + Ayran (20 cl.) </t>
  </si>
  <si>
    <t>Et Döner Menü 2</t>
  </si>
  <si>
    <t xml:space="preserve">Et Döner + Patates Kızartması + Tatlı + Kutu İçecek </t>
  </si>
  <si>
    <t>Tavuk Döner Menü 1</t>
  </si>
  <si>
    <t xml:space="preserve">Tavuk Döner + Patates Kızartması + Tatlı + Ayran (20 cl.) </t>
  </si>
  <si>
    <t>Tavuk Döner Menü 2</t>
  </si>
  <si>
    <t xml:space="preserve">Tavuk Döner + Patates Kızartması + Tatlı + Kutu İçecek </t>
  </si>
  <si>
    <t>İskender Menü 1</t>
  </si>
  <si>
    <t xml:space="preserve">İskender (Et Dönerden) + Patates Kızartması + Tatlı + Ayran (20 cl.) </t>
  </si>
  <si>
    <t>İskender Menü 2</t>
  </si>
  <si>
    <t xml:space="preserve">İskender (Et Dönerden) + Patates Kızartması + Tatlı + Kutu İçecek </t>
  </si>
  <si>
    <t>İskender Menü 3</t>
  </si>
  <si>
    <t xml:space="preserve">İskender (Tavuk Dönerden) + Patates Kızartması + Tatlı + Ayran (20 cl.) </t>
  </si>
  <si>
    <t>İskender Menü 4</t>
  </si>
  <si>
    <t xml:space="preserve">İskender (Tavuk Dönerden) + Patates Kızartması + Tatlı + Kutu İçecek </t>
  </si>
  <si>
    <t>Tavuk Döner Dürüm Menü 2</t>
  </si>
  <si>
    <t>Joker Menü 1</t>
  </si>
  <si>
    <t xml:space="preserve">Tavuk Döner Dürüm + Patates Kızartması + Tatlı + Ayran (20 cl.) </t>
  </si>
  <si>
    <t>Joker Menü 2</t>
  </si>
  <si>
    <t xml:space="preserve">Et Döner Dürüm + Patates Kızartması + Tatlı + Ayran (20 cl.) </t>
  </si>
  <si>
    <t>Fırsat Menü 1</t>
  </si>
  <si>
    <t xml:space="preserve">Tavuk Döner Dürüm + Patates Kızartması + Tatlı + Kutu İçecek </t>
  </si>
  <si>
    <t>Fırsat Menü 2</t>
  </si>
  <si>
    <t xml:space="preserve">Et Döner Dürüm + Patates Kızartması + Tatlı + Kutu İçecek </t>
  </si>
  <si>
    <t xml:space="preserve">Zurna Tavuk Döner Dürüm + Patates Kızartması + Tatlı + Ayran (20 cl.) </t>
  </si>
  <si>
    <t xml:space="preserve">Zurna Et Döner Dürüm + Patates Kızartması + Tatlı + Ayran (20 cl.) </t>
  </si>
  <si>
    <t xml:space="preserve">Zurna Tavuk Döner Dürüm + Patates Kızartması + Tatlı + Kutu İçecek </t>
  </si>
  <si>
    <t xml:space="preserve">Zurna Et Döner Dürüm + Patates Kızartması + Tatlı + Kutu İçecek </t>
  </si>
  <si>
    <t>Special Et Döner Dürüm</t>
  </si>
  <si>
    <t xml:space="preserve">Maydonoz, nane, soğan, domates, sos, turşu </t>
  </si>
  <si>
    <t>Special Zurna Et Döner Dürüm</t>
  </si>
  <si>
    <t>Yarım Et Döner Dürüm</t>
  </si>
  <si>
    <t xml:space="preserve">Sos, mayonez, turşu, domates, patates kızartması, marul ile </t>
  </si>
  <si>
    <t xml:space="preserve">Yoğurt, sos, tereyağı ile </t>
  </si>
  <si>
    <t>Somun Ekmek Arası Et Döner</t>
  </si>
  <si>
    <t>Special Zurna Tavuk Döner Dürüm</t>
  </si>
  <si>
    <t>Yarım Tavuk Döner Dürüm</t>
  </si>
  <si>
    <t>Somun Ekmek Arası Tavuk Döner</t>
  </si>
  <si>
    <t>Special Tavuk Döner Dürüm</t>
  </si>
  <si>
    <t>Sütlaç (100 gr.)</t>
  </si>
  <si>
    <t xml:space="preserve">Marul, cips, turşu, sos, mayonez </t>
  </si>
  <si>
    <t>Lavaş Arası Soslu Tavuk Döner Dürüm</t>
  </si>
  <si>
    <t xml:space="preserve">Yeşillik, turşu, patates kızartması, sos, mayonez </t>
  </si>
  <si>
    <t>Et Döner Zurna Dürüm</t>
  </si>
  <si>
    <t>Seçilmiş Menü (Zurna Tavuk Döner Dürüm)</t>
  </si>
  <si>
    <t xml:space="preserve">Zurna Tavuk Döner Dürüm + Coca-Cola (33 cl.) </t>
  </si>
  <si>
    <t>21,20 TL</t>
  </si>
  <si>
    <t>Seçilmiş Menü (Tavuk Döner)</t>
  </si>
  <si>
    <t xml:space="preserve">Tavuk Döner + Coca-Cola (33 cl.) </t>
  </si>
  <si>
    <t>18,70 TL</t>
  </si>
  <si>
    <t>Seçilmiş Menü (Et Döner Dürüm)</t>
  </si>
  <si>
    <t xml:space="preserve">Et Döner Dürüm + Coca-Cola (33 cl.) </t>
  </si>
  <si>
    <t>22,78 TL</t>
  </si>
  <si>
    <t xml:space="preserve">Tavuk Döner Dürüm + Ayran (20 cl.) (Kampanya koşulları için restoranın Promosyonlar bölümüne göz atınız. İndirimli fiyat ürün sepete eklendikten sonra uygulanır.) </t>
  </si>
  <si>
    <t>Vodafone Menüsü (Et Döner Zurna Dürüm)</t>
  </si>
  <si>
    <t xml:space="preserve">Et Döner Zurna Dürüm + Coca-Cola (33 cl.) (Kampanya koşulları için restoranın Promosyonlar bölümüne göz atınız. İndirimli fiyat ürün sepete eklendikten sonra uygulanır.) </t>
  </si>
  <si>
    <t xml:space="preserve">Salata, meze ile </t>
  </si>
  <si>
    <t>Adana Usulü Et Döner Dürüm</t>
  </si>
  <si>
    <t xml:space="preserve">Maydanoz, soğan, acılı domates sos </t>
  </si>
  <si>
    <t>Lavaş Arası Soslu Et Döner Dürüm</t>
  </si>
  <si>
    <t xml:space="preserve">Marul, cips, turşu, sos, maydanoz </t>
  </si>
  <si>
    <t>Adana Usulü Tavuk Döner Dürüm</t>
  </si>
  <si>
    <t>Somun Ekmek Arası Hatay Usulü Tavuk Döner</t>
  </si>
  <si>
    <t>Pide Arası Et Döner</t>
  </si>
  <si>
    <t xml:space="preserve">Tereyağı sos, salata, meze ile </t>
  </si>
  <si>
    <t>Pide Arası Tavuk Döner</t>
  </si>
  <si>
    <t>Ankara Usulü Tavuk Döner Dürüm</t>
  </si>
  <si>
    <t>Coca-Cola Şekersiz (33 cl.) - Şu anda mevcut değil.</t>
  </si>
  <si>
    <t>Şalgam Suyu (30 cl.) - Şu anda mevcut değil.</t>
  </si>
  <si>
    <t>Peynirli Börek</t>
  </si>
  <si>
    <t xml:space="preserve">Mandıra peyniri, mozzarella peyniri, künefe peyniri </t>
  </si>
  <si>
    <t>Kıymalı Börek</t>
  </si>
  <si>
    <t>Peynirli Börek (1 kg.)</t>
  </si>
  <si>
    <t>Börek &amp; Tatlı Menü - Şu anda mevcut değil.</t>
  </si>
  <si>
    <t xml:space="preserve">Peynirli Levent Börek (1 kg.) + Şambali Tatlısı (1 kg.) </t>
  </si>
  <si>
    <t>89,00 TL</t>
  </si>
  <si>
    <t>Pastırmalı Peynirli Börek - Şu anda mevcut değil.</t>
  </si>
  <si>
    <t>Kavurmalı Peynirli Börek</t>
  </si>
  <si>
    <t>Peynirli Zeytinli Börek - Şu anda mevcut değil.</t>
  </si>
  <si>
    <t>Ispanaklı Peynirli Börek - Şu anda mevcut değil.</t>
  </si>
  <si>
    <t>Sucuklu Peynirli Börek - Şu anda mevcut değil.</t>
  </si>
  <si>
    <t>Patatesli Börek - Şu anda mevcut değil.</t>
  </si>
  <si>
    <t>Çikolatalı Börek - Şu anda mevcut değil.</t>
  </si>
  <si>
    <t>Peynirli Börek (2 kg.)</t>
  </si>
  <si>
    <t xml:space="preserve">15 TL depozito ücreti dahildir. Tepsi iadesi halinde depozito ücreti iade edilmektedir. </t>
  </si>
  <si>
    <t>126,80 TL</t>
  </si>
  <si>
    <t>Peynirli Börek (3 kg.)</t>
  </si>
  <si>
    <t xml:space="preserve">20 TL depozito ücreti dahildir. Tepsi iadesi halinde depozito ücreti iade edilmektedir. </t>
  </si>
  <si>
    <t>187,70 TL</t>
  </si>
  <si>
    <t>Peynirli Börek (4,5 kg.)</t>
  </si>
  <si>
    <t xml:space="preserve">30 TL depozito ücreti dahildir. Tepsi iadesi halinde depozito ücreti iade edilmektedir. </t>
  </si>
  <si>
    <t>281,50 TL</t>
  </si>
  <si>
    <t>Kıymalı Börek (3 kg.)</t>
  </si>
  <si>
    <t>260,00 TL</t>
  </si>
  <si>
    <t>Çikolatalı Börek (3 kg.)</t>
  </si>
  <si>
    <t>308,00 TL</t>
  </si>
  <si>
    <t>Pastırmalı &amp; Peynirli Börek (3 kg.)</t>
  </si>
  <si>
    <t>320,00 TL</t>
  </si>
  <si>
    <t>Ispanaklı &amp; Peynirli Börek (3 kg.)</t>
  </si>
  <si>
    <t>224,00 TL</t>
  </si>
  <si>
    <t>Kavurmalı &amp; Peynirli Börek (3 kg.)</t>
  </si>
  <si>
    <t>272,00 TL</t>
  </si>
  <si>
    <t>Zeytinli &amp; Peynirli Börek (3 kg.)</t>
  </si>
  <si>
    <t>236,00 TL</t>
  </si>
  <si>
    <t>Sucuklu Peynirli Börek (3 kg.)</t>
  </si>
  <si>
    <t>296,00 TL</t>
  </si>
  <si>
    <t>Patatesli Börek (1 kg.) - Şu anda mevcut değil.</t>
  </si>
  <si>
    <t>Çikolatalı Börek (1 kg.) - Şu anda mevcut değil.</t>
  </si>
  <si>
    <t>Kıymalı Börek (1 kg.)</t>
  </si>
  <si>
    <t>Ispanaklı Peynirli Börek (1 kg.) - Şu anda mevcut değil.</t>
  </si>
  <si>
    <t>Pastırmalı Peynirli Börek (1 kg.) - Şu anda mevcut değil.</t>
  </si>
  <si>
    <t>Kavurmalı Peynirli Börek (1 kg.)</t>
  </si>
  <si>
    <t>84,00 TL</t>
  </si>
  <si>
    <t>Peynirli Zeytinli Börek (1 kg.) - Şu anda mevcut değil.</t>
  </si>
  <si>
    <t>72,00 TL</t>
  </si>
  <si>
    <t>Sucuklu Peynirli Börek (1 kg.) - Şu anda mevcut değil.</t>
  </si>
  <si>
    <t>92,00 TL</t>
  </si>
  <si>
    <t>3 Peynirli Pizza - Şu anda mevcut değil.</t>
  </si>
  <si>
    <t xml:space="preserve">Kaşar peyniri, mozzarella peyniri, cheddar peyniri </t>
  </si>
  <si>
    <t>Karışık Pizza - Şu anda mevcut değil.</t>
  </si>
  <si>
    <t xml:space="preserve">Pizza sosu, kaşar peyniri, sucuk, kırmızıbiber, yeşilbiber, mısır, zeytin </t>
  </si>
  <si>
    <t>Şambali Tatlısı - Şu anda mevcut değil.</t>
  </si>
  <si>
    <t>Karışık Kurabiye (500 gr.)</t>
  </si>
  <si>
    <t xml:space="preserve">Tatlı kurabiye, tuzlu kurabiye </t>
  </si>
  <si>
    <t>Çikolatalı Pasta (3-4 Kişilik)</t>
  </si>
  <si>
    <t xml:space="preserve">Pandispanya kek, sütlü krema, çikolata parçaları </t>
  </si>
  <si>
    <t>Çikolatalı Pasta (9-11 Kişilik)</t>
  </si>
  <si>
    <t>Soğuk Baklava (500 gr.)</t>
  </si>
  <si>
    <t>Cevizli Baklava (500 gr.)</t>
  </si>
  <si>
    <t>Çikolatalı Pasta (Adet)</t>
  </si>
  <si>
    <t>Meyveli Pasta (3-4 Kişilik) - Şu anda mevcut değil.</t>
  </si>
  <si>
    <t xml:space="preserve">Pandispanya kek, sütlü krema, mevsim meyveleri, çikolata parçaları </t>
  </si>
  <si>
    <t>Kestaneli Pasta (3-4 Kişilik) - Şu anda mevcut değil.</t>
  </si>
  <si>
    <t xml:space="preserve">Pandispanya kek, sütlü krema, kestane şekeri </t>
  </si>
  <si>
    <t>Muzlu Çikolatalı Pasta (3-4 Kişilik) - Şu anda mevcut değil.</t>
  </si>
  <si>
    <t xml:space="preserve">Pandispanya kek, sütlü krema, çikolata parçaları, muz </t>
  </si>
  <si>
    <t>Antep Fıstıklı Drajeli Pasta (3-4 Kişilik) - Şu anda mevcut değil.</t>
  </si>
  <si>
    <t xml:space="preserve">Pandispanya kek, sütlü krema, Antep fıstıklı draje çikolata parçaları </t>
  </si>
  <si>
    <t>Profiterollü Pasta (3-4 Kişilik) - Şu anda mevcut değil.</t>
  </si>
  <si>
    <t xml:space="preserve">Pandispanya kek, sütlü krema, profiterol </t>
  </si>
  <si>
    <t>Çikolatalı Pasta (5-7 Kişilik)</t>
  </si>
  <si>
    <t>Meyveli Pasta (5-7 Kişilik) - Şu anda mevcut değil.</t>
  </si>
  <si>
    <t>Kestaneli Pasta (5-7 Kişilik) - Şu anda mevcut değil.</t>
  </si>
  <si>
    <t>Muzlu Çikolatalı Pasta (5-7 Kişilik) - Şu anda mevcut değil.</t>
  </si>
  <si>
    <t>Antep Fıstıklı Drajeli Pasta (5-7 Kişilik) - Şu anda mevcut değil.</t>
  </si>
  <si>
    <t>Profiterollü Pasta (5-7 Kişilik) - Şu anda mevcut değil.</t>
  </si>
  <si>
    <t>Çikolatalı Pasta (7-9 Kişilik)</t>
  </si>
  <si>
    <t>Meyveli Pasta (7-9 Kişilik) - Şu anda mevcut değil.</t>
  </si>
  <si>
    <t>Kestaneli Pasta (7-9 Kişilik) - Şu anda mevcut değil.</t>
  </si>
  <si>
    <t>Muzlu Çikolatalı Pasta (7-9 Kişilik) - Şu anda mevcut değil.</t>
  </si>
  <si>
    <t>Antep Fıstıklı Drajeli Pasta (7-9 Kişilik) - Şu anda mevcut değil.</t>
  </si>
  <si>
    <t>Profiterollü Pasta (7-9 Kişilik) - Şu anda mevcut değil.</t>
  </si>
  <si>
    <t>Meyveli Pasta (9-11 Kişilik) - Şu anda mevcut değil.</t>
  </si>
  <si>
    <t>Kestaneli Pasta (9-11 Kişilik) - Şu anda mevcut değil.</t>
  </si>
  <si>
    <t>Muzlu Çikolatalı Pasta (9-11 Kişilik) - Şu anda mevcut değil.</t>
  </si>
  <si>
    <t>Antep Fıstıklı Drajeli Pasta (9-11 Kişilik) - Şu anda mevcut değil.</t>
  </si>
  <si>
    <t>Profiterollü Pasta (9-11 Kişilik) - Şu anda mevcut değil.</t>
  </si>
  <si>
    <t>Cappy (33 cl.) - Şu anda mevcut değil.</t>
  </si>
  <si>
    <t>Tuzlu Kurabiye (500 gr.)</t>
  </si>
  <si>
    <t>Tatlı Kurabiye (500 gr.)</t>
  </si>
  <si>
    <t>Klasik Ekler (500 gr.) - Şu anda mevcut değil.</t>
  </si>
  <si>
    <t>Fıstıklı Baklava (500 gr.) - Şu anda mevcut değil.</t>
  </si>
  <si>
    <t>Lezzet Topu (500 gr.)</t>
  </si>
  <si>
    <t xml:space="preserve">Çikolata </t>
  </si>
  <si>
    <t xml:space="preserve">Tavuk kanat. 3 çeşit salat ile </t>
  </si>
  <si>
    <t xml:space="preserve">75 gr. Adana kebap. Biber turşusu ile </t>
  </si>
  <si>
    <t xml:space="preserve">3 çeşit salata ile </t>
  </si>
  <si>
    <t xml:space="preserve">Ekmek, söğüş ile </t>
  </si>
  <si>
    <t>Diyarbakır Burma Kadayıf (1 kg.)</t>
  </si>
  <si>
    <t xml:space="preserve">150 gr. tavuk şiş. Salata ile </t>
  </si>
  <si>
    <t>Karışık Special Izgara</t>
  </si>
  <si>
    <t xml:space="preserve">(400 gr.) Adana kebap, ciğer şiş, et şiş, tavuk şiş, tavuk kanat. Salata ile </t>
  </si>
  <si>
    <t xml:space="preserve">125 gr. ciğer şiş. Salata ile </t>
  </si>
  <si>
    <t xml:space="preserve">150 gr. tavuk kanat. Salata ile </t>
  </si>
  <si>
    <t xml:space="preserve">125 gr. Adana kebap. Salata ile </t>
  </si>
  <si>
    <t xml:space="preserve">125 gr. et şiş. Salata ile </t>
  </si>
  <si>
    <t xml:space="preserve">85 gr. et şiş. Biber turşusu ile </t>
  </si>
  <si>
    <t xml:space="preserve">100 gr. tavuk. Biber turşusu ile </t>
  </si>
  <si>
    <t xml:space="preserve">75 gr. ciğer şiş. Biber turşusu ile </t>
  </si>
  <si>
    <t>Diyarbakır Burma Kadayıf</t>
  </si>
  <si>
    <t>Tamek (33 cl.)</t>
  </si>
  <si>
    <t xml:space="preserve">Kaşar peyniri, sucuk, domates, biber. Ketçap, mayonez, zeytin ile </t>
  </si>
  <si>
    <t xml:space="preserve">Kaşar peyniri, domates, biber. Ketçap, mayonez, zeytin ile </t>
  </si>
  <si>
    <t>Kaşar Peynirli Tost</t>
  </si>
  <si>
    <t xml:space="preserve">Ketçap, mayonez. Salatalık, zeytin ile </t>
  </si>
  <si>
    <t>Kahvaltı Tabağı</t>
  </si>
  <si>
    <t xml:space="preserve">Siyah zeytin, beyaz peynir, domates, salatalık, yumurta, ekmek </t>
  </si>
  <si>
    <t>Sucuklu Menemen</t>
  </si>
  <si>
    <t xml:space="preserve">Sucuk, 2 yumurta, domates, biber. Ekmek ile </t>
  </si>
  <si>
    <t xml:space="preserve">Domates, yumurta, biber. Ekmek ile </t>
  </si>
  <si>
    <t>Sahanda Yumurta</t>
  </si>
  <si>
    <t xml:space="preserve">Domates, zeytin, ekmek ile </t>
  </si>
  <si>
    <t>Kaşarlı Yumurta</t>
  </si>
  <si>
    <t>Sucuklu Yumurta</t>
  </si>
  <si>
    <t>Kaşarlı Menemen</t>
  </si>
  <si>
    <t xml:space="preserve">Kaşar peyniri, 2 yumurta, domates, biber. Ekmek ile </t>
  </si>
  <si>
    <t>Kıymalı Menemen</t>
  </si>
  <si>
    <t xml:space="preserve">Kıyma, 2 yumurta, domates, biber. Ekmek ile </t>
  </si>
  <si>
    <t>Yumurtalı Karışık Tost</t>
  </si>
  <si>
    <t xml:space="preserve">Salatalık, zeytin ile </t>
  </si>
  <si>
    <t>Sucuklu Salçalı Tost</t>
  </si>
  <si>
    <t xml:space="preserve">Zeytin, salatalık ile </t>
  </si>
  <si>
    <t>Kaşarlı Izgara Köfte Dürüm - Şu anda mevcut değil.</t>
  </si>
  <si>
    <t xml:space="preserve">Kaşarlı köfte, biber, domates, soğan, ketçap, mayonez </t>
  </si>
  <si>
    <t>Ekmek Arası Izgara Köfte - Şu anda mevcut değil.</t>
  </si>
  <si>
    <t xml:space="preserve">Soğan, domates, pul biber. Ketçap, mayonez ile </t>
  </si>
  <si>
    <t xml:space="preserve">Soğan, domates. Salatalık, domates ile </t>
  </si>
  <si>
    <t>Didi (1 L.)</t>
  </si>
  <si>
    <t xml:space="preserve">70 gr. tavuk döner, marul, turşu, domates, özel sos, mayonez </t>
  </si>
  <si>
    <t xml:space="preserve">80 gr. tavuk döner, marul, turşu, domates, özel sos, mayonez </t>
  </si>
  <si>
    <t xml:space="preserve">80 gr. et döner, marul, turşu, patates kızartması, özel sos </t>
  </si>
  <si>
    <t xml:space="preserve">70 gr. et döner, marul, turşu, patates kızartması, özel sos </t>
  </si>
  <si>
    <t xml:space="preserve">120 gr. tavuk döner, patates kızartması, turşu, salata, ekmek, günün pilavı ile </t>
  </si>
  <si>
    <t xml:space="preserve">120 gr. tavuk döner, yoğurt, günün pilavı, tereyağı, özel sos, ekmek ile </t>
  </si>
  <si>
    <t xml:space="preserve">120 gr. et döner, yoğurt, günün pilavı, tereyağı, özel sos ile </t>
  </si>
  <si>
    <t xml:space="preserve">120 gr. et döner. Turşu, patates kızartması, salata ile </t>
  </si>
  <si>
    <t xml:space="preserve">120 gr. et döner, patates kızartması, turşu, salata ile </t>
  </si>
  <si>
    <t>Aile Boyu Pizza Menü (12 Dilim) (4 Kişilik)</t>
  </si>
  <si>
    <t xml:space="preserve">Aile Boyu Venedik Pizza + 4 Adet Ketçap + 4 Adet Mayonez + İçecek (1 L.) </t>
  </si>
  <si>
    <t>59,00 TL</t>
  </si>
  <si>
    <t>Venedik Karışık Pizza (Büyük)</t>
  </si>
  <si>
    <t xml:space="preserve">Pizza sosu, kaşar peyniri, mısır, salam, sucuk, sosis, mantar, biber, zeytin. 2 adet ketçap, 2 adet mayonez ile </t>
  </si>
  <si>
    <t>Venedik Süper Özel Süper Ekonomik 3</t>
  </si>
  <si>
    <t xml:space="preserve">Venedik Pizza (Büyük) + Patates Kızartması + 2 Adet Nugget + 2 Adet Patates Kroket + 2 Adet Halka Soğan + 4 Adet Çıtır Tavuk Topları + 4 Adet Ketçap + 4 Adet Mayonez + Pizza Baharatı </t>
  </si>
  <si>
    <t xml:space="preserve">4 Dilim Karışık Pizza + Patates Kızartması + 2 Adet Ketçap + 2 Adet Mayonez + İçecek </t>
  </si>
  <si>
    <t>Combo 10 Kumpir Menü</t>
  </si>
  <si>
    <t xml:space="preserve">Kumpir (Kaşar peyniri, tereyağı, mısır, salam, sucuk, sosis, zeytin, Rus salatası, turşu) + İçecek </t>
  </si>
  <si>
    <t>Aile Boyu Pizza Menü (4 Kişilik)</t>
  </si>
  <si>
    <t xml:space="preserve">Süper Büyük Pizza + 4 Adet Nugget + 4 Adet Soğan Halkası + 4 Adet Patates Kroket + 2 Adet Patates Kızartması + 6 Adet Ketçap + 6 Adet Mayonez + İçecek (1 L.) </t>
  </si>
  <si>
    <t>Bol Malzemeli Büyük Boy Pizza Menü</t>
  </si>
  <si>
    <t xml:space="preserve">Seçeceğiniz Bol Malzemeli Büyük Boy Pizza + 2 Adet Ketçap + 2 Adet Mayonez + İçecek (1 L.) </t>
  </si>
  <si>
    <t xml:space="preserve">2 Adet Combo Dilim Pizza + Patates Kızartması + Ketçap + Mayonez </t>
  </si>
  <si>
    <t>3 Dilim Pizza Menü</t>
  </si>
  <si>
    <t xml:space="preserve">3 Adet Combo Dilim Pizza + Patates Kızartması + Ketçap + Mayonez </t>
  </si>
  <si>
    <t xml:space="preserve">4 Adet Combo Dilim Pizza + Patates Kızartması + Ketçap + Mayonez </t>
  </si>
  <si>
    <t>Orta Boy Pizza Menü</t>
  </si>
  <si>
    <t xml:space="preserve">Seçeceğiniz 2 Adet Orta Boy Pizza + 4 Adet Ketçap + 4 Adet Mayonez </t>
  </si>
  <si>
    <t>Aile Boyu Tandır Pizza Menü</t>
  </si>
  <si>
    <t xml:space="preserve">Aile Boyu Tandır Pizza (Pizza sosu, kaşar peyniri, dana tandır, domates, biber, mantar) + 2 Adet Patates Kızartması + 6 Adet Ketçap + 6 Adet Mayonez + İçecek (2 L.) </t>
  </si>
  <si>
    <t>98,99 TL</t>
  </si>
  <si>
    <t>Lezzetli Çıtır Tavuk Topları Menü</t>
  </si>
  <si>
    <t xml:space="preserve">10 Adet Çıtır Tavuk Topları + Ketçap + Mayonez </t>
  </si>
  <si>
    <t>Jumbo Venedik Menü (4 Kişilik)</t>
  </si>
  <si>
    <t xml:space="preserve">Karışık Pizza (Jumbo) + Büyük Boy Patates Kızartması + 6 Adet Ketçap + 6 Adet Mayonez + Coca-Cola (2 L.) </t>
  </si>
  <si>
    <t>Venedik Özel Menü 1</t>
  </si>
  <si>
    <t xml:space="preserve">Karışık Pizza (Küçük) + 2 Adet Nugget + 2 Adet Patates Kroket + Patates Kızartması + 2 Adet Ketçap + 2 Adet Mayonez + Coca-Cola (33 cl.) </t>
  </si>
  <si>
    <t>Venedik Özel Menü 2</t>
  </si>
  <si>
    <t xml:space="preserve">Karışık Pizza (Orta) + 2 Adet Nugget + 2 Adet Patates Kroket + Patates Kızartması + 3 Adet Ketçap + 3 Adet Mayonez + Coca-Cola (33 cl.) </t>
  </si>
  <si>
    <t>Venedik Özel Menü 3</t>
  </si>
  <si>
    <t xml:space="preserve">Karışık Pizza (Büyük) + 2 Adet Nugget + 2 Adet Patates Kroket + Patates Kızartması + 4 Adet Ketçap + 4 Adet Mayonez + Coca-Cola (33 cl.) </t>
  </si>
  <si>
    <t>Venedik Menü 1</t>
  </si>
  <si>
    <t xml:space="preserve">Karışık Pizza (Küçük) + Patates Kızartması + 2 Adet Ketçap + 2 Adet Mayonez + Coca-Cola (33 cl.) </t>
  </si>
  <si>
    <t>Venedik Menü 2</t>
  </si>
  <si>
    <t xml:space="preserve">Karışık Pizza (Orta) + Patates Kızartması + 2 Adet Ketçap + 2 Adet Mayonez + Coca-Cola (33 cl.) </t>
  </si>
  <si>
    <t>Venedik Menü 3</t>
  </si>
  <si>
    <t xml:space="preserve">Karışık Pizza (Büyük) + Patates Kızartması + 3 Adet Ketçap + 3 Adet Mayonez + Coca-Cola (33 cl.) </t>
  </si>
  <si>
    <t>Doyurucu Menü (2 Kişilik)</t>
  </si>
  <si>
    <t xml:space="preserve">Seçeceğiniz Büyük Boy Pizza + Patates Kızartması + Nugget + 4 Adet Ketçap + 4 Adet Mayonez + İçecek (1 L.) </t>
  </si>
  <si>
    <t>Venedik Pizza Süper Ekonomik Menü</t>
  </si>
  <si>
    <t xml:space="preserve">Venedik Pizza (Küçük) + Patates Kızartması + 2 Adet Nugget + 2 Adet Patates Kroket + 2 Adet Halka Soğan + 4 Adet Çıtır Tavuk Topları + 2 Adet Ketçap + 2 Adet Mayonez </t>
  </si>
  <si>
    <t>Venedik Süper Özel Süper Ekonomik 2</t>
  </si>
  <si>
    <t xml:space="preserve">Venedik Pizza (Orta) + Patates Kızartması + 2 Adet Nugget + 2 Adet Patates Kroket + 2 Adet Halka Soğan + 4 Adet Çıtır Tavuk Topları + 3 Adet Ketçap + 3 Adet Mayonez + Pizza Baharatı </t>
  </si>
  <si>
    <t xml:space="preserve">2 Dilim Karışık Pizza + Patates Kızartması + Ketçap + Mayonez + İçecek </t>
  </si>
  <si>
    <t xml:space="preserve">Cheeseburger + Patates Kızartması + Ketçap + Mayonez + İçecek (20 cl.) </t>
  </si>
  <si>
    <t>Tandır Burger Menü</t>
  </si>
  <si>
    <t xml:space="preserve">Tandır Burger + Patates Kızartması + Ketçap + Mayonez + İçecek (20 cl.) </t>
  </si>
  <si>
    <t>Tavuk Bonfile Menü</t>
  </si>
  <si>
    <t xml:space="preserve">2 Adet Tavuk Bonfile + Mevsim Salata + Patates Kızartması + 1 Adet Ketçap + 1 Adet Mayonez </t>
  </si>
  <si>
    <t>Çıtır Kanat Menü</t>
  </si>
  <si>
    <t xml:space="preserve">5 Adet Çıtır Kanat + Patates Kızartması + Mevsim Salata + 1 Adet Ketçap + 1 Adet Mayonez </t>
  </si>
  <si>
    <t xml:space="preserve">2 Dilim Karışık Pizza + 2 Adet Nugget + Patates Kızartması + Ketçap + Mayonez + İçecek </t>
  </si>
  <si>
    <t xml:space="preserve">3 Dilim Karışık Pizza + Patates Kızartması + 2 Adet Ketçap + 2 Adet Mayonez + İçecek </t>
  </si>
  <si>
    <t xml:space="preserve">2 Dilim Karışık Pizza + Elma Dilim Patates Kızartması + Ketçap + Mayonez + İçecek </t>
  </si>
  <si>
    <t>Combo 6 Menü</t>
  </si>
  <si>
    <t xml:space="preserve">2 Dilim Karışık Pizza + 2 Adet Nugget + Elma Dilim Patates Kızartması + Ketçap + Mayonez + İçecek </t>
  </si>
  <si>
    <t>Combo 7 Menü</t>
  </si>
  <si>
    <t xml:space="preserve">3 Dilim Karışık Pizza + Elma Dilim Patates Kızartması + 2 Adet Ketçap + 2 Adet Mayonez + İçecek </t>
  </si>
  <si>
    <t>Combo 8 Menü</t>
  </si>
  <si>
    <t xml:space="preserve">2 Dilim Karışık Pizza + 2 Adet Nugget + 2 Adet Patates Kroket + Patates Kızartması + Elma Dilim Patates Kızartması + 2 Adet Soğan Halkası + 2 Adet Ketçap + 2 Adet Mayonez + İçecek </t>
  </si>
  <si>
    <t>Combo 9 Menü</t>
  </si>
  <si>
    <t xml:space="preserve">2 Adet Nugget + 2 Adet Patates Kroket + Patates Kızartması + Elma Dilim Patates Kızartması + Rus Salatası + 2 Adet Soğan Halkası + 2 Adet Ketçap + 2 Adet Mayonez + İçecek </t>
  </si>
  <si>
    <t>Tavuk Menü</t>
  </si>
  <si>
    <t xml:space="preserve">Peynirli Tavuk + Çıtır Tavuk + Nugget + Patates Kızartması + Patates Kroket + Salata + Ketçap + Mayonez + Coca-Cola (33 cl.) </t>
  </si>
  <si>
    <t xml:space="preserve">Hamburger + Patates Kızartması + Ketçap + Mayonez + İçecek </t>
  </si>
  <si>
    <t>Chicken Burger Menü</t>
  </si>
  <si>
    <t xml:space="preserve">Chicken Burger + Patates Kızartması + Ketçap + Mayonez + İçecek </t>
  </si>
  <si>
    <t>Duble Hamburger Menü</t>
  </si>
  <si>
    <t xml:space="preserve">Duble Hamburger + Patates Kızartması + Ketçap + Mayonez + İçecek </t>
  </si>
  <si>
    <t>Duble Cheeseburger Menü</t>
  </si>
  <si>
    <t xml:space="preserve">Duble Cheeseburger + Patates Kızartması + Ketçap + Mayonez + İçecek </t>
  </si>
  <si>
    <t xml:space="preserve">Tavuk Nugget (6 Adet) + Patates Kızartması + Salata + Ketçap + Mayonez </t>
  </si>
  <si>
    <t xml:space="preserve">Tavuk Şnitzel + Patates Kızartması + Salata + Ketçap + Mayonez </t>
  </si>
  <si>
    <t>Peynirli Tavuk Menü</t>
  </si>
  <si>
    <t xml:space="preserve">2 Adet Peynirli Tavuk + Patates Kızartması + Salata + Ketçap + Mayonez </t>
  </si>
  <si>
    <t xml:space="preserve">Kaşar peyniri, beyaz peynir, zeytin, tereyağı, reçel, patates kızartması, domates, salatalık, kaşarlı ekmek </t>
  </si>
  <si>
    <t>Özel Kahvaltı Tabağı</t>
  </si>
  <si>
    <t xml:space="preserve">Kaşar peyniri, beyaz peynir, üçgen peynir, haşlanmış yumurta, 2 adet sosis, zeytin, tereyağı, reçel, patates kızartması, domates, salatalık, kaşarlı ekmek </t>
  </si>
  <si>
    <t>Süper Kahvaltı Tabağı</t>
  </si>
  <si>
    <t xml:space="preserve">Kaşar peyniri, beyaz peynir, üçgen peynir, sahanda yumurta, 2 adet sosis, zeytin, tereyağı, reçel, patates kızartması, domates, salatalık, kaşarlı ekmek, bal, iki adet sigara böreği, salam </t>
  </si>
  <si>
    <t xml:space="preserve">Pizza sosu, kaşar peyniri, salam, sosis, sucuk. Ketçap, mayonez ile </t>
  </si>
  <si>
    <t>Tandır Pizza (Küçük)</t>
  </si>
  <si>
    <t xml:space="preserve">Pizza sosu, kaşar peyniri, dana tandır, domates, biber, mantar. 1 adet ketçap, 1 adet mayonez ile </t>
  </si>
  <si>
    <t>Dana Jambonlu Pizza (Küçük)</t>
  </si>
  <si>
    <t xml:space="preserve">Pizza sosu, kaşar peyniri, dana jambon, mısır, zeytin, mantar, biber. Ketçap, mayonez ile </t>
  </si>
  <si>
    <t>Feta Pizza (Küçük)</t>
  </si>
  <si>
    <t xml:space="preserve">Pizza sosu, kaşar peyniri, zeytin, yeşilbiber, küp domates, beyaz peynir. Ketçap, mayonez ile </t>
  </si>
  <si>
    <t xml:space="preserve">Pizza sosu, kaşar peyniri, mantar. Ketçap, mayonez ile </t>
  </si>
  <si>
    <t>Hawaii Pizza (Küçük)</t>
  </si>
  <si>
    <t xml:space="preserve">Pizza sosu, kaşar peyniri, salam, sosis, mantar, mısır. Ketçap, mayonez ile </t>
  </si>
  <si>
    <t xml:space="preserve">Pizza sosu, kaşar peyniri, kavurma, yeşilbiber, dilim domates. Ketçap, mayonez ile </t>
  </si>
  <si>
    <t xml:space="preserve">Pizza sosu, kaşar peyniri. Ketçap, mayonez ile </t>
  </si>
  <si>
    <t>Milano Pizza (Küçük)</t>
  </si>
  <si>
    <t xml:space="preserve">Pizza sosu, kaşar peyniri, sucuk, sosis, mantar, zeytin, yeşilbiber. Ketçap, mayonez ile </t>
  </si>
  <si>
    <t xml:space="preserve">Pizza sosu, kaşar peyniri, sucuk, sosis, salam, mantar, zeytin. Ketçap, mayonez ile </t>
  </si>
  <si>
    <t xml:space="preserve">Pizza sosu, kaşar peyniri, pastırma, yeşilbiber, dilim domates. Ketçap, mayonez ile </t>
  </si>
  <si>
    <t xml:space="preserve">Pizza sosu, kaşar peyniri, sucuk. Ketçap, mayonez ile </t>
  </si>
  <si>
    <t xml:space="preserve">Pizza sosu, kaşar peyniri, tavuk döner, yeşilbiber, dilim domates. Ketçap, mayonez ile </t>
  </si>
  <si>
    <t xml:space="preserve">Pizza sosu, kaşar peyniri, mantar, mısır, ton balığı. Ketçap, mayonez ile </t>
  </si>
  <si>
    <t xml:space="preserve">Pizza sosu, kaşar peyniri, mantar, biber, zeytin, mısır. Ketçap, mayonez ile </t>
  </si>
  <si>
    <t>Venedik Karışık Pizza (Küçük)</t>
  </si>
  <si>
    <t xml:space="preserve">Pizza sosu, kaşar peyniri, mısır, salam, sucuk, sosis, mantar, biber, zeytin. Ketçap, mayonez ile </t>
  </si>
  <si>
    <t xml:space="preserve">Pizza sosu, kaşar peyniri, salam, sosis, sucuk. 2 adet ketçap, 2 adet mayonez ile </t>
  </si>
  <si>
    <t>Tandır Pizza (Orta)</t>
  </si>
  <si>
    <t xml:space="preserve">Pizza sosu, kaşar peyniri, dana tandır, domates, biber, mantar. 2 adet ketçap, 2 adet mayonez ile </t>
  </si>
  <si>
    <t>Dana Jambonlu Pizza (Orta)</t>
  </si>
  <si>
    <t xml:space="preserve">Pizza sosu, kaşar peyniri, dana jambon, mısır, zeytin, mantar, biber. 2 adet ketçap, 2 adet mayonez ile </t>
  </si>
  <si>
    <t>Feta Pizza (Orta)</t>
  </si>
  <si>
    <t xml:space="preserve">Pizza sosu, kaşar peyniri, zeytin, yeşilbiber, küp domates, beyaz peynir. 2 adet ketçap, 2 adet mayonez ile </t>
  </si>
  <si>
    <t xml:space="preserve">Pizza sosu, kaşar peyniri, mantar. 2 adet ketçap, 2 adet mayonez ile </t>
  </si>
  <si>
    <t>Hawaii Pizza (Orta)</t>
  </si>
  <si>
    <t xml:space="preserve">Pizza sosu, kaşar peyniri, salam, sosis, mantar, mısır. 2 adet ketçap, 2 adet mayonez ile </t>
  </si>
  <si>
    <t xml:space="preserve">Pizza sosu, kaşar peyniri, kavurma, yeşilbiber, dilim domates. 2 adet ketçap, 2 adet mayonez ile </t>
  </si>
  <si>
    <t xml:space="preserve">Pizza sosu, kaşar peyniri. 2 adet ketçap, 2 adet mayonez ile </t>
  </si>
  <si>
    <t>Milano Pizza (Orta)</t>
  </si>
  <si>
    <t xml:space="preserve">Pizza sosu, kaşar peyniri, sucuk, sosis, mantar, zeytin, yeşilbiber. 2 adet ketçap, 2 adet mayonez ile </t>
  </si>
  <si>
    <t xml:space="preserve">Pizza sosu, kaşar peyniri, sucuk, sosis, salam, mantar, zeytin. 2 adet ketçap, 2 adet mayonez ile </t>
  </si>
  <si>
    <t xml:space="preserve">Pizza sosu, kaşar peyniri, pastırma, yeşilbiber, dilim domates. 2 adet ketçap, 2 adet mayonez ile </t>
  </si>
  <si>
    <t xml:space="preserve">Pizza sosu, kaşar peyniri, sucuk. 2 adet ketçap, 2 adet mayonez ile </t>
  </si>
  <si>
    <t xml:space="preserve">Pizza sosu, kaşar peyniri, tavuk döner, yeşilbiber, dilim domates. 2 adet ketçap, 2 adet mayonez ile </t>
  </si>
  <si>
    <t xml:space="preserve">Pizza sosu, kaşar peyniri, mantar, mısır, ton balığı. 2 adet ketçap, 2 adet mayonez ile </t>
  </si>
  <si>
    <t xml:space="preserve">Pizza sosu, kaşar peyniri, mantar, biber, zeytin, mısır. 2 adet ketçap, 2 adet mayonez ile </t>
  </si>
  <si>
    <t>Venedik Karışık Pizza (Orta)</t>
  </si>
  <si>
    <t>Tandır Pizza (Büyük)</t>
  </si>
  <si>
    <t>Dana Jambonlu Pizza (Büyük)</t>
  </si>
  <si>
    <t>Feta Pizza (Büyük)</t>
  </si>
  <si>
    <t>Hawaii Pizza (Büyük)</t>
  </si>
  <si>
    <t>Milano Pizza (Büyük)</t>
  </si>
  <si>
    <t xml:space="preserve">45 gr. burger köftesi, domates, marul, turşu, ketçap, mayonez </t>
  </si>
  <si>
    <t>Tandır Cheeseburger</t>
  </si>
  <si>
    <t xml:space="preserve">Dana tandır, domates, marul, turşu, ketçap, mayonez, cheddar peyniri </t>
  </si>
  <si>
    <t>Tandır Burger</t>
  </si>
  <si>
    <t xml:space="preserve">Dana tandır, domates, marul, turşu, ketçap, mayonez </t>
  </si>
  <si>
    <t xml:space="preserve">45 gr. burger köftesi, domates, marul, turşu, ketçap, mayonez, cheddar peyniri </t>
  </si>
  <si>
    <t xml:space="preserve">80 gr. tavuk burger köftesi, domates, marul, turşu, ketçap, mayonez </t>
  </si>
  <si>
    <t xml:space="preserve">2 adet 45 gr. burger köftesi, domates, marul, turşu, cheddar peyniri, ketçap, mayonez </t>
  </si>
  <si>
    <t xml:space="preserve">2 adet 45 gr. burger köftesi, domates, marul, turşu, cheddar peyniri, ketçap, mayonez, cheddar peyniri </t>
  </si>
  <si>
    <t xml:space="preserve">Ketçap, mayonez ile </t>
  </si>
  <si>
    <t>Pizza Baharatı (2 Adet)</t>
  </si>
  <si>
    <t>Venedik Karışık Pizza (Dilim)</t>
  </si>
  <si>
    <t xml:space="preserve">2 adet nugget, 2 adet patates kroket, 2 adet soğan halkası, elma dilim patates kızartması, patates kızartması. Ketçap, mayonez ile </t>
  </si>
  <si>
    <t xml:space="preserve">Marul, domates, salatalık, karalahana, havuç </t>
  </si>
  <si>
    <t xml:space="preserve">Marul, domates, salatalık, havuç, küp beyaz peynir, siyah zeytin </t>
  </si>
  <si>
    <t xml:space="preserve">Ton balığı, marul, domates, salatalık, karalahana, havuç, mısır </t>
  </si>
  <si>
    <t>Coca-Cola (2 L.)</t>
  </si>
  <si>
    <t>Fanta (2 L.)</t>
  </si>
  <si>
    <t>Sarımsaklı Sos</t>
  </si>
  <si>
    <t>Midye Dolma (24 Adet)</t>
  </si>
  <si>
    <t xml:space="preserve">Limon ile </t>
  </si>
  <si>
    <t xml:space="preserve">Göbek marul, nar ekşisi, acı sos, turşu, 4 adet lavaş </t>
  </si>
  <si>
    <t>Çiğ Köfte (400 gr.) Menü</t>
  </si>
  <si>
    <t xml:space="preserve">Çiğ Köfte (400 gr.) + İçecek (1 L.) </t>
  </si>
  <si>
    <t>Çiğ Köfte (600 gr.) Menü</t>
  </si>
  <si>
    <t xml:space="preserve">Çiğ Köfte (1 kg.) + Ayran (1 L.) </t>
  </si>
  <si>
    <t>Midye Dolma (Adet)</t>
  </si>
  <si>
    <t>Midye Dolma (12 Adet)</t>
  </si>
  <si>
    <t>Midye Dolma (60 Adet)</t>
  </si>
  <si>
    <t xml:space="preserve">Yarım ekmek arasına; kaşar peyniri, sucuk, salam </t>
  </si>
  <si>
    <t xml:space="preserve">Yumurta, kaşar peyniri, salam </t>
  </si>
  <si>
    <t xml:space="preserve">Yarım ekmek arasına; kavurma, kaşar peyniri </t>
  </si>
  <si>
    <t>Klasik Tost</t>
  </si>
  <si>
    <t xml:space="preserve">Yarım ekmek arasına; kaşar peyniri, sucuk </t>
  </si>
  <si>
    <t xml:space="preserve">Göbek marul, nar ekşisi, acı sos, turşu, 3 adet lavaş </t>
  </si>
  <si>
    <t xml:space="preserve">Çift lavaşa; 120 gr. çiğ köfte, göbek marul, nar ekşisi, acı sos, turşu, domates </t>
  </si>
  <si>
    <t xml:space="preserve">Garnitürsüz </t>
  </si>
  <si>
    <t>Mini Mega Çiğ Köfte Dürüm</t>
  </si>
  <si>
    <t xml:space="preserve">100 gr. çiğ köfte, göbek marul, nar ekşisi, acı sos, turşu, domates </t>
  </si>
  <si>
    <t>Ekstra Mega Çiğ Köfte Dürüm</t>
  </si>
  <si>
    <t xml:space="preserve">Çift lavaşa; 140 gr. çiğ köfte, göbek marul, limon, domates, turşu, nar ekşisi, acı sos </t>
  </si>
  <si>
    <t xml:space="preserve">Marul, kornişon, biber turşusu, lavaş, marul, nar ekşisi </t>
  </si>
  <si>
    <t>Çiğ Köfte (1 kg.) (Garnitürlü)</t>
  </si>
  <si>
    <t xml:space="preserve">Marul, kornişon turşusu, biber turşusu, lavaş, nar ekşisi ile </t>
  </si>
  <si>
    <t>Sprite (1 L.) - Şu anda mevcut değil.</t>
  </si>
  <si>
    <t>Yarım Ekmek Arası Kavurmalı Tost</t>
  </si>
  <si>
    <t>Yarım Ekmek Arası Yumurtalı Kaşarlı Tost</t>
  </si>
  <si>
    <t>2'li Ekstra Mega Dürüm Menü</t>
  </si>
  <si>
    <t xml:space="preserve">2 Adet Ekstra Mega Çiğ Köfte Dürüm + Ayran (1 L.) </t>
  </si>
  <si>
    <t xml:space="preserve">Mega Çiğ Köfte Dürüm + Kutu İçecek </t>
  </si>
  <si>
    <t>Ekstra Mega Dürüm Menü</t>
  </si>
  <si>
    <t xml:space="preserve">Ekstra Mega Çiğ Köfte Dürüm + Kutu İçecek </t>
  </si>
  <si>
    <t>Mini Mega Dürüm Menü</t>
  </si>
  <si>
    <t xml:space="preserve">Mini Mega Çiğ Köfte Dürüm + Kutu İçecek </t>
  </si>
  <si>
    <t>2'li Mega Çiğ Köfte Dürüm Menü</t>
  </si>
  <si>
    <t xml:space="preserve">2 Adet Mega Çiğ Köfte Dürüm + Ayran (1 L.) </t>
  </si>
  <si>
    <t xml:space="preserve">Çiğ Köfte (600 gr.) + Ayran (1 L.) </t>
  </si>
  <si>
    <t xml:space="preserve">Çiğ Köfte (1 kg.) (Göbek marul, nar ekşisi, acı sos, turşu, domates, 9 adet lavaş) + Ayran (1 L.) </t>
  </si>
  <si>
    <t>Yarım Ekmek Arası Kaşarlı Tost</t>
  </si>
  <si>
    <t>Yarım Ekmek Arası Karışık Tost</t>
  </si>
  <si>
    <t xml:space="preserve">Lavaş, 100 gr. çiğ köfte, göbek marul, nar ekşisi, acı sos, turşu, domates </t>
  </si>
  <si>
    <t xml:space="preserve">Çift lavaş, 120 gr. çiğ köfte, göbek marul, nar ekşisi, acı sos, turşu, domates </t>
  </si>
  <si>
    <t xml:space="preserve">Çift lavaşa; 150 gr. çiğ köfte, göbek marul, limon, domates, turşu, nar ekşisi, acı sos </t>
  </si>
  <si>
    <t>Midye Dolma (18 Adet)</t>
  </si>
  <si>
    <t>Midye Dolma (35 Adet)</t>
  </si>
  <si>
    <t>Midye Dolma (30 Adet) - Şu anda mevcut değil.</t>
  </si>
  <si>
    <t>Midye Dolma (50 Adet)</t>
  </si>
  <si>
    <t>Midye Dolma (100 Adet)</t>
  </si>
  <si>
    <t>Midye Dolma (200 Adet)</t>
  </si>
  <si>
    <t>240,00 TL</t>
  </si>
  <si>
    <t>Yeşillik Tabağı (Küçük)</t>
  </si>
  <si>
    <t>Yeşillik Tabağı (Büyük)</t>
  </si>
  <si>
    <t>Nar Ekşisi (20 cl.)</t>
  </si>
  <si>
    <t>Acı Sos (20 cl.)</t>
  </si>
  <si>
    <t>Lavaş (50 Adet)</t>
  </si>
  <si>
    <t>Halka Tatlısı (10 Adet) - Şu anda mevcut değil.</t>
  </si>
  <si>
    <t>Kazandibi (100 ml.)</t>
  </si>
  <si>
    <t>Kakaolu Puding (100 ml.)</t>
  </si>
  <si>
    <t>Sprite (2,5 L.)</t>
  </si>
  <si>
    <t xml:space="preserve">Salata, maydanoz, limon ile </t>
  </si>
  <si>
    <t>Kebap Dürüm</t>
  </si>
  <si>
    <t xml:space="preserve">Soğan, domates, maydanoz. Közlenmiş biber ile </t>
  </si>
  <si>
    <t xml:space="preserve">Salata, közlenmiş domates, közlenmiş biber, közlenmiş soğan, yoğurt, ezme, soğan piyazı, maydanoz, pide ile </t>
  </si>
  <si>
    <t>Tandır Çorbası</t>
  </si>
  <si>
    <t>Karışık Çorba</t>
  </si>
  <si>
    <t xml:space="preserve">Dil, beyin, çürük </t>
  </si>
  <si>
    <t xml:space="preserve">Lavaşa sarılı, yoğurtlu, soslu. Salata, közlenmiş domates, közlenmiş biber, közlenmiş soğan, yoğurt, ezme, soğan piyazı, maydanoz, pide ile </t>
  </si>
  <si>
    <t>49,50 TL</t>
  </si>
  <si>
    <t>Kuşbaşı Şiş</t>
  </si>
  <si>
    <t xml:space="preserve">Yarım Adana kebap, yarım ızgara tavuk, yarım kuzu şiş, yarım ciğer şiş, 1 adet köfte, fındık lahmacun. Salata, közlenmiş domates, közlenmiş biber, közlenmiş soğan, yoğurt, ezme, soğan piyazı, maydanoz, pide ile </t>
  </si>
  <si>
    <t xml:space="preserve">Salata, yoğurt, soğan piyazı, maydanoz, limon ile </t>
  </si>
  <si>
    <t xml:space="preserve">Kıyma, kuşbaşı, kaşar peyniri. Salata, yoğurt, soğan piyazı, maydanoz, limon ile </t>
  </si>
  <si>
    <t>Sucuklu Pide</t>
  </si>
  <si>
    <t>Spesiyal Pizza</t>
  </si>
  <si>
    <t xml:space="preserve">Kaşar peyniri, sucuk, domates, biber </t>
  </si>
  <si>
    <t>Şırdan - Şu anda mevcut değil.</t>
  </si>
  <si>
    <t>Kare katmer</t>
  </si>
  <si>
    <t>Yayık Ayran (30 cl.)</t>
  </si>
  <si>
    <t xml:space="preserve">Maydanoz, limon, çoban salata ile </t>
  </si>
  <si>
    <t>Lahmacun (Büyük)</t>
  </si>
  <si>
    <t xml:space="preserve">Maydanoz, limon, salata ile </t>
  </si>
  <si>
    <t>Tarsus Usulü Fındık Lahmacun (10 Adet)</t>
  </si>
  <si>
    <t xml:space="preserve">Çoban salata ile </t>
  </si>
  <si>
    <t>Vodafone Menüsü (Ispanaklı Pide) - Şu anda mevcut değil.</t>
  </si>
  <si>
    <t xml:space="preserve">Ispanaklı Pide + Ayran (20 cl.) (Kampanya koşulları için restoranın Promosyonlar bölümüne göz atınız. İndirimli fiyat ürün sepete eklendikten sonra uygulanır.) </t>
  </si>
  <si>
    <t>Kuşbaşılı Fındık Lahmacun (10 Adet) - Şu anda mevcut değil.</t>
  </si>
  <si>
    <t>Patatesli Fındık Lahmacun (10 Adet)</t>
  </si>
  <si>
    <t>Peynirli Fındık Lahmacun (10 Adet)</t>
  </si>
  <si>
    <t>Kavurmalı Kaşarlı Pide - Şu anda mevcut değil.</t>
  </si>
  <si>
    <t xml:space="preserve">Domates, salatalık söğüş ile </t>
  </si>
  <si>
    <t>Çikolatalı Pide</t>
  </si>
  <si>
    <t>Sucuklu Yumurtalı Pide</t>
  </si>
  <si>
    <t>Peynirli Pide</t>
  </si>
  <si>
    <t>Patatesli Pide</t>
  </si>
  <si>
    <t>Patatesli Kaşarlı Pide</t>
  </si>
  <si>
    <t xml:space="preserve">Kıyma, kaşar peyniri, kuşbaşı. Çoban salata ile </t>
  </si>
  <si>
    <t>Peynirli Kayık Börek (7 Adet)</t>
  </si>
  <si>
    <t xml:space="preserve">Domates söğüş ile </t>
  </si>
  <si>
    <t>Patatesli Kayık Börek (7 Adet)</t>
  </si>
  <si>
    <t>Hatay Künefe</t>
  </si>
  <si>
    <t>Fıstık Sarmalı Katmer</t>
  </si>
  <si>
    <t>Gül Katmeri</t>
  </si>
  <si>
    <t xml:space="preserve">Çoban salata, maydanoz, limon, sumaklı soğan ile </t>
  </si>
  <si>
    <t xml:space="preserve">Kıyma, kuşbaşı, kaşar peyniri. Çoban salata, maydanoz, limon, sumaklı soğan ile </t>
  </si>
  <si>
    <t>Yedigün (20 cl.) - Şu anda mevcut değil.</t>
  </si>
  <si>
    <t>PArçalanmış Bütün Tavuk (1 kg.)</t>
  </si>
  <si>
    <t xml:space="preserve">Közlenmiş biber, mevsim salata, haydari, közlenmiş soğan, sumaklı soğan ile </t>
  </si>
  <si>
    <t>24,75 TL</t>
  </si>
  <si>
    <t>Nizam Special</t>
  </si>
  <si>
    <t xml:space="preserve">1 şiş ciğer, 1 şiş kuşbaşı,1 adet kuzu pirzola, 1 adet Adana kebap, 1 şiş tavuk şiş,1 adet köfte, 1 adet tavuk pirzola, 1 adet köfte, çoban salata ile </t>
  </si>
  <si>
    <t>Tavuk Kelebek</t>
  </si>
  <si>
    <t>Seçilmiş Menü (Tavuk Kanat) - Şu anda mevcut değil.</t>
  </si>
  <si>
    <t xml:space="preserve">Tavuk Kanat + Coca-Cola (33 cl.) </t>
  </si>
  <si>
    <t>Vodafone Menüsü (Tavuk Kelebek) - Şu anda mevcut değil.</t>
  </si>
  <si>
    <t xml:space="preserve">Tavuk Kelebek + Kutu İçecek (Kampanya koşulları için restoranın Promosyonlar bölümüne göz atınız. İndirimli fiyat ürün sepete eklendikten sonra uygulanır.) </t>
  </si>
  <si>
    <t>Aile Menüsü (4 Kişilik)</t>
  </si>
  <si>
    <t xml:space="preserve">Karışık Izgara (3 adet şiş ciğer, 3 adet şiş kuşbaşı, 3 adet kuzu pirzola, 3 adet Adana kebap, 3 adet şiş tavuk şiş, 3 adet köfte, 3 adet tavuk pirzola, 3 adet köfte) + Salata + Coca-Cola (1 L.) </t>
  </si>
  <si>
    <t>Öğrencim Menü (4 Kişilik)</t>
  </si>
  <si>
    <t xml:space="preserve">Karışık Izgara (1 adet şiş kanat,1 adet şiş kelebek, 1 adet şiş pirzola, kemikli tavuk) + 4 Çeşit Salata + Coca-Cola (1 L.) </t>
  </si>
  <si>
    <t>Kuzu Kuşbaşı</t>
  </si>
  <si>
    <t>Tavuk İncik</t>
  </si>
  <si>
    <t>Kuzu Ciğer</t>
  </si>
  <si>
    <t>Kızarmış Tavuk (Bütün)</t>
  </si>
  <si>
    <t xml:space="preserve">Çoban salata, haydari, közlenmiş soğan, sumaklı soğan, ekmek ile </t>
  </si>
  <si>
    <t xml:space="preserve">Közlenmiş domates, közlenmiş biber </t>
  </si>
  <si>
    <t>Kuşbaşı Dürüm</t>
  </si>
  <si>
    <t xml:space="preserve">Domates, marul ile </t>
  </si>
  <si>
    <t>116,25 TL</t>
  </si>
  <si>
    <t>Kuzu Kaburga (1 kg.)</t>
  </si>
  <si>
    <t>56,25 TL</t>
  </si>
  <si>
    <t>Kemiksiz Tavuk (1 kg.)</t>
  </si>
  <si>
    <t xml:space="preserve">Tavuk göğsü. Közlenmiş biber, mevsim salata, haydari, közlenmiş soğan, sumaklı soğan ile </t>
  </si>
  <si>
    <t xml:space="preserve">Sarımsak, acı ile </t>
  </si>
  <si>
    <t>Damar Çorbası</t>
  </si>
  <si>
    <t>Tuzlama Çorbası</t>
  </si>
  <si>
    <t>Şırdan Çorbası</t>
  </si>
  <si>
    <t xml:space="preserve">Kimyon, tuz, özel sos ile </t>
  </si>
  <si>
    <t>Yarım Ekmek Arası Kıyma</t>
  </si>
  <si>
    <t xml:space="preserve">Domates, soğan </t>
  </si>
  <si>
    <t>Tavuk Döner Dürüm Avantaj Menü</t>
  </si>
  <si>
    <t xml:space="preserve">Tavuk Döner Dürüm + Patates Kızartması + Tatlı + Ayran (30 cl.) </t>
  </si>
  <si>
    <t>Zurna Tavuk Döner Dürüm Avantaj Menü</t>
  </si>
  <si>
    <t xml:space="preserve">Zurna Tavuk Döner Dürüm + Patates Kızartması + Tatlı + Ayran (30 cl.) </t>
  </si>
  <si>
    <t>Tavuk Döner Dürüm Combo Menü</t>
  </si>
  <si>
    <t>Et Döner Dürüm Avantaj Menü</t>
  </si>
  <si>
    <t xml:space="preserve">Et Döner Dürüm + Patates Kızartması + Tatlı + Ayran (30 cl.) </t>
  </si>
  <si>
    <t>Zurna Tavuk Döner Dürüm Combo Menü</t>
  </si>
  <si>
    <t>Et Döner Dürüm Combo Menü</t>
  </si>
  <si>
    <t>Zurna Et Döner Dürüm Avantaj Menü</t>
  </si>
  <si>
    <t xml:space="preserve">Zurna Et Döner Dürüm + Patates Kızartması + Tatlı + Ayran (30 cl.) </t>
  </si>
  <si>
    <t>Zurna Et Döner Dürüm Combo Menü</t>
  </si>
  <si>
    <t>Kazandıran Menü</t>
  </si>
  <si>
    <t xml:space="preserve">2 Adet Tavuk Döner Dürüm + 2 Adet Patates Kızartması + Pepsi (1 L.) </t>
  </si>
  <si>
    <t xml:space="preserve">Sos, domates, yeşillik, turşu </t>
  </si>
  <si>
    <t xml:space="preserve">Sos, domates, yeşillik, turşu ile </t>
  </si>
  <si>
    <t xml:space="preserve">Tava yoğurdu, tereyağı, sos ile </t>
  </si>
  <si>
    <t xml:space="preserve">Sos, mayonez, patates kızartması, turşu </t>
  </si>
  <si>
    <t>Ekmek Arası Tavuk Döner</t>
  </si>
  <si>
    <t xml:space="preserve">Patates kızartması, domates, turşu ile </t>
  </si>
  <si>
    <t>Baharatlı Patates Kızartması</t>
  </si>
  <si>
    <t>Pepsi Twist (33 cl.)</t>
  </si>
  <si>
    <t xml:space="preserve">Kahveli şurup ile ıslatılmış sade tiramisu keki, orijinal mascarpone peyniri ile hazırlanmış krema, üzerine serpilmiş kakao tozu süslemesiyle </t>
  </si>
  <si>
    <t>Karaorman Krokan (Dilim)</t>
  </si>
  <si>
    <t xml:space="preserve">Fındıklı çikolata ile kaplı, kakaolu genoise kek katları arasında çikolatalı mus, özel fındık krokan ve karamel sos ile hazırlanan lezzet </t>
  </si>
  <si>
    <t xml:space="preserve">Süt, şeker, sübye, süt kreması </t>
  </si>
  <si>
    <t xml:space="preserve">Özel çikolata sosu, şu hamuru, süt kreması, süt </t>
  </si>
  <si>
    <t xml:space="preserve">Krema ve süt karışımı ile ıslatılmış, fındıklı özel kek, karamel sos ile </t>
  </si>
  <si>
    <t>Tereyağlı Su Böreği</t>
  </si>
  <si>
    <t>Özsüt Köfte</t>
  </si>
  <si>
    <t xml:space="preserve">Dana antrikottan özel olarak hazırlanan Özsüt köfte, patlıcanlı Anadolu pilavı, ev yapımı baharatlı patates, mayonez sos ile </t>
  </si>
  <si>
    <t>51,50 TL</t>
  </si>
  <si>
    <t>Manisa Köfte</t>
  </si>
  <si>
    <t xml:space="preserve">Özel antrikottan hazırlanmış köfteler, krema kıvamında hazırlanmış yoğurt, iskender sos, roka salata </t>
  </si>
  <si>
    <t>58,00 TL</t>
  </si>
  <si>
    <t>Hardal Soslu Külbastı</t>
  </si>
  <si>
    <t xml:space="preserve">Soya sosu ve baharatlar ile marine edilmiş ızgara tavuk butları, Fransız hardal sosu, mevsim sebzeleri buketi, ev yapımı baharatlı patates, mayonez sos </t>
  </si>
  <si>
    <t>Özsüt Tavuk Şnitzel</t>
  </si>
  <si>
    <t xml:space="preserve">Özel baharatlar ve parmesan peyniri ile panelenmiş özsüt şinitzel, patlıcanlı Anadolu pilavı, ev yapımı baharatlı patates kızartması, mayonez </t>
  </si>
  <si>
    <t>Bol Peynirli Tost</t>
  </si>
  <si>
    <t xml:space="preserve">Kaşar peyniri, cheddar peyniri, domates, beyaz tost ekmeği. Coleslaw salata, elma dilim patates ile </t>
  </si>
  <si>
    <t>Özsüt Trio Tost</t>
  </si>
  <si>
    <t xml:space="preserve">Macar salam, sucuk, cheddar peyniri, domates, salça, 3 dilim beyaz tost ekmeği. Coleslaw salata, elma dilim patates ile </t>
  </si>
  <si>
    <t xml:space="preserve">Kaşar peyniri, sucuk, beyaz tost ekmeği. Coleslaw salata, elma dilim patates ile </t>
  </si>
  <si>
    <t>Özsüt Burger</t>
  </si>
  <si>
    <t xml:space="preserve">Özel yapılmış brioche hamburger ekmeğine; dana antrikottan hazırlanmış burger köftesi, kornişon turşu, mayonez. Coleslaw salata, baharatlı ev yapımı patates kızartması ile </t>
  </si>
  <si>
    <t>Özsüt Cheeseburger</t>
  </si>
  <si>
    <t xml:space="preserve">Özel yapılmış brioche hamburger ekmeğine; dana antrikottan hazırlanmış burger köftesi, kornişon turşu, domates, marul, bbq sos ile marine edilmiş soğan, eritilmiş cheddar peyniri, mayonez. Coleslaw salata, baharatlı ev yapımı patates kızartması ile </t>
  </si>
  <si>
    <t>Barbekü Tavuk Burrito</t>
  </si>
  <si>
    <t xml:space="preserve">Barbekü soslu tavuk bonfile, krem peynir, cheddar peyniri, roka, domates, turşu, wrap ekmeği. Coleslaw salata, elma dilim patates ile </t>
  </si>
  <si>
    <t>Krem Peynirli Köfteli Burrito</t>
  </si>
  <si>
    <t xml:space="preserve">Izgara köfte, krem peynir, domates, roka, turşu, wrap ekmeği. Coleslaw salata, elma dilim patates ile </t>
  </si>
  <si>
    <t xml:space="preserve">Mozzarella peyniri, parmesan peyniri, mantar, patlıcan, ızgara tavuk </t>
  </si>
  <si>
    <t>Bolognese Quesadilla</t>
  </si>
  <si>
    <t xml:space="preserve">İtalyan usulü hazırlanan baharatlı kıymalı karışım, mozzarella peyniri, parmesan peyniri </t>
  </si>
  <si>
    <t>BBQ Tavuklu Pizza</t>
  </si>
  <si>
    <t xml:space="preserve">Mozzarella peyniri, tavuk bonfile, bbq sos, kırmızı soğan, kırmızıbiber, siyah zeytin, domates sosu </t>
  </si>
  <si>
    <t>Bolonez Soslu Pizza - Şu anda mevcut değil.</t>
  </si>
  <si>
    <t xml:space="preserve">Mozzarella peyniri, kıymalı bolonez sos ve domates sosu </t>
  </si>
  <si>
    <t>Ay Pizza</t>
  </si>
  <si>
    <t xml:space="preserve">Mozzarella peyniri, Macar salam, sucuk, sosis, mantar, siyah zeytin, domates sosu </t>
  </si>
  <si>
    <t>Aşure - Şu anda mevcut değil.</t>
  </si>
  <si>
    <t xml:space="preserve">Buğday, fasulye, nohut, şeker, incir, kuş üzümü, susam, ceviz, pirinç unu </t>
  </si>
  <si>
    <t xml:space="preserve">Süt, şeker, sübye, yumurtai pirinç </t>
  </si>
  <si>
    <t>Keşkül</t>
  </si>
  <si>
    <t xml:space="preserve">Süt, şeker, sübye, badem, vanilya, yumurta </t>
  </si>
  <si>
    <t>Asansör</t>
  </si>
  <si>
    <t xml:space="preserve">Ekmek kadayıfı üzerine yarım porsiyon kazandibi, 2 top kaymaklı dondurma </t>
  </si>
  <si>
    <t>53,00 TL</t>
  </si>
  <si>
    <t>Ekmek Kadayıfı</t>
  </si>
  <si>
    <t xml:space="preserve">En kaliteli malzemelerle ve geleneksel yöntemlerle hazırlanan Osmanlı saraylısı. Görselde belirtilen kaymak ilavedir. </t>
  </si>
  <si>
    <t>Özsüt Çilekli Mag (Bardak)</t>
  </si>
  <si>
    <t xml:space="preserve">Vanilyalı özel mag kreması, bisküvi parçaları ve taze çilek dilimleri </t>
  </si>
  <si>
    <t>Meyveli (Bardak)</t>
  </si>
  <si>
    <t xml:space="preserve">Sade kek katlarıyla özel Özsüt kreması, şeftali, ananas, armut parçaları, beyaz çikolatalı sos </t>
  </si>
  <si>
    <t>Frambuazlı (Bardak)</t>
  </si>
  <si>
    <t xml:space="preserve">Frambuazlı şurup ile ıslatılmış kakaolu genoise kek, çikolatalı pastacı kreması, frambuaz sos, frambuaz </t>
  </si>
  <si>
    <t>Krokanlı (Bardak)</t>
  </si>
  <si>
    <t xml:space="preserve">Kakaolu genoise kek, çikolatalı pastacı kreması, toffee karamel sos, fındık krokan </t>
  </si>
  <si>
    <t>Özsüt Muzlu Mag (Bardak)</t>
  </si>
  <si>
    <t xml:space="preserve">Vanilyalı özel mag kreması, bisküvi parçaları, taze muz dilimleri </t>
  </si>
  <si>
    <t>Çikolatalı (Bardak)</t>
  </si>
  <si>
    <t xml:space="preserve">Çikolatalı sos ile ıslatılmış kakaolu genoise kek, çikolatalı pastacı kreması, bol kakaolu özel sos, çikolata dilimleri </t>
  </si>
  <si>
    <t>Tiramisu (Bardak)</t>
  </si>
  <si>
    <t xml:space="preserve">Kahveli şurup ile ıslatılmış tiramisu keki, özel Mascarpone peyniri ile hazırlanan krema, kakao dekoru </t>
  </si>
  <si>
    <t>Ananaslı Bademli (Bardak)</t>
  </si>
  <si>
    <t xml:space="preserve">Ananaslı şurup ile ıslatılmış sade kek katları arasında ananaslı vanilyalı krema, ananas dilimleri, badem ve üzerine beyaz çikolatalı sos </t>
  </si>
  <si>
    <t>Sakızlı Markiz (Bardak)</t>
  </si>
  <si>
    <t xml:space="preserve">Sade kek katları arasında damla sakızı, pişirilmiş özel Özsüt kreması ve ceviz parçaları </t>
  </si>
  <si>
    <t>Balım (Adet)</t>
  </si>
  <si>
    <t xml:space="preserve">Sade kek katları arasında karamel sos, karamel çikolatalı mus, bal ile karamelize edilmiş badem ve özel parfe </t>
  </si>
  <si>
    <t>Thomas (Adet)</t>
  </si>
  <si>
    <t xml:space="preserve">Fıstıklı kek, özel Thomas kreması, fıstık nugat ve ganajdan oluşan lezzet </t>
  </si>
  <si>
    <t>Çikolata Kestane (Adet)</t>
  </si>
  <si>
    <t xml:space="preserve">Kakaolu kek katları arasında çikoltalı ve kestaneli krema ile çikolata parçaları </t>
  </si>
  <si>
    <t>Çikolata Muz (Adet)</t>
  </si>
  <si>
    <t xml:space="preserve">Kakaolu kek katları arasında çikolatalı ve muzlu mus, parça çikolata ve muz dilimleri </t>
  </si>
  <si>
    <t>Çikolatalı Fondü (Adet) - Şu anda mevcut değil.</t>
  </si>
  <si>
    <t xml:space="preserve">Bademli özel kek ve bitter çikolatalı fondü kreması </t>
  </si>
  <si>
    <t>Frambuaz Küpü (Adet)</t>
  </si>
  <si>
    <t xml:space="preserve">Frambuaz sosuyla ıslatılmış kakaolu kek katları arasında çikolatalı krema ve frambuaz parçaları </t>
  </si>
  <si>
    <t>Gülücük (Adet)</t>
  </si>
  <si>
    <t xml:space="preserve">Çocuklar için; alt kısmında kakaolu kek, üzerine muzlu mus, üst kısımda kakaolu kek ile çikolatalı fındık krema ve çikolatalı mus </t>
  </si>
  <si>
    <t>Mozaik Pasta (Adet)</t>
  </si>
  <si>
    <t xml:space="preserve">Çifte kavrulmuş bisküvi, bitter çikolatalı özel sos ve portakal parçaları </t>
  </si>
  <si>
    <t>Özsüt'ün Aynası (Adet)</t>
  </si>
  <si>
    <t xml:space="preserve">Kakaolu kek, yaban mersinli özel mus, yaban mersini kreması ve şeftali parçaları </t>
  </si>
  <si>
    <t>Özsüt Sade Cheesecake (Dilim)</t>
  </si>
  <si>
    <t xml:space="preserve">Özel peyniri, yumuşacık kremamsı kıvamı ile İspanya’nın Bask Bölgesi’ne ait tekniklerle farklılaşan cheesecake </t>
  </si>
  <si>
    <t>Çikolatalı Cheesecake (Dilim)</t>
  </si>
  <si>
    <t xml:space="preserve">Bademli kıtır sable üstüne özel krema, çikolata sosu </t>
  </si>
  <si>
    <t>Vişneli Cheesecake (Dilim)</t>
  </si>
  <si>
    <t xml:space="preserve">Bademli kıtır sable üstüne özel krema, vişne sosu </t>
  </si>
  <si>
    <t>Limonlu Cheesecake (Dilim)</t>
  </si>
  <si>
    <t xml:space="preserve">Bademli kıtır sable üstüne özel krema, limon sosu </t>
  </si>
  <si>
    <t xml:space="preserve">Bademli kıtır sable üstüne özel krema, frambuaz sosu </t>
  </si>
  <si>
    <t>Çikolata Trio (Dilim)</t>
  </si>
  <si>
    <t xml:space="preserve">Kakaolu kek katları arasında bitter, sütlü ve fildişi çikolatalı 3 kat krema </t>
  </si>
  <si>
    <t>Karaorman Fıstık (Dilim)</t>
  </si>
  <si>
    <t xml:space="preserve">Bitter çikolata ve Antep fıstığı ile süslenmiş kakaolu genoise kek katları arasında enfes çikolatalı mus, Antep fıstıklı nugat ve özel Antep fıstık ezmesi </t>
  </si>
  <si>
    <t>Karaorman Frambuaz (Dilim)</t>
  </si>
  <si>
    <t xml:space="preserve">Yaprak beyaz çikolata ile süslenmiş, sade genoise kek katları arasında frambuazlı özel krema, fambuazlı sos ve frambuaz parçaları </t>
  </si>
  <si>
    <t>Karaorman Muz (Dilim)</t>
  </si>
  <si>
    <t xml:space="preserve">Beyaz rende çikolata ve muzla süslenmiş, muzlu şurupla lezzetlendirilmiş kakaolu genoise kek katları arasında çikolatalı mus, çikolata parçacıkları ve muz </t>
  </si>
  <si>
    <t>Özsüt'ün Aynası (Dilim)</t>
  </si>
  <si>
    <t xml:space="preserve">Kakaolu kek katları arasında yaban mersini ile hazırlanmış özel mus, yaban mersini kreması ve şeftali parçaları </t>
  </si>
  <si>
    <t>Özsüt'ün Aynası (6 Kişilik)</t>
  </si>
  <si>
    <t>163,50 TL</t>
  </si>
  <si>
    <t>Çikolata Trio (6 Kişilik)</t>
  </si>
  <si>
    <t>Çikolatalı Cheesecake (6 Kişilik)</t>
  </si>
  <si>
    <t xml:space="preserve">Bademli kıtır hamur üstünde özel krema ve enfes çikolata sosu ile hazırlanmış Fransız usulü cheesecake </t>
  </si>
  <si>
    <t>Çikolatalı Trio (4 Kişilik)</t>
  </si>
  <si>
    <t>118,00 TL</t>
  </si>
  <si>
    <t>Frambuazlı Cheesecake (6 Kişilik)</t>
  </si>
  <si>
    <t xml:space="preserve">Bademli kıtır hamur üstünde özel krema ve enfes frambuaz sosu ile hazırlanmış Fransız usulü cheesecake </t>
  </si>
  <si>
    <t>Karaorman Fıstık (4 Kişilik)</t>
  </si>
  <si>
    <t>136,50 TL</t>
  </si>
  <si>
    <t>Karaorman Fıstık (6 Kişilik)</t>
  </si>
  <si>
    <t>188,50 TL</t>
  </si>
  <si>
    <t>Karaorman Frambuaz (4 Kişilik)</t>
  </si>
  <si>
    <t>Karaorman Frambuaz (6 Kişilik)</t>
  </si>
  <si>
    <t>156,50 TL</t>
  </si>
  <si>
    <t>Karaorman Krokan (4 Kişilik)</t>
  </si>
  <si>
    <t>Karaorman Krokan (6 Kişilik)</t>
  </si>
  <si>
    <t>Karaorman Muz (6 Kişilik)</t>
  </si>
  <si>
    <t>Limonlu Cheesecake (6 Kişilik)</t>
  </si>
  <si>
    <t>Özsüt Sade Cheesecake (6 Kişilik)</t>
  </si>
  <si>
    <t>Özsütün Aynası (4 Kişilik)</t>
  </si>
  <si>
    <t>Tiramisu (6 Kişilik)</t>
  </si>
  <si>
    <t>Vişneli Cheesecake (6 Kişilik)</t>
  </si>
  <si>
    <t xml:space="preserve">Bademli kıtır hamur üstünde özel krema ve enfes vişne sosu ile hazırlanmış Fransız usulü cheesecake </t>
  </si>
  <si>
    <t xml:space="preserve">Seçeceğiniz çeşit ile </t>
  </si>
  <si>
    <t>Frenk Üzümü Şerbeti (1 L.)</t>
  </si>
  <si>
    <t>Yaban Mersini Şerbeti (1 L.)</t>
  </si>
  <si>
    <t>Karadut Şerbeti (1 L.)</t>
  </si>
  <si>
    <t>Chai Tea Latte</t>
  </si>
  <si>
    <t xml:space="preserve">Chai Masala karışımı, Özsüt çayı ve krema kıvamında süt ile oluşan lezzet </t>
  </si>
  <si>
    <t>Sıcak Çikolata</t>
  </si>
  <si>
    <t>Salep</t>
  </si>
  <si>
    <t>Affogato</t>
  </si>
  <si>
    <t xml:space="preserve">Espresso ile 1 top süper vanilya dondurma </t>
  </si>
  <si>
    <t>Türk Kahvesi</t>
  </si>
  <si>
    <t>Damla Sakızlı Türk Kahvesi</t>
  </si>
  <si>
    <t>Flat White</t>
  </si>
  <si>
    <t>Bal Badem Latte</t>
  </si>
  <si>
    <t>Kazandibi (1 kg.)</t>
  </si>
  <si>
    <t>110,50 TL</t>
  </si>
  <si>
    <t>Ekmek Kadayıfı (1 kg.)</t>
  </si>
  <si>
    <t>Selanik Kurabiyesi (1 kg.)</t>
  </si>
  <si>
    <t>104,50 TL</t>
  </si>
  <si>
    <t>Patatesli Ay Poğaça (1 kg.)</t>
  </si>
  <si>
    <t>90,50 TL</t>
  </si>
  <si>
    <t>Peynirli Oval Poğaça (1 kg.)</t>
  </si>
  <si>
    <t>Tereyağlı Su Böreği (1 kg.)</t>
  </si>
  <si>
    <t xml:space="preserve">150 gr. çiğ köfte, marul, domates, turşu </t>
  </si>
  <si>
    <t>Pembe Waffle</t>
  </si>
  <si>
    <t xml:space="preserve">Nutella, çilek, muz, kivi, Hindistan cevizi, damla çikolata </t>
  </si>
  <si>
    <t>XLarge Çiğ Köfte Dürüm</t>
  </si>
  <si>
    <t xml:space="preserve">3 adet lavaşa; 200 gr. çiğ köfte, yeşillik, domates, turşu </t>
  </si>
  <si>
    <t>Seçilmiş Menü (Pembe Waffle)</t>
  </si>
  <si>
    <t xml:space="preserve">Pembe Waffle + Coca-Cola (33 cl.) </t>
  </si>
  <si>
    <t>Vodafone Menüsü (10 Midye Dolma (Küçük))</t>
  </si>
  <si>
    <t xml:space="preserve">10 Adet Midye Dolma (Küçük) + Kutu İçecek (Kampanya koşulları için restoranın Promosyonlar bölümüne göz atınız. İndirimli fiyat ürün sepete eklendikten sonra uygulanır.) </t>
  </si>
  <si>
    <t>2'li Mega Çiğ Köfte Dürüm Menü 1</t>
  </si>
  <si>
    <t xml:space="preserve">2 Adet Mega Çiğ Köfte Dürüm + 2 Adet Ayran (20 cl.) </t>
  </si>
  <si>
    <t>Waffle Menü</t>
  </si>
  <si>
    <t xml:space="preserve">Waffle + Muzlu Süt </t>
  </si>
  <si>
    <t>2'li Mega Çiğ Köfte Dürüm Menü 2</t>
  </si>
  <si>
    <t xml:space="preserve">2 Adet Mega Çiğ Köfte Dürüm + 2 Adet Günün Tatlısı + 2 Adet Ayran (20 cl.) </t>
  </si>
  <si>
    <t>3'lü Mega Çiğ Köfte Dürüm Menü</t>
  </si>
  <si>
    <t xml:space="preserve">3 Adet Mega Çiğ Köfte Dürüm + 3 Adet Ayran (20 cl.) </t>
  </si>
  <si>
    <t>4'lü Mega Çiğ Köfte Dürüm Menü</t>
  </si>
  <si>
    <t xml:space="preserve">4 Adet Mega Çiğ Köfte Dürüm + 4 Adet Ayran (20 cl.) </t>
  </si>
  <si>
    <t>Çiğ Köfte Menü (1 kg.)</t>
  </si>
  <si>
    <t>Öğrenci Çiğ Köfte Dürüm</t>
  </si>
  <si>
    <t xml:space="preserve">80 gr. çiğ köfte, marul, domates, turşu </t>
  </si>
  <si>
    <t xml:space="preserve">Marul, lavaş, sos tabağı ile </t>
  </si>
  <si>
    <t>Çiğ Köfte (375 gr.)</t>
  </si>
  <si>
    <t>Midye Dolma (11 Adet)</t>
  </si>
  <si>
    <t>Midye Dolma (17 Adet)</t>
  </si>
  <si>
    <t>Midye Dolma (23 Adet)</t>
  </si>
  <si>
    <t>Midye Dolma (29 Adet)</t>
  </si>
  <si>
    <t>Günün Tatlısı</t>
  </si>
  <si>
    <t>Çilekli Süt</t>
  </si>
  <si>
    <t>Muzlu Çilekli Süt</t>
  </si>
  <si>
    <t>Sıkma Portakal Suyu</t>
  </si>
  <si>
    <t>Pembe Özel Muzlu Süt</t>
  </si>
  <si>
    <t>Kakaolu Dondurma (500 gr.) - Şu anda mevcut değil.</t>
  </si>
  <si>
    <t>Meyveli Dondurma (500 gr.) - Şu anda mevcut değil.</t>
  </si>
  <si>
    <t>Hamsi Tava (600 gr.)</t>
  </si>
  <si>
    <t xml:space="preserve">Mevsim salata, közlenmiş soslu soğan, sumaklı soğan salatası, turp, limon, ekmek ile </t>
  </si>
  <si>
    <t>Ekmek Arası Hamsi</t>
  </si>
  <si>
    <t xml:space="preserve">Maydanoz, roka, limon ile </t>
  </si>
  <si>
    <t>Ekmek Arası Palamut</t>
  </si>
  <si>
    <t>Palamut (600 gr.)</t>
  </si>
  <si>
    <t xml:space="preserve">Mevsim salata, közlenmiş soslu soğan, sumaklı soğan salatası, közlenmiş domates, közlenmiş biber, turp, limon, ekmek ile </t>
  </si>
  <si>
    <t>3/4 Ekmek Arası Hamsi</t>
  </si>
  <si>
    <t>Seçilmiş Menü (Ekmek Arası Levrek) - Şu anda mevcut değil.</t>
  </si>
  <si>
    <t xml:space="preserve">Ekmek Arası Levrek + Coca-Cola (33 cl.) </t>
  </si>
  <si>
    <t>Vodafone Menüsü (Ekmek Arası Sardalya) - Şu anda mevcut değil.</t>
  </si>
  <si>
    <t xml:space="preserve">Ekmek Arası Sardalya + Kutu İçecek (Kampanya koşulları için restoranın Promosyonlar bölümüne göz atınız. İndirimli fiyat ürün sepete eklendikten sonra uygulanır.) </t>
  </si>
  <si>
    <t>Vodafone Menüsü (Ekmek Arası Palamut)</t>
  </si>
  <si>
    <t xml:space="preserve">Ekmek Arası Palamut + Coca-Cola (33 cl.) (Kampanya koşulları için restoranın Promosyonlar bölümüne göz atınız. İndirimli fiyat ürün sepete eklendikten sonra uygulanır.) </t>
  </si>
  <si>
    <t>Hamsi Tava Aile Boyu (Üç Kişilik) Menü</t>
  </si>
  <si>
    <t xml:space="preserve">Hamsi Tava + Mevsim Salata + Közlenmiş Soslu Soğan + Sumaklı Soğan Salatası + Turp + Limon + Ekmek </t>
  </si>
  <si>
    <t>Sardalya Tava Aile Boyu (Üç Kişilik) Menü - Şu anda mevcut değil.</t>
  </si>
  <si>
    <t xml:space="preserve">Sardalya Tava + Mevsim Salata + Közlenmiş Soslu Soğan + Sumaklı Soğan Salatası + Turp + Limon + Ekmek </t>
  </si>
  <si>
    <t>Alabalık Tava Aile Boyu (Üç Kişilik) Menü</t>
  </si>
  <si>
    <t xml:space="preserve">Alabalık Tava + Mevsim Salata + Közlenmiş Soslu Soğan + Sumaklı Soğan Salatası + Turp + Limon + Ekmek </t>
  </si>
  <si>
    <t>Çipura Levrek Karışık Aile Boyu (Üç Kişilik) Menü</t>
  </si>
  <si>
    <t xml:space="preserve">Çipura Levrek Karışık + Mevsim Salata + Sumaklı Soğan Salatası + Közlenmiş Domates + Közlenmiş Biber + Közlenmiş Soslu Soğan + Turp + Limon + Ekmek </t>
  </si>
  <si>
    <t>3/4 Ekmek Arası Alabalık</t>
  </si>
  <si>
    <t>3/4 Ekmek Arası Levrek - Şu anda mevcut değil.</t>
  </si>
  <si>
    <t>Ekmek Arası Alabalık</t>
  </si>
  <si>
    <t>Ekmek Arası Somon - Şu anda mevcut değil.</t>
  </si>
  <si>
    <t>Ekmek Arası Levrek - Şu anda mevcut değil.</t>
  </si>
  <si>
    <t>Ekmek Arası Sardalya - Şu anda mevcut değil.</t>
  </si>
  <si>
    <t>3/4 Ekmek Arası Sardalya - Şu anda mevcut değil.</t>
  </si>
  <si>
    <t>3/4 Ekmek Arası Somon Balığı - Şu anda mevcut değil.</t>
  </si>
  <si>
    <t>3/4 Ekmek Arası Palamut</t>
  </si>
  <si>
    <t>Ekmek Arası Karides</t>
  </si>
  <si>
    <t xml:space="preserve">İsteğe göre soğan. Maydanoz, roka, limon ile </t>
  </si>
  <si>
    <t>Mezgit Tava (600 gr.)</t>
  </si>
  <si>
    <t>Çipura (600 gr.)</t>
  </si>
  <si>
    <t>Izgara Norveç Somonu (600 gr.) - Şu anda mevcut değil.</t>
  </si>
  <si>
    <t>Deniz Levreği (600 gr.)</t>
  </si>
  <si>
    <t>Sardalya Tava (600 gr.) - Şu anda mevcut değil.</t>
  </si>
  <si>
    <t>Alabalık Tava (600 gr.)</t>
  </si>
  <si>
    <t>Izgara Karadeniz Somonu (600 gr.)</t>
  </si>
  <si>
    <t>Sarıkanat (600 gr.)</t>
  </si>
  <si>
    <t>Kaya Levreği (600 gr.)</t>
  </si>
  <si>
    <t>Barbun Keserbaş Tava (600 gr.)</t>
  </si>
  <si>
    <t>Deniz Turnası (600 gr.)</t>
  </si>
  <si>
    <t>Izgara Lüfer (450 gr.)</t>
  </si>
  <si>
    <t>Vodafone Menüsü (Nefis Kenarlı Spicy Pizza (Small))</t>
  </si>
  <si>
    <t xml:space="preserve">Nefis Kenarlı Spicy Pizza (Small) + Pepsi (33 cl.) (Kampanya koşulları için restoranın Promosyonlar bölümüne göz atınız. İndirimli fiyat ürün sepete eklendikten sonra uygulanır.) </t>
  </si>
  <si>
    <t>49,90 TL</t>
  </si>
  <si>
    <t>Vodafone Menüsü (Special Pizza (Small))</t>
  </si>
  <si>
    <t xml:space="preserve">Special Pizza (Small) + Pepsi (33 cl.) (Kampanya koşulları için restoranın Promosyonlar bölümüne göz atınız. İndirimli fiyat ürün sepete eklendikten sonra uygulanır.) </t>
  </si>
  <si>
    <t>King Menü</t>
  </si>
  <si>
    <t xml:space="preserve">Mix Pizza (Büyük Boy) + Patates Kızartması + Pepsi (1 L.) </t>
  </si>
  <si>
    <t>48,68 TL</t>
  </si>
  <si>
    <t>Cazip Menü</t>
  </si>
  <si>
    <t xml:space="preserve">Sosisli Mantarlı Pizza (Küçük Boy) + Patates Kızartması + 2 Adet Nugget + Pepsi (20 cl.) </t>
  </si>
  <si>
    <t>27,68 TL</t>
  </si>
  <si>
    <t>Küçük Lezzetler Menü</t>
  </si>
  <si>
    <t xml:space="preserve">2 Adet Cazip Pizza (Küçük Boy) + Patates Kızartması + Pepsi (1 L.) </t>
  </si>
  <si>
    <t>56,93 TL</t>
  </si>
  <si>
    <t>Efsane Ortalar Menü</t>
  </si>
  <si>
    <t xml:space="preserve">2 Adet Cazip Pizza (Orta Boy) + Patates Kızartması + Pepsi (1 L.) </t>
  </si>
  <si>
    <t>59,93 TL</t>
  </si>
  <si>
    <t>Aile Menü</t>
  </si>
  <si>
    <t xml:space="preserve">Special Pizza (Jumbo Boy) + 6 Adet Tavuk Fileto + Patates Kızartması + Pepsi (1 L.) </t>
  </si>
  <si>
    <t>74,18 TL</t>
  </si>
  <si>
    <t>Ortada Şenlik Var Menü</t>
  </si>
  <si>
    <t xml:space="preserve">3 Adet Cazip veya Klasik Pizza (Orta Boy) + Patates Kızartması + Pepsi (1 L.) </t>
  </si>
  <si>
    <t>2'li Hamburger Menü</t>
  </si>
  <si>
    <t xml:space="preserve">2 Adet Hamburger (Büyük) + 2 Adet Patates Kızartması + 2 Adet Pepsi (20 cl.) </t>
  </si>
  <si>
    <t>56,18 TL</t>
  </si>
  <si>
    <t>Combo Menü</t>
  </si>
  <si>
    <t xml:space="preserve">Parça Pizza (Tam) + Patates Kızartması + Pepsi (20 cl.) </t>
  </si>
  <si>
    <t>26,93 TL</t>
  </si>
  <si>
    <t>Pita Menü</t>
  </si>
  <si>
    <t xml:space="preserve">Parça Pizza (Tam) + 4 Adet Tavuk Fileto + Pepsi (20 cl.) </t>
  </si>
  <si>
    <t>35,93 TL</t>
  </si>
  <si>
    <t>Tam Parçalı Süper Menü</t>
  </si>
  <si>
    <t xml:space="preserve">Parça Pizza (Tam) + 4 Adet Tavuk Fileto + Patates Kızartması + Pepsi (20 cl.) </t>
  </si>
  <si>
    <t>36,68 TL</t>
  </si>
  <si>
    <t>Wonder Menü</t>
  </si>
  <si>
    <t xml:space="preserve">Parça Pizza (Tam) + 6 Adet Tavuk Nugget + Pepsi (20 cl.) </t>
  </si>
  <si>
    <t>30,68 TL</t>
  </si>
  <si>
    <t xml:space="preserve">Parça Pizza (Tam) + 2 Adet Tavuk Fileto + Patates Kızartması + Pepsi (20 cl.) </t>
  </si>
  <si>
    <t>28,43 TL</t>
  </si>
  <si>
    <t>Chicken Fingers Menü</t>
  </si>
  <si>
    <t xml:space="preserve">6 Adet Tavuk Fileto + Patates Kızartması + Pepsi (20 cl.) </t>
  </si>
  <si>
    <t>35,18 TL</t>
  </si>
  <si>
    <t>Çocuk Menüsü</t>
  </si>
  <si>
    <t xml:space="preserve">Small Pizza (Mozzarella peyniri, sosis, sucuk, mısır, siyah zeytin) + Patates Kızartması + Tropicana (33 cl.) + Sürpriz Oyuncak </t>
  </si>
  <si>
    <t>Double Burger Menü</t>
  </si>
  <si>
    <t xml:space="preserve">Double Burger + Patates Kızartması + Pepsi (20 cl.) </t>
  </si>
  <si>
    <t xml:space="preserve">Hamburger + Patates Kızartması + Pepsi (20 cl.) </t>
  </si>
  <si>
    <t xml:space="preserve">Chicken Burger + Patates Kızartması + Pepsi (20 cl.) </t>
  </si>
  <si>
    <t>Penne Bolognese Menü</t>
  </si>
  <si>
    <t xml:space="preserve">Penne Bolognese (Bolognese sos, rende kaşar peyniri) + Pepsi (20 cl.) </t>
  </si>
  <si>
    <t>34,43 TL</t>
  </si>
  <si>
    <t>Penne Napolitan Menü</t>
  </si>
  <si>
    <t xml:space="preserve">Penne Napolitan (Napolitan sos, krema, domates sosu) + Pepsi (20 cl.) </t>
  </si>
  <si>
    <t>33,68 TL</t>
  </si>
  <si>
    <t>Penne Sebzeli Menü</t>
  </si>
  <si>
    <t xml:space="preserve">Penne Sebzeli (Kırmızıbiber, yeşilbiber, havuç, kabak, soya sosu, krema) + Pepsi (20 cl.) </t>
  </si>
  <si>
    <t>Penne Soya Soslu Tavuklu Menü</t>
  </si>
  <si>
    <t xml:space="preserve">Soya Soslu Tavuklu Penne + Pepsi (20 cl.) </t>
  </si>
  <si>
    <t>Penne Tavuklu Menü</t>
  </si>
  <si>
    <t xml:space="preserve">Penne Tavuklu (Tavuk, krema, kaşar peyniri) + Pepsi (20 cl.) </t>
  </si>
  <si>
    <t>32,93 TL</t>
  </si>
  <si>
    <t>Chicken Feast Tavuk Menü</t>
  </si>
  <si>
    <t xml:space="preserve">Chicken Feast Tavuk (Tavuk, mantar, arpacık soğanı, kırmızıbiber, yeşilbiber) + Özel Soslu Penne + Salata + Pepsi (20 cl.) </t>
  </si>
  <si>
    <t>42,68 TL</t>
  </si>
  <si>
    <t>Chicken Best Of Tavuk Menü</t>
  </si>
  <si>
    <t xml:space="preserve">Chicken Best Of Tavuk Tava (Krema, mantar) + Özel Soslu Penne + Salata + Pepsi (20 cl.) </t>
  </si>
  <si>
    <t>41,93 TL</t>
  </si>
  <si>
    <t>Chicken King Tavuk Menü</t>
  </si>
  <si>
    <t xml:space="preserve">Chicken King Tavuk Tava (Krema, mozzarella peyniri, kekik) + Özel Soslu Penne + Salata + Pepsi (20 cl.) </t>
  </si>
  <si>
    <t>43,43 TL</t>
  </si>
  <si>
    <t>Anatolia Pizza (Small)</t>
  </si>
  <si>
    <t xml:space="preserve">Özel sos, pizza peyniri, kavurma, soğan, kırmızıbiber, yeşilbiber </t>
  </si>
  <si>
    <t>Dream Pizza (Small)</t>
  </si>
  <si>
    <t xml:space="preserve">Özel sos, çift kat pizza peyniri, salam, mantar, sosis </t>
  </si>
  <si>
    <t>Etien Pizza (Small)</t>
  </si>
  <si>
    <t xml:space="preserve">Özel sos, pizza peyniri, sucuk, salam, sosis </t>
  </si>
  <si>
    <t>Happy Pizza (Small)</t>
  </si>
  <si>
    <t xml:space="preserve">Özel sos, pizza peyniri, sucuk, mantar, yeşilbiber </t>
  </si>
  <si>
    <t>Luna Pizza (Small)</t>
  </si>
  <si>
    <t xml:space="preserve">Özel sos, pizza peyniri, sucuk </t>
  </si>
  <si>
    <t>Margherita Pizza (Small)</t>
  </si>
  <si>
    <t xml:space="preserve">Özel sos, pizza peyniri, domates </t>
  </si>
  <si>
    <t>Mix Pizza (Small)</t>
  </si>
  <si>
    <t xml:space="preserve">Özel sos, pizza peyniri, salam, sucuk, sosis, mantar, yeşilbiber </t>
  </si>
  <si>
    <t>Mushroom Pizza (Small)</t>
  </si>
  <si>
    <t xml:space="preserve">Özel sos, pizza peyniri, mantar </t>
  </si>
  <si>
    <t>Nefis Kenarlı Spicy Pizza (Small)</t>
  </si>
  <si>
    <t xml:space="preserve">Susamlı ve kaşar peynirli kenar, özel sos, pizza peyniri, acılı sucuk, mantar, küp domates, jalapeno biber </t>
  </si>
  <si>
    <t>32,18 TL</t>
  </si>
  <si>
    <t>New Chicken Pizza (Small)</t>
  </si>
  <si>
    <t xml:space="preserve">İnce hamura; özel pizza sosu, mozzarella peyniri, özel soslu kızarmış tavuk, yeşilbiber, kırmızıbiber, soğan, roka </t>
  </si>
  <si>
    <t>Pastrami Pizza (Small)</t>
  </si>
  <si>
    <t xml:space="preserve">Özel sos, pizza peyniri, pastırma, yumurta </t>
  </si>
  <si>
    <t>Rotary Pizza (Small)</t>
  </si>
  <si>
    <t xml:space="preserve">İnce hamura; özel pizza sosu, mozzarella peyniri, et döner, jalapeno biberi, roka </t>
  </si>
  <si>
    <t>Smoked Meat Pizza (Small)</t>
  </si>
  <si>
    <t xml:space="preserve">İnce hamura; özel pizza sosu, mozzarella peyniri, füme et, cherry domates, roka, rende parmesan peyniri </t>
  </si>
  <si>
    <t>Special Pizza (Small)</t>
  </si>
  <si>
    <t xml:space="preserve">Özel sos, pizza peyniri, sucuk, salam, sosis, mantar, mısır, siyah zeytin, domates </t>
  </si>
  <si>
    <t>Spinach Pizza (Small)</t>
  </si>
  <si>
    <t xml:space="preserve">İnce hamura; özel sos, mozzarella peyniri, ıspanak, kırmızı toz biber </t>
  </si>
  <si>
    <t>Tomato Special Pizza (Small)</t>
  </si>
  <si>
    <t xml:space="preserve">Özel sos, pizza peyniri, dana kıyma, yeşilbiber, küp domates </t>
  </si>
  <si>
    <t>31,43 TL</t>
  </si>
  <si>
    <t>Tonno Pizza (Small)</t>
  </si>
  <si>
    <t xml:space="preserve">Özel sos, pizza peyniri, ton balığı, soğan, mısır </t>
  </si>
  <si>
    <t>Vegeterian Pizza (Small)</t>
  </si>
  <si>
    <t xml:space="preserve">Özel sos, pizza peyniri, yeşilbiber, domates, yeşilzeytin, siyah zeytin, mısır, mantar </t>
  </si>
  <si>
    <t>White Pizza (Small)</t>
  </si>
  <si>
    <t xml:space="preserve">Özel sos, pizza peyniri, tavuk fileto, yeşilzeytin </t>
  </si>
  <si>
    <t>29,18 TL</t>
  </si>
  <si>
    <t>Anatolia Pizza (Medium)</t>
  </si>
  <si>
    <t>44,93 TL</t>
  </si>
  <si>
    <t>Dream Pizza (Medium)</t>
  </si>
  <si>
    <t>38,18 TL</t>
  </si>
  <si>
    <t>Etien Pizza (Medium)</t>
  </si>
  <si>
    <t>Happy Pizza (Medium)</t>
  </si>
  <si>
    <t>Luna Pizza (Medium)</t>
  </si>
  <si>
    <t>Margherita Pizza (Medium)</t>
  </si>
  <si>
    <t>Mix Pizza (Medium)</t>
  </si>
  <si>
    <t>Mushroom Pizza (Medium)</t>
  </si>
  <si>
    <t>Nefis Kenarlı Spicy Pizza (Medium)</t>
  </si>
  <si>
    <t>41,18 TL</t>
  </si>
  <si>
    <t>New Chicken Pizza (Medium)</t>
  </si>
  <si>
    <t>Pastrami Pizza (Medium)</t>
  </si>
  <si>
    <t>Rotary Pizza (Medium)</t>
  </si>
  <si>
    <t>Smoked Meat Pizza (Medium)</t>
  </si>
  <si>
    <t>52,43 TL</t>
  </si>
  <si>
    <t>Special Pizza (Medium)</t>
  </si>
  <si>
    <t>Spinach Pizza (Medium)</t>
  </si>
  <si>
    <t>37,43 TL</t>
  </si>
  <si>
    <t>Tomato Special Pizza (Medium)</t>
  </si>
  <si>
    <t>Tonno Pizza (Medium)</t>
  </si>
  <si>
    <t>Vegeterian Pizza (Medium)</t>
  </si>
  <si>
    <t>White Pizza (Medium)</t>
  </si>
  <si>
    <t>38,93 TL</t>
  </si>
  <si>
    <t>Anatolia Pizza (Large)</t>
  </si>
  <si>
    <t>Dream Pizza (Large)</t>
  </si>
  <si>
    <t>Etien Pizza (Large)</t>
  </si>
  <si>
    <t>46,43 TL</t>
  </si>
  <si>
    <t>Happy Pizza (Large)</t>
  </si>
  <si>
    <t>Luna Pizza (Large)</t>
  </si>
  <si>
    <t>Margherita Pizza (Large)</t>
  </si>
  <si>
    <t>Mix Pizza (Large)</t>
  </si>
  <si>
    <t>Mushroom Pizza (Large)</t>
  </si>
  <si>
    <t>Nefis Kenarlı Spicy Pizza (Large)</t>
  </si>
  <si>
    <t>50,93 TL</t>
  </si>
  <si>
    <t>New Chicken Pizza (Large)</t>
  </si>
  <si>
    <t>Pastrami Pizza (Large)</t>
  </si>
  <si>
    <t>51,68 TL</t>
  </si>
  <si>
    <t>Rotary Pizza (Large)</t>
  </si>
  <si>
    <t>55,43 TL</t>
  </si>
  <si>
    <t>Smoked Meat Pizza (Large)</t>
  </si>
  <si>
    <t>62,18 TL</t>
  </si>
  <si>
    <t>Special Pizza (Large)</t>
  </si>
  <si>
    <t>Spinach Pizza (Large)</t>
  </si>
  <si>
    <t>47,93 TL</t>
  </si>
  <si>
    <t>Tomato Special Pizza (Large)</t>
  </si>
  <si>
    <t>Tonno Pizza (Large)</t>
  </si>
  <si>
    <t>49,43 TL</t>
  </si>
  <si>
    <t>Vegeterian Pizza (Large)</t>
  </si>
  <si>
    <t>50,18 TL</t>
  </si>
  <si>
    <t>White Pizza (Large)</t>
  </si>
  <si>
    <t>Etien Pizza (Jumbo)</t>
  </si>
  <si>
    <t>68,18 TL</t>
  </si>
  <si>
    <t>Happy Pizza (Jumbo)</t>
  </si>
  <si>
    <t>65,18 TL</t>
  </si>
  <si>
    <t>Margherita Pizza (Jumbo)</t>
  </si>
  <si>
    <t>Mix Pizza (Jumbo)</t>
  </si>
  <si>
    <t>Mushroom Pizza (Jumbo)</t>
  </si>
  <si>
    <t>Nefis Kenarlı Spicy Pizza (Jumbo)</t>
  </si>
  <si>
    <t>69,68 TL</t>
  </si>
  <si>
    <t>New Chicken Pizza (Jumbo)</t>
  </si>
  <si>
    <t>66,68 TL</t>
  </si>
  <si>
    <t>Rotary Pizza (Jumbo)</t>
  </si>
  <si>
    <t>70,43 TL</t>
  </si>
  <si>
    <t>Smoked Meat Pizza (Jumbo)</t>
  </si>
  <si>
    <t>80,18 TL</t>
  </si>
  <si>
    <t>Special Pizza (Jumbo)</t>
  </si>
  <si>
    <t>67,43 TL</t>
  </si>
  <si>
    <t>Spinach Pizza (Jumbo)</t>
  </si>
  <si>
    <t>62,93 TL</t>
  </si>
  <si>
    <t>Tomato Special Pizza (Jumbo)</t>
  </si>
  <si>
    <t>68,93 TL</t>
  </si>
  <si>
    <t>Vegeterian Pizza (Jumbo)</t>
  </si>
  <si>
    <t>White Pizza (Jumbo)</t>
  </si>
  <si>
    <t xml:space="preserve">90 gr. büyük boy tavuk köftesi, iceberg marul, salatalık turşusu, domates </t>
  </si>
  <si>
    <t>20,18 TL</t>
  </si>
  <si>
    <t xml:space="preserve">90 gr. büyük boy 2 adet hamburger köftesi, iceberg marul, salatalık turşusu, domates </t>
  </si>
  <si>
    <t>26,18 TL</t>
  </si>
  <si>
    <t xml:space="preserve">90 gr. büyük boy hamburger köftesi, iceberg marul, salatalık turşusu, domates </t>
  </si>
  <si>
    <t>22,43 TL</t>
  </si>
  <si>
    <t>Mısır Kovası</t>
  </si>
  <si>
    <t xml:space="preserve">Süt mısır </t>
  </si>
  <si>
    <t>11,93 TL</t>
  </si>
  <si>
    <t>Patates Kovası</t>
  </si>
  <si>
    <t xml:space="preserve">3 kişilik patates kızartması </t>
  </si>
  <si>
    <t>Çıtır Mix Kova</t>
  </si>
  <si>
    <t xml:space="preserve">Patates kızartması, 4 adet çıtır shots, 4 adet çıtır tavuk, 4 adet soğan halkası </t>
  </si>
  <si>
    <t>Çıtır Kovası (6 Adet)</t>
  </si>
  <si>
    <t xml:space="preserve">6 adet çıtır tavuk </t>
  </si>
  <si>
    <t>Çıtır Kovası (12 Adet)</t>
  </si>
  <si>
    <t xml:space="preserve">12 adet çıtır tavuk </t>
  </si>
  <si>
    <t>Çıtır Kovası (18 Adet)</t>
  </si>
  <si>
    <t xml:space="preserve">18 adet çıtır tavuk </t>
  </si>
  <si>
    <t>14,93 TL</t>
  </si>
  <si>
    <t>Elma Dilim Patates</t>
  </si>
  <si>
    <t>17,18 TL</t>
  </si>
  <si>
    <t>Sarımsaklı Ekmek (2 Adet)</t>
  </si>
  <si>
    <t>12,68 TL</t>
  </si>
  <si>
    <t>Onion Rings (8 Adet)</t>
  </si>
  <si>
    <t>18,68 TL</t>
  </si>
  <si>
    <t>Mozzarella Sticks (6 Adet)</t>
  </si>
  <si>
    <t>9,68 TL</t>
  </si>
  <si>
    <t>Tavuk Nugget (8 Adet)</t>
  </si>
  <si>
    <t>Çıtır Shot (8 Adet)</t>
  </si>
  <si>
    <t>Chicken Fileto (8 Adet)</t>
  </si>
  <si>
    <t>29,93 TL</t>
  </si>
  <si>
    <t>Çıtır Tavuk (8 Adet)</t>
  </si>
  <si>
    <t xml:space="preserve">Iceberg marul, roka, maydanoz, domates, salatalık, havuç, beyaz peynir, mısır, zeytin </t>
  </si>
  <si>
    <t>Tavuklu Salata</t>
  </si>
  <si>
    <t xml:space="preserve">Iceberg marul, roka, maydanoz, domates, salatalık, havuç, zeytin, çıtır tavuk </t>
  </si>
  <si>
    <t xml:space="preserve">Iceberg marul, roka, maydanoz, havuç, salatalık, domates, ton balığı, mısır, zeytin </t>
  </si>
  <si>
    <t>Soya Soslu Tavuklu Salata</t>
  </si>
  <si>
    <t xml:space="preserve">Iceberg marul, roka, maydanoz, havuç, salatalık, domates, mantar, kabak, yeşilbiber, kırmızıbiber, tavuk parçaları, soya sosu, krema </t>
  </si>
  <si>
    <t>Köri Soslu Tavuk Salata</t>
  </si>
  <si>
    <t xml:space="preserve">Iceberg marul, roka, maydanoz, havuç, salatalık, domates, mısır, köri sos, tavuk </t>
  </si>
  <si>
    <t>Mexican Soslu Salata</t>
  </si>
  <si>
    <t xml:space="preserve">Iceberg marul, roka, maydanoz, havuç, salatalık, domates, mantar, tavuk, soya sosu, acı sos </t>
  </si>
  <si>
    <t>Tomato Special Salata</t>
  </si>
  <si>
    <t xml:space="preserve">Iceberg marul, roka, maydanoz, havuç, salatalık, yeşilbiber, kırmızıbiber, makarna, mantar, tavuk, soya sosu </t>
  </si>
  <si>
    <t>Choco Pizza (Büyük)</t>
  </si>
  <si>
    <t xml:space="preserve">Nutella </t>
  </si>
  <si>
    <t>25,43 TL</t>
  </si>
  <si>
    <t>Choco Pizza (Küçük)</t>
  </si>
  <si>
    <t>20,93 TL</t>
  </si>
  <si>
    <t>19,43 TL</t>
  </si>
  <si>
    <t>Sufle</t>
  </si>
  <si>
    <t>6,75 TL</t>
  </si>
  <si>
    <t>7UP (1 L.)</t>
  </si>
  <si>
    <t>1,13 TL</t>
  </si>
  <si>
    <t>Ekmek Arası Tavuk Kavurma</t>
  </si>
  <si>
    <t xml:space="preserve">Domates, soğan, maydanoz, sumak </t>
  </si>
  <si>
    <t>Ekmek Arası Et Kavurma</t>
  </si>
  <si>
    <t>Ekmek Arası Ciğer Kavurma</t>
  </si>
  <si>
    <t xml:space="preserve">sövüş </t>
  </si>
  <si>
    <t xml:space="preserve">Iceberg marul, nar ekşisi, domates, turşu </t>
  </si>
  <si>
    <t>Çiğ Köfte Mega Dürüm</t>
  </si>
  <si>
    <t xml:space="preserve">140 gr. Adana kebap. Pişmiş domates, pişmiş biber, sumaklı soğan, turşu ile </t>
  </si>
  <si>
    <t xml:space="preserve">200 gr. tavuk şiş. Pişmiş domates, pişmiş biber, sumaklı soğan, turşu ile </t>
  </si>
  <si>
    <t>Izgara Köfte (6 Adet)</t>
  </si>
  <si>
    <t xml:space="preserve">150 gr. ızgara köfte. Pişmiş domates, pişmiş biber, sumaklı soğan, turşu ile </t>
  </si>
  <si>
    <t xml:space="preserve">200 gr. ciğer şiş. Pişmiş domates, pişmiş biber, sumaklı soğan, turşu ile </t>
  </si>
  <si>
    <t>Ekmek Arası Sade Kıyma</t>
  </si>
  <si>
    <t xml:space="preserve">Domates </t>
  </si>
  <si>
    <t>Kıyma Sote</t>
  </si>
  <si>
    <t xml:space="preserve">Salata, turşu biberi, sumaklı soğan ile </t>
  </si>
  <si>
    <t>Et Kavurma (200 gr.)</t>
  </si>
  <si>
    <t xml:space="preserve">Pişmiş domates, pişmiş biber, sumaklı soğan, turşu ile </t>
  </si>
  <si>
    <t>Ciğer Sote</t>
  </si>
  <si>
    <t xml:space="preserve">Salata, turşu, biber ile </t>
  </si>
  <si>
    <t>tavuk sote</t>
  </si>
  <si>
    <t xml:space="preserve">Iceberg marul, nar ekşisi, limon ile </t>
  </si>
  <si>
    <t>Kuşbaşı Sote</t>
  </si>
  <si>
    <t>Ayran (27,5 cl.)</t>
  </si>
  <si>
    <t xml:space="preserve">Tek lavaşa; 90 gr. çiğ köfte, yeşillik, domates, nar ekşisi, acı sos </t>
  </si>
  <si>
    <t xml:space="preserve">Çift lavaşa; 125 gr. çiğ köfte, yeşillik, domates, nar ekşisi, acı sos </t>
  </si>
  <si>
    <t>Ultra Mega Çiğ Köfte Dürüm</t>
  </si>
  <si>
    <t xml:space="preserve">3 adet lavaşa; 160 gr. çiğ köfte, yeşillik, domates, nar ekşisi, acı sos </t>
  </si>
  <si>
    <t xml:space="preserve">3 adet lavaş, yeşillik, soslar, 4/1 göbek marul, nar ekşisi, limon ile </t>
  </si>
  <si>
    <t xml:space="preserve">5 adet lavaş, yeşillik, soslar, 4/2 göbek marul, nar ekşisi, limon ile </t>
  </si>
  <si>
    <t xml:space="preserve">8 adet lavaş, yeşillik, soslar, 4/3 göbek marul, nar ekşisi, limon ile </t>
  </si>
  <si>
    <t xml:space="preserve">10 adet lavaş, yeşillik, soslar, 1 adet göbek marul, nar ekşisi, limon ile </t>
  </si>
  <si>
    <t>Çiğ Köfte Sushi (1 Kişilik)</t>
  </si>
  <si>
    <t>Çiğ Köfte Sushi (3 Kişilik)</t>
  </si>
  <si>
    <t>Coca-Cola Şekersiz (20 cl.)</t>
  </si>
  <si>
    <t xml:space="preserve">Çift lavaşa; 125 gr. çiğ köfte, atom marul, domates, isteğe göre salatalık turşusu, lahana turşusu, acı sos, nar ekşisi </t>
  </si>
  <si>
    <t>9,10 TL</t>
  </si>
  <si>
    <t xml:space="preserve">5 adet lavaş, marul, salata, turşu, soslar ile </t>
  </si>
  <si>
    <t>Çikolatalı Puding (100 gr.)</t>
  </si>
  <si>
    <t xml:space="preserve">8 adet lavaş, marul, salata, turşu, soslar, lahana turşusu ile </t>
  </si>
  <si>
    <t>34,30 TL</t>
  </si>
  <si>
    <t xml:space="preserve">Çiğ Köfte (1 kg.) (10 adet lavaş, acı sos, nar ekşisi, lahana turşusu, salatalık turşusu, biber turşusu, limon, domates, yeşillik ile) + İçecek (1 L.) </t>
  </si>
  <si>
    <t xml:space="preserve">Mega Çiğ Köfte Dürüm + Kutu İçecek (Kampanya koşulları için restoranın Promosyonlar bölümüne göz atınız. İndirimli fiyat ürün sepete eklendikten sonra uygulanır.) </t>
  </si>
  <si>
    <t xml:space="preserve">Çiğ Köfte Dürüm + Ayran (20 cl.) </t>
  </si>
  <si>
    <t>8,40 TL</t>
  </si>
  <si>
    <t>Çiğ Köfte Dürüm Menü 2</t>
  </si>
  <si>
    <t xml:space="preserve">Çiğ Köfte Dürüm + Seçeceğiniz Tatlı + Ayran (20 cl.) </t>
  </si>
  <si>
    <t>12,60 TL</t>
  </si>
  <si>
    <t xml:space="preserve">Mega Çiğ Köfte Dürüm + Seçeceğiniz Tatlı + Ayran (30 cl.) </t>
  </si>
  <si>
    <t>Full Menü</t>
  </si>
  <si>
    <t xml:space="preserve">Çiğ Köfte (1 kg.) (Marul, salata, lavaş, turşular, yeşillik, soslar ile) + Seçeceğiniz 5 Adet Tatlı + İçecek (1 L.) </t>
  </si>
  <si>
    <t>66,50 TL</t>
  </si>
  <si>
    <t>Kral Menü</t>
  </si>
  <si>
    <t xml:space="preserve">Çiğ Köfte (500 gr.) + Seçeceğiniz 3 Adet Tatlı + 3 Adet Ayran (20 cl.) </t>
  </si>
  <si>
    <t>37,80 TL</t>
  </si>
  <si>
    <t xml:space="preserve">95 gr. çiğ köfte, atom marul, domates, isteğe göre salatalık turşusu, lahana turşusu, acı sos, nar ekşisi </t>
  </si>
  <si>
    <t>6,30 TL</t>
  </si>
  <si>
    <t xml:space="preserve">Garnitürsüz. </t>
  </si>
  <si>
    <t>Mega Sushi Çiğ Köfte</t>
  </si>
  <si>
    <t xml:space="preserve">Nar ekşisi, acı sos, salatalık turşusu, marul </t>
  </si>
  <si>
    <t>23,80 TL</t>
  </si>
  <si>
    <t xml:space="preserve">160 gr. çiğ köfte, marul, domates, isteğe göre salatalık turşusu, lahana turşusu, nar ekşisi, acı sos </t>
  </si>
  <si>
    <t xml:space="preserve">3 adet lavaş, yeşillik, sos, göbek marul ile </t>
  </si>
  <si>
    <t>12,95 TL</t>
  </si>
  <si>
    <t>Çiğ Köfte Suşi (1 Kişilik)</t>
  </si>
  <si>
    <t>Yoğurtlu Çiğ Köfte Suşi (1 Kişilik)</t>
  </si>
  <si>
    <t>Yoğurtlu Çiğ Köfte Suşi (2 Kişilik)</t>
  </si>
  <si>
    <t xml:space="preserve">10 adet lavaş, marul, acı sos, nar ekşisi, marul, lahana turşusu, salata ile </t>
  </si>
  <si>
    <t>44,80 TL</t>
  </si>
  <si>
    <t>0,70 TL</t>
  </si>
  <si>
    <t>Limon (Adet)</t>
  </si>
  <si>
    <t>Nar Ekşisi</t>
  </si>
  <si>
    <t>Marul (Yarım)</t>
  </si>
  <si>
    <t>Marul (Bütün)</t>
  </si>
  <si>
    <t>Kazandibi (100 gr.)</t>
  </si>
  <si>
    <t>Sakızlı Muhallebi (100 gr.)</t>
  </si>
  <si>
    <t>5,60 TL</t>
  </si>
  <si>
    <t>Niğde Gazozu</t>
  </si>
  <si>
    <t>3,15 TL</t>
  </si>
  <si>
    <t>Su (0,5 cl.) (12 Adet)</t>
  </si>
  <si>
    <t>Su (5 L.)</t>
  </si>
  <si>
    <t xml:space="preserve">Mevsim salata, pişmiş soğan, maydanoz, biber turşusu, limon ile </t>
  </si>
  <si>
    <t xml:space="preserve">Domates, soğan, yeşillik. Közlenmiş Arnavut biberi, limon ile </t>
  </si>
  <si>
    <t xml:space="preserve">Mevsim salata, pişmiş soğan, maydanoz, biber turşusu, limon ile (Lütfen acı seçiminizi sipariş notunda belirtiniz.) </t>
  </si>
  <si>
    <t>Seçilmiş Menü (2 Lahmacun)</t>
  </si>
  <si>
    <t xml:space="preserve">2 Adet Lahmacun + Coca-Cola (33 cl.) </t>
  </si>
  <si>
    <t>17,10 TL</t>
  </si>
  <si>
    <t>Seçilmiş Menü (Kuşbaşılı Pide) - Şu anda mevcut değil.</t>
  </si>
  <si>
    <t xml:space="preserve">Kuşbaşılı Pide + Coca-Cola (33 cl.) </t>
  </si>
  <si>
    <t>Seçilmiş Menü (Etli Ekmek) - Şu anda mevcut değil.</t>
  </si>
  <si>
    <t xml:space="preserve">Etli Ekmek + Coca-Cola (33 cl.) </t>
  </si>
  <si>
    <t>16,20 TL</t>
  </si>
  <si>
    <t>Vodafone Menüsü (Adana Lahmacun)</t>
  </si>
  <si>
    <t xml:space="preserve">Adana Lahmacun + Ayran (20 cl.) (Kampanya koşulları için restoranın Promosyonlar bölümüne göz atınız. İndirimli fiyat ürün sepete eklendikten sonra uygulanır.) </t>
  </si>
  <si>
    <t>Vodafone Menüsü (Kuşbaşı Üstü Kaşarlı Pide)</t>
  </si>
  <si>
    <t xml:space="preserve">Kuşbaşı Üstü Kaşarlı Pide + Coca-Cola (33 cl.) (Kampanya koşulları için restoranın Promosyonlar bölümüne göz atınız. İndirimli fiyat ürün sepete eklendikten sonra uygulanır.) </t>
  </si>
  <si>
    <t>Karadeniz Karışık Pide Menü</t>
  </si>
  <si>
    <t xml:space="preserve">Karadeniz Karışık Pide (Kavurma, kaşar peyniri, yumurta) + Ayran (20 cl.) </t>
  </si>
  <si>
    <t>Karadeniz Kavurmalı Pide Menü</t>
  </si>
  <si>
    <t xml:space="preserve">Karadeniz Kavurmalı Pide + Ayran (20 cl.) </t>
  </si>
  <si>
    <t>Karadeniz Kavurmalı Yumurtalı Pide Menü</t>
  </si>
  <si>
    <t xml:space="preserve">Karadeniz Kavurmalı Yumurtalı Pide + Ayran (20 cl.) </t>
  </si>
  <si>
    <t>Karadeniz Kaşarlı Pide Menü</t>
  </si>
  <si>
    <t xml:space="preserve">Karadeniz Kaşarlı Pide + Ayran (20 cl.) </t>
  </si>
  <si>
    <t>Karadeniz Pidesi (Kapalı) Menü</t>
  </si>
  <si>
    <t xml:space="preserve">Karadeniz Pidesi (Kapalı) + Ayran (20 cl.) </t>
  </si>
  <si>
    <t>Develi Cıvıklısı</t>
  </si>
  <si>
    <t xml:space="preserve">Kuşbaşı, kıyma, kaşar peyniri, yumurta, sucuk. Mevsim salata, pişmiş soğan, maydanoz, biber turşusu, limon ile </t>
  </si>
  <si>
    <t xml:space="preserve">Domates, salata, söğüş, pişmiş biber ile </t>
  </si>
  <si>
    <t>Biçak Arası Pide</t>
  </si>
  <si>
    <t>Kuşbaşı Üstü Kaşarlı Pide</t>
  </si>
  <si>
    <t>Adana Lahmacun</t>
  </si>
  <si>
    <t>Tarsus Fındık lahmacun (10 Adet)</t>
  </si>
  <si>
    <t xml:space="preserve">Kaşar peyniri, yumurta. Domates, salata, söğüş, pişmiş biber ile (Lütfen acı seçiminizi sipariş notunda belirtiniz.) </t>
  </si>
  <si>
    <t>Antep Lahmacun (3 Adet)</t>
  </si>
  <si>
    <t xml:space="preserve">Çoban salata, pişmiş soğan, maydanoz, limon, Arnavut biberi, sumaklı soğan ile </t>
  </si>
  <si>
    <t>Izgara Tavuk Kanat</t>
  </si>
  <si>
    <t>Karışık Izgara - Şu anda mevcut değil.</t>
  </si>
  <si>
    <t xml:space="preserve">Tavuk kanat, tavuk şiş, kuzu şiş, ciğer şiş, Adana kebap. Çoban salata, pişmiş soğan, maydanoz, limon, Arnavut biberi, sumaklı soğan ile </t>
  </si>
  <si>
    <t>Kuzu Ciğer Dürüm</t>
  </si>
  <si>
    <t>Sarıkız Meyveli Soda (20 cl.)</t>
  </si>
  <si>
    <t xml:space="preserve">İsteğe göre iceberg marul, nar ekşisi, limon, kornişon turşu, domates, nane, roka, kırmızılahana turşusu, maydanoz (Lütfen, malzeme seçimlerinizi ve istemediğiniz malzemeleri belirtiniz.) </t>
  </si>
  <si>
    <t xml:space="preserve">Iceberg marul, limon, acı sos,nar eksısı,biber turşusu, yeşıllık tabağı 4 adet lavaş ile </t>
  </si>
  <si>
    <t>Midye Dolma (12 Adet) (Küçük Boy)</t>
  </si>
  <si>
    <t xml:space="preserve">Iceberg marul, limon, acı sos,nar eksısı,biber turşusu, yeşıllık tabağı 3 adet lavaş ile </t>
  </si>
  <si>
    <t>Sarı Menü 1</t>
  </si>
  <si>
    <t xml:space="preserve">Çiğ Köfte (250 gr.) (Iceberg marul, limon, acı sos, acı biber turşusu, 3 adet lavaş ile) + 10 Adet Karışık Midye Dolma + Günün Tatlısı + Ayran (29,5 cl.) </t>
  </si>
  <si>
    <t>Sarı Menü 2</t>
  </si>
  <si>
    <t xml:space="preserve">Çiğ Köfte (375 gr.) (Iceberg marul, limon, acı sos, acı biber turşusu, 4 adet lavaş ile) + 15 Adet Karışık Midye Dolma + 2 Adet Günün Tatlısı + İçecek (1 L.) </t>
  </si>
  <si>
    <t>Sarı Menü 3</t>
  </si>
  <si>
    <t xml:space="preserve">Çiğ Köfte (500 gr.) (Iceberg marul, limon, acı sos, acı biber turşusu, 5 adet lavaş ile) + 20 Adet Karışık Midye Dolma + 3 Adet Günün Tatlısı + İçecek (1 L.) </t>
  </si>
  <si>
    <t>69,00 TL</t>
  </si>
  <si>
    <t>Sarı Menü 4</t>
  </si>
  <si>
    <t xml:space="preserve">Çiğ Köfte (750 gr.) (Iceberg marul, limon, acı sos, acı biber turşusu, 8 adet lavaş ile) + 25 Adet Karışık Midye Dolma + 4 Adet Günün Tatlısı + İçecek (1 L.) </t>
  </si>
  <si>
    <t>Sarı Menü 5</t>
  </si>
  <si>
    <t xml:space="preserve">Çiğ Köfte (1 kg.) (Iceberg marul, limon, acı sos, acı biber turşusu, 10 adet lavaş ile) + 30 Adet Karışık Midye Dolma + 5 Adet Günün Tatlısı + İçecek (1 L.) </t>
  </si>
  <si>
    <t xml:space="preserve">Çiğ Köfte (1 kg.) (Iceberg marul, limon, acı sos, nar ekşisi, biber turşusu, yeşillik tabağı, 10 adet lavaş ile) + İçecek (1 L.) </t>
  </si>
  <si>
    <t>Çekirdek Aile Menü</t>
  </si>
  <si>
    <t xml:space="preserve">Çiğ Köfte (600 gr.) (Iceberg marul, limon, acı sos, nar ekşisi, biber turşusu, yeşillik tabağı, 5 adet lavaş ile) + İçecek (1 L.) </t>
  </si>
  <si>
    <t>Dorıtoslu Çiğ Köfte Dürüm</t>
  </si>
  <si>
    <t xml:space="preserve">Doritos taco, isteğe göre iceberg marul, nar ekşisi, limon, kornişon turşu, domates, nane, roka, kırmızılahana turşusu, maydanoz </t>
  </si>
  <si>
    <t>Doritoslu Mega Çiğ Köfte Dürüm</t>
  </si>
  <si>
    <t>Doritoslu XL Çiğ Köfte Dürüm</t>
  </si>
  <si>
    <t>Doritoslu Double Çiğ Köfte Dürüm</t>
  </si>
  <si>
    <t>XL Çiğ Köfte Dürüm</t>
  </si>
  <si>
    <t>Double XL Çiğ Köfte Dürüm</t>
  </si>
  <si>
    <t xml:space="preserve">Iceberg marul, limon, acı sos,nar eksısı,biber turşusu, yeşıllık tabağı 5 adet lavaş ile </t>
  </si>
  <si>
    <t xml:space="preserve">Iceberg marul, limon, acı sos,nar eksısı,biber turşusu, yeşıllık tabağı 7 adet lavaş ile </t>
  </si>
  <si>
    <t xml:space="preserve">Iceberg marul, limon, acı sos,nar eksısı,biber turşusu, yeşıllık tabağı 10 adet lavaş ile </t>
  </si>
  <si>
    <t>Midye Dolma (Adet) (Küçük Boy)</t>
  </si>
  <si>
    <t>Midye Dolma (18 Adet) (Küçük Boy)</t>
  </si>
  <si>
    <t>Midye Dolma (38 Adet) (Küçük Boy)</t>
  </si>
  <si>
    <t>Midye Dolma (50 Adet) (Küçük Boy)</t>
  </si>
  <si>
    <t>Midye Dolma (100 Adet) (Küçük Boy)</t>
  </si>
  <si>
    <t>Midye Dolma (Adet) (Orta Boy)</t>
  </si>
  <si>
    <t>Midye Dolma (12 Adet) (Orta Boy)</t>
  </si>
  <si>
    <t>Midye Dolma (18 Adet) (Orta Boy)</t>
  </si>
  <si>
    <t>Midye Dolma (25 Adet) (Orta Boy)</t>
  </si>
  <si>
    <t>Midye Dolma (30 Adet) (Orta Boy)</t>
  </si>
  <si>
    <t>Midye Dolma (Adet) (Büyük Boy)</t>
  </si>
  <si>
    <t>Midye Dolma (12 Adet) (Büyük Boy)</t>
  </si>
  <si>
    <t>Midye Dolma (18 Adet) (Büyük Boy)</t>
  </si>
  <si>
    <t>Midye Dolma (25 Adet) (Büyük Boy)</t>
  </si>
  <si>
    <t>Midye Dolma (30 Adet) (Büyük Boy)</t>
  </si>
  <si>
    <t>Nar Ekşisi Sos (Adet)</t>
  </si>
  <si>
    <t>Acı Sos (Adet)</t>
  </si>
  <si>
    <t>Lavaş Ekmeği (Adet)</t>
  </si>
  <si>
    <t>Halka Tatlısı</t>
  </si>
  <si>
    <t xml:space="preserve">Adet </t>
  </si>
  <si>
    <t>Günün Tatlısı (Adet)</t>
  </si>
  <si>
    <t>Pamuk Şeker (Adet)</t>
  </si>
  <si>
    <t>Elma Şekeri (Adet)</t>
  </si>
  <si>
    <t>Şalgam Suyu (23 cl.)</t>
  </si>
  <si>
    <t xml:space="preserve">Havuç içerir. </t>
  </si>
  <si>
    <t xml:space="preserve">Domates, maydanoz, soğan, pide ekmeği ile </t>
  </si>
  <si>
    <t xml:space="preserve">Domates, maydanoz, limon ile </t>
  </si>
  <si>
    <t xml:space="preserve">Domates, maydanoz, soğan pide ekmeği ile </t>
  </si>
  <si>
    <t>Şaşlık Kebabı</t>
  </si>
  <si>
    <t xml:space="preserve">Çoban salata, sumaklı soğan, ezme ile </t>
  </si>
  <si>
    <t>98,00 TL</t>
  </si>
  <si>
    <t>Seçilmiş Menü (Mevlana Pide)</t>
  </si>
  <si>
    <t xml:space="preserve">Mevlana Pide + Coca-Cola (33 cl.) </t>
  </si>
  <si>
    <t>Vodafone Menüsü (Tavuk Kanat)</t>
  </si>
  <si>
    <t xml:space="preserve">Tavuk Kanat + Kutu İçecek (Kampanya koşulları için restoranın Promosyonlar bölümüne göz atınız. İndirimli fiyat ürün sepete eklendikten sonra uygulanır.) </t>
  </si>
  <si>
    <t xml:space="preserve">Çoban salata, sumaklı soğan, ezme, biber turşusu ile </t>
  </si>
  <si>
    <t>Sofram Special (2 Kişilik)</t>
  </si>
  <si>
    <t xml:space="preserve">Adana kebap, et şiş, kuzu pirzola, tavuk şiş, ızgara köfte, domates, maydanoz, soğan, pide ekmeği </t>
  </si>
  <si>
    <t>144,00 TL</t>
  </si>
  <si>
    <t>Kemikli Tavuk</t>
  </si>
  <si>
    <t xml:space="preserve">Çoban salata, sumaklı soğan, ezme, biber turşusu, pide ekmeği ile </t>
  </si>
  <si>
    <t>Dana Lokum</t>
  </si>
  <si>
    <t>Konya Etli Ekmek</t>
  </si>
  <si>
    <t xml:space="preserve">Kıyma, kaşar peyniri </t>
  </si>
  <si>
    <t xml:space="preserve">Kuşbaşı, kıyma, kaşar peyniri </t>
  </si>
  <si>
    <t xml:space="preserve">Yeşillik ile </t>
  </si>
  <si>
    <t>Koyun Yoğurdu</t>
  </si>
  <si>
    <t>Fıstık Aşkı (Dilim)</t>
  </si>
  <si>
    <t xml:space="preserve">Fıstık, çikolata, krema </t>
  </si>
  <si>
    <t>24,95 TL</t>
  </si>
  <si>
    <t>Tiramisu (Mono)</t>
  </si>
  <si>
    <t xml:space="preserve">Özel krema, pandispanya, kakao </t>
  </si>
  <si>
    <t xml:space="preserve">Bisküvi ve tereyağı ile hazırlanan taban üzerine; özel peynir dolgusu, frambuaz sosu </t>
  </si>
  <si>
    <t>Profiterol (Mono)</t>
  </si>
  <si>
    <t xml:space="preserve">Özel krema, çikolata </t>
  </si>
  <si>
    <t>Margarita Sorbe</t>
  </si>
  <si>
    <t xml:space="preserve">(Alkolsüz) Limonata </t>
  </si>
  <si>
    <t>15,95 TL</t>
  </si>
  <si>
    <t>Mango Sorbe</t>
  </si>
  <si>
    <t>Mojita Sorbe</t>
  </si>
  <si>
    <t xml:space="preserve">(Alkolsüz) Limonata, nane </t>
  </si>
  <si>
    <t>Şirin Sorbe</t>
  </si>
  <si>
    <t xml:space="preserve">Limonata, portakal suyu </t>
  </si>
  <si>
    <t>Kavun Sorbe</t>
  </si>
  <si>
    <t>Kırmızı Orman Meyveli Sorbe</t>
  </si>
  <si>
    <t>Lungo Espresso</t>
  </si>
  <si>
    <t xml:space="preserve">Su ile uzun süre çekilmiş espresso </t>
  </si>
  <si>
    <t>14,95 TL</t>
  </si>
  <si>
    <t>Americano</t>
  </si>
  <si>
    <t xml:space="preserve">Sıcak su ile yumuşatılmış espresso </t>
  </si>
  <si>
    <t>Cappuccino</t>
  </si>
  <si>
    <t>Latte</t>
  </si>
  <si>
    <t>Pumpkin Latte</t>
  </si>
  <si>
    <t xml:space="preserve">Bal kabağı aromalı </t>
  </si>
  <si>
    <t>Oreo Coffee</t>
  </si>
  <si>
    <t>Sokak Türk Kahvesi</t>
  </si>
  <si>
    <t xml:space="preserve">Süt tozu, Türk kahvesi </t>
  </si>
  <si>
    <t>Dağ Çilekli Türk Kahvesi</t>
  </si>
  <si>
    <t>Gül Lokumlu Türk Kahvesi</t>
  </si>
  <si>
    <t>Çikolatalı Türk Kahvesi</t>
  </si>
  <si>
    <t>Nutellalı Türk Kahvesi</t>
  </si>
  <si>
    <t>Klasik Mocha</t>
  </si>
  <si>
    <t>White Mocha</t>
  </si>
  <si>
    <t>Hindistan Cevizli Mocha</t>
  </si>
  <si>
    <t>Nutellalı Mocha</t>
  </si>
  <si>
    <t>Snickers Mocha</t>
  </si>
  <si>
    <t>Filtre Kahve</t>
  </si>
  <si>
    <t>Macchiato</t>
  </si>
  <si>
    <t>16,95 TL</t>
  </si>
  <si>
    <t>Iced Mocha</t>
  </si>
  <si>
    <t>Iced White Mocha</t>
  </si>
  <si>
    <t>Iced Coconut Mocha</t>
  </si>
  <si>
    <t>Iced Nutella Mocha</t>
  </si>
  <si>
    <t>Iced Snickers Mocha</t>
  </si>
  <si>
    <t>Soğuk Kahve</t>
  </si>
  <si>
    <t>Iced Latte</t>
  </si>
  <si>
    <t>Frappe</t>
  </si>
  <si>
    <t>Sokak Frappe</t>
  </si>
  <si>
    <t xml:space="preserve">Karamelli </t>
  </si>
  <si>
    <t>Snickers Frappe</t>
  </si>
  <si>
    <t>Oreo Frappe</t>
  </si>
  <si>
    <t>Uludağ Meyveli Soda (20 cl.)</t>
  </si>
  <si>
    <t>Beypazarı Soda (20 cl.)</t>
  </si>
  <si>
    <t>Iced Chai Tea Latte</t>
  </si>
  <si>
    <t>Sıcak Beyaz Çikolata</t>
  </si>
  <si>
    <t>Fındıklı Sıcak Beyaz Çikolata</t>
  </si>
  <si>
    <t>Sokak Çayı</t>
  </si>
  <si>
    <t xml:space="preserve">Elma, karanfil, tarçın </t>
  </si>
  <si>
    <t>Kış Çayı</t>
  </si>
  <si>
    <t>13,95 TL</t>
  </si>
  <si>
    <t>Çilekli Sıcak Çikolata</t>
  </si>
  <si>
    <t>Yeşil Çay</t>
  </si>
  <si>
    <t>Muzlu Sıcak Çikolata</t>
  </si>
  <si>
    <t>Sıcak Nutella Çikolata</t>
  </si>
  <si>
    <t>Sakızlı Salep</t>
  </si>
  <si>
    <t>Vanilyalı Milkshake</t>
  </si>
  <si>
    <t>Çilekli Milkshake</t>
  </si>
  <si>
    <t>Çikolatalı Milkshake</t>
  </si>
  <si>
    <t>Muzlu Milkshake</t>
  </si>
  <si>
    <t>Beyaz Çikolatalı Milkshake</t>
  </si>
  <si>
    <t>Vişneli Bademli Milkshake</t>
  </si>
  <si>
    <t>Karadut Frozen</t>
  </si>
  <si>
    <t>Çilekli Frozen</t>
  </si>
  <si>
    <t>Kavunlu Frozen</t>
  </si>
  <si>
    <t>Muzlu Frozen</t>
  </si>
  <si>
    <t>Elmalı Frozen</t>
  </si>
  <si>
    <t>Vişneli Frozen</t>
  </si>
  <si>
    <t xml:space="preserve">Ezme, limon, maydanoz, marul ile </t>
  </si>
  <si>
    <t xml:space="preserve">80 gr. Adana kebap, domates, yeşillik, soğan </t>
  </si>
  <si>
    <t xml:space="preserve">120 gr. Adana kebap, közlenmiş domates, közlenmiş biber, ezme, çiğ köfte, yeşil salata, sumaklı soğan, ekmek ile </t>
  </si>
  <si>
    <t xml:space="preserve">Adana kebap, tavuk şiş, domatesli kebap, 2 adet fındık lahmacun, közlenmiş domates, biber, ezme, çiğ köfte, ekmek ile </t>
  </si>
  <si>
    <t xml:space="preserve">Ezme, limon, maydanoz, marul, çiğ köfte ile </t>
  </si>
  <si>
    <t>Seçilmiş Menü (Adana Kebap) - Şu anda mevcut değil.</t>
  </si>
  <si>
    <t xml:space="preserve">Adana Kebap + Coca-Cola (33 cl.) </t>
  </si>
  <si>
    <t>Aile Boyu Lahmacun Menü</t>
  </si>
  <si>
    <t xml:space="preserve">10 Lahmacun + Salata + Coca-Cola (1 L.) (Lütfen acılı/acısız seçimlerinizi sipariş notu kısmında belirtiniz.) </t>
  </si>
  <si>
    <t>Kıymalı Pide Menü</t>
  </si>
  <si>
    <t xml:space="preserve">4 Adet Kıymalı Pide + Ezme Salata + Çiğ Köfte + Mevsim Salata + Coca-Cola (1 L.) </t>
  </si>
  <si>
    <t>2'li Adana Kebap Menü</t>
  </si>
  <si>
    <t xml:space="preserve">2 Adet Adana Kebap + Ezme + Çiğ Köfte + Mevsim Salata + Sumaklı Soğan + Közlenmiş Domates + Közlenmiş Biber + İçecek (1 L.) </t>
  </si>
  <si>
    <t>Aile Boyu Karışık Izgara Menü</t>
  </si>
  <si>
    <t xml:space="preserve">4 Kişilik Karışık Izgara (2 şiş Adana kebap, 2 şiş domatesli kebap, 2 şiş tavuk şiş) + 8 Adet Fındık Lahmacun + Mevsim Salata + Ezme Salata + Çiğ Köfte + Haydari + Coca-Cola (1 L.) </t>
  </si>
  <si>
    <t>Beyti Kebap</t>
  </si>
  <si>
    <t xml:space="preserve">150 gr. beyti kebap, 2 adet fındık lahmacun, közlenmiş biber, domates, çiğ köfte, ezme, soğan söğüş, yeşil salata, ekmek ile </t>
  </si>
  <si>
    <t xml:space="preserve">130 gr. domatesli kebap, közlenmiş domates, biber, ezme, çiğ köfte, yeşil salata ile </t>
  </si>
  <si>
    <t>Yoğurtlu Kebap</t>
  </si>
  <si>
    <t xml:space="preserve">120 gr. yoğurtlu kebap, közlenmiş domates, biber, ezme, çiğ köfte, yeşil salata ile </t>
  </si>
  <si>
    <t xml:space="preserve">120 gr. beyti kebap, közlenmiş domates, biber, yoğurt, ezme, çiğ köfte ile </t>
  </si>
  <si>
    <t xml:space="preserve">120 gr. tavuk şiş, közlenmiş domates, biber, soğan söğüş, ezme, çiğ köfte, mevsim salata, ekmek ile </t>
  </si>
  <si>
    <t>Tavuk Kanat - Şu anda mevcut değil.</t>
  </si>
  <si>
    <t xml:space="preserve">120 gr. tavuk kanat, közlenmiş domates, biber, ezme, çiğ köfte, yeşil salata, soğan söğüş, ekmek ile </t>
  </si>
  <si>
    <t xml:space="preserve">Kıyma, kaşar peyniri. Ezme, limon, maydanoz, marul ile </t>
  </si>
  <si>
    <t xml:space="preserve">Kıyma, kaşar peyniri, kuşbaşı. Ezme, limon, maydanoz, marul ile </t>
  </si>
  <si>
    <t xml:space="preserve">Mevsim salaat ile </t>
  </si>
  <si>
    <t xml:space="preserve">Yeşillik, ezme ile </t>
  </si>
  <si>
    <t xml:space="preserve">80 gr. tavuk, domates, yeşillik, soğan </t>
  </si>
  <si>
    <t>Çiğ Köfte (200 gr.) - Şu anda mevcut değil.</t>
  </si>
  <si>
    <t xml:space="preserve">Marul, lavaş ile </t>
  </si>
  <si>
    <t xml:space="preserve">Marul, domates, patates kızartması, ketçap, mayonez </t>
  </si>
  <si>
    <t xml:space="preserve">Sos, tereyağı, yoğurt, mevsim salata ile </t>
  </si>
  <si>
    <t xml:space="preserve">Pirinç pilavı. Sos, tereyağı, yoğurt, patates kızartması ile </t>
  </si>
  <si>
    <t>Pide Arası Zurna Tavuk Döner</t>
  </si>
  <si>
    <t>Somun Ekmek Arası Zurna Et Döner</t>
  </si>
  <si>
    <t>Pide Arası Zurna Et Döner</t>
  </si>
  <si>
    <t xml:space="preserve">Mevsim salata, lahana turşusu, pişmiş soğan, haydari, ezme ile </t>
  </si>
  <si>
    <t>Seçilmiş Menü (Adana Kebap)</t>
  </si>
  <si>
    <t>32,94 TL</t>
  </si>
  <si>
    <t>Vodafone Menüsü (Kuşbaşılı Pide)</t>
  </si>
  <si>
    <t xml:space="preserve">Kuşbaşılı Pide + Şalgam Suyu (30 cl.) (Kampanya koşulları için restoranın Promosyonlar bölümüne göz atınız. İndirimli fiyat ürün sepete eklendikten sonra uygulanır.) </t>
  </si>
  <si>
    <t>Memo Pizza Menü</t>
  </si>
  <si>
    <t xml:space="preserve">Memo Pizza (Domates sosu, kaşar peyniri, sucuk, kırmızıbiber, yeşilbiber, mısır) + İçecek </t>
  </si>
  <si>
    <t>Kuzu Ciğer Şiş</t>
  </si>
  <si>
    <t>Izgara Kanat</t>
  </si>
  <si>
    <t xml:space="preserve">1/2 Adana kebap, 1/2 tavuk şiş, 1/2 et şiş, 1/2 ciğer şiş, 1 adet fındık lahmacun, mevsim salata, ezme, közlenmiş biber, domates, soğan, közlenmiş biber ile </t>
  </si>
  <si>
    <t xml:space="preserve">5 Adet. Mevsim salata, lahana turşusu, pişmiş soğan, haydari, ezme ile </t>
  </si>
  <si>
    <t xml:space="preserve">Kaşar peyniri, kıyma, kuşbaşı. Mevsim salata, lahana turşusu, pişmiş soğan, haydari, ezme ile </t>
  </si>
  <si>
    <t>Yumurtalı Sucuklu Kaşarlı Pide</t>
  </si>
  <si>
    <t>Aladdin Pide</t>
  </si>
  <si>
    <t xml:space="preserve">Kıyma, kuşbaşı, kaşar peyniri, yumurta. Mevsim salata, lahana turşusu, pişmiş soğan, haydari, ezme ile </t>
  </si>
  <si>
    <t xml:space="preserve">Soğan, domates, maydanoz. Ezme, biber, limon ile </t>
  </si>
  <si>
    <t>Fıstıklı Gül Katmeri</t>
  </si>
  <si>
    <t>Coca-Cola (25 cl.) (Cam Şişe)</t>
  </si>
  <si>
    <t xml:space="preserve">Salata, ezme, közlenmiş domates, soğan, közlenmiş biber ile </t>
  </si>
  <si>
    <t>125,00 TL</t>
  </si>
  <si>
    <t>Kekikli Tavuk</t>
  </si>
  <si>
    <t xml:space="preserve">Dağ kekiği ve kremalı peynir sos ile marine edilmiş tavuk bonfile, makarna, salata, 3 adet ekmek </t>
  </si>
  <si>
    <t>Köri Köri Lady Tavuk</t>
  </si>
  <si>
    <t xml:space="preserve">Köri sos, mantar ve Kaliforniya biberleri ile marine edilmiş tavuk bonfile, makarna, salata, 3 adet ekmek </t>
  </si>
  <si>
    <t>Mantarlı Tavuk</t>
  </si>
  <si>
    <t xml:space="preserve">Kremalı mantar ile marine edilmiş tavuk bonfile, makarna, salata, 3 adet ekmek </t>
  </si>
  <si>
    <t>Tavuklu Sac Tava</t>
  </si>
  <si>
    <t xml:space="preserve">Özel soslar ve renkli Kalifornia biberi ile marine edilen tavuk pirzol, patates kızartması, salata ile </t>
  </si>
  <si>
    <t>Vodafone Menüsü (Domatesli Fesleğenli Tavuk)</t>
  </si>
  <si>
    <t xml:space="preserve">Domatesli Fesleğenli Tavuk + Pepsi (33 cl.) (Kampanya koşulları için restoranın Promosyonlar bölümüne göz atınız. İndirimli fiyat ürün sepete eklendikten sonra uygulanır.) </t>
  </si>
  <si>
    <t>47,80 TL</t>
  </si>
  <si>
    <t>Vodafone Menüsü (Barbekü Soslu Tavuk)</t>
  </si>
  <si>
    <t xml:space="preserve">Barbekü Soslu Tavuk + Pepsi (33 cl.) (Kampanya koşulları için restoranın Promosyonlar bölümüne göz atınız. İndirimli fiyat ürün sepete eklendikten sonra uygulanır.) </t>
  </si>
  <si>
    <t>Tavuk Menü Menü (2 Kişilik)</t>
  </si>
  <si>
    <t xml:space="preserve">Dem Dem Soslu Tavuk + Köri Köri Lady Tavuk + 2 Adet Kutu İçecek </t>
  </si>
  <si>
    <t>74,90 TL</t>
  </si>
  <si>
    <t>2'li Menü</t>
  </si>
  <si>
    <t xml:space="preserve">2 Adet Günün Çorbası + Acılı Köri Soslu Tavuk + Köri Köri Lady + 2 Adet Lipton Ice Tea (33 cl.) </t>
  </si>
  <si>
    <t>Köfte Menü (2 Kişilik)</t>
  </si>
  <si>
    <t xml:space="preserve">2 Adet Günün Çorbası + 2 Adet Izgara Köfte (10 Adet) + 2 Adet Patates Kızartması + 2 Adet Sütaş Ayran (30 cl.) </t>
  </si>
  <si>
    <t>94,90 TL</t>
  </si>
  <si>
    <t>Köri Köri Lady Menü</t>
  </si>
  <si>
    <t xml:space="preserve">Günün Çorbası + Köri Köri Lady + Lipton Ice Tea (33 cl.) </t>
  </si>
  <si>
    <t>47,90 TL</t>
  </si>
  <si>
    <t xml:space="preserve">Köri Soslu Tavuk + Kızarmış Dondurma + Kutu İçecek </t>
  </si>
  <si>
    <t xml:space="preserve">Barbekü Soslu Tavuk + Kabak Tatlısı + Kutu İçecek </t>
  </si>
  <si>
    <t>Dem Dem Soslu Menü</t>
  </si>
  <si>
    <t xml:space="preserve">Dem Dem Soslu Tavuk + Ayva Tatlısı + Kutu İçecek </t>
  </si>
  <si>
    <t>Domates Fesleğen Soslu Tavuk Menü</t>
  </si>
  <si>
    <t xml:space="preserve">Domates Fesleğen Soslu Tavuk + Kızarmış Dondurma + Kutu İçecek </t>
  </si>
  <si>
    <t>Sac Kavurma Menü</t>
  </si>
  <si>
    <t xml:space="preserve">Saç Kavurma + Kızarmış Dondurma + Kutu İçecek </t>
  </si>
  <si>
    <t>63,90 TL</t>
  </si>
  <si>
    <t>Meksikalı Saç Kavurma Menü</t>
  </si>
  <si>
    <t xml:space="preserve">Meksikalı Saç Kavurma + Kızarmış Dondurma + Kutu İçecek </t>
  </si>
  <si>
    <t>İnegöl Köfte Menü</t>
  </si>
  <si>
    <t xml:space="preserve">İneğöl Köfte + Kızarmış Dondurma + Kutu İçecek </t>
  </si>
  <si>
    <t>53,90 TL</t>
  </si>
  <si>
    <t>Akçaabat Köfte Menü</t>
  </si>
  <si>
    <t xml:space="preserve">Akçaabat Köfte + Kabak Talısı + Kutu İçecek </t>
  </si>
  <si>
    <t>Kaşarlı Köfte Menü</t>
  </si>
  <si>
    <t xml:space="preserve">Kaşarlı Köfte + Ayva Tatlısı + Kutu İçecek </t>
  </si>
  <si>
    <t>Dondurmalı Tavuk Tabağı Menü</t>
  </si>
  <si>
    <t xml:space="preserve">Köri Lady Soslu Tavuk + Kızarmış Dondurma + Kutu İçecek </t>
  </si>
  <si>
    <t>Doya Doya Menü</t>
  </si>
  <si>
    <t xml:space="preserve">Seçeceğiniz Soslu Tavuk Tabağı + İçecek </t>
  </si>
  <si>
    <t>Kekikli Tavuk Menü</t>
  </si>
  <si>
    <t xml:space="preserve">Kekikli Tavuk + Kutu İçecek </t>
  </si>
  <si>
    <t>Anadolu Ateşi Tavuk Menü</t>
  </si>
  <si>
    <t xml:space="preserve">Anadolu Ateşi Tavuk + Kutu İçecek </t>
  </si>
  <si>
    <t>Dem Dem Soslu Tavuk Menü</t>
  </si>
  <si>
    <t xml:space="preserve">Dem Dem Soslu Tavuk + Kutu İçecek </t>
  </si>
  <si>
    <t xml:space="preserve">Seçeceğiniz 2 Adet Soslu Tavuk Tabağı + Patates Kızartması + 2 Adet Pepsi (3 cl.) </t>
  </si>
  <si>
    <t xml:space="preserve">Seçeceğiniz 3 Adet Soslu Tavuk Tabağı + Pepsi (1 L.) </t>
  </si>
  <si>
    <t>104,90 TL</t>
  </si>
  <si>
    <t xml:space="preserve">4 Adet Çorba + Seçeceğiniz 4 Adet Soslu Tavuk Tabağı + 2 Adet Patates Kızartması + Pepsi (1 L.) </t>
  </si>
  <si>
    <t>145,90 TL</t>
  </si>
  <si>
    <t xml:space="preserve">Barbekü sosu ve renkli biberler ile marine edilmiş tavuk bonfile, makarna, salata, 3 adet ekmek </t>
  </si>
  <si>
    <t>Cheese Chicken Tavuk</t>
  </si>
  <si>
    <t xml:space="preserve">Kremalı peynir sosu ve Kaliforniya biberleri ile marine edilmiş tavuk, makarna, salata, 3 adet ekmek </t>
  </si>
  <si>
    <t>Parisli Gurme Tavuk</t>
  </si>
  <si>
    <t xml:space="preserve">Café de Paris sosu ve Kaliforniya biberleri ile marine edilmiş tavuk, makarna, salata, 3 adet ekmek </t>
  </si>
  <si>
    <t>Tavuk Şnitzel</t>
  </si>
  <si>
    <t xml:space="preserve">Özel soslar ile marine edilmiş tavuk bonfile, çıtır kaplamalı makarna, salata, 3 adet ekmek </t>
  </si>
  <si>
    <t xml:space="preserve">Özel soslar ile marine edilmiş tavuk bonfile, çıtır kaplamalar eşliğinde makarna, salata, 3 adet ekmek </t>
  </si>
  <si>
    <t>Acılı Köri Soslu Tavuk</t>
  </si>
  <si>
    <t xml:space="preserve">Acılı köri sosu ve Kaliforniya biberleri ile marine edilmiş tavuk bonfile, makarna, salata, 3 adet ekmek </t>
  </si>
  <si>
    <t>Domatesli Fesleğenli Tavuk</t>
  </si>
  <si>
    <t xml:space="preserve">Domates ve fesleğen ile marine edilmiş tavuk bonfile, makarna, salata, 3 adet ekmek </t>
  </si>
  <si>
    <t xml:space="preserve">Soya sosu ile marine edilmiş tavuk bonfile, makarna, salata, 3 adet ekmek </t>
  </si>
  <si>
    <t xml:space="preserve">Cheddar sos ve Kaliforniya biberleri ile marine edilmiş tavuk bonfile, makarna, salata, 3 adet ekmek </t>
  </si>
  <si>
    <t>Anadolu Ateşi Tavuk</t>
  </si>
  <si>
    <t xml:space="preserve">Acılı Anadolu sos ve Kaliforniya biberleri ile marine edilmiş tavuk, makarna, salata, 3 adet ekmek </t>
  </si>
  <si>
    <t>Meksika Acılı Tavuk</t>
  </si>
  <si>
    <t xml:space="preserve">Acı sos ve Kaliforniya biberleri ile marine edilmiş tavuk bonfile, makarna, salata, 3 adet ekmek </t>
  </si>
  <si>
    <t>Dem Dem Soslu Tavuk</t>
  </si>
  <si>
    <t xml:space="preserve">Özel sos ile tavuk bonfile, makarna, salata, 3 adet ekmek </t>
  </si>
  <si>
    <t xml:space="preserve">Özel soslar ile marine edilmiş tavuk bonfile, makarna, salata, 2 adet ekmek ile </t>
  </si>
  <si>
    <t>Izgara Pirzola</t>
  </si>
  <si>
    <t xml:space="preserve">Özel soslar ile marine edilmiş tavuk pirzola, makarna, salata, 2 adet ekmek ile </t>
  </si>
  <si>
    <t xml:space="preserve">Antrikot, mantar, renkli Kaliforniya biberi. Patates kızartması, Akdeniz yeşillikleri ile </t>
  </si>
  <si>
    <t>Meksikalı Sac Kavurma</t>
  </si>
  <si>
    <t xml:space="preserve">Acı sos ile marine edilmiş antrikot, mantar, renkli Kaliforniya biberi. Patates kızartması, Akdeniz yeşillikleri ile </t>
  </si>
  <si>
    <t>Acılı Izgara Köfte</t>
  </si>
  <si>
    <t xml:space="preserve">5 adet acılı ızgara köfte, patates kızartması, közlenmiş domates, közlenmiş biber </t>
  </si>
  <si>
    <t>İnegöl Köfte</t>
  </si>
  <si>
    <t xml:space="preserve">5 adet köfte, patates kızartması, yeşillikler ile </t>
  </si>
  <si>
    <t>Kaşarlı Köfte</t>
  </si>
  <si>
    <t xml:space="preserve">3 adet kaşarlı köfte, patates kızartması, yeşillikler ile </t>
  </si>
  <si>
    <t xml:space="preserve">5 adet ızgara köfte, patates kızartması, közlenmiş domates, közlenmiş biber </t>
  </si>
  <si>
    <t>Akçaabat Köfte</t>
  </si>
  <si>
    <t xml:space="preserve">4 adet Akçaabat köfte, patates kızartması, yeşillikler ile </t>
  </si>
  <si>
    <t>Kekik Tarlası Soslu Köfte</t>
  </si>
  <si>
    <t xml:space="preserve">Taze dağ kekiği ve kremalı misket köfteler, patates kızartması, salata ile </t>
  </si>
  <si>
    <t>Anadolu Ateşi Soslu Köfte</t>
  </si>
  <si>
    <t xml:space="preserve">Anadolu Ateşi soslu misket köfteler, patates kızartması, salata ile </t>
  </si>
  <si>
    <t>Cheddar Soslu Köfte</t>
  </si>
  <si>
    <t xml:space="preserve">Cheddar soslu ve kremalı misket köfteler, patates kızartması, salata ile </t>
  </si>
  <si>
    <t>Barbekü Soslu Köfte</t>
  </si>
  <si>
    <t xml:space="preserve">Barbekü soslu misket köfteler, patates kızartması, salata ile </t>
  </si>
  <si>
    <t>Tavuklu Spaghetti</t>
  </si>
  <si>
    <t>37,90 TL</t>
  </si>
  <si>
    <t>Soslu Erişte Makarna</t>
  </si>
  <si>
    <t xml:space="preserve">Kremalı fesleğen soslu erişte makarna </t>
  </si>
  <si>
    <t>Patates Kızartması (Büyük Boy)</t>
  </si>
  <si>
    <t xml:space="preserve">Ketçap, mayonez, patates baharatı </t>
  </si>
  <si>
    <t>Dağ Kekikli Mantar</t>
  </si>
  <si>
    <t xml:space="preserve">Mantar, krema, kaşar peyniri, dağ kekiği </t>
  </si>
  <si>
    <t>Falafel (6 Adet)</t>
  </si>
  <si>
    <t>28,90 TL</t>
  </si>
  <si>
    <t>Ekmek</t>
  </si>
  <si>
    <t>Marin Salata</t>
  </si>
  <si>
    <t xml:space="preserve">Tavuk pirzola kavurma, Akdeniz yeşillikleri </t>
  </si>
  <si>
    <t>Sezar Salata</t>
  </si>
  <si>
    <t xml:space="preserve">Tavuk bonfile, Akdeniz yeşillikleri, Sezar sos </t>
  </si>
  <si>
    <t xml:space="preserve">Ton balığı, Akdeniz yeşillikleri </t>
  </si>
  <si>
    <t>Falafel Salata</t>
  </si>
  <si>
    <t xml:space="preserve">İçi yumuşacık 6 adet falafel, Akdeniz yeşillikleri </t>
  </si>
  <si>
    <t>Çıtır Falafel Salata</t>
  </si>
  <si>
    <t xml:space="preserve">İçi yumuşacık 6 adet çıtır falafel, Akdeniz yeşillikleri </t>
  </si>
  <si>
    <t>Kabak Tatlısı</t>
  </si>
  <si>
    <t xml:space="preserve">Tahin, ceviz ile servis edilir </t>
  </si>
  <si>
    <t>Kızarmış Dondurma</t>
  </si>
  <si>
    <t xml:space="preserve">Çikolata sos ile </t>
  </si>
  <si>
    <t>Ayva Tatlısı</t>
  </si>
  <si>
    <t xml:space="preserve">Kaymak ile servis edilir </t>
  </si>
  <si>
    <t>Antep Fıstıklı Katmer Tatlısı</t>
  </si>
  <si>
    <t xml:space="preserve">Bol fıstıklı </t>
  </si>
  <si>
    <t>Antep Gül Katmer Tatlısı</t>
  </si>
  <si>
    <t>Fıstıklı Kadayıf</t>
  </si>
  <si>
    <t>Karışık Izgara (1 kg.)</t>
  </si>
  <si>
    <t xml:space="preserve">Tavuk kanat, tavuk kelebek, pirzola. Közlenmiş soğan, közlenmiş biber, salata, turşu, 1 adet ekmek ile </t>
  </si>
  <si>
    <t xml:space="preserve">Sumaklı soğan, maydanoz, domates </t>
  </si>
  <si>
    <t>Tavuk Kanat (1 Kişilik)</t>
  </si>
  <si>
    <t xml:space="preserve">Közlenmiş soğan, biber, domates, salata, turşu ile </t>
  </si>
  <si>
    <t>Aile Boyu Mangal Keyfi (4 Kişilik) Menü</t>
  </si>
  <si>
    <t xml:space="preserve">Karışık Mangal (2 kg.) (Tavuk kanat, tavuk kelebek, tavuk pirzola, tavuk göğüs) + Közlenmiş Soğan + Közlenmiş Biber + Közlenmiş Domates + Salata + 4 Adet Tırnaklı Pide + Pepsi (1 L.) </t>
  </si>
  <si>
    <t xml:space="preserve">Közlenmiş soğan, közlenmiş biber, salata, turşu, 1 adet ekmek ile </t>
  </si>
  <si>
    <t>Geniş Aile (8 - 10 Kişilik) Menü</t>
  </si>
  <si>
    <t xml:space="preserve">Karışık Mangal (4 kg.) (Tavuk kanat, tavuk kelebek, tavuk pirzola, tavuk göğüs) + Közlenmiş Soğan + Közlenmiş Biber + Közlenmiş Domates + Salata + 6 Adet Tırnaklı Pide + Pepsi (2,5 L.) </t>
  </si>
  <si>
    <t>180,00 TL</t>
  </si>
  <si>
    <t>Tavuk Kelebek (1 Kişilik) - Şu anda mevcut değil.</t>
  </si>
  <si>
    <t>Tavuk Pirzola (1 Kişilik)</t>
  </si>
  <si>
    <t>Tavuk Göğüs (1 Kişilik)</t>
  </si>
  <si>
    <t xml:space="preserve">Ezme, salata, sumaklı soğan, mevsim salata ile </t>
  </si>
  <si>
    <t>Dostlar Karışık Dürüm</t>
  </si>
  <si>
    <t xml:space="preserve">1 adet Adana kebap, 1 adet tavuk şiş, sumaklı soğan, maydanoz, domates </t>
  </si>
  <si>
    <t>Ayran (17.5 cl.)</t>
  </si>
  <si>
    <t>Pepsi (2.5 L.)</t>
  </si>
  <si>
    <t>Yedigün (2.5 L.)</t>
  </si>
  <si>
    <t>Tavuk Kelebek (1 kg.) - Şu anda mevcut değil.</t>
  </si>
  <si>
    <t>Tavuk Göğüs (1 kg.)</t>
  </si>
  <si>
    <t>Seçilmiş Menü (2'li Orta Boy Pizza)</t>
  </si>
  <si>
    <t xml:space="preserve">Seçeceğiniz 2 Adet Orta Boy Pizza + Ekosandviç + Patates Kızartması + Coca-Cola Şekersiz (1 L.) </t>
  </si>
  <si>
    <t>66,99 TL</t>
  </si>
  <si>
    <t>Seçilmiş Menü (Bol Bol Küçük)</t>
  </si>
  <si>
    <t xml:space="preserve">Bol Bol (Küçük) + Coca-Cola (33 cl.) </t>
  </si>
  <si>
    <t>Seçilmiş Menü (Bol Bol Büyük)</t>
  </si>
  <si>
    <t xml:space="preserve">Bol Bol (Büyük) + Coca-Cola (1 L.) </t>
  </si>
  <si>
    <t>Vodafone Menüsü (Orta Boy Pizza)</t>
  </si>
  <si>
    <t xml:space="preserve">2 Adet Seçeceğiniz Orta Boy Pizza + Patates Kızartması (Kampanya koşulları için restoranın Promosyonlar bölümüne göz atınız. İndirimli fiyat ürün sepete eklendikten sonra uygulanır.) </t>
  </si>
  <si>
    <t>Vodafone Menüsü (Efsane 5'li - Küçük)</t>
  </si>
  <si>
    <t xml:space="preserve">2 Adet Efsane 5'li (Küçük) + Patates Kızartması + Litrelik İçecek (Kampanya koşulları için restoranın Promosyonlar bölümüne göz atınız. İndirimli fiyat ürün sepete eklendikten sonra uygulanır.) </t>
  </si>
  <si>
    <t>72,98 TL</t>
  </si>
  <si>
    <t>Vodafone Menüsü (Efsane 5'li - Büyük)</t>
  </si>
  <si>
    <t xml:space="preserve">2 Adet Efsane 5'li (Büyük) (Kampanya koşulları için restoranın Promosyonlar bölümüne göz atınız. İndirimli fiyat ürün sepete eklendikten sonra uygulanır.) </t>
  </si>
  <si>
    <t>105,99 TL</t>
  </si>
  <si>
    <t>Maximum Menü (Orta Boy Favoriterra Pizza)</t>
  </si>
  <si>
    <t xml:space="preserve">Orta Boy Favoriterra Pizza + 10'lu Çıtır Tavuk Topları + Kutu İçecek (Maximum Menü indirimi, Maximum özellikli tüm kredi kartları ve İş Bankası Bankamatik Kartları ile yapılacak online ödemelerde ödeme anında uygulanacaktır.) </t>
  </si>
  <si>
    <t>2'li Pizzadürüm Menü</t>
  </si>
  <si>
    <t xml:space="preserve">2 Adet Pizzadürüm + Litrelik İçecek </t>
  </si>
  <si>
    <t>2'li Ekosandviç Menü</t>
  </si>
  <si>
    <t xml:space="preserve">2 Adet Ekosandviç + Kutu İçecek </t>
  </si>
  <si>
    <t>Orta Boy Bol Bol Menü</t>
  </si>
  <si>
    <t xml:space="preserve">Orta Boy Bol Bol Pizza + Litrelik İçecek </t>
  </si>
  <si>
    <t>Orta Boy &amp; Patates Menü</t>
  </si>
  <si>
    <t xml:space="preserve">Seçeceğiniz Orta Boy Pizza + Patates Kızartması + Kutu İçecek (Ekoterra pizzalar için geçerlidir. Favoriterra pizzalar için 3 TL, Şefterra pizzalar için 6 TL, Gurmeterra pizzalar için 9 TL fark uygulanmaktadır.) </t>
  </si>
  <si>
    <t>Büyük Boy Pizza</t>
  </si>
  <si>
    <t xml:space="preserve">Seçeceğiniz Büyük Boy Pizza (Ekoterra pizzalar için geçerlidir. Favoriterra pizzalar için 3 TL, Şefterra pizzalar için 6 TL, Gurmeterra pizzalar için 9 TL fark uygulanmaktadır.) </t>
  </si>
  <si>
    <t xml:space="preserve">Seçeceğiniz Büyük Boy Pizza + Litrelik İçecek (Ekoterra pizzalar için geçerlidir. Favoriterra pizzalar için 3 TL, Şefterra pizzalar için 6 TL, Gurmeterra pizzalar için 9 TL fark uygulanmaktadır.) </t>
  </si>
  <si>
    <t>Büyük Boy &amp; Patates Menü</t>
  </si>
  <si>
    <t xml:space="preserve">Seçeceğiniz Büyük Boy Pizza + Patates Kızartması + Litrelik İçecek (Ekoterra pizzalar için geçerlidir. Favoriterra pizzalar için 3 TL, Şefterra pizzalar için 6 TL, Gurmeterra pizzalar için 9 TL fark uygulanmaktadır.) </t>
  </si>
  <si>
    <t>2 Orta Boy Menü</t>
  </si>
  <si>
    <t xml:space="preserve">Seçeceğiniz 2 Adet Orta Boy Pizza (Ekoterra pizzalar için geçerlidir. Favoriterra pizzalar için 3 TL, Şefterra pizzalar için 6 TL, Gurmeterra pizzalar için 9 TL fark uygulanmaktadır.) </t>
  </si>
  <si>
    <t>2'li Orta Boy Pizza Menü</t>
  </si>
  <si>
    <t xml:space="preserve">Seçeceğiniz 2 Adet Orta Boy Pizza + Litrelik İçecek (Ekoterra pizzalar için geçerlidir. Favoriterra pizzalar için 3 TL, Şefterra pizzalar için 6 TL, Gurmeterra pizzalar için 9 TL fark uygulanmaktadır.) </t>
  </si>
  <si>
    <t>2 Orta Boy &amp; Patates Menü</t>
  </si>
  <si>
    <t xml:space="preserve">Seçeceğiniz 2 Adet Orta Boy Pizza + Patates Kızartması + Litrelik İçecek (Ekoterra pizzalar için geçerlidir. Favoriterra pizzalar için 3 TL, Şefterra pizzalar için 6 TL, Gurmeterra pizzalar için 9 TL fark uygulanmaktadır.) </t>
  </si>
  <si>
    <t>3 Orta Boy Pizza Menü</t>
  </si>
  <si>
    <t xml:space="preserve">Seçeceğiniz 3 Adet Orta Boy Pizza (Ekoterra pizzalar için geçerlidir. Favoriterra pizzalar için 3 TL, Şefterra pizzalar için 6 TL, Gurmeterra pizzalar için 9 TL fark uygulanmaktadır.) </t>
  </si>
  <si>
    <t>72,99 TL</t>
  </si>
  <si>
    <t>2'li Büyük Boy &amp; Patates Menü</t>
  </si>
  <si>
    <t xml:space="preserve">2 Adet Büyük Boy Pizza + Patates Kızartması + Litrelik İçecek (Ekoterra pizzalar için geçerlidir. Favoriterra pizzalar için 3 TL, Şefterra pizzalar için 6 TL, Gurmeterra pizzalar için 9 TL fark uygulanmaktadır.) </t>
  </si>
  <si>
    <t>84,99 TL</t>
  </si>
  <si>
    <t>2'li Büyük Boy &amp; Çıtır Kova Menü</t>
  </si>
  <si>
    <t xml:space="preserve">Seçeceğiniz 2 Adet Büyük Boy Pizza + Çıtır Kovası + Litrelik İçecek (Ekoterra pizzalar için geçerlidir. Favoriterra pizzalar için 3 TL, Şefterra pizzalar için 6 TL, Gurmeterra pizzalar için 9 TL fark uygulanmaktadır.) </t>
  </si>
  <si>
    <t>99,99 TL</t>
  </si>
  <si>
    <t>2'li Büyük Boy &amp; Patates Kova Menü</t>
  </si>
  <si>
    <t xml:space="preserve">2 Adet Büyük Boy Pizza + Patates Kovasıı + Litrelik İçecek (Ekoterra pizzalar için geçerlidir. Favoriterra pizzalar için 3 TL, Şefterra pizzalar için 6 TL, Gurmeterra pizzalar için 9 TL fark uygulanmaktadır.) </t>
  </si>
  <si>
    <t>2'li Orta Boy &amp; Çıtır Kutusu Menü</t>
  </si>
  <si>
    <t xml:space="preserve">Seçeceğiniz 2 Adet Orta Boy Pizza + Çıtır Kutusu + Litrelik İçecek (Ekoterra pizzalar için geçerlidir. Favoriterra pizzalar için 3 TL, Şefterra pizzalar için 6 TL, Gurmeterra pizzalar için 9 TL fark uygulanmaktadır.) </t>
  </si>
  <si>
    <t>69,99 TL</t>
  </si>
  <si>
    <t>Orta Boy Pizza &amp; İçecek Menü</t>
  </si>
  <si>
    <t xml:space="preserve">Seçeceğiniz Orta Boy Pizza + Kutu İçecek (Ekoterra pizzalar için geçerlidir. Favoriterra pizzalar için 3 TL, Şefterra pizzalar için 6 TL, Gurmeterra pizzalar için 9 TL fark uygulanmaktadır.) </t>
  </si>
  <si>
    <t>3'lü Orta Boy Pizza Menü</t>
  </si>
  <si>
    <t xml:space="preserve">Seçeceğiniz 3 Adet Orta Boy Pizza + Litrelik İçecek (Ekoterra pizzalar için geçerlidir. Favoriterra pizzalar için 3 TL, Şefterra pizzalar için 6 TL, Gurmeterra pizzalar için 9 TL fark uygulanmaktadır.) </t>
  </si>
  <si>
    <t>91,99 TL</t>
  </si>
  <si>
    <t>5 Orta Boy Pizza Menü</t>
  </si>
  <si>
    <t xml:space="preserve">Seçeceğiniz 5 Adet Orta Boy Pizza (Ekoterra pizzalar için geçerlidir. Favoriterra pizzalar için 3 TL, Şefterra pizzalar için 6 TL, Gurmeterra pizzalar için 9 TL fark uygulanmaktadır.) </t>
  </si>
  <si>
    <t>5'li Orta Boy Pizza Menü</t>
  </si>
  <si>
    <t xml:space="preserve">Seçeceğiniz 5 Adet Orta Boy Pizza + 2 Adet Litrelik İçecek (Ekoterra pizzalar için geçerlidir. Favoriterra pizzalar için 3 TL, Şefterra pizzalar için 6 TL, Gurmeterra pizzalar için 9 TL fark uygulanmaktadır.) </t>
  </si>
  <si>
    <t>148,99 TL</t>
  </si>
  <si>
    <t>2 Büyük Boy Pizza Menü</t>
  </si>
  <si>
    <t xml:space="preserve">Seçeceğiniz 2 Adet Büyük Boy Pizza (Ekoterra pizzalar için geçerlidir. Favoriterra pizzalar için 3 TL, Şefterra pizzalar için 6 TL, Gurmeterra pizzalar için 9 TL fark uygulanmaktadır.) </t>
  </si>
  <si>
    <t>2'li Büyük Boy Pizza Menü</t>
  </si>
  <si>
    <t xml:space="preserve">Seçeceğiniz 2 Adet Büyük Boy Pizza + Litrelik İçecek (Ekoterra pizzalar için geçerlidir. Favoriterra pizzalar için 3 TL, Şefterra pizzalar için 6 TL, Gurmeterra pizzalar için 9 TL fark uygulanmaktadır.) </t>
  </si>
  <si>
    <t>106,99 TL</t>
  </si>
  <si>
    <t>3 Büyük Boy Pizza Menü</t>
  </si>
  <si>
    <t xml:space="preserve">Seçeceğiniz 3 Adet Büyük Boy Pizza (Ekoterra pizzalar için geçerlidir. Favoriterra pizzalar için 3 TL, Şefterra pizzalar için 6 TL, Gurmeterra pizzalar için 9 TL fark uygulanmaktadır.) </t>
  </si>
  <si>
    <t>3'lü Büyük Boy Pizza Menü</t>
  </si>
  <si>
    <t>146,99 TL</t>
  </si>
  <si>
    <t>5 Büyük Boy Pizza Menü</t>
  </si>
  <si>
    <t xml:space="preserve">Seçeceğiniz 5 Adet Büyük Boy Pizza (Ekoterra pizzalar için geçerlidir. Favoriterra pizzalar için 3 TL, Şefterra pizzalar için 6 TL, Gurmeterra pizzalar için 9 TL fark uygulanmaktadır.) </t>
  </si>
  <si>
    <t>219,99 TL</t>
  </si>
  <si>
    <t>5'li Büyük Boy Pizza Menü</t>
  </si>
  <si>
    <t xml:space="preserve">Seçeceğiniz 5 Adet Büyük Boy Pizza + 2 Adet Litrelik İçecek (Ekoterra pizzalar için geçerlidir. Favoriterra pizzalar için 3 TL, Şefterra pizzalar için 6 TL, Gurmeterra pizzalar için 9 TL fark uygulanmaktadır.) </t>
  </si>
  <si>
    <t>233,99 TL</t>
  </si>
  <si>
    <t>Küçük Boy Pizza Menü</t>
  </si>
  <si>
    <t xml:space="preserve">Seçeceğiniz Küçük Boy Pizza + Kutu İçecek (Ekoterra pizzalar için geçerlidir. Favoriterra pizzalar için 3 TL, Şefterra pizzalar için 6 TL, Gurmeterra pizzalar için 9 TL fark uygulanmaktadır.) </t>
  </si>
  <si>
    <t>2 Küçük Boy Pizza Menü</t>
  </si>
  <si>
    <t xml:space="preserve">Seçeceğiniz 2 Adet Küçük Boy Pizza (Ekoterra pizzalar için geçerlidir. Favoriterra pizzalar için 3 TL, Şefterra pizzalar için 6 TL, Gurmeterra pizzalar için 9 TL fark uygulanmaktadır.) </t>
  </si>
  <si>
    <t>2'li Küçük Boy Pizza Menü</t>
  </si>
  <si>
    <t xml:space="preserve">Seçeceğiniz 2 Adet Küçük Boy Pizza + Litrelik İçecek (Ekoterra pizzalar için geçerlidir. Favoriterra pizzalar için 3 TL, Şefterra pizzalar için 6 TL, Gurmeterra pizzalar için 9 TL fark uygulanmaktadır.) </t>
  </si>
  <si>
    <t>3 Küçük Boy Pizza Menü</t>
  </si>
  <si>
    <t xml:space="preserve">Seçeceğiniz 3 Adet Küçük Boy Pizza (Ekoterra pizzalar için geçerlidir. Favoriterra pizzalar için 3 TL, Şefterra pizzalar için 6 TL, Gurmeterra pizzalar için 9 TL fark uygulanmaktadır.) </t>
  </si>
  <si>
    <t>3'lü Küçük Boy Pizza Menü</t>
  </si>
  <si>
    <t xml:space="preserve">Seçeceğiniz 3 Adet Küçük Boy Pizza + Litrelik İçecek (Ekoterra pizzalar için geçerlidir. Favoriterra pizzalar için 3 TL, Şefterra pizzalar için 6 TL, Gurmeterra pizzalar için 9 TL fark uygulanmaktadır.) </t>
  </si>
  <si>
    <t>5 Küçük Boy Pizza Menü</t>
  </si>
  <si>
    <t xml:space="preserve">Seçeceğiniz 5 Adet Küçük Boy Pizza (Ekoterra pizzalar için geçerlidir. Favoriterra pizzalar için 3 TL, Şefterra pizzalar için 6 TL, Gurmeterra pizzalar için 9 TL fark uygulanmaktadır.) </t>
  </si>
  <si>
    <t>119,99 TL</t>
  </si>
  <si>
    <t>5'li Küçük Boy Pizza Menü</t>
  </si>
  <si>
    <t xml:space="preserve">Seçeceğiniz 5 Adet Küçük Boy Pizza + 2 Adet Litrelik İçecek (Ekoterra pizzalar için geçerlidir. Favoriterra pizzalar için 3 TL, Şefterra pizzalar için 6 TL, Gurmeterra pizzalar için 9 TL fark uygulanmaktadır.) </t>
  </si>
  <si>
    <t>133,99 TL</t>
  </si>
  <si>
    <t xml:space="preserve">Büyük Dilim Pizza + Patates Kızartması + Kutu İçecek </t>
  </si>
  <si>
    <t>Dıp Dıp Menü</t>
  </si>
  <si>
    <t xml:space="preserve">Büyük Dilim Pizza + Chicken Fingers (4 Adet) + Kutu İçecek </t>
  </si>
  <si>
    <t xml:space="preserve">Chicken Fingers (6 Adet) + Patates Kızartması + Sarımsaklı Ekmek (1 Dilim) </t>
  </si>
  <si>
    <t xml:space="preserve">Büyük Dilim Pizza + Chicken Fingers (3 Adet) + Patates Kızartması + Kutu İçecek </t>
  </si>
  <si>
    <t>Şampiyon Menü</t>
  </si>
  <si>
    <t xml:space="preserve">Büyük Dilim Pizza + Patates Kızartması + Chicken Fingers (2 Adet) + Nuggets (4 Adet) + Soğan Halkası (4 Adet) + Kutu İçecek </t>
  </si>
  <si>
    <t>Pizzadürüm</t>
  </si>
  <si>
    <t xml:space="preserve">Seçeceğiniz Pizzadürüm </t>
  </si>
  <si>
    <t>Pizzadürüm Menü</t>
  </si>
  <si>
    <t xml:space="preserve">Pizzadürüm + Kutu İçecek </t>
  </si>
  <si>
    <t>Pizzadürüm &amp; Patates Menü</t>
  </si>
  <si>
    <t xml:space="preserve">Pizzadürüm + Patates Kızartması + Kutu İçecek </t>
  </si>
  <si>
    <t>Ekosandviç</t>
  </si>
  <si>
    <t xml:space="preserve">Seçeceğiniz Ekosandviç </t>
  </si>
  <si>
    <t>2'li Ekosandviç</t>
  </si>
  <si>
    <t xml:space="preserve">Seçeceğiniz 2 Adet Ekosandviç </t>
  </si>
  <si>
    <t>Ekosandviç &amp; Patates Menü</t>
  </si>
  <si>
    <t xml:space="preserve">Ekosandviç + Patates Kızartması + Kutu İçecek </t>
  </si>
  <si>
    <t>2'li Ekosandviç &amp; Patates Menü</t>
  </si>
  <si>
    <t xml:space="preserve">2 Adet Ekosandviç + Patates Kızartması + Litrelik İçecek </t>
  </si>
  <si>
    <t>Terra Margarita (Orta)</t>
  </si>
  <si>
    <t xml:space="preserve">Pizza Sosu, Mozzarella Peyniri, Dilim Domates </t>
  </si>
  <si>
    <t>Dopdolu Sucuklu (Orta)</t>
  </si>
  <si>
    <t xml:space="preserve">(Gino Pizza) Pizza Sosu, Mozzarella Peyniri, Dilim Sucuk </t>
  </si>
  <si>
    <t>Dopdolu İkili (Orta)</t>
  </si>
  <si>
    <t xml:space="preserve">Pizza Sosu, Mozzarella Peyniri, Salam, Zeytin </t>
  </si>
  <si>
    <t>Dopdolu Sosisli (Orta)</t>
  </si>
  <si>
    <t xml:space="preserve">Pizza Sosu, Mozzarella Peyniri, Sosis </t>
  </si>
  <si>
    <t>Efsane 5'li (Orta)</t>
  </si>
  <si>
    <t xml:space="preserve">Pizza Sosu, Mozzarella Peyniri, Mantar, Dilim Sosis, Mısır, Dilim Sucuk, Yeşilbiber </t>
  </si>
  <si>
    <t>Vejeterra (Orta)</t>
  </si>
  <si>
    <t xml:space="preserve">Pizza Sosu, Mozzarella Peyniri, Siyah Zeytin, Brokoli, Fırınlanmış Patlıcan, Közlenmiş Kırmızıbiber, Mantar </t>
  </si>
  <si>
    <t>Akdenizli (Orta)</t>
  </si>
  <si>
    <t xml:space="preserve">(Fiesta Pizza) Pizza Sosu, Beyaz Peynir, Kekik, Küp Domates, Mozzarella Peyniri, Siyah Zeytin </t>
  </si>
  <si>
    <t>Partiterra (Orta)</t>
  </si>
  <si>
    <t xml:space="preserve">(Ortaya Karışık Pizza) Pizza Sosu, Mozzarella Peyniri, Yeşilbiber, Siyah Zeytin, Mısır, Mantar, Közlenmiş Kırmızıbiber, Dilim Sucuk, Dilim Salam </t>
  </si>
  <si>
    <t>Patsos (Orta)</t>
  </si>
  <si>
    <t xml:space="preserve">Pizza Sosu, Mozarella Peyniri, Parmak Patates, Şerit Sosis </t>
  </si>
  <si>
    <t>Bol Bol (Orta)</t>
  </si>
  <si>
    <t xml:space="preserve">Pizza Sosu, Mozzarella Peyniri, Yeşilbiber, Mısır, Soğan, Mantar, Dilim Sucuk, Siyah Zeytin, Közlenmiş Kırmızıbiber, Küp Sucuk, Susam, Şerit Sosis </t>
  </si>
  <si>
    <t>Meksikalı (Orta)</t>
  </si>
  <si>
    <t xml:space="preserve">Barbekü Sosu, Mozzarella Peyniri, Mantar, Mısır, Dilim Sucuk, Dilim Domates, Kekik, Jalapeno Biber </t>
  </si>
  <si>
    <t>Tonterra (Orta)</t>
  </si>
  <si>
    <t xml:space="preserve">(Ton Balıklı Pizza) Pizza Sosu, Mozzarella Peyniri, Yeşilbiber, Mısır, Soğan, Ton Balığı </t>
  </si>
  <si>
    <t>Süper Sucuklu (Orta)</t>
  </si>
  <si>
    <t xml:space="preserve">Pizza Sosu, Mozzarella Peyniri, Mantar, Siyah Zeytin, Közlenmiş Kırmızıbiber, Küp Sucuk, Kekik </t>
  </si>
  <si>
    <t>Barbekü Tavuklu (Orta)</t>
  </si>
  <si>
    <t xml:space="preserve">Pizza Taban Sosu veya Barbekü Taban Sos, Siyah Zeytin, Mısır, Közlenmiş Kırmızıbiber, Tavuk Parçaları, Jalapeno Biber </t>
  </si>
  <si>
    <t>Kaburgalı (Orta)</t>
  </si>
  <si>
    <t xml:space="preserve">Pizza Sosu veya Barbekü Sos, Mozzarella Peyniri, Mantar, Soğan, Barbekü Sos, Fırınlanmış Patlıcan, Susam, Kekik, Füme Kaburga </t>
  </si>
  <si>
    <t>4x4 Peynirli (Orta)</t>
  </si>
  <si>
    <t xml:space="preserve">Pizza Sosu, Mozzarella Peyniri, Cheddar Peyniri, Beyaz Peynir, Parmesan Peyniri, Kekik </t>
  </si>
  <si>
    <t>Kavurmalı (Orta)</t>
  </si>
  <si>
    <t xml:space="preserve">Pizza Sosu, Mozzarella Peyniri, Yeşilbiber, Mantar, Soğan, Kavurma </t>
  </si>
  <si>
    <t>Pastırmalı (Orta)</t>
  </si>
  <si>
    <t xml:space="preserve">Pizza Sosu, Mozzarella Peyniri, Yeşilbiber, Mantar, Dilim Domates, Pastırma </t>
  </si>
  <si>
    <t>Terra Margarita (Büyük)</t>
  </si>
  <si>
    <t>Dopdolu Sucuklu (Büyük)</t>
  </si>
  <si>
    <t>Dopdolu İkili (Büyük)</t>
  </si>
  <si>
    <t>Dopdolu Sosisli (Büyük)</t>
  </si>
  <si>
    <t>Efsane 5'li (Büyük)</t>
  </si>
  <si>
    <t>Vejeterra (Büyük)</t>
  </si>
  <si>
    <t>Akdenizli (Büyük)</t>
  </si>
  <si>
    <t>Partiterra (Büyük)</t>
  </si>
  <si>
    <t>Patsos (Büyük)</t>
  </si>
  <si>
    <t>Bol Bol (Büyük)</t>
  </si>
  <si>
    <t>Meksikalı (Büyük)</t>
  </si>
  <si>
    <t>Tonterra (Büyük)</t>
  </si>
  <si>
    <t>Süper Sucuklu (Büyük)</t>
  </si>
  <si>
    <t>Barbekü Tavuklu (Büyük)</t>
  </si>
  <si>
    <t>Kaburgalı (Büyük)</t>
  </si>
  <si>
    <t>4x4 Peynirli (Büyük)</t>
  </si>
  <si>
    <t>Kavurmalı (Büyük)</t>
  </si>
  <si>
    <t>Pastırmalı (Büyük)</t>
  </si>
  <si>
    <t>Terra Margarita (Küçük)</t>
  </si>
  <si>
    <t>Dopdolu Sucuklu (Küçük)</t>
  </si>
  <si>
    <t>Dopdolu Sosisli (Küçük)</t>
  </si>
  <si>
    <t>Dopdolu İkili (Küçük)</t>
  </si>
  <si>
    <t>Efsane 5'li (Küçük)</t>
  </si>
  <si>
    <t>Vejeterra (Küçük)</t>
  </si>
  <si>
    <t>Akdenizli (Küçük)</t>
  </si>
  <si>
    <t>Partiterra (Küçük)</t>
  </si>
  <si>
    <t>Patsos (Küçük)</t>
  </si>
  <si>
    <t>Bol Bol (Küçük)</t>
  </si>
  <si>
    <t>Meksikalı (Küçük)</t>
  </si>
  <si>
    <t>Tonterra (Küçük)</t>
  </si>
  <si>
    <t>Süper Sucuklu (Küçük)</t>
  </si>
  <si>
    <t>Barbekü Tavuklu (Küçük)</t>
  </si>
  <si>
    <t xml:space="preserve">Pizza Taban Sos veya Barbekü Taban Sos, Siyah Zeytin, Mısır, Közlenmiş Kırmızıbiber, Tavuk Parçaları, Jalapeno Biber </t>
  </si>
  <si>
    <t>Kaburgalı (Küçük)</t>
  </si>
  <si>
    <t>4x4 Peynirli (Küçük)</t>
  </si>
  <si>
    <t>Kavurmalı (Küçük)</t>
  </si>
  <si>
    <t>Pastırmalı (Küçük)</t>
  </si>
  <si>
    <t>5'li Çıtır Tavuk Topları</t>
  </si>
  <si>
    <t>Parmak Dilim Patates Kızartması (Orta)</t>
  </si>
  <si>
    <t xml:space="preserve">Patates baharatı ile </t>
  </si>
  <si>
    <t>Elma Dilim Patates Kızartması (Orta)</t>
  </si>
  <si>
    <t>Soğan Halkası (4 Adet)</t>
  </si>
  <si>
    <t>Nugget (4 Adet)</t>
  </si>
  <si>
    <t>Tavuk Göğüs Parçaları (4 Adet)</t>
  </si>
  <si>
    <t>Sarımsaklı Ekmek (1 Dilim)</t>
  </si>
  <si>
    <t xml:space="preserve">Sarımsak sos, mozzarella peyniri </t>
  </si>
  <si>
    <t>Chicken Fingers (4 Adet)</t>
  </si>
  <si>
    <t>Büyük Dilim Pizza</t>
  </si>
  <si>
    <t xml:space="preserve">Mozzarella peyniri, sosis, mantar </t>
  </si>
  <si>
    <t>Çıtır Kutusu</t>
  </si>
  <si>
    <t xml:space="preserve">2 Adet Soğan Halkası, 2 Adet Tavuk Göğüs Parçaları, 2 Adet Chicken Fingers, 2 Adet Nuggets </t>
  </si>
  <si>
    <t xml:space="preserve">3 porsiyon parmak dilim patates kızartması </t>
  </si>
  <si>
    <t>Çıtır Kovası</t>
  </si>
  <si>
    <t xml:space="preserve">4 Adet Tavuk Göğüs Parçaları, 2 Adet Chicken Fingers, 4 Adet Soğan Halkası, Patates Kızartması </t>
  </si>
  <si>
    <t>Tavuk Kovası</t>
  </si>
  <si>
    <t xml:space="preserve">4 Adet Tavuk Göğüs Parçaları + 4 Adet Chicken Fingers + 4 Adet Nuggets </t>
  </si>
  <si>
    <t>Çokoterra</t>
  </si>
  <si>
    <t>2'li Sufle</t>
  </si>
  <si>
    <t>Cappy Kayısı (33 cl.)</t>
  </si>
  <si>
    <t>Damla Soda (20 cl.)</t>
  </si>
  <si>
    <t>0,30 TL</t>
  </si>
  <si>
    <t>Barbekü (BBQ) Sos</t>
  </si>
  <si>
    <t>Niğde Tava (1 kg.)</t>
  </si>
  <si>
    <t xml:space="preserve">Kuzu kuşbaşı, domates, biber, sarımsak ile </t>
  </si>
  <si>
    <t>Bor Söğürme (1,5 kg.)</t>
  </si>
  <si>
    <t xml:space="preserve">Kuzu eti, bel, biber, sarımsak ile </t>
  </si>
  <si>
    <t>Tavuk Söğürme (1,5 kg.)</t>
  </si>
  <si>
    <t xml:space="preserve">Tavuk sarma, biber, sarımsak ile </t>
  </si>
  <si>
    <t>Patlıcanlı Kebap (1 kg.)</t>
  </si>
  <si>
    <t xml:space="preserve">Kuzu kaburga kıyma, patlıcan, domates ile </t>
  </si>
  <si>
    <t xml:space="preserve">Közlenmiş soğan, közlenmiş biber, közlenmiş domates, salata, ekmek ile </t>
  </si>
  <si>
    <t>Karışık Tavuk Mangal (1 kg.)</t>
  </si>
  <si>
    <t xml:space="preserve">Tavuk kelebek, tavuk kanat, tavuk pirzola, tavuk göğüs. Közlenmiş soğan, közlenmiş biber, közlenmiş domates, salata, ekmek ile </t>
  </si>
  <si>
    <t>46,99 TL</t>
  </si>
  <si>
    <t>Seçilmiş Menü (Karışık Tavuk Kebap (1 kg.))</t>
  </si>
  <si>
    <t xml:space="preserve">Karışık Tavuk Kebap (1 kg.) + Coca-Cola (1 L.) </t>
  </si>
  <si>
    <t>Vodafone Menüsü (Karışık Tavuk Kebap)</t>
  </si>
  <si>
    <t xml:space="preserve">Karışık Tavuk Kebap + Ayran (20 cl.) (Kampanya koşulları için restoranın Promosyonlar bölümüne göz atınız. İndirimli fiyat ürün sepete eklendikten sonra uygulanır.) </t>
  </si>
  <si>
    <t>Mangal Tavuk (8-10 Kişilik) Menü</t>
  </si>
  <si>
    <t xml:space="preserve">Karışık Tavuk (5 kg.) + 3 Çeşit Salata + Közlenmiş Soğan + 10 Adet Pide + Pepsi (2,5 L.) </t>
  </si>
  <si>
    <t>235,00 TL</t>
  </si>
  <si>
    <t>Tavuk Göğüs</t>
  </si>
  <si>
    <t xml:space="preserve">(Porsiyon) Közlenmiş soğan, közlenmiş biber, közlenmiş domates, salata, ekmek ile </t>
  </si>
  <si>
    <t>Karışık Tavuk Mangal</t>
  </si>
  <si>
    <t xml:space="preserve">(Porsiyon) Tavuk kelebek, tavuk kanat, tavuk pirzola, tavuk göğüs. Közlenmiş soğan, közlenmiş biber, közlenmiş domates, salata, ekmek ile </t>
  </si>
  <si>
    <t>Pide</t>
  </si>
  <si>
    <t>Elvan Gazozu (25 cl.)</t>
  </si>
  <si>
    <t>Tavuk İncik (1 kg.)</t>
  </si>
  <si>
    <t>Mangal Tavuk (5 Kişilik)</t>
  </si>
  <si>
    <t xml:space="preserve">3 kg. karışık mangal tavuk, 3 çeşit salata, közlenmiş soğan, 5 adet pide ile </t>
  </si>
  <si>
    <t xml:space="preserve">Patates kızartması, sos, turşu, marul, mayonez </t>
  </si>
  <si>
    <t>Tavuk Döner Dürüm Menü</t>
  </si>
  <si>
    <t xml:space="preserve">Tavuk Döner Dürüm + Ayran (30 cl.) + Patates Kızartması + Tatlı </t>
  </si>
  <si>
    <t>Somun Ekmek Arası Tavuk Döner Dürüm</t>
  </si>
  <si>
    <t xml:space="preserve">Göbek marul, patates kızartması, salatalık turşusu, sos, mayonez </t>
  </si>
  <si>
    <t>Sporcu Menü</t>
  </si>
  <si>
    <t xml:space="preserve">Haşlanmış Tavuk + Salata + Pirinç Pilavı </t>
  </si>
  <si>
    <t>19,75 TL</t>
  </si>
  <si>
    <t>Seçilmiş Menü (Et Döner)</t>
  </si>
  <si>
    <t xml:space="preserve">Et Döner + Coca-Cola (33 cl.) </t>
  </si>
  <si>
    <t>30,50 TL</t>
  </si>
  <si>
    <t>Et Döner Dürüm Menü</t>
  </si>
  <si>
    <t xml:space="preserve">Et Döner Dürüm + Patates Kızartması + İçecek + Tatlı </t>
  </si>
  <si>
    <t>Et Döner Dürüm Menü 2</t>
  </si>
  <si>
    <t xml:space="preserve">Et Döner Dürüm + Ayran (30 cl.) + Patates Kızartması + Tatlı </t>
  </si>
  <si>
    <t xml:space="preserve">Tavuk Döner Dürüm + İçecek + Patates Kızartması + Tatlı </t>
  </si>
  <si>
    <t xml:space="preserve">120 gr. et döner. Pirinç pilavı ile </t>
  </si>
  <si>
    <t>Sade Et Döner</t>
  </si>
  <si>
    <t xml:space="preserve">120 gr. et döner. Salata, pirinç pilavı ile </t>
  </si>
  <si>
    <t xml:space="preserve">Pirinç pilavı, mevsim salata, ekmek ile </t>
  </si>
  <si>
    <t xml:space="preserve">Yoğurt, salata, pirinç pilavı ile </t>
  </si>
  <si>
    <t>Somun Ekmek Arası Et Döner Dürüm</t>
  </si>
  <si>
    <t>Pide Arası Et Döner Dürüm</t>
  </si>
  <si>
    <t>Soğanlı Domatesli Et Döner Dürüm</t>
  </si>
  <si>
    <t xml:space="preserve">Et döner, domates, soğan </t>
  </si>
  <si>
    <t xml:space="preserve">120 gr. tavuk döner. Salata, pirinç pilavı ile </t>
  </si>
  <si>
    <t>Sade Tavuk Döner</t>
  </si>
  <si>
    <t xml:space="preserve">120 gr. tavuk döner. Pirinç pilavı ile </t>
  </si>
  <si>
    <t xml:space="preserve">120 gr. tavuk döner. Yoğurt, pirinç pilavı ile </t>
  </si>
  <si>
    <t>Soğanlı Domatesli Tavuk Döner Dürüm</t>
  </si>
  <si>
    <t xml:space="preserve">Tavuk döner, domates, soğan </t>
  </si>
  <si>
    <t>Veggie Dürüm</t>
  </si>
  <si>
    <t xml:space="preserve">Salata, patates kızartması, sos, mayonez </t>
  </si>
  <si>
    <t>Çiğ Köfte (1 Kişilik) - Şu anda mevcut değil.</t>
  </si>
  <si>
    <t xml:space="preserve">Marul ile </t>
  </si>
  <si>
    <t xml:space="preserve">Yeşillik, Sezar sos </t>
  </si>
  <si>
    <t>Eker Çikolatalı Puding</t>
  </si>
  <si>
    <t>Eker Kazandibi</t>
  </si>
  <si>
    <t>Eker Sakızlı Muhallebi</t>
  </si>
  <si>
    <t>Eker Sütlaç</t>
  </si>
  <si>
    <t>Eker Keşkül</t>
  </si>
  <si>
    <t xml:space="preserve">Sucuk, kaşar peyniri, domates, biber </t>
  </si>
  <si>
    <t xml:space="preserve">Kavurma, kaşar peyniri </t>
  </si>
  <si>
    <t>Ultra Tost</t>
  </si>
  <si>
    <t xml:space="preserve">Sucuk, sosis, dana kavurma, kaşar peyniri, dometes, yeşilbiber, patates, kızartması, ketçap </t>
  </si>
  <si>
    <t xml:space="preserve">Sucuk, domates, biber </t>
  </si>
  <si>
    <t xml:space="preserve">Kaşar peyniri </t>
  </si>
  <si>
    <t>Kaşarlı Karışık Tost</t>
  </si>
  <si>
    <t xml:space="preserve">Kaşar peyniri, dometes, yeşilbiber </t>
  </si>
  <si>
    <t>Ekmek Arası Et Kıyma - Şu anda mevcut değil.</t>
  </si>
  <si>
    <t>Seçilmiş Menü (Kavurmalı Kaşarlı Gözleme)</t>
  </si>
  <si>
    <t xml:space="preserve">Kavurmalı Kaşarlı Gözleme + Coca-Cola (33 cl.) </t>
  </si>
  <si>
    <t>24,25 TL</t>
  </si>
  <si>
    <t xml:space="preserve">Mevsim yeşillikleri, patates kızartması ile </t>
  </si>
  <si>
    <t>Sebzeli Kaşarlı Gözleme</t>
  </si>
  <si>
    <t>Tahin Pekmezli Gözleme</t>
  </si>
  <si>
    <t>Fellah Köftesi</t>
  </si>
  <si>
    <t xml:space="preserve">Patates kızartması, salata ile </t>
  </si>
  <si>
    <t>Kasap Köfte</t>
  </si>
  <si>
    <t>Domates Soslu Köfte</t>
  </si>
  <si>
    <t>Kaşarlı Patates Püreli Köfte</t>
  </si>
  <si>
    <t>Dağ Kekiği Soslu Tavuk</t>
  </si>
  <si>
    <t xml:space="preserve">Makarna, salata ile </t>
  </si>
  <si>
    <t>Meksika Soslu Tavuk</t>
  </si>
  <si>
    <t>Klasik Islak Burger</t>
  </si>
  <si>
    <t xml:space="preserve">Burger köftesi, özel sos, karamelize soğan </t>
  </si>
  <si>
    <t>Mexico Cafe Hot Dot Sandviç</t>
  </si>
  <si>
    <t xml:space="preserve">Dana sosis, hardal, ketçap, mayonez </t>
  </si>
  <si>
    <t>Mexico Cafe Special Sandviç</t>
  </si>
  <si>
    <t xml:space="preserve">Yeşillik, domates, salatalık, kornişon turşu, kaşarlı patates püresi, zeytin sos, füme salam, sucuk, dana kavurma, pastırma, beyaz peynir, kaşar peyniri, cheddar peyniri, haşlanmış yumurta, özel sos </t>
  </si>
  <si>
    <t>Sandviç Menü</t>
  </si>
  <si>
    <t xml:space="preserve">Seçeceğiniz Sandviç + Patates Kızartması + Kutu İçecek </t>
  </si>
  <si>
    <t>Seçilmiş Menü (2 Adet Klasik Islak Burger)</t>
  </si>
  <si>
    <t xml:space="preserve">2 Adet Klasik Islak Burger + Coca-Cola (33 cl.) </t>
  </si>
  <si>
    <t>Vodafone Menüsü (Street Soğuk Sandviç)</t>
  </si>
  <si>
    <t xml:space="preserve">Street Soğuk Sandviç + Kutu İçecek (Kampanya koşulları için restoranın Promosyonlar bölümüne göz atınız. İndirimli fiyat ürün sepete eklendikten sonra uygulanır.) </t>
  </si>
  <si>
    <t>Islak Burger Menü</t>
  </si>
  <si>
    <t xml:space="preserve">2 Adet Islak Burger + Patates Kızartması + Kutu İçecek </t>
  </si>
  <si>
    <t>Cheddar Islak Burger Menü</t>
  </si>
  <si>
    <t xml:space="preserve">2 Adet Cheddarlı Islak Burger + Patates Kızartması + Kutu İçecek </t>
  </si>
  <si>
    <t>Islak Special Burger Menü</t>
  </si>
  <si>
    <t xml:space="preserve">Islak Special Burger + Patates Kızartması + Kutu İçecek </t>
  </si>
  <si>
    <t>Mexico Cafe Taco Menü</t>
  </si>
  <si>
    <t xml:space="preserve">Mexico Cafe Taco (Tortilla ekmeğine; soslu marinelenmiş dana eti, soğan, roka, maydanoz, kaşar peyniri, sos) + Elma Dilim Patates Kızartması + Kutu İçecek </t>
  </si>
  <si>
    <t>Chicken Taco Menü</t>
  </si>
  <si>
    <t xml:space="preserve">Chicken Taco (Tortilla ekmeğine; soslu marinelenmiş tavuk eti, soğan, roka, maydanoz, kaşar peyniri, sos) + Elma Dilim Patates Kızartması + Kutu İçecek </t>
  </si>
  <si>
    <t>Mexico Atom Sandviç</t>
  </si>
  <si>
    <t xml:space="preserve">Tereyağı, bal, muz, ceviz, Antep fıstığı, Nutella, Hindistan cevizi </t>
  </si>
  <si>
    <t>Mexico Cafe HotDog Kaşarlı Sandviç</t>
  </si>
  <si>
    <t>Cheddarlı Islak Burger</t>
  </si>
  <si>
    <t xml:space="preserve">Burger köftesi, özel sos, cheddar peyniri, karamelize soğan </t>
  </si>
  <si>
    <t>Mexico Special Burger</t>
  </si>
  <si>
    <t xml:space="preserve">Burger köftesi, özel sos, kaşar peyniri, cheddar peyniri, dana bacon, karamelize soğan </t>
  </si>
  <si>
    <t>Mexico Cafe Taco</t>
  </si>
  <si>
    <t xml:space="preserve">Tortilla ekmeğine; soslu marinelenmiş dana eti, soğan, roka, maydanoz, kaşar peyniri, Mexico chili sos </t>
  </si>
  <si>
    <t>Chicken Taco</t>
  </si>
  <si>
    <t xml:space="preserve">Tortilla ekmeğine; soslu marinelenmiş tavuk eti, roka, kaşar peyniri, sos, soğan, Meksika fasulye, yeşillik, mısır </t>
  </si>
  <si>
    <t>Kendin Seç Waffle</t>
  </si>
  <si>
    <t xml:space="preserve">Seçceğiniz 3 adet waffle sos, 3 adet meyve, 2 adet topping, 2 adet pirinç patlağı, 2 adet şekerleme, 2 adet çerez ile </t>
  </si>
  <si>
    <t>Bol Nutellalı Waffle</t>
  </si>
  <si>
    <t xml:space="preserve">Nutella, muz, kivi, çilek, fındık, Antep fıstığı, Hindistan cevizi, sütlü damla çikolata, sütlü pirinç patlağı </t>
  </si>
  <si>
    <t>Special Waffle</t>
  </si>
  <si>
    <t xml:space="preserve">Nutella, beyaz çikolata, muz, kivi, çilek, fındık, Antep fıstığı, Hindistan cevizi, sütlü damla çikolata, beyaz damla çikolata </t>
  </si>
  <si>
    <t>Tropical Waffle</t>
  </si>
  <si>
    <t xml:space="preserve">Frambuaz sosu, muzlu çikolata sosu, muz, kivi, çilek, ananas, fındık, Antep fıstığı, Hindistan cevizi, frambuaz damla, damla beyaz çikolata, beyaz çikolata topping, frambuaz topping </t>
  </si>
  <si>
    <t>Seçilmiş Menü (Kendin Seç Waffle)</t>
  </si>
  <si>
    <t xml:space="preserve">Kendin Seç Waffle + Coca-Cola (20 cl.) </t>
  </si>
  <si>
    <t>Vodafone Menüsü (Bol Nutellalı Waffle)</t>
  </si>
  <si>
    <t xml:space="preserve">Bol Nutellalı Waffle + Ev Yapımı Limonata (Kampanya koşulları için restoranın Promosyonlar bölümüne göz atınız. İndirimli fiyat ürün sepete eklendikten sonra uygulanır.) </t>
  </si>
  <si>
    <t>Karam Waffle</t>
  </si>
  <si>
    <t xml:space="preserve">Bitter çikolata sosu, muz, kivi, çilek, fındık, Antep fıstığı, Hindistan cevizi, bitter damla çikolata, bitter pirinç patlağı, bitter topping </t>
  </si>
  <si>
    <t>Dondurmalı Portakal Suyu</t>
  </si>
  <si>
    <t>Greyfurt &amp; Portakal Suyu</t>
  </si>
  <si>
    <t>Atom</t>
  </si>
  <si>
    <t xml:space="preserve">Bal, muz, süt </t>
  </si>
  <si>
    <t>Nar &amp; Portakal Suyu</t>
  </si>
  <si>
    <t>Portakal Suyu</t>
  </si>
  <si>
    <t>Nar &amp; Greyfurt &amp; Portakal Suyu</t>
  </si>
  <si>
    <t>Muzlu Süt</t>
  </si>
  <si>
    <t>Ev Yapımı Limonata</t>
  </si>
  <si>
    <t xml:space="preserve">Günlük ev yapımı limonata </t>
  </si>
  <si>
    <t>Black Bruin (25 cl.)</t>
  </si>
  <si>
    <t>Cappy (1 L.)</t>
  </si>
  <si>
    <t>Xl Süper İkili Special Menü</t>
  </si>
  <si>
    <t xml:space="preserve">2 Adet Özel XL Et Hamburger (Ev yapımı burger köftesi, marul, domates, turşu, cheddar peyniri, soğan) + Parmak Patates Kızartması + Soğan Halkası (2 Adet) + Tavuk Nugget (2 Adet) + Patates Kroket (2 Adet) + Coca-Cola (20 cl.) </t>
  </si>
  <si>
    <t>Meyveli Waffle</t>
  </si>
  <si>
    <t xml:space="preserve">Çilek, muz, kırık fındık, sütlü waffle çikolatası, fildişi waffle çikolatası, pirinç patlağı, özel waffle hamuru ile </t>
  </si>
  <si>
    <t xml:space="preserve">Mozzarella peyniri, salam, sosis, sucuk, mantar, mısır, biber, zeytin </t>
  </si>
  <si>
    <t>XL Kampanyalı Dilim Pizza Menü</t>
  </si>
  <si>
    <t xml:space="preserve">4 Adet Karışık Dilim Pizza (Dana sucuk, dana salam, dana sosis, mantar, mısır, biber, zeytin) + Soğan Halkası (2 Adet) + Patates Kroket (2 Adet) + Tavuk Nugget (2 Adet) + Patates Kızartması + Coca-Cola (20 cl.) </t>
  </si>
  <si>
    <t>Seçilmiş Menü (Pollo Pizza (Büyük))</t>
  </si>
  <si>
    <t xml:space="preserve">Pollo Pizza (Büyük) + Coca-Cola (33 cl.) </t>
  </si>
  <si>
    <t>37,75 TL</t>
  </si>
  <si>
    <t xml:space="preserve">Cheeseburger + Coca-Cola (33 cl.) </t>
  </si>
  <si>
    <t>Seçilmiş Menü (Karışık Pizza (Orta))</t>
  </si>
  <si>
    <t xml:space="preserve">Karışık Pizza (Orta) + Coca-Cola (33 cl.) </t>
  </si>
  <si>
    <t>Vodafone Menüsü (Fajitas Pizza (Orta))</t>
  </si>
  <si>
    <t xml:space="preserve">Fajitas Pizza (Orta) + Coca-Cola (33 cl.) (Kampanya koşulları için restoranın Promosyonlar bölümüne göz atınız. İndirimli fiyat ürün sepete eklendikten sonra uygulanır.) </t>
  </si>
  <si>
    <t>Yeşil Hamburger Menü</t>
  </si>
  <si>
    <t xml:space="preserve">Yeşil Hamburger + Patates Kızartması + Kutu İçecek </t>
  </si>
  <si>
    <t>Kırmızı Hamburger Menü</t>
  </si>
  <si>
    <t xml:space="preserve">Kırmızı Hamburger + Patates Kızartması + Kutu İçecek </t>
  </si>
  <si>
    <t>Siyah Hamburger Menü</t>
  </si>
  <si>
    <t xml:space="preserve">Siyah Hamburger + Patates Kızartması + Kutu İçecek </t>
  </si>
  <si>
    <t>XL Spesiyal Pizza Menü</t>
  </si>
  <si>
    <t xml:space="preserve">XL Spesiyal Pizza (Mozzarella peyniri, domates sosu, soğan halkası, kroket, nugget) + 2 Adet Coca-Cola (20 cl.) </t>
  </si>
  <si>
    <t>XL King Burger Menü</t>
  </si>
  <si>
    <t xml:space="preserve">XL King Burger (Özel hamburger köftesi, dana jambon, cheddar peynir, King sos, domates, marul, turşu) + Patates Kızartması + Soğan Halkası + Nugget + İçecek </t>
  </si>
  <si>
    <t xml:space="preserve">3 adet yumurta, kaşar peyniri </t>
  </si>
  <si>
    <t>Kaşarlı Sucuklu Omlet</t>
  </si>
  <si>
    <t xml:space="preserve">3 adet yumurta, kaşar peyniri, sucuk </t>
  </si>
  <si>
    <t xml:space="preserve">3 adet yumurta, pastırma, kaşar peyniri </t>
  </si>
  <si>
    <t>XL Özel Kahvaltı</t>
  </si>
  <si>
    <t xml:space="preserve">Beyaz peynir, kaşar peyniri, domates, salatalık, salam, haşlanmış yumurta, bal, tereyağı, patates kızartması </t>
  </si>
  <si>
    <t>Kaşarlı Sucuklu Gözleme</t>
  </si>
  <si>
    <t xml:space="preserve">Patates kızartması ile </t>
  </si>
  <si>
    <t>XL Gözleme</t>
  </si>
  <si>
    <t xml:space="preserve">Kaşar peyniri, mantar, siyah zeytin, yeşilzeytin, salam, kekik. Patates kızartması ile </t>
  </si>
  <si>
    <t>Peynirli Tulumlu Gözleme</t>
  </si>
  <si>
    <t>Kaşarlı Bazlama Tost</t>
  </si>
  <si>
    <t xml:space="preserve">3 dilim kaşar peyniri, sucuk. Patates kızartması ile </t>
  </si>
  <si>
    <t>Pastırmalı Bazlama Tost</t>
  </si>
  <si>
    <t>Karışık Bazlama Tost</t>
  </si>
  <si>
    <t xml:space="preserve">Kaşar peyniri, sucuk. Patates kızartması ile </t>
  </si>
  <si>
    <t>Kavurmalı Bazlama Tost</t>
  </si>
  <si>
    <t>Izgara Köfte Sandviç</t>
  </si>
  <si>
    <t xml:space="preserve">Marul, domates. Patates kızartması ile </t>
  </si>
  <si>
    <t xml:space="preserve">Marine edilmiş tavuk, marul, domates, turşu. Patates kızartması ile </t>
  </si>
  <si>
    <t xml:space="preserve">Burger köftesi, marul, domates, turşu. Patates kızartması ile </t>
  </si>
  <si>
    <t xml:space="preserve">Burger köftesi, cheddar peyniri, marul, domates, turşu. Patates kızartması ile </t>
  </si>
  <si>
    <t>Big Burger</t>
  </si>
  <si>
    <t xml:space="preserve">2 adet burger köftesi, marul, domates, turşu. Patates kızartması ile </t>
  </si>
  <si>
    <t>Siyah Hamburger</t>
  </si>
  <si>
    <t xml:space="preserve">Siyah özel hamburger ekmeği, hamburger köftesi, domates, turşu, cheddar peyniri, kıtır soğan. Patates kızartması, koktely hamburger sos ile </t>
  </si>
  <si>
    <t>Yeşil Hamburger</t>
  </si>
  <si>
    <t xml:space="preserve">Yeşil özel hamburger ekmeği, hamburger köftesi, domates, turşu, cheddar peyniri, kıtır soğan. Patates kızartması, koktely hamburger sos ile </t>
  </si>
  <si>
    <t>Kırmızı Hamburger</t>
  </si>
  <si>
    <t xml:space="preserve">Kırmızı özel hamburger ekmeği, hamburger köftesi, domates, turşu, cheddar peyniri, kıtır soğan. Patates kızartması, koktely hamburger sos ile </t>
  </si>
  <si>
    <t>Mexican Burger (Acılı)</t>
  </si>
  <si>
    <t xml:space="preserve">Mexican özel hamburger ekmeği, hamburger köftesi, domates, turşu, cheddar peyniri, kıtır soğan. Patates kızartması, Mexican hamburger sos ile </t>
  </si>
  <si>
    <t xml:space="preserve">Jülyen tavuk parçacıkları, krema, mantar, köri baharatı. Patates kızartması ile </t>
  </si>
  <si>
    <t xml:space="preserve">Mevsim yeşillikleri ile </t>
  </si>
  <si>
    <t>Penne All Fungi</t>
  </si>
  <si>
    <t xml:space="preserve">Penne makarna, sotelenmiş mantar, dana bonfile parçacıkları, krema, demi glace sos </t>
  </si>
  <si>
    <t>XL Tavuk</t>
  </si>
  <si>
    <t xml:space="preserve">Marine edilmiş 2 adet tavuk bonfile, tereyağı sosu </t>
  </si>
  <si>
    <t>Mantar Soslu Tavuk</t>
  </si>
  <si>
    <t xml:space="preserve">Izgara tavuk, mantar sosu, kaşar peyniri </t>
  </si>
  <si>
    <t>Etli Burrito</t>
  </si>
  <si>
    <t xml:space="preserve">Jülyen bonfile parçacıkları, mantar, kırmızıbiber </t>
  </si>
  <si>
    <t xml:space="preserve">5 adet ızgara köfte. Mevsim yeşillikleri, elma dilim patates kızartması ile </t>
  </si>
  <si>
    <t>3 Renkli Tortelini</t>
  </si>
  <si>
    <t xml:space="preserve">Makarna, krema, sarımsak, tuz, karabiber, permasan peyniri, özel sos </t>
  </si>
  <si>
    <t>XL Steak</t>
  </si>
  <si>
    <t xml:space="preserve">Marine edilmiş 2 adet dana bonfile, tereyağı sosu </t>
  </si>
  <si>
    <t>Bonfile Sarma</t>
  </si>
  <si>
    <t xml:space="preserve">Izgara bonfile, mantar, mozzarella peyniri. Elma dilim patates kızartması, garnitür, demi glace sos ile </t>
  </si>
  <si>
    <t>Akdeniz Pizza (Orta)</t>
  </si>
  <si>
    <t xml:space="preserve">Mozzarella peyniri, domates, beyaz peynir, mantar, mısır, yeşilbiber </t>
  </si>
  <si>
    <t>Al Funghi Pizza (Orta)</t>
  </si>
  <si>
    <t xml:space="preserve">Mozzarella peyniri, domates sosu, mantar, zeytin, mısır </t>
  </si>
  <si>
    <t xml:space="preserve">Mozzarella peyniri, domates sosu, yeşilbiber </t>
  </si>
  <si>
    <t>Pepperoni Pizza (Orta)</t>
  </si>
  <si>
    <t xml:space="preserve">Mozzarella peyniri, dana sucuk </t>
  </si>
  <si>
    <t>Pollo Pizza (Orta)</t>
  </si>
  <si>
    <t xml:space="preserve">Mozzarella peyniri, domates sosu, baharatlı tavuk, kırmızı soğan, mantar, mısır, zeytin, kırmızıbiber </t>
  </si>
  <si>
    <t>Spamela Pizza (Orta)</t>
  </si>
  <si>
    <t xml:space="preserve">Mozzarella peyniri, domates sosu, acı biber sosu, kavurma, kekik </t>
  </si>
  <si>
    <t>Fajitas Pizza (Orta)</t>
  </si>
  <si>
    <t xml:space="preserve">Mozzarella peyniri, domates sosu, dana bonfile, yeşilbiber, kırmızıbiber, mantar </t>
  </si>
  <si>
    <t>Ton Balıklı Pizza (Orta)</t>
  </si>
  <si>
    <t xml:space="preserve">Mozzarella peyniri, domates sosu, ton balığı, mısır, soğan, kekik </t>
  </si>
  <si>
    <t xml:space="preserve">Mozzarella peyniri, domates, pastırma, mantar, mısır, yeşilbiber, kırmızıbiber </t>
  </si>
  <si>
    <t>Akdeniz Pizza (Büyük)</t>
  </si>
  <si>
    <t>Al Funghi Pizza (Büyük)</t>
  </si>
  <si>
    <t>Pollo Pizza (Büyük)</t>
  </si>
  <si>
    <t>Pepperoni Pizza (Büyük)</t>
  </si>
  <si>
    <t>Ton Balıklı Pizza (Büyük)</t>
  </si>
  <si>
    <t>Fajitas Pizza (Büyük)</t>
  </si>
  <si>
    <t>Spamela Pizza (Büyük)</t>
  </si>
  <si>
    <t>Suffle</t>
  </si>
  <si>
    <t xml:space="preserve">(Ev yapımı) Sıcak çikolata şelalesi, vanilyalı dondurma ile </t>
  </si>
  <si>
    <t>Karışık Dondurma</t>
  </si>
  <si>
    <t xml:space="preserve">Sade, kako, Antep fıstığı , limon, kavun, İtalyan karameli, çilek, muz, Oreo </t>
  </si>
  <si>
    <t>Devis Cake</t>
  </si>
  <si>
    <t xml:space="preserve">Özel bitter çikolatalı pasta </t>
  </si>
  <si>
    <t xml:space="preserve">Labne peynirli, Nescefe Espresso özel tiramiusu, krema, toz kakao </t>
  </si>
  <si>
    <t xml:space="preserve">Özel karışım bisküvi taban cheesecake, kreması, limon sos </t>
  </si>
  <si>
    <t>Tuzlu-Tatlı Kuru Pasta (1 kg.)</t>
  </si>
  <si>
    <t>Soğuk Baklava (1 kg.)</t>
  </si>
  <si>
    <t>Cevizli Burma Kadayıf (1 kg.)</t>
  </si>
  <si>
    <t>Taze Sıkma Portakal Suyu</t>
  </si>
  <si>
    <t>Redbull (25 cl.)</t>
  </si>
  <si>
    <t xml:space="preserve">Maydanoz, limon, ezme, salata ile </t>
  </si>
  <si>
    <t xml:space="preserve">Közlenmiş domates, biber, ezme salata, çoban salata ile </t>
  </si>
  <si>
    <t>Tavuk Suyu Çorbası</t>
  </si>
  <si>
    <t>Alinazik Kebap (Kuzu Şişten) (1,5 Porsiyon)</t>
  </si>
  <si>
    <t>Beyti Kebap (Açık) (1,5 Porsiyon)</t>
  </si>
  <si>
    <t>Dana Biftek</t>
  </si>
  <si>
    <t>Domatesli Kebap (1,5 Porsiyon)</t>
  </si>
  <si>
    <t>Karışık Izgara (1,5 Porsiyon)</t>
  </si>
  <si>
    <t xml:space="preserve">Adana kebap, et şiş, tavuk şiş. Közlenmiş domates, biber, ezme salata, çoban salata ile </t>
  </si>
  <si>
    <t>Kemikli Tavuk Şiş</t>
  </si>
  <si>
    <t>Kemiksiz Tavuk Şiş</t>
  </si>
  <si>
    <t>Patlıcanlı Kebap (1,5 Porsiyon)</t>
  </si>
  <si>
    <t>Sarma Beyti Kebap (1,5 Porsiyon)</t>
  </si>
  <si>
    <t xml:space="preserve">Lavaşa sarılı, soslu, yoğurtlu. Közlenmiş domates, biber, ezme salata, çoban salata ile </t>
  </si>
  <si>
    <t>Karışık Yumurtalı Pide</t>
  </si>
  <si>
    <t xml:space="preserve">Kaşar peyniri, kuşbaşı eti, domates, biber, maydanoz. Limon, ezme, salata ile </t>
  </si>
  <si>
    <t>Ciğer Sac Tava</t>
  </si>
  <si>
    <t xml:space="preserve">Kuzu ciğer, domates, tatlı sivri biber, sarımsak </t>
  </si>
  <si>
    <t>Şırdan</t>
  </si>
  <si>
    <t>Ayran (29,3 cl.)</t>
  </si>
  <si>
    <t>Cevizli Özel Dilim Baklava (1 kg.)</t>
  </si>
  <si>
    <t>Cevizli Soğuk Baklava (1 kg.)</t>
  </si>
  <si>
    <t>Meyveli Pasta (2-4 Kişilik)</t>
  </si>
  <si>
    <t xml:space="preserve">Mevsim meyveleri </t>
  </si>
  <si>
    <t>Kaymaklı Şöbiyet (1 kg.)</t>
  </si>
  <si>
    <t>Çikolatalı Pasta (4-6 Kişilik)</t>
  </si>
  <si>
    <t>Sade Poğaça (10 Adet)</t>
  </si>
  <si>
    <t>Açma (10 Adet)</t>
  </si>
  <si>
    <t>Kaşarlı Poğaça (10 Adet)</t>
  </si>
  <si>
    <t>Üçgen Peynirli Poğaça (10 Adet)</t>
  </si>
  <si>
    <t>Zeytinli Poğaça (10 Adet)</t>
  </si>
  <si>
    <t>Patatesli Poğaça (10 Adet)</t>
  </si>
  <si>
    <t>Beyaz Peynirli Poğaça (10 Adet)</t>
  </si>
  <si>
    <t>Salamlı Poğaça (10 Adet)</t>
  </si>
  <si>
    <t>Ekler (15 Adet)</t>
  </si>
  <si>
    <t>Çikolatalı Pasta (2-4 Kişilik)</t>
  </si>
  <si>
    <t>Negrolu Pasta (2-4 Kişilik)</t>
  </si>
  <si>
    <t>Krokanlı Pasta (2-4 Kişilik)</t>
  </si>
  <si>
    <t>Draje Fıstıklı Pasta (4-6 Kişilik)</t>
  </si>
  <si>
    <t>Meyveli Pasta (4-6 Kişilik)</t>
  </si>
  <si>
    <t>Negrolu Pasta (4-6 Kişilik)</t>
  </si>
  <si>
    <t>Çikolatalı Pasta (6-8 Kişilik)</t>
  </si>
  <si>
    <t>Meyveli Pasta (6-8 Kişilik)</t>
  </si>
  <si>
    <t>Negrolu Pasta (6-8 Kişilik)</t>
  </si>
  <si>
    <t>Kestaneli Pasta (8-10 Kişilik)</t>
  </si>
  <si>
    <t>74,00 TL</t>
  </si>
  <si>
    <t>Çikolatalı Pasta (8-10 Kişilik)</t>
  </si>
  <si>
    <t>Meyveli Pasta (8-10 Kişilik)</t>
  </si>
  <si>
    <t>Negrolu Pasta (8-10 Kişilik)</t>
  </si>
  <si>
    <t>Profiterol (1 kg.)</t>
  </si>
  <si>
    <t>Karamelli Trileçe (1 kg.)</t>
  </si>
  <si>
    <t>Şehrazat Tatlısı (1 kg.)</t>
  </si>
  <si>
    <t xml:space="preserve">Üstü Antep fstığı, çilek </t>
  </si>
  <si>
    <t>Tuzlu Kuru Pasta (1 kg.)</t>
  </si>
  <si>
    <t>Tatlı Kuru Pasta (1 kg.)</t>
  </si>
  <si>
    <t>Tuzlu Kuru Pasta (500 gr.)</t>
  </si>
  <si>
    <t>Tatlı Kuru Pasta (500 gr.)</t>
  </si>
  <si>
    <t>Fıstıklı Özel Baklava (1 kg.)</t>
  </si>
  <si>
    <t>79,00 TL</t>
  </si>
  <si>
    <t>Fıstıklı Sarma (1 kg.)</t>
  </si>
  <si>
    <t>99,00 TL</t>
  </si>
  <si>
    <t>Dilberdudağı (1 kg.)</t>
  </si>
  <si>
    <t>Kıymalı Selanik Göçmen Böreği (1 kg.)</t>
  </si>
  <si>
    <t>Peynirli Selanik Göçmen Böreği (1 kg.)</t>
  </si>
  <si>
    <t>Sebzeli Selanik Göçmen Böreği (1 kg.)</t>
  </si>
  <si>
    <t xml:space="preserve">Biber, soğan, domates, az kıyma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</si>
</sst>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104"/>
  <sheetViews>
    <sheetView tabSelected="1" topLeftCell="H78" workbookViewId="0">
      <selection activeCell="A54" sqref="A54:XFD54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79</v>
      </c>
      <c r="D2" t="s">
        <v>78</v>
      </c>
      <c r="E2" t="s">
        <v>78</v>
      </c>
      <c r="F2" t="s">
        <v>78</v>
      </c>
      <c r="G2" t="s">
        <v>185</v>
      </c>
      <c r="H2" t="s">
        <v>186</v>
      </c>
      <c r="I2" t="s">
        <v>187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191</v>
      </c>
      <c r="C3" t="s">
        <v>246</v>
      </c>
      <c r="D3" t="s">
        <v>78</v>
      </c>
      <c r="E3" t="s">
        <v>78</v>
      </c>
      <c r="F3" t="s">
        <v>78</v>
      </c>
      <c r="G3" t="s">
        <v>185</v>
      </c>
      <c r="H3" t="s">
        <v>186</v>
      </c>
      <c r="I3" t="s">
        <v>187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250</v>
      </c>
      <c r="C4" t="s">
        <v>246</v>
      </c>
      <c r="D4" t="s">
        <v>78</v>
      </c>
      <c r="E4" t="s">
        <v>78</v>
      </c>
      <c r="F4" t="s">
        <v>78</v>
      </c>
      <c r="G4" t="s">
        <v>185</v>
      </c>
      <c r="H4" t="s">
        <v>186</v>
      </c>
      <c r="I4" t="s">
        <v>288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292</v>
      </c>
      <c r="C5" t="s">
        <v>246</v>
      </c>
      <c r="D5" t="s">
        <v>78</v>
      </c>
      <c r="E5" t="s">
        <v>78</v>
      </c>
      <c r="F5" t="s">
        <v>78</v>
      </c>
      <c r="G5" t="s">
        <v>185</v>
      </c>
      <c r="H5" t="s">
        <v>186</v>
      </c>
      <c r="I5" t="s">
        <v>328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330</v>
      </c>
      <c r="C6" t="s">
        <v>246</v>
      </c>
      <c r="D6" t="s">
        <v>78</v>
      </c>
      <c r="E6" t="s">
        <v>78</v>
      </c>
      <c r="F6" t="s">
        <v>78</v>
      </c>
      <c r="G6" t="s">
        <v>185</v>
      </c>
      <c r="H6" t="s">
        <v>186</v>
      </c>
      <c r="I6" t="s">
        <v>351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353</v>
      </c>
      <c r="C7" t="s">
        <v>375</v>
      </c>
      <c r="D7" t="s">
        <v>78</v>
      </c>
      <c r="E7" t="s">
        <v>78</v>
      </c>
      <c r="F7" t="s">
        <v>78</v>
      </c>
      <c r="G7" t="s">
        <v>185</v>
      </c>
      <c r="H7" t="s">
        <v>186</v>
      </c>
      <c r="I7" t="s">
        <v>376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379</v>
      </c>
      <c r="C8" t="s">
        <v>395</v>
      </c>
      <c r="D8" t="s">
        <v>78</v>
      </c>
      <c r="E8" t="s">
        <v>78</v>
      </c>
      <c r="F8" t="s">
        <v>78</v>
      </c>
      <c r="G8" t="s">
        <v>185</v>
      </c>
      <c r="H8" t="s">
        <v>186</v>
      </c>
      <c r="I8" t="s">
        <v>328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398</v>
      </c>
      <c r="C9" t="s">
        <v>246</v>
      </c>
      <c r="D9" t="s">
        <v>78</v>
      </c>
      <c r="E9" t="s">
        <v>78</v>
      </c>
      <c r="F9" t="s">
        <v>78</v>
      </c>
      <c r="G9" t="s">
        <v>185</v>
      </c>
      <c r="H9" t="s">
        <v>411</v>
      </c>
      <c r="I9" t="s">
        <v>412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415</v>
      </c>
      <c r="C10" t="s">
        <v>601</v>
      </c>
      <c r="D10" t="s">
        <v>78</v>
      </c>
      <c r="E10" t="s">
        <v>78</v>
      </c>
      <c r="F10" t="s">
        <v>78</v>
      </c>
      <c r="G10" t="s">
        <v>185</v>
      </c>
      <c r="H10" t="s">
        <v>186</v>
      </c>
      <c r="I10" t="s">
        <v>187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604</v>
      </c>
      <c r="C11" t="s">
        <v>647</v>
      </c>
      <c r="D11" t="s">
        <v>78</v>
      </c>
      <c r="E11" t="s">
        <v>78</v>
      </c>
      <c r="F11" t="s">
        <v>78</v>
      </c>
      <c r="G11" t="s">
        <v>185</v>
      </c>
      <c r="H11" t="s">
        <v>186</v>
      </c>
      <c r="I11" t="s">
        <v>648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651</v>
      </c>
      <c r="C12" t="s">
        <v>694</v>
      </c>
      <c r="D12" t="s">
        <v>78</v>
      </c>
      <c r="E12" t="s">
        <v>78</v>
      </c>
      <c r="F12" t="s">
        <v>78</v>
      </c>
      <c r="G12" t="s">
        <v>185</v>
      </c>
      <c r="H12" t="s">
        <v>186</v>
      </c>
      <c r="I12" t="s">
        <v>288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697</v>
      </c>
      <c r="C13" t="s">
        <v>647</v>
      </c>
      <c r="D13" t="s">
        <v>78</v>
      </c>
      <c r="E13" t="s">
        <v>78</v>
      </c>
      <c r="F13" t="s">
        <v>78</v>
      </c>
      <c r="G13" t="s">
        <v>185</v>
      </c>
      <c r="H13" t="s">
        <v>186</v>
      </c>
      <c r="I13" t="s">
        <v>709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712</v>
      </c>
      <c r="C14" t="s">
        <v>647</v>
      </c>
      <c r="D14" t="s">
        <v>78</v>
      </c>
      <c r="E14" t="s">
        <v>78</v>
      </c>
      <c r="F14" t="s">
        <v>78</v>
      </c>
      <c r="G14" t="s">
        <v>185</v>
      </c>
      <c r="H14" t="s">
        <v>186</v>
      </c>
      <c r="I14" t="s">
        <v>328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730</v>
      </c>
      <c r="C15" t="s">
        <v>877</v>
      </c>
      <c r="D15" t="s">
        <v>78</v>
      </c>
      <c r="E15" t="s">
        <v>78</v>
      </c>
      <c r="F15" t="s">
        <v>78</v>
      </c>
      <c r="G15" t="s">
        <v>185</v>
      </c>
      <c r="H15" t="s">
        <v>186</v>
      </c>
      <c r="I15" t="s">
        <v>328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880</v>
      </c>
      <c r="C16" t="s">
        <v>899</v>
      </c>
      <c r="D16" t="s">
        <v>78</v>
      </c>
      <c r="E16" t="s">
        <v>78</v>
      </c>
      <c r="F16" t="s">
        <v>78</v>
      </c>
      <c r="G16" t="s">
        <v>185</v>
      </c>
      <c r="H16" t="s">
        <v>411</v>
      </c>
      <c r="I16" t="s">
        <v>900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903</v>
      </c>
      <c r="C17" t="s">
        <v>899</v>
      </c>
      <c r="D17" t="s">
        <v>78</v>
      </c>
      <c r="E17" t="s">
        <v>78</v>
      </c>
      <c r="F17" t="s">
        <v>78</v>
      </c>
      <c r="G17" t="s">
        <v>185</v>
      </c>
      <c r="H17" t="s">
        <v>411</v>
      </c>
      <c r="I17" t="s">
        <v>900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921</v>
      </c>
      <c r="C18" t="s">
        <v>1275</v>
      </c>
      <c r="D18" t="s">
        <v>78</v>
      </c>
      <c r="E18" t="s">
        <v>78</v>
      </c>
      <c r="F18" t="s">
        <v>78</v>
      </c>
      <c r="G18" t="s">
        <v>185</v>
      </c>
      <c r="H18" t="s">
        <v>186</v>
      </c>
      <c r="I18" t="s">
        <v>328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1278</v>
      </c>
      <c r="C19" t="s">
        <v>1418</v>
      </c>
      <c r="D19" t="s">
        <v>78</v>
      </c>
      <c r="E19" t="s">
        <v>78</v>
      </c>
      <c r="F19" t="s">
        <v>78</v>
      </c>
      <c r="G19" t="s">
        <v>185</v>
      </c>
      <c r="H19" t="s">
        <v>186</v>
      </c>
      <c r="I19" t="s">
        <v>187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1421</v>
      </c>
      <c r="C20" t="s">
        <v>647</v>
      </c>
      <c r="D20" t="s">
        <v>78</v>
      </c>
      <c r="E20" t="s">
        <v>78</v>
      </c>
      <c r="F20" t="s">
        <v>78</v>
      </c>
      <c r="G20" t="s">
        <v>185</v>
      </c>
      <c r="H20" t="s">
        <v>1437</v>
      </c>
      <c r="I20" t="s">
        <v>1438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1441</v>
      </c>
      <c r="C21" t="s">
        <v>647</v>
      </c>
      <c r="D21" t="s">
        <v>78</v>
      </c>
      <c r="E21" t="s">
        <v>78</v>
      </c>
      <c r="F21" t="s">
        <v>78</v>
      </c>
      <c r="G21" t="s">
        <v>185</v>
      </c>
      <c r="H21" t="s">
        <v>186</v>
      </c>
      <c r="I21" t="s">
        <v>1444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1447</v>
      </c>
      <c r="C22" t="s">
        <v>246</v>
      </c>
      <c r="D22" t="s">
        <v>78</v>
      </c>
      <c r="E22" t="s">
        <v>78</v>
      </c>
      <c r="F22" t="s">
        <v>78</v>
      </c>
      <c r="G22" t="s">
        <v>185</v>
      </c>
      <c r="H22" t="s">
        <v>186</v>
      </c>
      <c r="I22" t="s">
        <v>1438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1480</v>
      </c>
      <c r="C23" t="s">
        <v>246</v>
      </c>
      <c r="D23" t="s">
        <v>78</v>
      </c>
      <c r="E23" t="s">
        <v>78</v>
      </c>
      <c r="F23" t="s">
        <v>78</v>
      </c>
      <c r="G23" t="s">
        <v>185</v>
      </c>
      <c r="H23" t="s">
        <v>411</v>
      </c>
      <c r="I23" t="s">
        <v>900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1503</v>
      </c>
      <c r="C24" t="s">
        <v>246</v>
      </c>
      <c r="D24" t="s">
        <v>78</v>
      </c>
      <c r="E24" t="s">
        <v>78</v>
      </c>
      <c r="F24" t="s">
        <v>78</v>
      </c>
      <c r="G24" t="s">
        <v>185</v>
      </c>
      <c r="H24" t="s">
        <v>186</v>
      </c>
      <c r="I24" t="s">
        <v>1517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1519</v>
      </c>
      <c r="C25" t="s">
        <v>694</v>
      </c>
      <c r="D25" t="s">
        <v>78</v>
      </c>
      <c r="E25" t="s">
        <v>78</v>
      </c>
      <c r="F25" t="s">
        <v>78</v>
      </c>
      <c r="G25" t="s">
        <v>185</v>
      </c>
      <c r="H25" t="s">
        <v>186</v>
      </c>
      <c r="I25" t="s">
        <v>709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1537</v>
      </c>
      <c r="C26" t="s">
        <v>1825</v>
      </c>
      <c r="D26" t="s">
        <v>78</v>
      </c>
      <c r="E26" t="s">
        <v>78</v>
      </c>
      <c r="F26" t="s">
        <v>78</v>
      </c>
      <c r="G26" t="s">
        <v>185</v>
      </c>
      <c r="H26" t="s">
        <v>186</v>
      </c>
      <c r="I26" t="s">
        <v>187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1827</v>
      </c>
      <c r="C27" t="s">
        <v>899</v>
      </c>
      <c r="D27" t="s">
        <v>78</v>
      </c>
      <c r="E27" t="s">
        <v>78</v>
      </c>
      <c r="F27" t="s">
        <v>78</v>
      </c>
      <c r="G27" t="s">
        <v>185</v>
      </c>
      <c r="H27" t="s">
        <v>186</v>
      </c>
      <c r="I27" t="s">
        <v>1861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1864</v>
      </c>
      <c r="C28" t="s">
        <v>79</v>
      </c>
      <c r="D28" t="s">
        <v>78</v>
      </c>
      <c r="E28" t="s">
        <v>78</v>
      </c>
      <c r="F28" t="s">
        <v>78</v>
      </c>
      <c r="G28" t="s">
        <v>185</v>
      </c>
      <c r="H28" t="s">
        <v>186</v>
      </c>
      <c r="I28" t="s">
        <v>376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2032</v>
      </c>
      <c r="C29" t="s">
        <v>2106</v>
      </c>
      <c r="D29" t="s">
        <v>78</v>
      </c>
      <c r="E29" t="s">
        <v>78</v>
      </c>
      <c r="F29" t="s">
        <v>78</v>
      </c>
      <c r="G29" t="s">
        <v>185</v>
      </c>
      <c r="H29" t="s">
        <v>186</v>
      </c>
      <c r="I29" t="s">
        <v>328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2109</v>
      </c>
      <c r="C30" t="s">
        <v>899</v>
      </c>
      <c r="D30" t="s">
        <v>78</v>
      </c>
      <c r="E30" t="s">
        <v>78</v>
      </c>
      <c r="F30" t="s">
        <v>78</v>
      </c>
      <c r="G30" t="s">
        <v>185</v>
      </c>
      <c r="H30" t="s">
        <v>186</v>
      </c>
      <c r="I30" t="s">
        <v>187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2171</v>
      </c>
      <c r="C31" t="s">
        <v>647</v>
      </c>
      <c r="D31" t="s">
        <v>78</v>
      </c>
      <c r="E31" t="s">
        <v>78</v>
      </c>
      <c r="F31" t="s">
        <v>78</v>
      </c>
      <c r="G31" t="s">
        <v>185</v>
      </c>
      <c r="H31" t="s">
        <v>186</v>
      </c>
      <c r="I31" t="s">
        <v>1438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2235</v>
      </c>
      <c r="C32" t="s">
        <v>375</v>
      </c>
      <c r="D32" t="s">
        <v>78</v>
      </c>
      <c r="E32" t="s">
        <v>78</v>
      </c>
      <c r="F32" t="s">
        <v>78</v>
      </c>
      <c r="G32" t="s">
        <v>185</v>
      </c>
      <c r="H32" t="s">
        <v>186</v>
      </c>
      <c r="I32" t="s">
        <v>187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2314</v>
      </c>
      <c r="C33" t="s">
        <v>79</v>
      </c>
      <c r="D33" t="s">
        <v>78</v>
      </c>
      <c r="E33" t="s">
        <v>78</v>
      </c>
      <c r="F33" t="s">
        <v>78</v>
      </c>
      <c r="G33" t="s">
        <v>185</v>
      </c>
      <c r="H33" t="s">
        <v>186</v>
      </c>
      <c r="I33" t="s">
        <v>376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2378</v>
      </c>
      <c r="C34" t="s">
        <v>647</v>
      </c>
      <c r="D34" t="s">
        <v>78</v>
      </c>
      <c r="E34" t="s">
        <v>78</v>
      </c>
      <c r="F34" t="s">
        <v>78</v>
      </c>
      <c r="G34" t="s">
        <v>185</v>
      </c>
      <c r="H34" t="s">
        <v>186</v>
      </c>
      <c r="I34" t="s">
        <v>1438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2398</v>
      </c>
      <c r="C35" t="s">
        <v>2401</v>
      </c>
      <c r="D35" t="s">
        <v>78</v>
      </c>
      <c r="E35" t="s">
        <v>78</v>
      </c>
      <c r="F35" t="s">
        <v>78</v>
      </c>
      <c r="G35" t="s">
        <v>185</v>
      </c>
      <c r="H35" t="s">
        <v>186</v>
      </c>
      <c r="I35" t="s">
        <v>2402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2406</v>
      </c>
      <c r="C36" t="s">
        <v>79</v>
      </c>
      <c r="D36" t="s">
        <v>78</v>
      </c>
      <c r="E36" t="s">
        <v>78</v>
      </c>
      <c r="F36" t="s">
        <v>78</v>
      </c>
      <c r="G36" t="s">
        <v>185</v>
      </c>
      <c r="H36" t="s">
        <v>186</v>
      </c>
      <c r="I36" t="s">
        <v>376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2421</v>
      </c>
      <c r="C37" t="s">
        <v>647</v>
      </c>
      <c r="D37" t="s">
        <v>78</v>
      </c>
      <c r="E37" t="s">
        <v>78</v>
      </c>
      <c r="F37" t="s">
        <v>78</v>
      </c>
      <c r="G37" t="s">
        <v>185</v>
      </c>
      <c r="H37" t="s">
        <v>186</v>
      </c>
      <c r="I37" t="s">
        <v>328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2472</v>
      </c>
      <c r="C38" t="s">
        <v>601</v>
      </c>
      <c r="D38" t="s">
        <v>78</v>
      </c>
      <c r="E38" t="s">
        <v>78</v>
      </c>
      <c r="F38" t="s">
        <v>78</v>
      </c>
      <c r="G38" t="s">
        <v>185</v>
      </c>
      <c r="H38" t="s">
        <v>186</v>
      </c>
      <c r="I38" t="s">
        <v>187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2664</v>
      </c>
      <c r="C39" t="s">
        <v>601</v>
      </c>
      <c r="D39" t="s">
        <v>78</v>
      </c>
      <c r="E39" t="s">
        <v>78</v>
      </c>
      <c r="F39" t="s">
        <v>78</v>
      </c>
      <c r="G39" t="s">
        <v>185</v>
      </c>
      <c r="H39" t="s">
        <v>411</v>
      </c>
      <c r="I39" t="s">
        <v>2732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2735</v>
      </c>
      <c r="C40" t="s">
        <v>246</v>
      </c>
      <c r="D40" t="s">
        <v>78</v>
      </c>
      <c r="E40" t="s">
        <v>78</v>
      </c>
      <c r="F40" t="s">
        <v>78</v>
      </c>
      <c r="G40" t="s">
        <v>185</v>
      </c>
      <c r="H40" t="s">
        <v>186</v>
      </c>
      <c r="I40" t="s">
        <v>376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2776</v>
      </c>
      <c r="C41" t="s">
        <v>899</v>
      </c>
      <c r="D41" t="s">
        <v>78</v>
      </c>
      <c r="E41" t="s">
        <v>78</v>
      </c>
      <c r="F41" t="s">
        <v>78</v>
      </c>
      <c r="G41" t="s">
        <v>185</v>
      </c>
      <c r="H41" t="s">
        <v>411</v>
      </c>
      <c r="I41" t="s">
        <v>2800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2803</v>
      </c>
      <c r="C42" t="s">
        <v>899</v>
      </c>
      <c r="D42" t="s">
        <v>78</v>
      </c>
      <c r="E42" t="s">
        <v>78</v>
      </c>
      <c r="F42" t="s">
        <v>78</v>
      </c>
      <c r="G42" t="s">
        <v>185</v>
      </c>
      <c r="H42" t="s">
        <v>186</v>
      </c>
      <c r="I42" t="s">
        <v>187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2820</v>
      </c>
      <c r="C43" t="s">
        <v>647</v>
      </c>
      <c r="D43" t="s">
        <v>78</v>
      </c>
      <c r="E43" t="s">
        <v>78</v>
      </c>
      <c r="F43" t="s">
        <v>78</v>
      </c>
      <c r="G43" t="s">
        <v>185</v>
      </c>
      <c r="H43" t="s">
        <v>186</v>
      </c>
      <c r="I43" t="s">
        <v>351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2826</v>
      </c>
      <c r="C44" t="s">
        <v>647</v>
      </c>
      <c r="D44" t="s">
        <v>78</v>
      </c>
      <c r="E44" t="s">
        <v>78</v>
      </c>
      <c r="F44" t="s">
        <v>78</v>
      </c>
      <c r="G44" t="s">
        <v>185</v>
      </c>
      <c r="H44" t="s">
        <v>186</v>
      </c>
      <c r="I44" t="s">
        <v>2830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2833</v>
      </c>
      <c r="C45" t="s">
        <v>647</v>
      </c>
      <c r="D45" t="s">
        <v>78</v>
      </c>
      <c r="E45" t="s">
        <v>78</v>
      </c>
      <c r="F45" t="s">
        <v>78</v>
      </c>
      <c r="G45" t="s">
        <v>185</v>
      </c>
      <c r="H45" t="s">
        <v>186</v>
      </c>
      <c r="I45" t="s">
        <v>648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2843</v>
      </c>
      <c r="C46" t="s">
        <v>647</v>
      </c>
      <c r="D46" t="s">
        <v>78</v>
      </c>
      <c r="E46" t="s">
        <v>78</v>
      </c>
      <c r="F46" t="s">
        <v>78</v>
      </c>
      <c r="G46" t="s">
        <v>185</v>
      </c>
      <c r="H46" t="s">
        <v>186</v>
      </c>
      <c r="I46" t="s">
        <v>2849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2852</v>
      </c>
      <c r="C47" t="s">
        <v>647</v>
      </c>
      <c r="D47" t="s">
        <v>78</v>
      </c>
      <c r="E47" t="s">
        <v>78</v>
      </c>
      <c r="F47" t="s">
        <v>78</v>
      </c>
      <c r="G47" t="s">
        <v>185</v>
      </c>
      <c r="H47" t="s">
        <v>186</v>
      </c>
      <c r="I47" t="s">
        <v>1861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2862</v>
      </c>
      <c r="C48" t="s">
        <v>2967</v>
      </c>
      <c r="D48" t="s">
        <v>78</v>
      </c>
      <c r="E48" t="s">
        <v>78</v>
      </c>
      <c r="F48" t="s">
        <v>78</v>
      </c>
      <c r="G48" t="s">
        <v>185</v>
      </c>
      <c r="H48" t="s">
        <v>411</v>
      </c>
      <c r="I48" t="s">
        <v>900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2969</v>
      </c>
      <c r="C49" t="s">
        <v>2967</v>
      </c>
      <c r="D49" t="s">
        <v>78</v>
      </c>
      <c r="E49" t="s">
        <v>78</v>
      </c>
      <c r="F49" t="s">
        <v>78</v>
      </c>
      <c r="G49" t="s">
        <v>185</v>
      </c>
      <c r="H49" t="s">
        <v>186</v>
      </c>
      <c r="I49" t="s">
        <v>376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3037</v>
      </c>
      <c r="C50" t="s">
        <v>2967</v>
      </c>
      <c r="D50" t="s">
        <v>78</v>
      </c>
      <c r="E50" t="s">
        <v>78</v>
      </c>
      <c r="F50" t="s">
        <v>78</v>
      </c>
      <c r="G50" t="s">
        <v>185</v>
      </c>
      <c r="H50" t="s">
        <v>186</v>
      </c>
      <c r="I50" t="s">
        <v>187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3048</v>
      </c>
      <c r="C51" t="s">
        <v>2967</v>
      </c>
      <c r="D51" t="s">
        <v>78</v>
      </c>
      <c r="E51" t="s">
        <v>78</v>
      </c>
      <c r="F51" t="s">
        <v>78</v>
      </c>
      <c r="G51" t="s">
        <v>185</v>
      </c>
      <c r="H51" t="s">
        <v>186</v>
      </c>
      <c r="I51" t="s">
        <v>3052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3054</v>
      </c>
      <c r="C52" t="s">
        <v>2967</v>
      </c>
      <c r="D52" t="s">
        <v>78</v>
      </c>
      <c r="E52" t="s">
        <v>78</v>
      </c>
      <c r="F52" t="s">
        <v>78</v>
      </c>
      <c r="G52" t="s">
        <v>185</v>
      </c>
      <c r="H52" t="s">
        <v>186</v>
      </c>
      <c r="I52" t="s">
        <v>1517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3056</v>
      </c>
      <c r="C53" t="s">
        <v>2967</v>
      </c>
      <c r="D53" t="s">
        <v>78</v>
      </c>
      <c r="E53" t="s">
        <v>78</v>
      </c>
      <c r="F53" t="s">
        <v>78</v>
      </c>
      <c r="G53" t="s">
        <v>185</v>
      </c>
      <c r="H53" t="s">
        <v>186</v>
      </c>
      <c r="I53" t="s">
        <v>3057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B54" t="s">
        <v>3059</v>
      </c>
      <c r="C54" t="s">
        <v>2967</v>
      </c>
      <c r="D54" t="s">
        <v>3060</v>
      </c>
      <c r="E54" t="s">
        <v>3060</v>
      </c>
      <c r="F54" t="s">
        <v>3060</v>
      </c>
      <c r="G54" t="s">
        <v>185</v>
      </c>
      <c r="H54" t="s">
        <v>186</v>
      </c>
      <c r="I54" t="s">
        <v>2830</v>
      </c>
      <c r="J54" t="s">
        <v>3060</v>
      </c>
      <c r="K54" t="s">
        <v>3060</v>
      </c>
      <c r="L54" t="s">
        <v>3060</v>
      </c>
      <c r="M54" t="s">
        <v>3060</v>
      </c>
      <c r="N54" t="s">
        <v>3060</v>
      </c>
      <c r="O54">
        <v>54</v>
      </c>
    </row>
    <row r="55" spans="1:34" x14ac:dyDescent="0.25">
      <c r="B55" t="s">
        <v>3061</v>
      </c>
      <c r="C55" t="s">
        <v>2967</v>
      </c>
      <c r="D55" t="s">
        <v>3060</v>
      </c>
      <c r="E55" t="s">
        <v>3060</v>
      </c>
      <c r="F55" t="s">
        <v>3060</v>
      </c>
      <c r="G55" t="s">
        <v>185</v>
      </c>
      <c r="H55" t="s">
        <v>186</v>
      </c>
      <c r="I55" t="s">
        <v>351</v>
      </c>
      <c r="J55" t="s">
        <v>3060</v>
      </c>
      <c r="K55" t="s">
        <v>3060</v>
      </c>
      <c r="L55" t="s">
        <v>3060</v>
      </c>
      <c r="M55" t="s">
        <v>3060</v>
      </c>
      <c r="N55" t="s">
        <v>3060</v>
      </c>
      <c r="O55">
        <v>55</v>
      </c>
    </row>
    <row r="56" spans="1:34" x14ac:dyDescent="0.25">
      <c r="B56" t="s">
        <v>3062</v>
      </c>
      <c r="C56" t="s">
        <v>647</v>
      </c>
      <c r="D56" t="s">
        <v>3060</v>
      </c>
      <c r="E56" t="s">
        <v>3060</v>
      </c>
      <c r="F56" t="s">
        <v>3060</v>
      </c>
      <c r="G56" t="s">
        <v>185</v>
      </c>
      <c r="H56" t="s">
        <v>186</v>
      </c>
      <c r="I56" t="s">
        <v>709</v>
      </c>
      <c r="J56" t="s">
        <v>3060</v>
      </c>
      <c r="K56" t="s">
        <v>3060</v>
      </c>
      <c r="L56" t="s">
        <v>3060</v>
      </c>
      <c r="M56" t="s">
        <v>3060</v>
      </c>
      <c r="N56" t="s">
        <v>3060</v>
      </c>
      <c r="O56">
        <v>56</v>
      </c>
    </row>
    <row r="57" spans="1:34" x14ac:dyDescent="0.25">
      <c r="B57" t="s">
        <v>3063</v>
      </c>
      <c r="C57" t="s">
        <v>694</v>
      </c>
      <c r="D57" t="s">
        <v>3060</v>
      </c>
      <c r="E57" t="s">
        <v>3060</v>
      </c>
      <c r="F57" t="s">
        <v>3060</v>
      </c>
      <c r="G57" t="s">
        <v>185</v>
      </c>
      <c r="H57" t="s">
        <v>186</v>
      </c>
      <c r="I57" t="s">
        <v>1438</v>
      </c>
      <c r="J57" t="s">
        <v>3060</v>
      </c>
      <c r="K57" t="s">
        <v>3060</v>
      </c>
      <c r="L57" t="s">
        <v>3060</v>
      </c>
      <c r="M57" t="s">
        <v>3060</v>
      </c>
      <c r="N57" t="s">
        <v>3060</v>
      </c>
      <c r="O57">
        <v>57</v>
      </c>
    </row>
    <row r="58" spans="1:34" x14ac:dyDescent="0.25">
      <c r="B58" t="s">
        <v>3064</v>
      </c>
      <c r="C58" t="s">
        <v>899</v>
      </c>
      <c r="D58" t="s">
        <v>3060</v>
      </c>
      <c r="E58" t="s">
        <v>3060</v>
      </c>
      <c r="F58" t="s">
        <v>3060</v>
      </c>
      <c r="G58" t="s">
        <v>185</v>
      </c>
      <c r="H58" t="s">
        <v>186</v>
      </c>
      <c r="I58" t="s">
        <v>1444</v>
      </c>
      <c r="J58" t="s">
        <v>3060</v>
      </c>
      <c r="K58" t="s">
        <v>3060</v>
      </c>
      <c r="L58" t="s">
        <v>3060</v>
      </c>
      <c r="M58" t="s">
        <v>3060</v>
      </c>
      <c r="N58" t="s">
        <v>3060</v>
      </c>
      <c r="O58">
        <v>58</v>
      </c>
    </row>
    <row r="59" spans="1:34" x14ac:dyDescent="0.25">
      <c r="B59" t="s">
        <v>3065</v>
      </c>
      <c r="C59" t="s">
        <v>877</v>
      </c>
      <c r="D59" t="s">
        <v>3060</v>
      </c>
      <c r="E59" t="s">
        <v>3060</v>
      </c>
      <c r="F59" t="s">
        <v>3060</v>
      </c>
      <c r="G59" t="s">
        <v>185</v>
      </c>
      <c r="H59" t="s">
        <v>186</v>
      </c>
      <c r="I59" t="s">
        <v>1861</v>
      </c>
      <c r="J59" t="s">
        <v>3060</v>
      </c>
      <c r="K59" t="s">
        <v>3060</v>
      </c>
      <c r="L59" t="s">
        <v>3060</v>
      </c>
      <c r="M59" t="s">
        <v>3060</v>
      </c>
      <c r="N59" t="s">
        <v>3060</v>
      </c>
      <c r="O59">
        <v>59</v>
      </c>
    </row>
    <row r="60" spans="1:34" x14ac:dyDescent="0.25">
      <c r="B60" t="s">
        <v>3066</v>
      </c>
      <c r="C60" t="s">
        <v>647</v>
      </c>
      <c r="D60" t="s">
        <v>3060</v>
      </c>
      <c r="E60" t="s">
        <v>3060</v>
      </c>
      <c r="F60" t="s">
        <v>3060</v>
      </c>
      <c r="G60" t="s">
        <v>185</v>
      </c>
      <c r="H60" t="s">
        <v>186</v>
      </c>
      <c r="I60" t="s">
        <v>187</v>
      </c>
      <c r="J60" t="s">
        <v>3060</v>
      </c>
      <c r="K60" t="s">
        <v>3060</v>
      </c>
      <c r="L60" t="s">
        <v>3060</v>
      </c>
      <c r="M60" t="s">
        <v>3060</v>
      </c>
      <c r="N60" t="s">
        <v>3060</v>
      </c>
      <c r="O60">
        <v>60</v>
      </c>
    </row>
    <row r="61" spans="1:34" x14ac:dyDescent="0.25">
      <c r="B61" t="s">
        <v>3067</v>
      </c>
      <c r="C61" t="s">
        <v>899</v>
      </c>
      <c r="D61" t="s">
        <v>3060</v>
      </c>
      <c r="E61" t="s">
        <v>3060</v>
      </c>
      <c r="F61" t="s">
        <v>3060</v>
      </c>
      <c r="G61" t="s">
        <v>185</v>
      </c>
      <c r="H61" t="s">
        <v>186</v>
      </c>
      <c r="I61" t="s">
        <v>187</v>
      </c>
      <c r="J61" t="s">
        <v>3060</v>
      </c>
      <c r="K61" t="s">
        <v>3060</v>
      </c>
      <c r="L61" t="s">
        <v>3060</v>
      </c>
      <c r="M61" t="s">
        <v>3060</v>
      </c>
      <c r="N61" t="s">
        <v>3060</v>
      </c>
      <c r="O61">
        <v>61</v>
      </c>
    </row>
    <row r="62" spans="1:34" x14ac:dyDescent="0.25">
      <c r="B62" t="s">
        <v>3068</v>
      </c>
      <c r="C62" t="s">
        <v>899</v>
      </c>
      <c r="D62" t="s">
        <v>3060</v>
      </c>
      <c r="E62" t="s">
        <v>3060</v>
      </c>
      <c r="F62" t="s">
        <v>3060</v>
      </c>
      <c r="G62" t="s">
        <v>185</v>
      </c>
      <c r="H62" t="s">
        <v>186</v>
      </c>
      <c r="I62" t="s">
        <v>648</v>
      </c>
      <c r="J62" t="s">
        <v>3060</v>
      </c>
      <c r="K62" t="s">
        <v>3060</v>
      </c>
      <c r="L62" t="s">
        <v>3060</v>
      </c>
      <c r="M62" t="s">
        <v>3060</v>
      </c>
      <c r="N62" t="s">
        <v>3060</v>
      </c>
      <c r="O62">
        <v>62</v>
      </c>
    </row>
    <row r="63" spans="1:34" x14ac:dyDescent="0.25">
      <c r="B63" t="s">
        <v>3069</v>
      </c>
      <c r="C63" t="s">
        <v>899</v>
      </c>
      <c r="D63" t="s">
        <v>3060</v>
      </c>
      <c r="E63" t="s">
        <v>3060</v>
      </c>
      <c r="F63" t="s">
        <v>3060</v>
      </c>
      <c r="G63" t="s">
        <v>185</v>
      </c>
      <c r="H63" t="s">
        <v>186</v>
      </c>
      <c r="I63" t="s">
        <v>1861</v>
      </c>
      <c r="J63" t="s">
        <v>3060</v>
      </c>
      <c r="K63" t="s">
        <v>3060</v>
      </c>
      <c r="L63" t="s">
        <v>3060</v>
      </c>
      <c r="M63" t="s">
        <v>3060</v>
      </c>
      <c r="N63" t="s">
        <v>3060</v>
      </c>
      <c r="O63">
        <v>63</v>
      </c>
    </row>
    <row r="64" spans="1:34" x14ac:dyDescent="0.25">
      <c r="B64" t="s">
        <v>3070</v>
      </c>
      <c r="C64" t="s">
        <v>3071</v>
      </c>
      <c r="D64" t="s">
        <v>3060</v>
      </c>
      <c r="E64" t="s">
        <v>3060</v>
      </c>
      <c r="F64" t="s">
        <v>3060</v>
      </c>
      <c r="G64" t="s">
        <v>185</v>
      </c>
      <c r="H64" t="s">
        <v>186</v>
      </c>
      <c r="I64" t="s">
        <v>187</v>
      </c>
      <c r="J64" t="s">
        <v>3060</v>
      </c>
      <c r="K64" t="s">
        <v>3060</v>
      </c>
      <c r="L64" t="s">
        <v>3060</v>
      </c>
      <c r="M64" t="s">
        <v>3060</v>
      </c>
      <c r="N64" t="s">
        <v>3060</v>
      </c>
      <c r="O64">
        <v>64</v>
      </c>
    </row>
    <row r="65" spans="2:15" x14ac:dyDescent="0.25">
      <c r="B65" t="s">
        <v>3072</v>
      </c>
      <c r="C65" t="s">
        <v>3073</v>
      </c>
      <c r="D65" t="s">
        <v>3060</v>
      </c>
      <c r="E65" t="s">
        <v>3060</v>
      </c>
      <c r="F65" t="s">
        <v>3060</v>
      </c>
      <c r="G65" t="s">
        <v>185</v>
      </c>
      <c r="H65" t="s">
        <v>186</v>
      </c>
      <c r="I65" t="s">
        <v>328</v>
      </c>
      <c r="J65" t="s">
        <v>3060</v>
      </c>
      <c r="K65" t="s">
        <v>3060</v>
      </c>
      <c r="L65" t="s">
        <v>3060</v>
      </c>
      <c r="M65" t="s">
        <v>3060</v>
      </c>
      <c r="N65" t="s">
        <v>3060</v>
      </c>
      <c r="O65">
        <v>65</v>
      </c>
    </row>
    <row r="66" spans="2:15" x14ac:dyDescent="0.25">
      <c r="B66" t="s">
        <v>3074</v>
      </c>
      <c r="C66" t="s">
        <v>647</v>
      </c>
      <c r="D66" t="s">
        <v>3060</v>
      </c>
      <c r="E66" t="s">
        <v>3060</v>
      </c>
      <c r="F66" t="s">
        <v>3060</v>
      </c>
      <c r="G66" t="s">
        <v>185</v>
      </c>
      <c r="H66" t="s">
        <v>186</v>
      </c>
      <c r="I66" t="s">
        <v>3075</v>
      </c>
      <c r="J66" t="s">
        <v>3060</v>
      </c>
      <c r="K66" t="s">
        <v>3060</v>
      </c>
      <c r="L66" t="s">
        <v>3060</v>
      </c>
      <c r="M66" t="s">
        <v>3060</v>
      </c>
      <c r="N66" t="s">
        <v>3060</v>
      </c>
      <c r="O66">
        <v>66</v>
      </c>
    </row>
    <row r="67" spans="2:15" x14ac:dyDescent="0.25">
      <c r="B67" t="s">
        <v>3076</v>
      </c>
      <c r="C67" t="s">
        <v>1418</v>
      </c>
      <c r="D67" t="s">
        <v>3060</v>
      </c>
      <c r="E67" t="s">
        <v>3060</v>
      </c>
      <c r="F67" t="s">
        <v>3060</v>
      </c>
      <c r="G67" t="s">
        <v>185</v>
      </c>
      <c r="H67" t="s">
        <v>186</v>
      </c>
      <c r="I67" t="s">
        <v>3077</v>
      </c>
      <c r="J67" t="s">
        <v>3060</v>
      </c>
      <c r="K67" t="s">
        <v>3060</v>
      </c>
      <c r="L67" t="s">
        <v>3060</v>
      </c>
      <c r="M67" t="s">
        <v>3060</v>
      </c>
      <c r="N67" t="s">
        <v>3060</v>
      </c>
      <c r="O67">
        <v>67</v>
      </c>
    </row>
    <row r="68" spans="2:15" x14ac:dyDescent="0.25">
      <c r="B68" t="s">
        <v>3078</v>
      </c>
      <c r="C68" t="s">
        <v>899</v>
      </c>
      <c r="D68" t="s">
        <v>3060</v>
      </c>
      <c r="E68" t="s">
        <v>3060</v>
      </c>
      <c r="F68" t="s">
        <v>3060</v>
      </c>
      <c r="G68" t="s">
        <v>185</v>
      </c>
      <c r="H68" t="s">
        <v>186</v>
      </c>
      <c r="I68" t="s">
        <v>648</v>
      </c>
      <c r="J68" t="s">
        <v>3060</v>
      </c>
      <c r="K68" t="s">
        <v>3060</v>
      </c>
      <c r="L68" t="s">
        <v>3060</v>
      </c>
      <c r="M68" t="s">
        <v>3060</v>
      </c>
      <c r="N68" t="s">
        <v>3060</v>
      </c>
      <c r="O68">
        <v>68</v>
      </c>
    </row>
    <row r="69" spans="2:15" x14ac:dyDescent="0.25">
      <c r="B69" t="s">
        <v>3079</v>
      </c>
      <c r="C69" t="s">
        <v>601</v>
      </c>
      <c r="D69" t="s">
        <v>3060</v>
      </c>
      <c r="E69" t="s">
        <v>3060</v>
      </c>
      <c r="F69" t="s">
        <v>3060</v>
      </c>
      <c r="G69" t="s">
        <v>185</v>
      </c>
      <c r="H69" t="s">
        <v>186</v>
      </c>
      <c r="I69" t="s">
        <v>648</v>
      </c>
      <c r="J69" t="s">
        <v>3060</v>
      </c>
      <c r="K69" t="s">
        <v>3060</v>
      </c>
      <c r="L69" t="s">
        <v>3060</v>
      </c>
      <c r="M69" t="s">
        <v>3060</v>
      </c>
      <c r="N69" t="s">
        <v>3060</v>
      </c>
      <c r="O69">
        <v>69</v>
      </c>
    </row>
    <row r="70" spans="2:15" x14ac:dyDescent="0.25">
      <c r="B70" t="s">
        <v>3080</v>
      </c>
      <c r="C70" t="s">
        <v>246</v>
      </c>
      <c r="D70" t="s">
        <v>3060</v>
      </c>
      <c r="E70" t="s">
        <v>3060</v>
      </c>
      <c r="F70" t="s">
        <v>3060</v>
      </c>
      <c r="G70" t="s">
        <v>185</v>
      </c>
      <c r="H70" t="s">
        <v>186</v>
      </c>
      <c r="I70" t="s">
        <v>2849</v>
      </c>
      <c r="J70" t="s">
        <v>3060</v>
      </c>
      <c r="K70" t="s">
        <v>3060</v>
      </c>
      <c r="L70" t="s">
        <v>3060</v>
      </c>
      <c r="M70" t="s">
        <v>3060</v>
      </c>
      <c r="N70" t="s">
        <v>3060</v>
      </c>
      <c r="O70">
        <v>70</v>
      </c>
    </row>
    <row r="71" spans="2:15" x14ac:dyDescent="0.25">
      <c r="B71" t="s">
        <v>3081</v>
      </c>
      <c r="C71" t="s">
        <v>246</v>
      </c>
      <c r="D71" t="s">
        <v>3060</v>
      </c>
      <c r="E71" t="s">
        <v>3060</v>
      </c>
      <c r="F71" t="s">
        <v>3060</v>
      </c>
      <c r="G71" t="s">
        <v>185</v>
      </c>
      <c r="H71" t="s">
        <v>186</v>
      </c>
      <c r="I71" t="s">
        <v>1861</v>
      </c>
      <c r="J71" t="s">
        <v>3060</v>
      </c>
      <c r="K71" t="s">
        <v>3060</v>
      </c>
      <c r="L71" t="s">
        <v>3060</v>
      </c>
      <c r="M71" t="s">
        <v>3060</v>
      </c>
      <c r="N71" t="s">
        <v>3060</v>
      </c>
      <c r="O71">
        <v>71</v>
      </c>
    </row>
    <row r="72" spans="2:15" x14ac:dyDescent="0.25">
      <c r="B72" t="s">
        <v>3082</v>
      </c>
      <c r="C72" t="s">
        <v>694</v>
      </c>
      <c r="D72" t="s">
        <v>3060</v>
      </c>
      <c r="E72" t="s">
        <v>3060</v>
      </c>
      <c r="F72" t="s">
        <v>3060</v>
      </c>
      <c r="G72" t="s">
        <v>185</v>
      </c>
      <c r="H72" t="s">
        <v>186</v>
      </c>
      <c r="I72" t="s">
        <v>187</v>
      </c>
      <c r="J72" t="s">
        <v>3060</v>
      </c>
      <c r="K72" t="s">
        <v>3060</v>
      </c>
      <c r="L72" t="s">
        <v>3060</v>
      </c>
      <c r="M72" t="s">
        <v>3060</v>
      </c>
      <c r="N72" t="s">
        <v>3060</v>
      </c>
      <c r="O72">
        <v>72</v>
      </c>
    </row>
    <row r="73" spans="2:15" x14ac:dyDescent="0.25">
      <c r="B73" t="s">
        <v>3083</v>
      </c>
      <c r="C73" t="s">
        <v>694</v>
      </c>
      <c r="D73" t="s">
        <v>3060</v>
      </c>
      <c r="E73" t="s">
        <v>3060</v>
      </c>
      <c r="F73" t="s">
        <v>3060</v>
      </c>
      <c r="G73" t="s">
        <v>185</v>
      </c>
      <c r="H73" t="s">
        <v>186</v>
      </c>
      <c r="I73" t="s">
        <v>3084</v>
      </c>
      <c r="J73" t="s">
        <v>3060</v>
      </c>
      <c r="K73" t="s">
        <v>3060</v>
      </c>
      <c r="L73" t="s">
        <v>3060</v>
      </c>
      <c r="M73" t="s">
        <v>3060</v>
      </c>
      <c r="N73" t="s">
        <v>3060</v>
      </c>
      <c r="O73">
        <v>73</v>
      </c>
    </row>
    <row r="74" spans="2:15" x14ac:dyDescent="0.25">
      <c r="B74" t="s">
        <v>3085</v>
      </c>
      <c r="C74" t="s">
        <v>694</v>
      </c>
      <c r="D74" t="s">
        <v>3060</v>
      </c>
      <c r="E74" t="s">
        <v>3060</v>
      </c>
      <c r="F74" t="s">
        <v>3060</v>
      </c>
      <c r="G74" t="s">
        <v>185</v>
      </c>
      <c r="H74" t="s">
        <v>186</v>
      </c>
      <c r="I74" t="s">
        <v>187</v>
      </c>
      <c r="J74" t="s">
        <v>3060</v>
      </c>
      <c r="K74" t="s">
        <v>3060</v>
      </c>
      <c r="L74" t="s">
        <v>3060</v>
      </c>
      <c r="M74" t="s">
        <v>3060</v>
      </c>
      <c r="N74" t="s">
        <v>3060</v>
      </c>
      <c r="O74">
        <v>74</v>
      </c>
    </row>
    <row r="75" spans="2:15" x14ac:dyDescent="0.25">
      <c r="B75" t="s">
        <v>3086</v>
      </c>
      <c r="C75" t="s">
        <v>647</v>
      </c>
      <c r="D75" t="s">
        <v>3060</v>
      </c>
      <c r="E75" t="s">
        <v>3060</v>
      </c>
      <c r="F75" t="s">
        <v>3060</v>
      </c>
      <c r="G75" t="s">
        <v>185</v>
      </c>
      <c r="H75" t="s">
        <v>186</v>
      </c>
      <c r="I75" t="s">
        <v>2849</v>
      </c>
      <c r="J75" t="s">
        <v>3060</v>
      </c>
      <c r="K75" t="s">
        <v>3060</v>
      </c>
      <c r="L75" t="s">
        <v>3060</v>
      </c>
      <c r="M75" t="s">
        <v>3060</v>
      </c>
      <c r="N75" t="s">
        <v>3060</v>
      </c>
      <c r="O75">
        <v>75</v>
      </c>
    </row>
    <row r="76" spans="2:15" x14ac:dyDescent="0.25">
      <c r="B76" t="s">
        <v>3087</v>
      </c>
      <c r="C76" t="s">
        <v>647</v>
      </c>
      <c r="D76" t="s">
        <v>3060</v>
      </c>
      <c r="E76" t="s">
        <v>3060</v>
      </c>
      <c r="F76" t="s">
        <v>3060</v>
      </c>
      <c r="G76" t="s">
        <v>185</v>
      </c>
      <c r="H76" t="s">
        <v>186</v>
      </c>
      <c r="I76" t="s">
        <v>328</v>
      </c>
      <c r="J76" t="s">
        <v>3060</v>
      </c>
      <c r="K76" t="s">
        <v>3060</v>
      </c>
      <c r="L76" t="s">
        <v>3060</v>
      </c>
      <c r="M76" t="s">
        <v>3060</v>
      </c>
      <c r="N76" t="s">
        <v>3060</v>
      </c>
      <c r="O76">
        <v>76</v>
      </c>
    </row>
    <row r="77" spans="2:15" x14ac:dyDescent="0.25">
      <c r="B77" t="s">
        <v>3088</v>
      </c>
      <c r="C77" t="s">
        <v>899</v>
      </c>
      <c r="D77" t="s">
        <v>3060</v>
      </c>
      <c r="E77" t="s">
        <v>3060</v>
      </c>
      <c r="F77" t="s">
        <v>3060</v>
      </c>
      <c r="G77" t="s">
        <v>185</v>
      </c>
      <c r="H77" t="s">
        <v>186</v>
      </c>
      <c r="I77" t="s">
        <v>328</v>
      </c>
      <c r="J77" t="s">
        <v>3060</v>
      </c>
      <c r="K77" t="s">
        <v>3060</v>
      </c>
      <c r="L77" t="s">
        <v>3060</v>
      </c>
      <c r="M77" t="s">
        <v>3060</v>
      </c>
      <c r="N77" t="s">
        <v>3060</v>
      </c>
      <c r="O77">
        <v>77</v>
      </c>
    </row>
    <row r="78" spans="2:15" x14ac:dyDescent="0.25">
      <c r="B78" t="s">
        <v>3089</v>
      </c>
      <c r="C78" t="s">
        <v>3073</v>
      </c>
      <c r="D78" t="s">
        <v>3060</v>
      </c>
      <c r="E78" t="s">
        <v>3060</v>
      </c>
      <c r="F78" t="s">
        <v>3060</v>
      </c>
      <c r="G78" t="s">
        <v>185</v>
      </c>
      <c r="H78" t="s">
        <v>186</v>
      </c>
      <c r="I78" t="s">
        <v>187</v>
      </c>
      <c r="J78" t="s">
        <v>3060</v>
      </c>
      <c r="K78" t="s">
        <v>3060</v>
      </c>
      <c r="L78" t="s">
        <v>3060</v>
      </c>
      <c r="M78" t="s">
        <v>3060</v>
      </c>
      <c r="N78" t="s">
        <v>3060</v>
      </c>
      <c r="O78">
        <v>78</v>
      </c>
    </row>
    <row r="79" spans="2:15" x14ac:dyDescent="0.25">
      <c r="B79" t="s">
        <v>3090</v>
      </c>
      <c r="C79" t="s">
        <v>246</v>
      </c>
      <c r="D79" t="s">
        <v>3060</v>
      </c>
      <c r="E79" t="s">
        <v>3060</v>
      </c>
      <c r="F79" t="s">
        <v>3060</v>
      </c>
      <c r="G79" t="s">
        <v>185</v>
      </c>
      <c r="H79" t="s">
        <v>186</v>
      </c>
      <c r="I79" t="s">
        <v>2402</v>
      </c>
      <c r="J79" t="s">
        <v>3060</v>
      </c>
      <c r="K79" t="s">
        <v>3060</v>
      </c>
      <c r="L79" t="s">
        <v>3060</v>
      </c>
      <c r="M79" t="s">
        <v>3060</v>
      </c>
      <c r="N79" t="s">
        <v>3060</v>
      </c>
      <c r="O79">
        <v>79</v>
      </c>
    </row>
    <row r="80" spans="2:15" x14ac:dyDescent="0.25">
      <c r="B80" t="s">
        <v>3091</v>
      </c>
      <c r="C80" t="s">
        <v>375</v>
      </c>
      <c r="D80" t="s">
        <v>3060</v>
      </c>
      <c r="E80" t="s">
        <v>3060</v>
      </c>
      <c r="F80" t="s">
        <v>3060</v>
      </c>
      <c r="G80" t="s">
        <v>185</v>
      </c>
      <c r="H80" t="s">
        <v>186</v>
      </c>
      <c r="I80" t="s">
        <v>351</v>
      </c>
      <c r="J80" t="s">
        <v>3060</v>
      </c>
      <c r="K80" t="s">
        <v>3060</v>
      </c>
      <c r="L80" t="s">
        <v>3060</v>
      </c>
      <c r="M80" t="s">
        <v>3060</v>
      </c>
      <c r="N80" t="s">
        <v>3060</v>
      </c>
      <c r="O80">
        <v>80</v>
      </c>
    </row>
    <row r="81" spans="2:15" x14ac:dyDescent="0.25">
      <c r="B81" t="s">
        <v>3092</v>
      </c>
      <c r="C81" t="s">
        <v>601</v>
      </c>
      <c r="D81" t="s">
        <v>3060</v>
      </c>
      <c r="E81" t="s">
        <v>3060</v>
      </c>
      <c r="F81" t="s">
        <v>3060</v>
      </c>
      <c r="G81" t="s">
        <v>185</v>
      </c>
      <c r="H81" t="s">
        <v>186</v>
      </c>
      <c r="I81" t="s">
        <v>328</v>
      </c>
      <c r="J81" t="s">
        <v>3060</v>
      </c>
      <c r="K81" t="s">
        <v>3060</v>
      </c>
      <c r="L81" t="s">
        <v>3060</v>
      </c>
      <c r="M81" t="s">
        <v>3060</v>
      </c>
      <c r="N81" t="s">
        <v>3060</v>
      </c>
      <c r="O81">
        <v>81</v>
      </c>
    </row>
    <row r="82" spans="2:15" x14ac:dyDescent="0.25">
      <c r="B82" t="s">
        <v>3093</v>
      </c>
      <c r="C82" t="s">
        <v>647</v>
      </c>
      <c r="D82" t="s">
        <v>3060</v>
      </c>
      <c r="E82" t="s">
        <v>3060</v>
      </c>
      <c r="F82" t="s">
        <v>3060</v>
      </c>
      <c r="G82" t="s">
        <v>185</v>
      </c>
      <c r="H82" t="s">
        <v>186</v>
      </c>
      <c r="I82" t="s">
        <v>187</v>
      </c>
      <c r="J82" t="s">
        <v>3060</v>
      </c>
      <c r="K82" t="s">
        <v>3060</v>
      </c>
      <c r="L82" t="s">
        <v>3060</v>
      </c>
      <c r="M82" t="s">
        <v>3060</v>
      </c>
      <c r="N82" t="s">
        <v>3060</v>
      </c>
      <c r="O82">
        <v>82</v>
      </c>
    </row>
    <row r="83" spans="2:15" x14ac:dyDescent="0.25">
      <c r="B83" t="s">
        <v>3094</v>
      </c>
      <c r="C83" t="s">
        <v>246</v>
      </c>
      <c r="D83" t="s">
        <v>3060</v>
      </c>
      <c r="E83" t="s">
        <v>3060</v>
      </c>
      <c r="F83" t="s">
        <v>3060</v>
      </c>
      <c r="G83" t="s">
        <v>185</v>
      </c>
      <c r="H83" t="s">
        <v>186</v>
      </c>
      <c r="I83" t="s">
        <v>3095</v>
      </c>
      <c r="J83" t="s">
        <v>3060</v>
      </c>
      <c r="K83" t="s">
        <v>3060</v>
      </c>
      <c r="L83" t="s">
        <v>3060</v>
      </c>
      <c r="M83" t="s">
        <v>3060</v>
      </c>
      <c r="N83" t="s">
        <v>3060</v>
      </c>
      <c r="O83">
        <v>83</v>
      </c>
    </row>
    <row r="84" spans="2:15" x14ac:dyDescent="0.25">
      <c r="B84" t="s">
        <v>3096</v>
      </c>
      <c r="C84" t="s">
        <v>246</v>
      </c>
      <c r="D84" t="s">
        <v>3060</v>
      </c>
      <c r="E84" t="s">
        <v>3060</v>
      </c>
      <c r="F84" t="s">
        <v>3060</v>
      </c>
      <c r="G84" t="s">
        <v>185</v>
      </c>
      <c r="H84" t="s">
        <v>186</v>
      </c>
      <c r="I84" t="s">
        <v>376</v>
      </c>
      <c r="J84" t="s">
        <v>3060</v>
      </c>
      <c r="K84" t="s">
        <v>3060</v>
      </c>
      <c r="L84" t="s">
        <v>3060</v>
      </c>
      <c r="M84" t="s">
        <v>3060</v>
      </c>
      <c r="N84" t="s">
        <v>3060</v>
      </c>
      <c r="O84">
        <v>84</v>
      </c>
    </row>
    <row r="85" spans="2:15" x14ac:dyDescent="0.25">
      <c r="B85" t="s">
        <v>3097</v>
      </c>
      <c r="C85" t="s">
        <v>694</v>
      </c>
      <c r="D85" t="s">
        <v>3060</v>
      </c>
      <c r="E85" t="s">
        <v>3060</v>
      </c>
      <c r="F85" t="s">
        <v>3060</v>
      </c>
      <c r="G85" t="s">
        <v>185</v>
      </c>
      <c r="H85" t="s">
        <v>186</v>
      </c>
      <c r="I85" t="s">
        <v>648</v>
      </c>
      <c r="J85" t="s">
        <v>3060</v>
      </c>
      <c r="K85" t="s">
        <v>3060</v>
      </c>
      <c r="L85" t="s">
        <v>3060</v>
      </c>
      <c r="M85" t="s">
        <v>3060</v>
      </c>
      <c r="N85" t="s">
        <v>3060</v>
      </c>
      <c r="O85">
        <v>85</v>
      </c>
    </row>
    <row r="86" spans="2:15" x14ac:dyDescent="0.25">
      <c r="B86" t="s">
        <v>3098</v>
      </c>
      <c r="C86" t="s">
        <v>246</v>
      </c>
      <c r="D86" t="s">
        <v>3060</v>
      </c>
      <c r="E86" t="s">
        <v>3060</v>
      </c>
      <c r="F86" t="s">
        <v>3060</v>
      </c>
      <c r="G86" t="s">
        <v>185</v>
      </c>
      <c r="H86" t="s">
        <v>186</v>
      </c>
      <c r="I86" t="s">
        <v>376</v>
      </c>
      <c r="J86" t="s">
        <v>3060</v>
      </c>
      <c r="K86" t="s">
        <v>3060</v>
      </c>
      <c r="L86" t="s">
        <v>3060</v>
      </c>
      <c r="M86" t="s">
        <v>3060</v>
      </c>
      <c r="N86" t="s">
        <v>3060</v>
      </c>
      <c r="O86">
        <v>86</v>
      </c>
    </row>
    <row r="87" spans="2:15" x14ac:dyDescent="0.25">
      <c r="B87" t="s">
        <v>3099</v>
      </c>
      <c r="C87" t="s">
        <v>647</v>
      </c>
      <c r="D87" t="s">
        <v>3060</v>
      </c>
      <c r="E87" t="s">
        <v>3060</v>
      </c>
      <c r="F87" t="s">
        <v>3060</v>
      </c>
      <c r="G87" t="s">
        <v>185</v>
      </c>
      <c r="H87" t="s">
        <v>186</v>
      </c>
      <c r="I87" t="s">
        <v>376</v>
      </c>
      <c r="J87" t="s">
        <v>3060</v>
      </c>
      <c r="K87" t="s">
        <v>3060</v>
      </c>
      <c r="L87" t="s">
        <v>3060</v>
      </c>
      <c r="M87" t="s">
        <v>3060</v>
      </c>
      <c r="N87" t="s">
        <v>3060</v>
      </c>
      <c r="O87">
        <v>87</v>
      </c>
    </row>
    <row r="88" spans="2:15" x14ac:dyDescent="0.25">
      <c r="B88" t="s">
        <v>3100</v>
      </c>
      <c r="C88" t="s">
        <v>3101</v>
      </c>
      <c r="D88" t="s">
        <v>3060</v>
      </c>
      <c r="E88" t="s">
        <v>3060</v>
      </c>
      <c r="F88" t="s">
        <v>3060</v>
      </c>
      <c r="G88" t="s">
        <v>185</v>
      </c>
      <c r="H88" t="s">
        <v>186</v>
      </c>
      <c r="I88" t="s">
        <v>187</v>
      </c>
      <c r="J88" t="s">
        <v>3060</v>
      </c>
      <c r="K88" t="s">
        <v>3060</v>
      </c>
      <c r="L88" t="s">
        <v>3060</v>
      </c>
      <c r="M88" t="s">
        <v>3060</v>
      </c>
      <c r="N88" t="s">
        <v>3060</v>
      </c>
      <c r="O88">
        <v>88</v>
      </c>
    </row>
    <row r="89" spans="2:15" x14ac:dyDescent="0.25">
      <c r="B89" t="s">
        <v>3102</v>
      </c>
      <c r="C89" t="s">
        <v>647</v>
      </c>
      <c r="D89" t="s">
        <v>3060</v>
      </c>
      <c r="E89" t="s">
        <v>3060</v>
      </c>
      <c r="F89" t="s">
        <v>3060</v>
      </c>
      <c r="G89" t="s">
        <v>185</v>
      </c>
      <c r="H89" t="s">
        <v>186</v>
      </c>
      <c r="I89" t="s">
        <v>709</v>
      </c>
      <c r="J89" t="s">
        <v>3060</v>
      </c>
      <c r="K89" t="s">
        <v>3060</v>
      </c>
      <c r="L89" t="s">
        <v>3060</v>
      </c>
      <c r="M89" t="s">
        <v>3060</v>
      </c>
      <c r="N89" t="s">
        <v>3060</v>
      </c>
      <c r="O89">
        <v>89</v>
      </c>
    </row>
    <row r="90" spans="2:15" x14ac:dyDescent="0.25">
      <c r="B90" t="s">
        <v>3103</v>
      </c>
      <c r="C90" t="s">
        <v>899</v>
      </c>
      <c r="D90" t="s">
        <v>3060</v>
      </c>
      <c r="E90" t="s">
        <v>3060</v>
      </c>
      <c r="F90" t="s">
        <v>3060</v>
      </c>
      <c r="G90" t="s">
        <v>185</v>
      </c>
      <c r="H90" t="s">
        <v>411</v>
      </c>
      <c r="I90" t="s">
        <v>2800</v>
      </c>
      <c r="J90" t="s">
        <v>3060</v>
      </c>
      <c r="K90" t="s">
        <v>3060</v>
      </c>
      <c r="L90" t="s">
        <v>3060</v>
      </c>
      <c r="M90" t="s">
        <v>3060</v>
      </c>
      <c r="N90" t="s">
        <v>3060</v>
      </c>
      <c r="O90">
        <v>90</v>
      </c>
    </row>
    <row r="91" spans="2:15" x14ac:dyDescent="0.25">
      <c r="B91" t="s">
        <v>3104</v>
      </c>
      <c r="C91" t="s">
        <v>694</v>
      </c>
      <c r="D91" t="s">
        <v>3060</v>
      </c>
      <c r="E91" t="s">
        <v>3060</v>
      </c>
      <c r="F91" t="s">
        <v>3060</v>
      </c>
      <c r="G91" t="s">
        <v>185</v>
      </c>
      <c r="H91" t="s">
        <v>186</v>
      </c>
      <c r="I91" t="s">
        <v>187</v>
      </c>
      <c r="J91" t="s">
        <v>3060</v>
      </c>
      <c r="K91" t="s">
        <v>3060</v>
      </c>
      <c r="L91" t="s">
        <v>3060</v>
      </c>
      <c r="M91" t="s">
        <v>3060</v>
      </c>
      <c r="N91" t="s">
        <v>3060</v>
      </c>
      <c r="O91">
        <v>91</v>
      </c>
    </row>
    <row r="92" spans="2:15" x14ac:dyDescent="0.25">
      <c r="B92" t="s">
        <v>3105</v>
      </c>
      <c r="C92" t="s">
        <v>395</v>
      </c>
      <c r="D92" t="s">
        <v>3060</v>
      </c>
      <c r="E92" t="s">
        <v>3060</v>
      </c>
      <c r="F92" t="s">
        <v>3060</v>
      </c>
      <c r="G92" t="s">
        <v>185</v>
      </c>
      <c r="H92" t="s">
        <v>186</v>
      </c>
      <c r="I92" t="s">
        <v>187</v>
      </c>
      <c r="J92" t="s">
        <v>3060</v>
      </c>
      <c r="K92" t="s">
        <v>3060</v>
      </c>
      <c r="L92" t="s">
        <v>3060</v>
      </c>
      <c r="M92" t="s">
        <v>3060</v>
      </c>
      <c r="N92" t="s">
        <v>3060</v>
      </c>
      <c r="O92">
        <v>92</v>
      </c>
    </row>
    <row r="93" spans="2:15" x14ac:dyDescent="0.25">
      <c r="B93" t="s">
        <v>3106</v>
      </c>
      <c r="C93" t="s">
        <v>647</v>
      </c>
      <c r="D93" t="s">
        <v>3060</v>
      </c>
      <c r="E93" t="s">
        <v>3060</v>
      </c>
      <c r="F93" t="s">
        <v>3060</v>
      </c>
      <c r="G93" t="s">
        <v>185</v>
      </c>
      <c r="H93" t="s">
        <v>186</v>
      </c>
      <c r="I93" t="s">
        <v>2402</v>
      </c>
      <c r="J93" t="s">
        <v>3060</v>
      </c>
      <c r="K93" t="s">
        <v>3060</v>
      </c>
      <c r="L93" t="s">
        <v>3060</v>
      </c>
      <c r="M93" t="s">
        <v>3060</v>
      </c>
      <c r="N93" t="s">
        <v>3060</v>
      </c>
      <c r="O93">
        <v>93</v>
      </c>
    </row>
    <row r="94" spans="2:15" x14ac:dyDescent="0.25">
      <c r="B94" t="s">
        <v>3107</v>
      </c>
      <c r="C94" t="s">
        <v>3108</v>
      </c>
      <c r="D94" t="s">
        <v>3060</v>
      </c>
      <c r="E94" t="s">
        <v>3060</v>
      </c>
      <c r="F94" t="s">
        <v>3060</v>
      </c>
      <c r="G94" t="s">
        <v>185</v>
      </c>
      <c r="H94" t="s">
        <v>3109</v>
      </c>
      <c r="I94" t="s">
        <v>3110</v>
      </c>
      <c r="J94" t="s">
        <v>3060</v>
      </c>
      <c r="K94" t="s">
        <v>3060</v>
      </c>
      <c r="L94" t="s">
        <v>3060</v>
      </c>
      <c r="M94" t="s">
        <v>3060</v>
      </c>
      <c r="N94" t="s">
        <v>3060</v>
      </c>
      <c r="O94">
        <v>94</v>
      </c>
    </row>
    <row r="95" spans="2:15" x14ac:dyDescent="0.25">
      <c r="B95" t="s">
        <v>3111</v>
      </c>
      <c r="C95" t="s">
        <v>647</v>
      </c>
      <c r="D95" t="s">
        <v>3060</v>
      </c>
      <c r="E95" t="s">
        <v>3060</v>
      </c>
      <c r="F95" t="s">
        <v>3060</v>
      </c>
      <c r="G95" t="s">
        <v>185</v>
      </c>
      <c r="H95" t="s">
        <v>186</v>
      </c>
      <c r="I95" t="s">
        <v>376</v>
      </c>
      <c r="J95" t="s">
        <v>3060</v>
      </c>
      <c r="K95" t="s">
        <v>3060</v>
      </c>
      <c r="L95" t="s">
        <v>3060</v>
      </c>
      <c r="M95" t="s">
        <v>3060</v>
      </c>
      <c r="N95" t="s">
        <v>3060</v>
      </c>
      <c r="O95">
        <v>95</v>
      </c>
    </row>
    <row r="96" spans="2:15" x14ac:dyDescent="0.25">
      <c r="B96" t="s">
        <v>3112</v>
      </c>
      <c r="C96" t="s">
        <v>647</v>
      </c>
      <c r="D96" t="s">
        <v>3060</v>
      </c>
      <c r="E96" t="s">
        <v>3060</v>
      </c>
      <c r="F96" t="s">
        <v>3060</v>
      </c>
      <c r="G96" t="s">
        <v>185</v>
      </c>
      <c r="H96" t="s">
        <v>186</v>
      </c>
      <c r="I96" t="s">
        <v>2402</v>
      </c>
      <c r="J96" t="s">
        <v>3060</v>
      </c>
      <c r="K96" t="s">
        <v>3060</v>
      </c>
      <c r="L96" t="s">
        <v>3060</v>
      </c>
      <c r="M96" t="s">
        <v>3060</v>
      </c>
      <c r="N96" t="s">
        <v>3060</v>
      </c>
      <c r="O96">
        <v>96</v>
      </c>
    </row>
    <row r="97" spans="2:15" x14ac:dyDescent="0.25">
      <c r="B97" t="s">
        <v>3113</v>
      </c>
      <c r="C97" t="s">
        <v>899</v>
      </c>
      <c r="D97" t="s">
        <v>3060</v>
      </c>
      <c r="E97" t="s">
        <v>3060</v>
      </c>
      <c r="F97" t="s">
        <v>3060</v>
      </c>
      <c r="G97" t="s">
        <v>185</v>
      </c>
      <c r="H97" t="s">
        <v>186</v>
      </c>
      <c r="I97" t="s">
        <v>187</v>
      </c>
      <c r="J97" t="s">
        <v>3060</v>
      </c>
      <c r="K97" t="s">
        <v>3060</v>
      </c>
      <c r="L97" t="s">
        <v>3060</v>
      </c>
      <c r="M97" t="s">
        <v>3060</v>
      </c>
      <c r="N97" t="s">
        <v>3060</v>
      </c>
      <c r="O97">
        <v>97</v>
      </c>
    </row>
    <row r="98" spans="2:15" x14ac:dyDescent="0.25">
      <c r="B98" t="s">
        <v>3114</v>
      </c>
      <c r="C98" t="s">
        <v>1418</v>
      </c>
      <c r="D98" t="s">
        <v>3060</v>
      </c>
      <c r="E98" t="s">
        <v>3060</v>
      </c>
      <c r="F98" t="s">
        <v>3060</v>
      </c>
      <c r="G98" t="s">
        <v>185</v>
      </c>
      <c r="H98" t="s">
        <v>186</v>
      </c>
      <c r="I98" t="s">
        <v>648</v>
      </c>
      <c r="J98" t="s">
        <v>3060</v>
      </c>
      <c r="K98" t="s">
        <v>3060</v>
      </c>
      <c r="L98" t="s">
        <v>3060</v>
      </c>
      <c r="M98" t="s">
        <v>3060</v>
      </c>
      <c r="N98" t="s">
        <v>3060</v>
      </c>
      <c r="O98">
        <v>98</v>
      </c>
    </row>
    <row r="99" spans="2:15" x14ac:dyDescent="0.25">
      <c r="B99" t="s">
        <v>3115</v>
      </c>
      <c r="C99" t="s">
        <v>3071</v>
      </c>
      <c r="D99" t="s">
        <v>3060</v>
      </c>
      <c r="E99" t="s">
        <v>3060</v>
      </c>
      <c r="F99" t="s">
        <v>3060</v>
      </c>
      <c r="G99" t="s">
        <v>185</v>
      </c>
      <c r="H99" t="s">
        <v>186</v>
      </c>
      <c r="I99" t="s">
        <v>376</v>
      </c>
      <c r="J99" t="s">
        <v>3060</v>
      </c>
      <c r="K99" t="s">
        <v>3060</v>
      </c>
      <c r="L99" t="s">
        <v>3060</v>
      </c>
      <c r="M99" t="s">
        <v>3060</v>
      </c>
      <c r="N99" t="s">
        <v>3060</v>
      </c>
      <c r="O99">
        <v>99</v>
      </c>
    </row>
    <row r="100" spans="2:15" x14ac:dyDescent="0.25">
      <c r="B100" t="s">
        <v>3116</v>
      </c>
      <c r="C100" t="s">
        <v>877</v>
      </c>
      <c r="D100" t="s">
        <v>3060</v>
      </c>
      <c r="E100" t="s">
        <v>3060</v>
      </c>
      <c r="F100" t="s">
        <v>3060</v>
      </c>
      <c r="G100" t="s">
        <v>185</v>
      </c>
      <c r="H100" t="s">
        <v>186</v>
      </c>
      <c r="I100" t="s">
        <v>328</v>
      </c>
      <c r="J100" t="s">
        <v>3060</v>
      </c>
      <c r="K100" t="s">
        <v>3060</v>
      </c>
      <c r="L100" t="s">
        <v>3060</v>
      </c>
      <c r="M100" t="s">
        <v>3060</v>
      </c>
      <c r="N100" t="s">
        <v>3060</v>
      </c>
      <c r="O100">
        <v>100</v>
      </c>
    </row>
    <row r="101" spans="2:15" x14ac:dyDescent="0.25">
      <c r="B101" t="s">
        <v>3117</v>
      </c>
      <c r="C101" t="s">
        <v>3118</v>
      </c>
      <c r="D101" t="s">
        <v>3060</v>
      </c>
      <c r="E101" t="s">
        <v>3060</v>
      </c>
      <c r="F101" t="s">
        <v>3060</v>
      </c>
      <c r="G101" t="s">
        <v>185</v>
      </c>
      <c r="H101" t="s">
        <v>186</v>
      </c>
      <c r="I101" t="s">
        <v>187</v>
      </c>
      <c r="J101" t="s">
        <v>3060</v>
      </c>
      <c r="K101" t="s">
        <v>3060</v>
      </c>
      <c r="L101" t="s">
        <v>3060</v>
      </c>
      <c r="M101" t="s">
        <v>3060</v>
      </c>
      <c r="N101" t="s">
        <v>3060</v>
      </c>
      <c r="O101">
        <v>101</v>
      </c>
    </row>
    <row r="102" spans="2:15" x14ac:dyDescent="0.25">
      <c r="B102" t="s">
        <v>3119</v>
      </c>
      <c r="C102" t="s">
        <v>877</v>
      </c>
      <c r="D102" t="s">
        <v>3060</v>
      </c>
      <c r="E102" t="s">
        <v>3060</v>
      </c>
      <c r="F102" t="s">
        <v>3060</v>
      </c>
      <c r="G102" t="s">
        <v>185</v>
      </c>
      <c r="H102" t="s">
        <v>186</v>
      </c>
      <c r="I102" t="s">
        <v>328</v>
      </c>
      <c r="J102" t="s">
        <v>3060</v>
      </c>
      <c r="K102" t="s">
        <v>3060</v>
      </c>
      <c r="L102" t="s">
        <v>3060</v>
      </c>
      <c r="M102" t="s">
        <v>3060</v>
      </c>
      <c r="N102" t="s">
        <v>3060</v>
      </c>
      <c r="O102">
        <v>102</v>
      </c>
    </row>
    <row r="103" spans="2:15" x14ac:dyDescent="0.25">
      <c r="B103" t="s">
        <v>3120</v>
      </c>
      <c r="C103" t="s">
        <v>647</v>
      </c>
      <c r="D103" t="s">
        <v>3060</v>
      </c>
      <c r="E103" t="s">
        <v>3060</v>
      </c>
      <c r="F103" t="s">
        <v>3060</v>
      </c>
      <c r="G103" t="s">
        <v>185</v>
      </c>
      <c r="H103" t="s">
        <v>186</v>
      </c>
      <c r="I103" t="s">
        <v>1438</v>
      </c>
      <c r="J103" t="s">
        <v>3060</v>
      </c>
      <c r="K103" t="s">
        <v>3060</v>
      </c>
      <c r="L103" t="s">
        <v>3060</v>
      </c>
      <c r="M103" t="s">
        <v>3060</v>
      </c>
      <c r="N103" t="s">
        <v>3060</v>
      </c>
      <c r="O103">
        <v>103</v>
      </c>
    </row>
    <row r="104" spans="2:15" x14ac:dyDescent="0.25">
      <c r="B104" t="s">
        <v>3121</v>
      </c>
      <c r="C104" t="s">
        <v>3122</v>
      </c>
      <c r="D104" t="s">
        <v>3060</v>
      </c>
      <c r="E104" t="s">
        <v>3060</v>
      </c>
      <c r="F104" t="s">
        <v>3060</v>
      </c>
      <c r="G104" t="s">
        <v>185</v>
      </c>
      <c r="H104" t="s">
        <v>186</v>
      </c>
      <c r="I104" t="s">
        <v>648</v>
      </c>
      <c r="J104" t="s">
        <v>3060</v>
      </c>
      <c r="K104" t="s">
        <v>3060</v>
      </c>
      <c r="L104" t="s">
        <v>3060</v>
      </c>
      <c r="M104" t="s">
        <v>3060</v>
      </c>
      <c r="N104" t="s">
        <v>3060</v>
      </c>
      <c r="O104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106"/>
  <sheetViews>
    <sheetView topLeftCell="X110" workbookViewId="0">
      <selection activeCell="A56" sqref="A56:XFD56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300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188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185</v>
      </c>
      <c r="X4" s="2" t="s">
        <v>78</v>
      </c>
      <c r="Y4" s="2" t="s">
        <v>186</v>
      </c>
      <c r="Z4" s="2" t="s">
        <v>187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189</v>
      </c>
      <c r="AF4" s="2" t="s">
        <v>190</v>
      </c>
      <c r="AG4" s="2" t="s">
        <v>79</v>
      </c>
      <c r="AH4" s="2" t="s">
        <v>78</v>
      </c>
      <c r="AI4" s="2"/>
      <c r="AJ4" s="2"/>
      <c r="AK4" s="2"/>
      <c r="AL4" s="2"/>
    </row>
    <row r="5" spans="1:38" ht="33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247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185</v>
      </c>
      <c r="X5" s="2" t="s">
        <v>78</v>
      </c>
      <c r="Y5" s="2" t="s">
        <v>186</v>
      </c>
      <c r="Z5" s="2" t="s">
        <v>187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248</v>
      </c>
      <c r="AF5" s="2" t="s">
        <v>249</v>
      </c>
      <c r="AG5" s="2" t="s">
        <v>246</v>
      </c>
      <c r="AH5" s="2" t="s">
        <v>78</v>
      </c>
      <c r="AI5" s="2"/>
      <c r="AJ5" s="2"/>
      <c r="AK5" s="2"/>
      <c r="AL5" s="2"/>
    </row>
    <row r="6" spans="1:38" ht="33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289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185</v>
      </c>
      <c r="X6" s="2" t="s">
        <v>78</v>
      </c>
      <c r="Y6" s="2" t="s">
        <v>186</v>
      </c>
      <c r="Z6" s="2" t="s">
        <v>288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290</v>
      </c>
      <c r="AF6" s="2" t="s">
        <v>291</v>
      </c>
      <c r="AG6" s="2" t="s">
        <v>246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247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185</v>
      </c>
      <c r="X7" t="s">
        <v>78</v>
      </c>
      <c r="Y7" t="s">
        <v>186</v>
      </c>
      <c r="Z7" t="s">
        <v>328</v>
      </c>
      <c r="AA7" t="s">
        <v>78</v>
      </c>
      <c r="AB7" t="s">
        <v>78</v>
      </c>
      <c r="AC7" t="s">
        <v>78</v>
      </c>
      <c r="AD7" t="s">
        <v>78</v>
      </c>
      <c r="AE7" t="s">
        <v>329</v>
      </c>
      <c r="AF7" t="s">
        <v>80</v>
      </c>
      <c r="AG7" t="s">
        <v>246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247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185</v>
      </c>
      <c r="X8" t="s">
        <v>78</v>
      </c>
      <c r="Y8" t="s">
        <v>186</v>
      </c>
      <c r="Z8" t="s">
        <v>351</v>
      </c>
      <c r="AA8" t="s">
        <v>78</v>
      </c>
      <c r="AB8" t="s">
        <v>78</v>
      </c>
      <c r="AC8" t="s">
        <v>78</v>
      </c>
      <c r="AD8" t="s">
        <v>78</v>
      </c>
      <c r="AE8" t="s">
        <v>352</v>
      </c>
      <c r="AF8" t="s">
        <v>80</v>
      </c>
      <c r="AG8" t="s">
        <v>246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377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185</v>
      </c>
      <c r="X9" t="s">
        <v>78</v>
      </c>
      <c r="Y9" t="s">
        <v>186</v>
      </c>
      <c r="Z9" t="s">
        <v>376</v>
      </c>
      <c r="AA9" t="s">
        <v>78</v>
      </c>
      <c r="AB9" t="s">
        <v>78</v>
      </c>
      <c r="AC9" t="s">
        <v>78</v>
      </c>
      <c r="AD9" t="s">
        <v>78</v>
      </c>
      <c r="AE9" t="s">
        <v>378</v>
      </c>
      <c r="AF9" t="s">
        <v>80</v>
      </c>
      <c r="AG9" t="s">
        <v>375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396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185</v>
      </c>
      <c r="X10" t="s">
        <v>78</v>
      </c>
      <c r="Y10" t="s">
        <v>186</v>
      </c>
      <c r="Z10" t="s">
        <v>328</v>
      </c>
      <c r="AA10" t="s">
        <v>78</v>
      </c>
      <c r="AB10" t="s">
        <v>78</v>
      </c>
      <c r="AC10" t="s">
        <v>78</v>
      </c>
      <c r="AD10" t="s">
        <v>78</v>
      </c>
      <c r="AE10" t="s">
        <v>397</v>
      </c>
      <c r="AF10" t="s">
        <v>291</v>
      </c>
      <c r="AG10" t="s">
        <v>395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413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185</v>
      </c>
      <c r="X11" t="s">
        <v>78</v>
      </c>
      <c r="Y11" t="s">
        <v>411</v>
      </c>
      <c r="Z11" t="s">
        <v>412</v>
      </c>
      <c r="AA11" t="s">
        <v>78</v>
      </c>
      <c r="AB11" t="s">
        <v>78</v>
      </c>
      <c r="AC11" t="s">
        <v>78</v>
      </c>
      <c r="AD11" t="s">
        <v>78</v>
      </c>
      <c r="AE11" t="s">
        <v>414</v>
      </c>
      <c r="AF11" t="s">
        <v>291</v>
      </c>
      <c r="AG11" t="s">
        <v>246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602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185</v>
      </c>
      <c r="X12" t="s">
        <v>78</v>
      </c>
      <c r="Y12" t="s">
        <v>186</v>
      </c>
      <c r="Z12" t="s">
        <v>187</v>
      </c>
      <c r="AA12" t="s">
        <v>78</v>
      </c>
      <c r="AB12" t="s">
        <v>78</v>
      </c>
      <c r="AC12" t="s">
        <v>78</v>
      </c>
      <c r="AD12" t="s">
        <v>78</v>
      </c>
      <c r="AE12" t="s">
        <v>603</v>
      </c>
      <c r="AF12" t="s">
        <v>249</v>
      </c>
      <c r="AG12" t="s">
        <v>601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649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185</v>
      </c>
      <c r="X13" t="s">
        <v>78</v>
      </c>
      <c r="Y13" t="s">
        <v>186</v>
      </c>
      <c r="Z13" t="s">
        <v>648</v>
      </c>
      <c r="AA13" t="s">
        <v>78</v>
      </c>
      <c r="AB13" t="s">
        <v>78</v>
      </c>
      <c r="AC13" t="s">
        <v>78</v>
      </c>
      <c r="AD13" t="s">
        <v>78</v>
      </c>
      <c r="AE13" t="s">
        <v>650</v>
      </c>
      <c r="AF13" t="s">
        <v>291</v>
      </c>
      <c r="AG13" t="s">
        <v>647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695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185</v>
      </c>
      <c r="X14" t="s">
        <v>78</v>
      </c>
      <c r="Y14" t="s">
        <v>186</v>
      </c>
      <c r="Z14" t="s">
        <v>288</v>
      </c>
      <c r="AA14" t="s">
        <v>78</v>
      </c>
      <c r="AB14" t="s">
        <v>78</v>
      </c>
      <c r="AC14" t="s">
        <v>78</v>
      </c>
      <c r="AD14" t="s">
        <v>78</v>
      </c>
      <c r="AE14" t="s">
        <v>696</v>
      </c>
      <c r="AF14" t="s">
        <v>80</v>
      </c>
      <c r="AG14" t="s">
        <v>694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710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185</v>
      </c>
      <c r="X15" t="s">
        <v>78</v>
      </c>
      <c r="Y15" t="s">
        <v>186</v>
      </c>
      <c r="Z15" t="s">
        <v>709</v>
      </c>
      <c r="AA15" t="s">
        <v>78</v>
      </c>
      <c r="AB15" t="s">
        <v>78</v>
      </c>
      <c r="AC15" t="s">
        <v>78</v>
      </c>
      <c r="AD15" t="s">
        <v>78</v>
      </c>
      <c r="AE15" t="s">
        <v>711</v>
      </c>
      <c r="AF15" t="s">
        <v>80</v>
      </c>
      <c r="AG15" t="s">
        <v>647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728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185</v>
      </c>
      <c r="X16" t="s">
        <v>78</v>
      </c>
      <c r="Y16" t="s">
        <v>186</v>
      </c>
      <c r="Z16" t="s">
        <v>328</v>
      </c>
      <c r="AA16" t="s">
        <v>78</v>
      </c>
      <c r="AB16" t="s">
        <v>78</v>
      </c>
      <c r="AC16" t="s">
        <v>78</v>
      </c>
      <c r="AD16" t="s">
        <v>78</v>
      </c>
      <c r="AE16" t="s">
        <v>729</v>
      </c>
      <c r="AF16" t="s">
        <v>80</v>
      </c>
      <c r="AG16" t="s">
        <v>647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878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185</v>
      </c>
      <c r="X17" t="s">
        <v>78</v>
      </c>
      <c r="Y17" t="s">
        <v>186</v>
      </c>
      <c r="Z17" t="s">
        <v>328</v>
      </c>
      <c r="AA17" t="s">
        <v>78</v>
      </c>
      <c r="AB17" t="s">
        <v>78</v>
      </c>
      <c r="AC17" t="s">
        <v>78</v>
      </c>
      <c r="AD17" t="s">
        <v>78</v>
      </c>
      <c r="AE17" t="s">
        <v>879</v>
      </c>
      <c r="AF17" t="s">
        <v>291</v>
      </c>
      <c r="AG17" t="s">
        <v>877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901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185</v>
      </c>
      <c r="X18" t="s">
        <v>78</v>
      </c>
      <c r="Y18" t="s">
        <v>411</v>
      </c>
      <c r="Z18" t="s">
        <v>900</v>
      </c>
      <c r="AA18" t="s">
        <v>78</v>
      </c>
      <c r="AB18" t="s">
        <v>78</v>
      </c>
      <c r="AC18" t="s">
        <v>78</v>
      </c>
      <c r="AD18" t="s">
        <v>78</v>
      </c>
      <c r="AE18" t="s">
        <v>902</v>
      </c>
      <c r="AF18" t="s">
        <v>291</v>
      </c>
      <c r="AG18" t="s">
        <v>899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919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185</v>
      </c>
      <c r="X19" t="s">
        <v>78</v>
      </c>
      <c r="Y19" t="s">
        <v>411</v>
      </c>
      <c r="Z19" t="s">
        <v>900</v>
      </c>
      <c r="AA19" t="s">
        <v>78</v>
      </c>
      <c r="AB19" t="s">
        <v>78</v>
      </c>
      <c r="AC19" t="s">
        <v>78</v>
      </c>
      <c r="AD19" t="s">
        <v>78</v>
      </c>
      <c r="AE19" t="s">
        <v>920</v>
      </c>
      <c r="AF19" t="s">
        <v>291</v>
      </c>
      <c r="AG19" t="s">
        <v>899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1275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185</v>
      </c>
      <c r="X20" t="s">
        <v>78</v>
      </c>
      <c r="Y20" t="s">
        <v>186</v>
      </c>
      <c r="Z20" t="s">
        <v>328</v>
      </c>
      <c r="AA20" t="s">
        <v>78</v>
      </c>
      <c r="AB20" t="s">
        <v>78</v>
      </c>
      <c r="AC20" t="s">
        <v>78</v>
      </c>
      <c r="AD20" t="s">
        <v>78</v>
      </c>
      <c r="AE20" t="s">
        <v>1276</v>
      </c>
      <c r="AF20" t="s">
        <v>1277</v>
      </c>
      <c r="AG20" t="s">
        <v>1275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1419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185</v>
      </c>
      <c r="X21" t="s">
        <v>78</v>
      </c>
      <c r="Y21" t="s">
        <v>186</v>
      </c>
      <c r="Z21" t="s">
        <v>187</v>
      </c>
      <c r="AA21" t="s">
        <v>78</v>
      </c>
      <c r="AB21" t="s">
        <v>78</v>
      </c>
      <c r="AC21" t="s">
        <v>78</v>
      </c>
      <c r="AD21" t="s">
        <v>78</v>
      </c>
      <c r="AE21" t="s">
        <v>1420</v>
      </c>
      <c r="AF21" t="s">
        <v>291</v>
      </c>
      <c r="AG21" t="s">
        <v>1418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1439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185</v>
      </c>
      <c r="X22" t="s">
        <v>78</v>
      </c>
      <c r="Y22" t="s">
        <v>1437</v>
      </c>
      <c r="Z22" t="s">
        <v>1438</v>
      </c>
      <c r="AA22" t="s">
        <v>78</v>
      </c>
      <c r="AB22" t="s">
        <v>78</v>
      </c>
      <c r="AC22" t="s">
        <v>78</v>
      </c>
      <c r="AD22" t="s">
        <v>78</v>
      </c>
      <c r="AE22" t="s">
        <v>1440</v>
      </c>
      <c r="AF22" t="s">
        <v>291</v>
      </c>
      <c r="AG22" t="s">
        <v>647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1445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185</v>
      </c>
      <c r="X23" t="s">
        <v>78</v>
      </c>
      <c r="Y23" t="s">
        <v>186</v>
      </c>
      <c r="Z23" t="s">
        <v>1444</v>
      </c>
      <c r="AA23" t="s">
        <v>78</v>
      </c>
      <c r="AB23" t="s">
        <v>78</v>
      </c>
      <c r="AC23" t="s">
        <v>78</v>
      </c>
      <c r="AD23" t="s">
        <v>78</v>
      </c>
      <c r="AE23" t="s">
        <v>1446</v>
      </c>
      <c r="AF23" t="s">
        <v>291</v>
      </c>
      <c r="AG23" t="s">
        <v>647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1478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185</v>
      </c>
      <c r="X24" t="s">
        <v>78</v>
      </c>
      <c r="Y24" t="s">
        <v>186</v>
      </c>
      <c r="Z24" t="s">
        <v>1438</v>
      </c>
      <c r="AA24" t="s">
        <v>78</v>
      </c>
      <c r="AB24" t="s">
        <v>78</v>
      </c>
      <c r="AC24" t="s">
        <v>78</v>
      </c>
      <c r="AD24" t="s">
        <v>78</v>
      </c>
      <c r="AE24" t="s">
        <v>1479</v>
      </c>
      <c r="AF24" t="s">
        <v>80</v>
      </c>
      <c r="AG24" t="s">
        <v>246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1501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185</v>
      </c>
      <c r="X25" t="s">
        <v>78</v>
      </c>
      <c r="Y25" t="s">
        <v>411</v>
      </c>
      <c r="Z25" t="s">
        <v>900</v>
      </c>
      <c r="AA25" t="s">
        <v>78</v>
      </c>
      <c r="AB25" t="s">
        <v>78</v>
      </c>
      <c r="AC25" t="s">
        <v>78</v>
      </c>
      <c r="AD25" t="s">
        <v>78</v>
      </c>
      <c r="AE25" t="s">
        <v>1502</v>
      </c>
      <c r="AF25" t="s">
        <v>80</v>
      </c>
      <c r="AG25" t="s">
        <v>246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1501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185</v>
      </c>
      <c r="X26" t="s">
        <v>78</v>
      </c>
      <c r="Y26" t="s">
        <v>186</v>
      </c>
      <c r="Z26" t="s">
        <v>1517</v>
      </c>
      <c r="AA26" t="s">
        <v>78</v>
      </c>
      <c r="AB26" t="s">
        <v>78</v>
      </c>
      <c r="AC26" t="s">
        <v>78</v>
      </c>
      <c r="AD26" t="s">
        <v>78</v>
      </c>
      <c r="AE26" t="s">
        <v>1518</v>
      </c>
      <c r="AF26" t="s">
        <v>190</v>
      </c>
      <c r="AG26" t="s">
        <v>246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1535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185</v>
      </c>
      <c r="X27" t="s">
        <v>78</v>
      </c>
      <c r="Y27" t="s">
        <v>186</v>
      </c>
      <c r="Z27" t="s">
        <v>709</v>
      </c>
      <c r="AA27" t="s">
        <v>78</v>
      </c>
      <c r="AB27" t="s">
        <v>78</v>
      </c>
      <c r="AC27" t="s">
        <v>78</v>
      </c>
      <c r="AD27" t="s">
        <v>78</v>
      </c>
      <c r="AE27" t="s">
        <v>1536</v>
      </c>
      <c r="AF27" t="s">
        <v>80</v>
      </c>
      <c r="AG27" t="s">
        <v>694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1825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185</v>
      </c>
      <c r="X28" t="s">
        <v>78</v>
      </c>
      <c r="Y28" t="s">
        <v>186</v>
      </c>
      <c r="Z28" t="s">
        <v>187</v>
      </c>
      <c r="AA28" t="s">
        <v>78</v>
      </c>
      <c r="AB28" t="s">
        <v>78</v>
      </c>
      <c r="AC28" t="s">
        <v>78</v>
      </c>
      <c r="AD28" t="s">
        <v>78</v>
      </c>
      <c r="AE28" t="s">
        <v>1826</v>
      </c>
      <c r="AF28" t="s">
        <v>80</v>
      </c>
      <c r="AG28" t="s">
        <v>1825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1862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185</v>
      </c>
      <c r="X29" t="s">
        <v>78</v>
      </c>
      <c r="Y29" t="s">
        <v>186</v>
      </c>
      <c r="Z29" t="s">
        <v>1861</v>
      </c>
      <c r="AA29" t="s">
        <v>78</v>
      </c>
      <c r="AB29" t="s">
        <v>78</v>
      </c>
      <c r="AC29" t="s">
        <v>78</v>
      </c>
      <c r="AD29" t="s">
        <v>78</v>
      </c>
      <c r="AE29" t="s">
        <v>1863</v>
      </c>
      <c r="AF29" t="s">
        <v>291</v>
      </c>
      <c r="AG29" t="s">
        <v>899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2029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185</v>
      </c>
      <c r="X30" t="s">
        <v>78</v>
      </c>
      <c r="Y30" t="s">
        <v>186</v>
      </c>
      <c r="Z30" t="s">
        <v>376</v>
      </c>
      <c r="AA30" t="s">
        <v>78</v>
      </c>
      <c r="AB30" t="s">
        <v>78</v>
      </c>
      <c r="AC30" t="s">
        <v>78</v>
      </c>
      <c r="AD30" t="s">
        <v>78</v>
      </c>
      <c r="AE30" t="s">
        <v>2030</v>
      </c>
      <c r="AF30" t="s">
        <v>2031</v>
      </c>
      <c r="AG30" t="s">
        <v>79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2107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185</v>
      </c>
      <c r="X31" t="s">
        <v>78</v>
      </c>
      <c r="Y31" t="s">
        <v>186</v>
      </c>
      <c r="Z31" t="s">
        <v>328</v>
      </c>
      <c r="AA31" t="s">
        <v>78</v>
      </c>
      <c r="AB31" t="s">
        <v>78</v>
      </c>
      <c r="AC31" t="s">
        <v>78</v>
      </c>
      <c r="AD31" t="s">
        <v>78</v>
      </c>
      <c r="AE31" t="s">
        <v>2108</v>
      </c>
      <c r="AF31" t="s">
        <v>249</v>
      </c>
      <c r="AG31" t="s">
        <v>2106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2169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185</v>
      </c>
      <c r="X32" t="s">
        <v>78</v>
      </c>
      <c r="Y32" t="s">
        <v>186</v>
      </c>
      <c r="Z32" t="s">
        <v>187</v>
      </c>
      <c r="AA32" t="s">
        <v>78</v>
      </c>
      <c r="AB32" t="s">
        <v>78</v>
      </c>
      <c r="AC32" t="s">
        <v>78</v>
      </c>
      <c r="AD32" t="s">
        <v>78</v>
      </c>
      <c r="AE32" t="s">
        <v>2170</v>
      </c>
      <c r="AF32" t="s">
        <v>249</v>
      </c>
      <c r="AG32" t="s">
        <v>899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2233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185</v>
      </c>
      <c r="X33" t="s">
        <v>78</v>
      </c>
      <c r="Y33" t="s">
        <v>186</v>
      </c>
      <c r="Z33" t="s">
        <v>1438</v>
      </c>
      <c r="AA33" t="s">
        <v>78</v>
      </c>
      <c r="AB33" t="s">
        <v>78</v>
      </c>
      <c r="AC33" t="s">
        <v>78</v>
      </c>
      <c r="AD33" t="s">
        <v>78</v>
      </c>
      <c r="AE33" t="s">
        <v>2234</v>
      </c>
      <c r="AF33" t="s">
        <v>249</v>
      </c>
      <c r="AG33" t="s">
        <v>647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2312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185</v>
      </c>
      <c r="X34" t="s">
        <v>78</v>
      </c>
      <c r="Y34" t="s">
        <v>186</v>
      </c>
      <c r="Z34" t="s">
        <v>187</v>
      </c>
      <c r="AA34" t="s">
        <v>78</v>
      </c>
      <c r="AB34" t="s">
        <v>78</v>
      </c>
      <c r="AC34" t="s">
        <v>78</v>
      </c>
      <c r="AD34" t="s">
        <v>78</v>
      </c>
      <c r="AE34" t="s">
        <v>2313</v>
      </c>
      <c r="AF34" t="s">
        <v>291</v>
      </c>
      <c r="AG34" t="s">
        <v>375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2375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185</v>
      </c>
      <c r="X35" t="s">
        <v>78</v>
      </c>
      <c r="Y35" t="s">
        <v>186</v>
      </c>
      <c r="Z35" t="s">
        <v>376</v>
      </c>
      <c r="AA35" t="s">
        <v>78</v>
      </c>
      <c r="AB35" t="s">
        <v>78</v>
      </c>
      <c r="AC35" t="s">
        <v>78</v>
      </c>
      <c r="AD35" t="s">
        <v>78</v>
      </c>
      <c r="AE35" t="s">
        <v>2376</v>
      </c>
      <c r="AF35" t="s">
        <v>2377</v>
      </c>
      <c r="AG35" t="s">
        <v>79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2396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185</v>
      </c>
      <c r="X36" t="s">
        <v>78</v>
      </c>
      <c r="Y36" t="s">
        <v>186</v>
      </c>
      <c r="Z36" t="s">
        <v>1438</v>
      </c>
      <c r="AA36" t="s">
        <v>78</v>
      </c>
      <c r="AB36" t="s">
        <v>78</v>
      </c>
      <c r="AC36" t="s">
        <v>78</v>
      </c>
      <c r="AD36" t="s">
        <v>78</v>
      </c>
      <c r="AE36" t="s">
        <v>2397</v>
      </c>
      <c r="AF36" t="s">
        <v>249</v>
      </c>
      <c r="AG36" t="s">
        <v>647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2403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185</v>
      </c>
      <c r="X37" t="s">
        <v>78</v>
      </c>
      <c r="Y37" t="s">
        <v>186</v>
      </c>
      <c r="Z37" t="s">
        <v>2402</v>
      </c>
      <c r="AA37" t="s">
        <v>78</v>
      </c>
      <c r="AB37" t="s">
        <v>78</v>
      </c>
      <c r="AC37" t="s">
        <v>78</v>
      </c>
      <c r="AD37" t="s">
        <v>78</v>
      </c>
      <c r="AE37" t="s">
        <v>2404</v>
      </c>
      <c r="AF37" t="s">
        <v>2405</v>
      </c>
      <c r="AG37" t="s">
        <v>2401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2419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185</v>
      </c>
      <c r="X38" t="s">
        <v>78</v>
      </c>
      <c r="Y38" t="s">
        <v>186</v>
      </c>
      <c r="Z38" t="s">
        <v>376</v>
      </c>
      <c r="AA38" t="s">
        <v>78</v>
      </c>
      <c r="AB38" t="s">
        <v>78</v>
      </c>
      <c r="AC38" t="s">
        <v>78</v>
      </c>
      <c r="AD38" t="s">
        <v>78</v>
      </c>
      <c r="AE38" t="s">
        <v>2420</v>
      </c>
      <c r="AF38" t="s">
        <v>80</v>
      </c>
      <c r="AG38" t="s">
        <v>79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2470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185</v>
      </c>
      <c r="X39" t="s">
        <v>78</v>
      </c>
      <c r="Y39" t="s">
        <v>186</v>
      </c>
      <c r="Z39" t="s">
        <v>328</v>
      </c>
      <c r="AA39" t="s">
        <v>78</v>
      </c>
      <c r="AB39" t="s">
        <v>78</v>
      </c>
      <c r="AC39" t="s">
        <v>78</v>
      </c>
      <c r="AD39" t="s">
        <v>78</v>
      </c>
      <c r="AE39" t="s">
        <v>2471</v>
      </c>
      <c r="AF39" t="s">
        <v>291</v>
      </c>
      <c r="AG39" t="s">
        <v>647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2662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185</v>
      </c>
      <c r="X40" t="s">
        <v>78</v>
      </c>
      <c r="Y40" t="s">
        <v>186</v>
      </c>
      <c r="Z40" t="s">
        <v>187</v>
      </c>
      <c r="AA40" t="s">
        <v>78</v>
      </c>
      <c r="AB40" t="s">
        <v>78</v>
      </c>
      <c r="AC40" t="s">
        <v>78</v>
      </c>
      <c r="AD40" t="s">
        <v>78</v>
      </c>
      <c r="AE40" t="s">
        <v>2663</v>
      </c>
      <c r="AF40" t="s">
        <v>80</v>
      </c>
      <c r="AG40" t="s">
        <v>601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2733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185</v>
      </c>
      <c r="X41" t="s">
        <v>78</v>
      </c>
      <c r="Y41" t="s">
        <v>411</v>
      </c>
      <c r="Z41" t="s">
        <v>2732</v>
      </c>
      <c r="AA41" t="s">
        <v>78</v>
      </c>
      <c r="AB41" t="s">
        <v>78</v>
      </c>
      <c r="AC41" t="s">
        <v>78</v>
      </c>
      <c r="AD41" t="s">
        <v>78</v>
      </c>
      <c r="AE41" t="s">
        <v>2734</v>
      </c>
      <c r="AF41" t="s">
        <v>80</v>
      </c>
      <c r="AG41" t="s">
        <v>601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2774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185</v>
      </c>
      <c r="X42" t="s">
        <v>78</v>
      </c>
      <c r="Y42" t="s">
        <v>186</v>
      </c>
      <c r="Z42" t="s">
        <v>376</v>
      </c>
      <c r="AA42" t="s">
        <v>78</v>
      </c>
      <c r="AB42" t="s">
        <v>78</v>
      </c>
      <c r="AC42" t="s">
        <v>78</v>
      </c>
      <c r="AD42" t="s">
        <v>78</v>
      </c>
      <c r="AE42" t="s">
        <v>2775</v>
      </c>
      <c r="AF42" t="s">
        <v>80</v>
      </c>
      <c r="AG42" t="s">
        <v>246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2801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185</v>
      </c>
      <c r="X43" t="s">
        <v>78</v>
      </c>
      <c r="Y43" t="s">
        <v>411</v>
      </c>
      <c r="Z43" t="s">
        <v>2800</v>
      </c>
      <c r="AA43" t="s">
        <v>78</v>
      </c>
      <c r="AB43" t="s">
        <v>78</v>
      </c>
      <c r="AC43" t="s">
        <v>78</v>
      </c>
      <c r="AD43" t="s">
        <v>78</v>
      </c>
      <c r="AE43" t="s">
        <v>2802</v>
      </c>
      <c r="AF43" t="s">
        <v>249</v>
      </c>
      <c r="AG43" t="s">
        <v>899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2818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185</v>
      </c>
      <c r="X44" t="s">
        <v>78</v>
      </c>
      <c r="Y44" t="s">
        <v>186</v>
      </c>
      <c r="Z44" t="s">
        <v>187</v>
      </c>
      <c r="AA44" t="s">
        <v>78</v>
      </c>
      <c r="AB44" t="s">
        <v>78</v>
      </c>
      <c r="AC44" t="s">
        <v>78</v>
      </c>
      <c r="AD44" t="s">
        <v>78</v>
      </c>
      <c r="AE44" t="s">
        <v>2819</v>
      </c>
      <c r="AF44" t="s">
        <v>80</v>
      </c>
      <c r="AG44" t="s">
        <v>899</v>
      </c>
      <c r="AH44" t="s">
        <v>78</v>
      </c>
    </row>
    <row r="45" spans="1:34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2824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185</v>
      </c>
      <c r="X45" t="s">
        <v>78</v>
      </c>
      <c r="Y45" t="s">
        <v>186</v>
      </c>
      <c r="Z45" t="s">
        <v>351</v>
      </c>
      <c r="AA45" t="s">
        <v>78</v>
      </c>
      <c r="AB45" t="s">
        <v>78</v>
      </c>
      <c r="AC45" t="s">
        <v>78</v>
      </c>
      <c r="AD45" t="s">
        <v>78</v>
      </c>
      <c r="AE45" t="s">
        <v>2825</v>
      </c>
      <c r="AF45" t="s">
        <v>291</v>
      </c>
      <c r="AG45" t="s">
        <v>647</v>
      </c>
      <c r="AH45" t="s">
        <v>78</v>
      </c>
    </row>
    <row r="46" spans="1:34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2831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185</v>
      </c>
      <c r="X46" t="s">
        <v>78</v>
      </c>
      <c r="Y46" t="s">
        <v>186</v>
      </c>
      <c r="Z46" t="s">
        <v>2830</v>
      </c>
      <c r="AA46" t="s">
        <v>78</v>
      </c>
      <c r="AB46" t="s">
        <v>78</v>
      </c>
      <c r="AC46" t="s">
        <v>78</v>
      </c>
      <c r="AD46" t="s">
        <v>78</v>
      </c>
      <c r="AE46" t="s">
        <v>2832</v>
      </c>
      <c r="AF46" t="s">
        <v>249</v>
      </c>
      <c r="AG46" t="s">
        <v>647</v>
      </c>
      <c r="AH46" t="s">
        <v>78</v>
      </c>
    </row>
    <row r="47" spans="1:34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2841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185</v>
      </c>
      <c r="X47" t="s">
        <v>78</v>
      </c>
      <c r="Y47" t="s">
        <v>186</v>
      </c>
      <c r="Z47" t="s">
        <v>648</v>
      </c>
      <c r="AA47" t="s">
        <v>78</v>
      </c>
      <c r="AB47" t="s">
        <v>78</v>
      </c>
      <c r="AC47" t="s">
        <v>78</v>
      </c>
      <c r="AD47" t="s">
        <v>78</v>
      </c>
      <c r="AE47" t="s">
        <v>2842</v>
      </c>
      <c r="AF47" t="s">
        <v>190</v>
      </c>
      <c r="AG47" t="s">
        <v>647</v>
      </c>
      <c r="AH47" t="s">
        <v>78</v>
      </c>
    </row>
    <row r="48" spans="1:34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2850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185</v>
      </c>
      <c r="X48" t="s">
        <v>78</v>
      </c>
      <c r="Y48" t="s">
        <v>186</v>
      </c>
      <c r="Z48" t="s">
        <v>2849</v>
      </c>
      <c r="AA48" t="s">
        <v>78</v>
      </c>
      <c r="AB48" t="s">
        <v>78</v>
      </c>
      <c r="AC48" t="s">
        <v>78</v>
      </c>
      <c r="AD48" t="s">
        <v>78</v>
      </c>
      <c r="AE48" t="s">
        <v>2851</v>
      </c>
      <c r="AF48" t="s">
        <v>249</v>
      </c>
      <c r="AG48" t="s">
        <v>647</v>
      </c>
      <c r="AH48" t="s">
        <v>78</v>
      </c>
    </row>
    <row r="49" spans="1:34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2860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185</v>
      </c>
      <c r="X49" t="s">
        <v>78</v>
      </c>
      <c r="Y49" t="s">
        <v>186</v>
      </c>
      <c r="Z49" t="s">
        <v>1861</v>
      </c>
      <c r="AA49" t="s">
        <v>78</v>
      </c>
      <c r="AB49" t="s">
        <v>78</v>
      </c>
      <c r="AC49" t="s">
        <v>78</v>
      </c>
      <c r="AD49" t="s">
        <v>78</v>
      </c>
      <c r="AE49" t="s">
        <v>2861</v>
      </c>
      <c r="AF49" t="s">
        <v>249</v>
      </c>
      <c r="AG49" t="s">
        <v>647</v>
      </c>
      <c r="AH49" t="s">
        <v>78</v>
      </c>
    </row>
    <row r="50" spans="1:34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2967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185</v>
      </c>
      <c r="X50" t="s">
        <v>78</v>
      </c>
      <c r="Y50" t="s">
        <v>411</v>
      </c>
      <c r="Z50" t="s">
        <v>900</v>
      </c>
      <c r="AA50" t="s">
        <v>78</v>
      </c>
      <c r="AB50" t="s">
        <v>78</v>
      </c>
      <c r="AC50" t="s">
        <v>78</v>
      </c>
      <c r="AD50" t="s">
        <v>78</v>
      </c>
      <c r="AE50" t="s">
        <v>2968</v>
      </c>
      <c r="AF50" t="s">
        <v>291</v>
      </c>
      <c r="AG50" t="s">
        <v>2967</v>
      </c>
      <c r="AH50" t="s">
        <v>78</v>
      </c>
    </row>
    <row r="51" spans="1:34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2967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185</v>
      </c>
      <c r="X51" t="s">
        <v>78</v>
      </c>
      <c r="Y51" t="s">
        <v>186</v>
      </c>
      <c r="Z51" t="s">
        <v>376</v>
      </c>
      <c r="AA51" t="s">
        <v>78</v>
      </c>
      <c r="AB51" t="s">
        <v>78</v>
      </c>
      <c r="AC51" t="s">
        <v>78</v>
      </c>
      <c r="AD51" t="s">
        <v>78</v>
      </c>
      <c r="AE51" t="s">
        <v>3036</v>
      </c>
      <c r="AF51" t="s">
        <v>249</v>
      </c>
      <c r="AG51" t="s">
        <v>2967</v>
      </c>
      <c r="AH51" t="s">
        <v>78</v>
      </c>
    </row>
    <row r="52" spans="1:34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2967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185</v>
      </c>
      <c r="X52" t="s">
        <v>78</v>
      </c>
      <c r="Y52" t="s">
        <v>186</v>
      </c>
      <c r="Z52" t="s">
        <v>187</v>
      </c>
      <c r="AA52" t="s">
        <v>78</v>
      </c>
      <c r="AB52" t="s">
        <v>78</v>
      </c>
      <c r="AC52" t="s">
        <v>78</v>
      </c>
      <c r="AD52" t="s">
        <v>78</v>
      </c>
      <c r="AE52" t="s">
        <v>3047</v>
      </c>
      <c r="AF52" t="s">
        <v>80</v>
      </c>
      <c r="AG52" t="s">
        <v>2967</v>
      </c>
      <c r="AH52" t="s">
        <v>78</v>
      </c>
    </row>
    <row r="53" spans="1:34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2967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185</v>
      </c>
      <c r="X53" t="s">
        <v>78</v>
      </c>
      <c r="Y53" t="s">
        <v>186</v>
      </c>
      <c r="Z53" t="s">
        <v>3052</v>
      </c>
      <c r="AA53" t="s">
        <v>78</v>
      </c>
      <c r="AB53" t="s">
        <v>78</v>
      </c>
      <c r="AC53" t="s">
        <v>78</v>
      </c>
      <c r="AD53" t="s">
        <v>78</v>
      </c>
      <c r="AE53" t="s">
        <v>3053</v>
      </c>
      <c r="AF53" t="s">
        <v>291</v>
      </c>
      <c r="AG53" t="s">
        <v>2967</v>
      </c>
      <c r="AH53" t="s">
        <v>78</v>
      </c>
    </row>
    <row r="54" spans="1:34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2967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185</v>
      </c>
      <c r="X54" t="s">
        <v>78</v>
      </c>
      <c r="Y54" t="s">
        <v>186</v>
      </c>
      <c r="Z54" t="s">
        <v>1517</v>
      </c>
      <c r="AA54" t="s">
        <v>78</v>
      </c>
      <c r="AB54" t="s">
        <v>78</v>
      </c>
      <c r="AC54" t="s">
        <v>78</v>
      </c>
      <c r="AD54" t="s">
        <v>78</v>
      </c>
      <c r="AE54" t="s">
        <v>3055</v>
      </c>
      <c r="AF54" t="s">
        <v>291</v>
      </c>
      <c r="AG54" t="s">
        <v>2967</v>
      </c>
      <c r="AH54" t="s">
        <v>78</v>
      </c>
    </row>
    <row r="55" spans="1:34" ht="15.7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2967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185</v>
      </c>
      <c r="X55" t="s">
        <v>78</v>
      </c>
      <c r="Y55" t="s">
        <v>186</v>
      </c>
      <c r="Z55" t="s">
        <v>3057</v>
      </c>
      <c r="AA55" t="s">
        <v>78</v>
      </c>
      <c r="AB55" t="s">
        <v>78</v>
      </c>
      <c r="AC55" t="s">
        <v>78</v>
      </c>
      <c r="AD55" t="s">
        <v>78</v>
      </c>
      <c r="AE55" t="s">
        <v>3058</v>
      </c>
      <c r="AF55" t="s">
        <v>291</v>
      </c>
      <c r="AG55" t="s">
        <v>2967</v>
      </c>
      <c r="AH55" t="s">
        <v>78</v>
      </c>
    </row>
    <row r="56" spans="1:34" x14ac:dyDescent="0.25">
      <c r="B56" t="s">
        <v>3060</v>
      </c>
      <c r="C56" t="s">
        <v>3060</v>
      </c>
      <c r="D56" t="s">
        <v>3060</v>
      </c>
      <c r="E56" t="s">
        <v>3060</v>
      </c>
      <c r="F56" t="s">
        <v>3060</v>
      </c>
      <c r="G56" t="s">
        <v>3060</v>
      </c>
      <c r="H56" t="s">
        <v>3060</v>
      </c>
      <c r="I56" t="s">
        <v>3060</v>
      </c>
      <c r="J56" t="s">
        <v>3060</v>
      </c>
      <c r="K56" t="s">
        <v>3060</v>
      </c>
      <c r="L56" t="s">
        <v>2967</v>
      </c>
      <c r="M56" t="s">
        <v>3060</v>
      </c>
      <c r="N56" t="s">
        <v>3060</v>
      </c>
      <c r="O56" t="s">
        <v>3060</v>
      </c>
      <c r="P56" t="s">
        <v>3060</v>
      </c>
      <c r="Q56" t="s">
        <v>3060</v>
      </c>
      <c r="R56" t="s">
        <v>3060</v>
      </c>
      <c r="S56" t="s">
        <v>3060</v>
      </c>
      <c r="T56" t="s">
        <v>3060</v>
      </c>
      <c r="U56" t="s">
        <v>3060</v>
      </c>
      <c r="V56" t="s">
        <v>3060</v>
      </c>
      <c r="W56" t="s">
        <v>185</v>
      </c>
      <c r="X56" t="s">
        <v>3060</v>
      </c>
      <c r="Y56" t="s">
        <v>186</v>
      </c>
      <c r="Z56" t="s">
        <v>2830</v>
      </c>
      <c r="AA56" t="s">
        <v>3060</v>
      </c>
      <c r="AB56" t="s">
        <v>3060</v>
      </c>
      <c r="AC56" t="s">
        <v>3060</v>
      </c>
      <c r="AD56" t="s">
        <v>3060</v>
      </c>
      <c r="AE56" t="str">
        <f>HYPERLINK("file:///C:/rest_photo/Komagene Etsiz Çiğ Köfte, Merkez (İlhanlı Mah.).jpg","Komagene Etsiz Çiğ Köfte, Merkez (İlhanlı Mah.)")</f>
        <v>Komagene Etsiz Çiğ Köfte, Merkez (İlhanlı Mah.)</v>
      </c>
      <c r="AF56" t="s">
        <v>291</v>
      </c>
      <c r="AG56" t="s">
        <v>2967</v>
      </c>
    </row>
    <row r="57" spans="1:34" x14ac:dyDescent="0.25">
      <c r="B57" t="s">
        <v>3060</v>
      </c>
      <c r="C57" t="s">
        <v>3060</v>
      </c>
      <c r="D57" t="s">
        <v>3060</v>
      </c>
      <c r="E57" t="s">
        <v>3060</v>
      </c>
      <c r="F57" t="s">
        <v>3060</v>
      </c>
      <c r="G57" t="s">
        <v>3060</v>
      </c>
      <c r="H57" t="s">
        <v>3060</v>
      </c>
      <c r="I57" t="s">
        <v>3060</v>
      </c>
      <c r="J57" t="s">
        <v>3060</v>
      </c>
      <c r="K57" t="s">
        <v>3060</v>
      </c>
      <c r="L57" t="s">
        <v>2967</v>
      </c>
      <c r="M57" t="s">
        <v>3060</v>
      </c>
      <c r="N57" t="s">
        <v>3060</v>
      </c>
      <c r="O57" t="s">
        <v>3060</v>
      </c>
      <c r="P57" t="s">
        <v>3060</v>
      </c>
      <c r="Q57" t="s">
        <v>3060</v>
      </c>
      <c r="R57" t="s">
        <v>3060</v>
      </c>
      <c r="S57" t="s">
        <v>3060</v>
      </c>
      <c r="T57" t="s">
        <v>3060</v>
      </c>
      <c r="U57" t="s">
        <v>3060</v>
      </c>
      <c r="V57" t="s">
        <v>3060</v>
      </c>
      <c r="W57" t="s">
        <v>185</v>
      </c>
      <c r="X57" t="s">
        <v>3060</v>
      </c>
      <c r="Y57" t="s">
        <v>186</v>
      </c>
      <c r="Z57" t="s">
        <v>351</v>
      </c>
      <c r="AA57" t="s">
        <v>3060</v>
      </c>
      <c r="AB57" t="s">
        <v>3060</v>
      </c>
      <c r="AC57" t="s">
        <v>3060</v>
      </c>
      <c r="AD57" t="s">
        <v>3060</v>
      </c>
      <c r="AE57" t="str">
        <f>HYPERLINK("file:///C:/rest_photo/Komagene Etsiz Çiğ Köfte, Merkez (Yukarı Kayabaşı Mah.).jpg","Komagene Etsiz Çiğ Köfte, Merkez (Yukarı Kayabaşı Mah.)")</f>
        <v>Komagene Etsiz Çiğ Köfte, Merkez (Yukarı Kayabaşı Mah.)</v>
      </c>
      <c r="AF57" t="s">
        <v>80</v>
      </c>
      <c r="AG57" t="s">
        <v>2967</v>
      </c>
    </row>
    <row r="58" spans="1:34" x14ac:dyDescent="0.25">
      <c r="B58" t="s">
        <v>3060</v>
      </c>
      <c r="C58" t="s">
        <v>3060</v>
      </c>
      <c r="D58" t="s">
        <v>3060</v>
      </c>
      <c r="E58" t="s">
        <v>3060</v>
      </c>
      <c r="F58" t="s">
        <v>3060</v>
      </c>
      <c r="G58" t="s">
        <v>3060</v>
      </c>
      <c r="H58" t="s">
        <v>3060</v>
      </c>
      <c r="I58" t="s">
        <v>3060</v>
      </c>
      <c r="J58" t="s">
        <v>3060</v>
      </c>
      <c r="K58" t="s">
        <v>3060</v>
      </c>
      <c r="L58" t="s">
        <v>3123</v>
      </c>
      <c r="M58" t="s">
        <v>3060</v>
      </c>
      <c r="N58" t="s">
        <v>3060</v>
      </c>
      <c r="O58" t="s">
        <v>3060</v>
      </c>
      <c r="P58" t="s">
        <v>3060</v>
      </c>
      <c r="Q58" t="s">
        <v>3060</v>
      </c>
      <c r="R58" t="s">
        <v>3060</v>
      </c>
      <c r="S58" t="s">
        <v>3060</v>
      </c>
      <c r="T58" t="s">
        <v>3060</v>
      </c>
      <c r="U58" t="s">
        <v>3060</v>
      </c>
      <c r="V58" t="s">
        <v>3060</v>
      </c>
      <c r="W58" t="s">
        <v>185</v>
      </c>
      <c r="X58" t="s">
        <v>3060</v>
      </c>
      <c r="Y58" t="s">
        <v>186</v>
      </c>
      <c r="Z58" t="s">
        <v>709</v>
      </c>
      <c r="AA58" t="s">
        <v>3060</v>
      </c>
      <c r="AB58" t="s">
        <v>3060</v>
      </c>
      <c r="AC58" t="s">
        <v>3060</v>
      </c>
      <c r="AD58" t="s">
        <v>3060</v>
      </c>
      <c r="AE58" t="str">
        <f>HYPERLINK("file:///C:/rest_photo/Konak Sofrası, Merkez (Esenbey Mah.).jpg","Konak Sofrası, Merkez (Esenbey Mah.)")</f>
        <v>Konak Sofrası, Merkez (Esenbey Mah.)</v>
      </c>
      <c r="AF58" t="s">
        <v>249</v>
      </c>
      <c r="AG58" t="s">
        <v>647</v>
      </c>
    </row>
    <row r="59" spans="1:34" x14ac:dyDescent="0.25">
      <c r="B59" t="s">
        <v>3060</v>
      </c>
      <c r="C59" t="s">
        <v>3060</v>
      </c>
      <c r="D59" t="s">
        <v>3060</v>
      </c>
      <c r="E59" t="s">
        <v>3060</v>
      </c>
      <c r="F59" t="s">
        <v>3060</v>
      </c>
      <c r="G59" t="s">
        <v>3060</v>
      </c>
      <c r="H59" t="s">
        <v>3060</v>
      </c>
      <c r="I59" t="s">
        <v>3060</v>
      </c>
      <c r="J59" t="s">
        <v>3060</v>
      </c>
      <c r="K59" t="s">
        <v>3060</v>
      </c>
      <c r="L59" t="s">
        <v>3124</v>
      </c>
      <c r="M59" t="s">
        <v>3060</v>
      </c>
      <c r="N59" t="s">
        <v>3060</v>
      </c>
      <c r="O59" t="s">
        <v>3060</v>
      </c>
      <c r="P59" t="s">
        <v>3060</v>
      </c>
      <c r="Q59" t="s">
        <v>3060</v>
      </c>
      <c r="R59" t="s">
        <v>3060</v>
      </c>
      <c r="S59" t="s">
        <v>3060</v>
      </c>
      <c r="T59" t="s">
        <v>3060</v>
      </c>
      <c r="U59" t="s">
        <v>3060</v>
      </c>
      <c r="V59" t="s">
        <v>3060</v>
      </c>
      <c r="W59" t="s">
        <v>185</v>
      </c>
      <c r="X59" t="s">
        <v>3060</v>
      </c>
      <c r="Y59" t="s">
        <v>186</v>
      </c>
      <c r="Z59" t="s">
        <v>1438</v>
      </c>
      <c r="AA59" t="s">
        <v>3060</v>
      </c>
      <c r="AB59" t="s">
        <v>3060</v>
      </c>
      <c r="AC59" t="s">
        <v>3060</v>
      </c>
      <c r="AD59" t="s">
        <v>3060</v>
      </c>
      <c r="AE59" t="str">
        <f>HYPERLINK("file:///C:/rest_photo/Konya Etli Ekmek İzzet Usta, Merkez (Aşağı Kayabaşı Mah. - Hastane Bölgesi).jpg","Konya Etli Ekmek İzzet Usta, Merkez (Aşağı Kayabaşı Mah. - Hastane Bölgesi)")</f>
        <v>Konya Etli Ekmek İzzet Usta, Merkez (Aşağı Kayabaşı Mah. - Hastane Bölgesi)</v>
      </c>
      <c r="AF59" t="s">
        <v>80</v>
      </c>
      <c r="AG59" t="s">
        <v>694</v>
      </c>
    </row>
    <row r="60" spans="1:34" x14ac:dyDescent="0.25">
      <c r="B60" t="s">
        <v>3060</v>
      </c>
      <c r="C60" t="s">
        <v>3060</v>
      </c>
      <c r="D60" t="s">
        <v>3060</v>
      </c>
      <c r="E60" t="s">
        <v>3060</v>
      </c>
      <c r="F60" t="s">
        <v>3060</v>
      </c>
      <c r="G60" t="s">
        <v>3060</v>
      </c>
      <c r="H60" t="s">
        <v>3060</v>
      </c>
      <c r="I60" t="s">
        <v>3060</v>
      </c>
      <c r="J60" t="s">
        <v>3060</v>
      </c>
      <c r="K60" t="s">
        <v>3060</v>
      </c>
      <c r="L60" t="s">
        <v>3125</v>
      </c>
      <c r="M60" t="s">
        <v>3060</v>
      </c>
      <c r="N60" t="s">
        <v>3060</v>
      </c>
      <c r="O60" t="s">
        <v>3060</v>
      </c>
      <c r="P60" t="s">
        <v>3060</v>
      </c>
      <c r="Q60" t="s">
        <v>3060</v>
      </c>
      <c r="R60" t="s">
        <v>3060</v>
      </c>
      <c r="S60" t="s">
        <v>3060</v>
      </c>
      <c r="T60" t="s">
        <v>3060</v>
      </c>
      <c r="U60" t="s">
        <v>3060</v>
      </c>
      <c r="V60" t="s">
        <v>3060</v>
      </c>
      <c r="W60" t="s">
        <v>185</v>
      </c>
      <c r="X60" t="s">
        <v>3060</v>
      </c>
      <c r="Y60" t="s">
        <v>186</v>
      </c>
      <c r="Z60" t="s">
        <v>1444</v>
      </c>
      <c r="AA60" t="s">
        <v>3060</v>
      </c>
      <c r="AB60" t="s">
        <v>3060</v>
      </c>
      <c r="AC60" t="s">
        <v>3060</v>
      </c>
      <c r="AD60" t="s">
        <v>3060</v>
      </c>
      <c r="AE60" t="str">
        <f>HYPERLINK("file:///C:/rest_photo/Köşebaşı Döner &amp; İskender &amp; Kebap, Merkez (Yenice Mah.).jpg","Köşebaşı Döner &amp; İskender &amp; Kebap, Merkez (Yenice Mah.)")</f>
        <v>Köşebaşı Döner &amp; İskender &amp; Kebap, Merkez (Yenice Mah.)</v>
      </c>
      <c r="AF60" t="s">
        <v>249</v>
      </c>
      <c r="AG60" t="s">
        <v>899</v>
      </c>
    </row>
    <row r="61" spans="1:34" x14ac:dyDescent="0.25">
      <c r="B61" t="s">
        <v>3060</v>
      </c>
      <c r="C61" t="s">
        <v>3060</v>
      </c>
      <c r="D61" t="s">
        <v>3060</v>
      </c>
      <c r="E61" t="s">
        <v>3060</v>
      </c>
      <c r="F61" t="s">
        <v>3060</v>
      </c>
      <c r="G61" t="s">
        <v>3060</v>
      </c>
      <c r="H61" t="s">
        <v>3060</v>
      </c>
      <c r="I61" t="s">
        <v>3060</v>
      </c>
      <c r="J61" t="s">
        <v>3060</v>
      </c>
      <c r="K61" t="s">
        <v>3060</v>
      </c>
      <c r="L61" t="s">
        <v>3126</v>
      </c>
      <c r="M61" t="s">
        <v>3060</v>
      </c>
      <c r="N61" t="s">
        <v>3060</v>
      </c>
      <c r="O61" t="s">
        <v>3060</v>
      </c>
      <c r="P61" t="s">
        <v>3060</v>
      </c>
      <c r="Q61" t="s">
        <v>3060</v>
      </c>
      <c r="R61" t="s">
        <v>3060</v>
      </c>
      <c r="S61" t="s">
        <v>3060</v>
      </c>
      <c r="T61" t="s">
        <v>3060</v>
      </c>
      <c r="U61" t="s">
        <v>3060</v>
      </c>
      <c r="V61" t="s">
        <v>3060</v>
      </c>
      <c r="W61" t="s">
        <v>185</v>
      </c>
      <c r="X61" t="s">
        <v>3060</v>
      </c>
      <c r="Y61" t="s">
        <v>186</v>
      </c>
      <c r="Z61" t="s">
        <v>1861</v>
      </c>
      <c r="AA61" t="s">
        <v>3060</v>
      </c>
      <c r="AB61" t="s">
        <v>3060</v>
      </c>
      <c r="AC61" t="s">
        <v>3060</v>
      </c>
      <c r="AD61" t="s">
        <v>3060</v>
      </c>
      <c r="AE61" t="str">
        <f>HYPERLINK("file:///C:/rest_photo/Küçük Ev Cafe &amp; Bistro, Merkez (Saruhan Mah.).jpg","Küçük Ev Cafe &amp; Bistro, Merkez (Saruhan Mah.)")</f>
        <v>Küçük Ev Cafe &amp; Bistro, Merkez (Saruhan Mah.)</v>
      </c>
      <c r="AF61" t="s">
        <v>80</v>
      </c>
      <c r="AG61" t="s">
        <v>877</v>
      </c>
    </row>
    <row r="62" spans="1:34" x14ac:dyDescent="0.25">
      <c r="B62" t="s">
        <v>3060</v>
      </c>
      <c r="C62" t="s">
        <v>3060</v>
      </c>
      <c r="D62" t="s">
        <v>3060</v>
      </c>
      <c r="E62" t="s">
        <v>3060</v>
      </c>
      <c r="F62" t="s">
        <v>3060</v>
      </c>
      <c r="G62" t="s">
        <v>3060</v>
      </c>
      <c r="H62" t="s">
        <v>3060</v>
      </c>
      <c r="I62" t="s">
        <v>3060</v>
      </c>
      <c r="J62" t="s">
        <v>3060</v>
      </c>
      <c r="K62" t="s">
        <v>3060</v>
      </c>
      <c r="L62" t="s">
        <v>3127</v>
      </c>
      <c r="M62" t="s">
        <v>3060</v>
      </c>
      <c r="N62" t="s">
        <v>3060</v>
      </c>
      <c r="O62" t="s">
        <v>3060</v>
      </c>
      <c r="P62" t="s">
        <v>3060</v>
      </c>
      <c r="Q62" t="s">
        <v>3060</v>
      </c>
      <c r="R62" t="s">
        <v>3060</v>
      </c>
      <c r="S62" t="s">
        <v>3060</v>
      </c>
      <c r="T62" t="s">
        <v>3060</v>
      </c>
      <c r="U62" t="s">
        <v>3060</v>
      </c>
      <c r="V62" t="s">
        <v>3060</v>
      </c>
      <c r="W62" t="s">
        <v>185</v>
      </c>
      <c r="X62" t="s">
        <v>3060</v>
      </c>
      <c r="Y62" t="s">
        <v>186</v>
      </c>
      <c r="Z62" t="s">
        <v>187</v>
      </c>
      <c r="AA62" t="s">
        <v>3060</v>
      </c>
      <c r="AB62" t="s">
        <v>3060</v>
      </c>
      <c r="AC62" t="s">
        <v>3060</v>
      </c>
      <c r="AD62" t="s">
        <v>3060</v>
      </c>
      <c r="AE62" t="str">
        <f>HYPERLINK("file:///C:/rest_photo/Küçükoğlu Restaurant, Merkez (Aşağı Kayabaşı Mah. - Dr. Sami Yağız Cad.).jpg","Küçükoğlu Restaurant, Merkez (Aşağı Kayabaşı Mah. - Dr. Sami Yağız Cad.)")</f>
        <v>Küçükoğlu Restaurant, Merkez (Aşağı Kayabaşı Mah. - Dr. Sami Yağız Cad.)</v>
      </c>
      <c r="AF62" t="s">
        <v>291</v>
      </c>
      <c r="AG62" t="s">
        <v>647</v>
      </c>
    </row>
    <row r="63" spans="1:34" x14ac:dyDescent="0.25">
      <c r="B63" t="s">
        <v>3060</v>
      </c>
      <c r="C63" t="s">
        <v>3060</v>
      </c>
      <c r="D63" t="s">
        <v>3060</v>
      </c>
      <c r="E63" t="s">
        <v>3060</v>
      </c>
      <c r="F63" t="s">
        <v>3060</v>
      </c>
      <c r="G63" t="s">
        <v>3060</v>
      </c>
      <c r="H63" t="s">
        <v>3060</v>
      </c>
      <c r="I63" t="s">
        <v>3060</v>
      </c>
      <c r="J63" t="s">
        <v>3060</v>
      </c>
      <c r="K63" t="s">
        <v>3060</v>
      </c>
      <c r="L63" t="s">
        <v>3128</v>
      </c>
      <c r="M63" t="s">
        <v>3060</v>
      </c>
      <c r="N63" t="s">
        <v>3060</v>
      </c>
      <c r="O63" t="s">
        <v>3060</v>
      </c>
      <c r="P63" t="s">
        <v>3060</v>
      </c>
      <c r="Q63" t="s">
        <v>3060</v>
      </c>
      <c r="R63" t="s">
        <v>3060</v>
      </c>
      <c r="S63" t="s">
        <v>3060</v>
      </c>
      <c r="T63" t="s">
        <v>3060</v>
      </c>
      <c r="U63" t="s">
        <v>3060</v>
      </c>
      <c r="V63" t="s">
        <v>3060</v>
      </c>
      <c r="W63" t="s">
        <v>185</v>
      </c>
      <c r="X63" t="s">
        <v>3060</v>
      </c>
      <c r="Y63" t="s">
        <v>186</v>
      </c>
      <c r="Z63" t="s">
        <v>187</v>
      </c>
      <c r="AA63" t="s">
        <v>3060</v>
      </c>
      <c r="AB63" t="s">
        <v>3060</v>
      </c>
      <c r="AC63" t="s">
        <v>3060</v>
      </c>
      <c r="AD63" t="s">
        <v>3060</v>
      </c>
      <c r="AE63" t="str">
        <f>HYPERLINK("file:///C:/rest_photo/Lades Döner, Merkez (Aşağı Kayabaşı Mah. - Dr. Sami Yağız Cad.).jpg","Lades Döner, Merkez (Aşağı Kayabaşı Mah. - Dr. Sami Yağız Cad.)")</f>
        <v>Lades Döner, Merkez (Aşağı Kayabaşı Mah. - Dr. Sami Yağız Cad.)</v>
      </c>
      <c r="AF63" t="s">
        <v>249</v>
      </c>
      <c r="AG63" t="s">
        <v>899</v>
      </c>
    </row>
    <row r="64" spans="1:34" x14ac:dyDescent="0.25">
      <c r="B64" t="s">
        <v>3060</v>
      </c>
      <c r="C64" t="s">
        <v>3060</v>
      </c>
      <c r="D64" t="s">
        <v>3060</v>
      </c>
      <c r="E64" t="s">
        <v>3060</v>
      </c>
      <c r="F64" t="s">
        <v>3060</v>
      </c>
      <c r="G64" t="s">
        <v>3060</v>
      </c>
      <c r="H64" t="s">
        <v>3060</v>
      </c>
      <c r="I64" t="s">
        <v>3060</v>
      </c>
      <c r="J64" t="s">
        <v>3060</v>
      </c>
      <c r="K64" t="s">
        <v>3060</v>
      </c>
      <c r="L64" t="s">
        <v>3129</v>
      </c>
      <c r="M64" t="s">
        <v>3060</v>
      </c>
      <c r="N64" t="s">
        <v>3060</v>
      </c>
      <c r="O64" t="s">
        <v>3060</v>
      </c>
      <c r="P64" t="s">
        <v>3060</v>
      </c>
      <c r="Q64" t="s">
        <v>3060</v>
      </c>
      <c r="R64" t="s">
        <v>3060</v>
      </c>
      <c r="S64" t="s">
        <v>3060</v>
      </c>
      <c r="T64" t="s">
        <v>3060</v>
      </c>
      <c r="U64" t="s">
        <v>3060</v>
      </c>
      <c r="V64" t="s">
        <v>3060</v>
      </c>
      <c r="W64" t="s">
        <v>185</v>
      </c>
      <c r="X64" t="s">
        <v>3060</v>
      </c>
      <c r="Y64" t="s">
        <v>186</v>
      </c>
      <c r="Z64" t="s">
        <v>648</v>
      </c>
      <c r="AA64" t="s">
        <v>3060</v>
      </c>
      <c r="AB64" t="s">
        <v>3060</v>
      </c>
      <c r="AC64" t="s">
        <v>3060</v>
      </c>
      <c r="AD64" t="s">
        <v>3060</v>
      </c>
      <c r="AE64" t="str">
        <f>HYPERLINK("file:///C:/rest_photo/Lavaş Center, Merkez (Sırali Mah.).jpg","Lavaş Center, Merkez (Sırali Mah.)")</f>
        <v>Lavaş Center, Merkez (Sırali Mah.)</v>
      </c>
      <c r="AF64" t="s">
        <v>190</v>
      </c>
      <c r="AG64" t="s">
        <v>899</v>
      </c>
    </row>
    <row r="65" spans="2:33" x14ac:dyDescent="0.25">
      <c r="B65" t="s">
        <v>3060</v>
      </c>
      <c r="C65" t="s">
        <v>3060</v>
      </c>
      <c r="D65" t="s">
        <v>3060</v>
      </c>
      <c r="E65" t="s">
        <v>3060</v>
      </c>
      <c r="F65" t="s">
        <v>3060</v>
      </c>
      <c r="G65" t="s">
        <v>3060</v>
      </c>
      <c r="H65" t="s">
        <v>3060</v>
      </c>
      <c r="I65" t="s">
        <v>3060</v>
      </c>
      <c r="J65" t="s">
        <v>3060</v>
      </c>
      <c r="K65" t="s">
        <v>3060</v>
      </c>
      <c r="L65" t="s">
        <v>3130</v>
      </c>
      <c r="M65" t="s">
        <v>3060</v>
      </c>
      <c r="N65" t="s">
        <v>3060</v>
      </c>
      <c r="O65" t="s">
        <v>3060</v>
      </c>
      <c r="P65" t="s">
        <v>3060</v>
      </c>
      <c r="Q65" t="s">
        <v>3060</v>
      </c>
      <c r="R65" t="s">
        <v>3060</v>
      </c>
      <c r="S65" t="s">
        <v>3060</v>
      </c>
      <c r="T65" t="s">
        <v>3060</v>
      </c>
      <c r="U65" t="s">
        <v>3060</v>
      </c>
      <c r="V65" t="s">
        <v>3060</v>
      </c>
      <c r="W65" t="s">
        <v>185</v>
      </c>
      <c r="X65" t="s">
        <v>3060</v>
      </c>
      <c r="Y65" t="s">
        <v>186</v>
      </c>
      <c r="Z65" t="s">
        <v>1861</v>
      </c>
      <c r="AA65" t="s">
        <v>3060</v>
      </c>
      <c r="AB65" t="s">
        <v>3060</v>
      </c>
      <c r="AC65" t="s">
        <v>3060</v>
      </c>
      <c r="AD65" t="s">
        <v>3060</v>
      </c>
      <c r="AE65" t="str">
        <f>HYPERLINK("file:///C:/rest_photo/Lavaş Döner, Merkez (Saruhan Mah.).jpg","Lavaş Döner, Merkez (Saruhan Mah.)")</f>
        <v>Lavaş Döner, Merkez (Saruhan Mah.)</v>
      </c>
      <c r="AF65" t="s">
        <v>249</v>
      </c>
      <c r="AG65" t="s">
        <v>899</v>
      </c>
    </row>
    <row r="66" spans="2:33" x14ac:dyDescent="0.25">
      <c r="B66" t="s">
        <v>3060</v>
      </c>
      <c r="C66" t="s">
        <v>3060</v>
      </c>
      <c r="D66" t="s">
        <v>3060</v>
      </c>
      <c r="E66" t="s">
        <v>3060</v>
      </c>
      <c r="F66" t="s">
        <v>3060</v>
      </c>
      <c r="G66" t="s">
        <v>3060</v>
      </c>
      <c r="H66" t="s">
        <v>3060</v>
      </c>
      <c r="I66" t="s">
        <v>3060</v>
      </c>
      <c r="J66" t="s">
        <v>3060</v>
      </c>
      <c r="K66" t="s">
        <v>3060</v>
      </c>
      <c r="L66" t="s">
        <v>3131</v>
      </c>
      <c r="M66" t="s">
        <v>3060</v>
      </c>
      <c r="N66" t="s">
        <v>3060</v>
      </c>
      <c r="O66" t="s">
        <v>3060</v>
      </c>
      <c r="P66" t="s">
        <v>3060</v>
      </c>
      <c r="Q66" t="s">
        <v>3060</v>
      </c>
      <c r="R66" t="s">
        <v>3060</v>
      </c>
      <c r="S66" t="s">
        <v>3060</v>
      </c>
      <c r="T66" t="s">
        <v>3060</v>
      </c>
      <c r="U66" t="s">
        <v>3060</v>
      </c>
      <c r="V66" t="s">
        <v>3060</v>
      </c>
      <c r="W66" t="s">
        <v>185</v>
      </c>
      <c r="X66" t="s">
        <v>3060</v>
      </c>
      <c r="Y66" t="s">
        <v>186</v>
      </c>
      <c r="Z66" t="s">
        <v>187</v>
      </c>
      <c r="AA66" t="s">
        <v>3060</v>
      </c>
      <c r="AB66" t="s">
        <v>3060</v>
      </c>
      <c r="AC66" t="s">
        <v>3060</v>
      </c>
      <c r="AD66" t="s">
        <v>3060</v>
      </c>
      <c r="AE66" t="str">
        <f>HYPERLINK("file:///C:/rest_photo/Levent Börek, Merkez (Aşağı Kayabaşı Mah. - Dr. Sami Yağız Cad.).jpg","Levent Börek, Merkez (Aşağı Kayabaşı Mah. - Dr. Sami Yağız Cad.)")</f>
        <v>Levent Börek, Merkez (Aşağı Kayabaşı Mah. - Dr. Sami Yağız Cad.)</v>
      </c>
      <c r="AF66" t="s">
        <v>80</v>
      </c>
      <c r="AG66" t="s">
        <v>3071</v>
      </c>
    </row>
    <row r="67" spans="2:33" x14ac:dyDescent="0.25">
      <c r="B67" t="s">
        <v>3060</v>
      </c>
      <c r="C67" t="s">
        <v>3060</v>
      </c>
      <c r="D67" t="s">
        <v>3060</v>
      </c>
      <c r="E67" t="s">
        <v>3060</v>
      </c>
      <c r="F67" t="s">
        <v>3060</v>
      </c>
      <c r="G67" t="s">
        <v>3060</v>
      </c>
      <c r="H67" t="s">
        <v>3060</v>
      </c>
      <c r="I67" t="s">
        <v>3060</v>
      </c>
      <c r="J67" t="s">
        <v>3060</v>
      </c>
      <c r="K67" t="s">
        <v>3060</v>
      </c>
      <c r="L67" t="s">
        <v>3132</v>
      </c>
      <c r="M67" t="s">
        <v>3060</v>
      </c>
      <c r="N67" t="s">
        <v>3060</v>
      </c>
      <c r="O67" t="s">
        <v>3060</v>
      </c>
      <c r="P67" t="s">
        <v>3060</v>
      </c>
      <c r="Q67" t="s">
        <v>3060</v>
      </c>
      <c r="R67" t="s">
        <v>3060</v>
      </c>
      <c r="S67" t="s">
        <v>3060</v>
      </c>
      <c r="T67" t="s">
        <v>3060</v>
      </c>
      <c r="U67" t="s">
        <v>3060</v>
      </c>
      <c r="V67" t="s">
        <v>3060</v>
      </c>
      <c r="W67" t="s">
        <v>185</v>
      </c>
      <c r="X67" t="s">
        <v>3060</v>
      </c>
      <c r="Y67" t="s">
        <v>186</v>
      </c>
      <c r="Z67" t="s">
        <v>328</v>
      </c>
      <c r="AA67" t="s">
        <v>3060</v>
      </c>
      <c r="AB67" t="s">
        <v>3060</v>
      </c>
      <c r="AC67" t="s">
        <v>3060</v>
      </c>
      <c r="AD67" t="s">
        <v>3060</v>
      </c>
      <c r="AE67" t="str">
        <f>HYPERLINK("file:///C:/rest_photo/Lezzet Durağı, Merkez (Selçuk Mah.).jpg","Lezzet Durağı, Merkez (Selçuk Mah.)")</f>
        <v>Lezzet Durağı, Merkez (Selçuk Mah.)</v>
      </c>
      <c r="AF67" t="s">
        <v>80</v>
      </c>
      <c r="AG67" t="s">
        <v>3073</v>
      </c>
    </row>
    <row r="68" spans="2:33" x14ac:dyDescent="0.25">
      <c r="B68" t="s">
        <v>3060</v>
      </c>
      <c r="C68" t="s">
        <v>3060</v>
      </c>
      <c r="D68" t="s">
        <v>3060</v>
      </c>
      <c r="E68" t="s">
        <v>3060</v>
      </c>
      <c r="F68" t="s">
        <v>3060</v>
      </c>
      <c r="G68" t="s">
        <v>3060</v>
      </c>
      <c r="H68" t="s">
        <v>3060</v>
      </c>
      <c r="I68" t="s">
        <v>3060</v>
      </c>
      <c r="J68" t="s">
        <v>3060</v>
      </c>
      <c r="K68" t="s">
        <v>3060</v>
      </c>
      <c r="L68" t="s">
        <v>3133</v>
      </c>
      <c r="M68" t="s">
        <v>3060</v>
      </c>
      <c r="N68" t="s">
        <v>3060</v>
      </c>
      <c r="O68" t="s">
        <v>3060</v>
      </c>
      <c r="P68" t="s">
        <v>3060</v>
      </c>
      <c r="Q68" t="s">
        <v>3060</v>
      </c>
      <c r="R68" t="s">
        <v>3060</v>
      </c>
      <c r="S68" t="s">
        <v>3060</v>
      </c>
      <c r="T68" t="s">
        <v>3060</v>
      </c>
      <c r="U68" t="s">
        <v>3060</v>
      </c>
      <c r="V68" t="s">
        <v>3060</v>
      </c>
      <c r="W68" t="s">
        <v>185</v>
      </c>
      <c r="X68" t="s">
        <v>3060</v>
      </c>
      <c r="Y68" t="s">
        <v>186</v>
      </c>
      <c r="Z68" t="s">
        <v>3075</v>
      </c>
      <c r="AA68" t="s">
        <v>3060</v>
      </c>
      <c r="AB68" t="s">
        <v>3060</v>
      </c>
      <c r="AC68" t="s">
        <v>3060</v>
      </c>
      <c r="AD68" t="s">
        <v>3060</v>
      </c>
      <c r="AE68" t="str">
        <f>HYPERLINK("file:///C:/rest_photo/Mangal Evim, Merkez (Sungur Mah.).jpg","Mangal Evim, Merkez (Sungur Mah.)")</f>
        <v>Mangal Evim, Merkez (Sungur Mah.)</v>
      </c>
      <c r="AF68" t="s">
        <v>249</v>
      </c>
      <c r="AG68" t="s">
        <v>647</v>
      </c>
    </row>
    <row r="69" spans="2:33" x14ac:dyDescent="0.25">
      <c r="B69" t="s">
        <v>3060</v>
      </c>
      <c r="C69" t="s">
        <v>3060</v>
      </c>
      <c r="D69" t="s">
        <v>3060</v>
      </c>
      <c r="E69" t="s">
        <v>3060</v>
      </c>
      <c r="F69" t="s">
        <v>3060</v>
      </c>
      <c r="G69" t="s">
        <v>3060</v>
      </c>
      <c r="H69" t="s">
        <v>3060</v>
      </c>
      <c r="I69" t="s">
        <v>3060</v>
      </c>
      <c r="J69" t="s">
        <v>3060</v>
      </c>
      <c r="K69" t="s">
        <v>3060</v>
      </c>
      <c r="L69" t="s">
        <v>3134</v>
      </c>
      <c r="M69" t="s">
        <v>3060</v>
      </c>
      <c r="N69" t="s">
        <v>3060</v>
      </c>
      <c r="O69" t="s">
        <v>3060</v>
      </c>
      <c r="P69" t="s">
        <v>3060</v>
      </c>
      <c r="Q69" t="s">
        <v>3060</v>
      </c>
      <c r="R69" t="s">
        <v>3060</v>
      </c>
      <c r="S69" t="s">
        <v>3060</v>
      </c>
      <c r="T69" t="s">
        <v>3060</v>
      </c>
      <c r="U69" t="s">
        <v>3060</v>
      </c>
      <c r="V69" t="s">
        <v>3060</v>
      </c>
      <c r="W69" t="s">
        <v>185</v>
      </c>
      <c r="X69" t="s">
        <v>3060</v>
      </c>
      <c r="Y69" t="s">
        <v>186</v>
      </c>
      <c r="Z69" t="s">
        <v>3077</v>
      </c>
      <c r="AA69" t="s">
        <v>3060</v>
      </c>
      <c r="AB69" t="s">
        <v>3060</v>
      </c>
      <c r="AC69" t="s">
        <v>3060</v>
      </c>
      <c r="AD69" t="s">
        <v>3060</v>
      </c>
      <c r="AE69" t="str">
        <f>HYPERLINK("file:///C:/rest_photo/Mekan Tost, Merkez (Balhasan Mah.).jpg","Mekan Tost, Merkez (Balhasan Mah.)")</f>
        <v>Mekan Tost, Merkez (Balhasan Mah.)</v>
      </c>
      <c r="AF69" t="s">
        <v>80</v>
      </c>
      <c r="AG69" t="s">
        <v>1418</v>
      </c>
    </row>
    <row r="70" spans="2:33" x14ac:dyDescent="0.25">
      <c r="B70" t="s">
        <v>3060</v>
      </c>
      <c r="C70" t="s">
        <v>3060</v>
      </c>
      <c r="D70" t="s">
        <v>3060</v>
      </c>
      <c r="E70" t="s">
        <v>3060</v>
      </c>
      <c r="F70" t="s">
        <v>3060</v>
      </c>
      <c r="G70" t="s">
        <v>3060</v>
      </c>
      <c r="H70" t="s">
        <v>3060</v>
      </c>
      <c r="I70" t="s">
        <v>3060</v>
      </c>
      <c r="J70" t="s">
        <v>3060</v>
      </c>
      <c r="K70" t="s">
        <v>3060</v>
      </c>
      <c r="L70" t="s">
        <v>3135</v>
      </c>
      <c r="M70" t="s">
        <v>3060</v>
      </c>
      <c r="N70" t="s">
        <v>3060</v>
      </c>
      <c r="O70" t="s">
        <v>3060</v>
      </c>
      <c r="P70" t="s">
        <v>3060</v>
      </c>
      <c r="Q70" t="s">
        <v>3060</v>
      </c>
      <c r="R70" t="s">
        <v>3060</v>
      </c>
      <c r="S70" t="s">
        <v>3060</v>
      </c>
      <c r="T70" t="s">
        <v>3060</v>
      </c>
      <c r="U70" t="s">
        <v>3060</v>
      </c>
      <c r="V70" t="s">
        <v>3060</v>
      </c>
      <c r="W70" t="s">
        <v>185</v>
      </c>
      <c r="X70" t="s">
        <v>3060</v>
      </c>
      <c r="Y70" t="s">
        <v>186</v>
      </c>
      <c r="Z70" t="s">
        <v>648</v>
      </c>
      <c r="AA70" t="s">
        <v>3060</v>
      </c>
      <c r="AB70" t="s">
        <v>3060</v>
      </c>
      <c r="AC70" t="s">
        <v>3060</v>
      </c>
      <c r="AD70" t="s">
        <v>3060</v>
      </c>
      <c r="AE70" t="str">
        <f>HYPERLINK("file:///C:/rest_photo/Melisa Döner, Merkez (Sırali Mah.).jpg","Melisa Döner, Merkez (Sırali Mah.)")</f>
        <v>Melisa Döner, Merkez (Sırali Mah.)</v>
      </c>
      <c r="AF70" t="s">
        <v>291</v>
      </c>
      <c r="AG70" t="s">
        <v>899</v>
      </c>
    </row>
    <row r="71" spans="2:33" x14ac:dyDescent="0.25">
      <c r="B71" t="s">
        <v>3060</v>
      </c>
      <c r="C71" t="s">
        <v>3060</v>
      </c>
      <c r="D71" t="s">
        <v>3060</v>
      </c>
      <c r="E71" t="s">
        <v>3060</v>
      </c>
      <c r="F71" t="s">
        <v>3060</v>
      </c>
      <c r="G71" t="s">
        <v>3060</v>
      </c>
      <c r="H71" t="s">
        <v>3060</v>
      </c>
      <c r="I71" t="s">
        <v>3060</v>
      </c>
      <c r="J71" t="s">
        <v>3060</v>
      </c>
      <c r="K71" t="s">
        <v>3060</v>
      </c>
      <c r="L71" t="s">
        <v>3136</v>
      </c>
      <c r="M71" t="s">
        <v>3060</v>
      </c>
      <c r="N71" t="s">
        <v>3060</v>
      </c>
      <c r="O71" t="s">
        <v>3060</v>
      </c>
      <c r="P71" t="s">
        <v>3060</v>
      </c>
      <c r="Q71" t="s">
        <v>3060</v>
      </c>
      <c r="R71" t="s">
        <v>3060</v>
      </c>
      <c r="S71" t="s">
        <v>3060</v>
      </c>
      <c r="T71" t="s">
        <v>3060</v>
      </c>
      <c r="U71" t="s">
        <v>3060</v>
      </c>
      <c r="V71" t="s">
        <v>3060</v>
      </c>
      <c r="W71" t="s">
        <v>185</v>
      </c>
      <c r="X71" t="s">
        <v>3060</v>
      </c>
      <c r="Y71" t="s">
        <v>186</v>
      </c>
      <c r="Z71" t="s">
        <v>648</v>
      </c>
      <c r="AA71" t="s">
        <v>3060</v>
      </c>
      <c r="AB71" t="s">
        <v>3060</v>
      </c>
      <c r="AC71" t="s">
        <v>3060</v>
      </c>
      <c r="AD71" t="s">
        <v>3060</v>
      </c>
      <c r="AE71" t="str">
        <f>HYPERLINK("file:///C:/rest_photo/Merkez Cafe &amp; Pizza, Merkez (Sırali Mah.).jpg","Merkez Cafe &amp; Pizza, Merkez (Sırali Mah.)")</f>
        <v>Merkez Cafe &amp; Pizza, Merkez (Sırali Mah.)</v>
      </c>
      <c r="AF71" t="s">
        <v>291</v>
      </c>
      <c r="AG71" t="s">
        <v>601</v>
      </c>
    </row>
    <row r="72" spans="2:33" x14ac:dyDescent="0.25">
      <c r="B72" t="s">
        <v>3060</v>
      </c>
      <c r="C72" t="s">
        <v>3060</v>
      </c>
      <c r="D72" t="s">
        <v>3060</v>
      </c>
      <c r="E72" t="s">
        <v>3060</v>
      </c>
      <c r="F72" t="s">
        <v>3060</v>
      </c>
      <c r="G72" t="s">
        <v>3060</v>
      </c>
      <c r="H72" t="s">
        <v>3060</v>
      </c>
      <c r="I72" t="s">
        <v>3060</v>
      </c>
      <c r="J72" t="s">
        <v>3060</v>
      </c>
      <c r="K72" t="s">
        <v>3060</v>
      </c>
      <c r="L72" t="s">
        <v>3137</v>
      </c>
      <c r="M72" t="s">
        <v>3060</v>
      </c>
      <c r="N72" t="s">
        <v>3060</v>
      </c>
      <c r="O72" t="s">
        <v>3060</v>
      </c>
      <c r="P72" t="s">
        <v>3060</v>
      </c>
      <c r="Q72" t="s">
        <v>3060</v>
      </c>
      <c r="R72" t="s">
        <v>3060</v>
      </c>
      <c r="S72" t="s">
        <v>3060</v>
      </c>
      <c r="T72" t="s">
        <v>3060</v>
      </c>
      <c r="U72" t="s">
        <v>3060</v>
      </c>
      <c r="V72" t="s">
        <v>3060</v>
      </c>
      <c r="W72" t="s">
        <v>185</v>
      </c>
      <c r="X72" t="s">
        <v>3060</v>
      </c>
      <c r="Y72" t="s">
        <v>186</v>
      </c>
      <c r="Z72" t="s">
        <v>2849</v>
      </c>
      <c r="AA72" t="s">
        <v>3060</v>
      </c>
      <c r="AB72" t="s">
        <v>3060</v>
      </c>
      <c r="AC72" t="s">
        <v>3060</v>
      </c>
      <c r="AD72" t="s">
        <v>3060</v>
      </c>
      <c r="AE72" t="str">
        <f>HYPERLINK("file:///C:/rest_photo/Meşhur Adıyaman Çiğ Köftecisi Ömer Aybak, Merkez (Ahipaşa Mah.).jpg","Meşhur Adıyaman Çiğ Köftecisi Ömer Aybak, Merkez (Ahipaşa Mah.)")</f>
        <v>Meşhur Adıyaman Çiğ Köftecisi Ömer Aybak, Merkez (Ahipaşa Mah.)</v>
      </c>
      <c r="AF72" t="s">
        <v>291</v>
      </c>
      <c r="AG72" t="s">
        <v>246</v>
      </c>
    </row>
    <row r="73" spans="2:33" x14ac:dyDescent="0.25">
      <c r="B73" t="s">
        <v>3060</v>
      </c>
      <c r="C73" t="s">
        <v>3060</v>
      </c>
      <c r="D73" t="s">
        <v>3060</v>
      </c>
      <c r="E73" t="s">
        <v>3060</v>
      </c>
      <c r="F73" t="s">
        <v>3060</v>
      </c>
      <c r="G73" t="s">
        <v>3060</v>
      </c>
      <c r="H73" t="s">
        <v>3060</v>
      </c>
      <c r="I73" t="s">
        <v>3060</v>
      </c>
      <c r="J73" t="s">
        <v>3060</v>
      </c>
      <c r="K73" t="s">
        <v>3060</v>
      </c>
      <c r="L73" t="s">
        <v>3137</v>
      </c>
      <c r="M73" t="s">
        <v>3060</v>
      </c>
      <c r="N73" t="s">
        <v>3060</v>
      </c>
      <c r="O73" t="s">
        <v>3060</v>
      </c>
      <c r="P73" t="s">
        <v>3060</v>
      </c>
      <c r="Q73" t="s">
        <v>3060</v>
      </c>
      <c r="R73" t="s">
        <v>3060</v>
      </c>
      <c r="S73" t="s">
        <v>3060</v>
      </c>
      <c r="T73" t="s">
        <v>3060</v>
      </c>
      <c r="U73" t="s">
        <v>3060</v>
      </c>
      <c r="V73" t="s">
        <v>3060</v>
      </c>
      <c r="W73" t="s">
        <v>185</v>
      </c>
      <c r="X73" t="s">
        <v>3060</v>
      </c>
      <c r="Y73" t="s">
        <v>186</v>
      </c>
      <c r="Z73" t="s">
        <v>1861</v>
      </c>
      <c r="AA73" t="s">
        <v>3060</v>
      </c>
      <c r="AB73" t="s">
        <v>3060</v>
      </c>
      <c r="AC73" t="s">
        <v>3060</v>
      </c>
      <c r="AD73" t="s">
        <v>3060</v>
      </c>
      <c r="AE73" t="str">
        <f>HYPERLINK("file:///C:/rest_photo/Meşhur Adıyaman Çiğ Köftecisi Ömer Aybak, Merkez (Saruhan Mah.).jpg","Meşhur Adıyaman Çiğ Köftecisi Ömer Aybak, Merkez (Saruhan Mah.)")</f>
        <v>Meşhur Adıyaman Çiğ Köftecisi Ömer Aybak, Merkez (Saruhan Mah.)</v>
      </c>
      <c r="AF73" t="s">
        <v>291</v>
      </c>
      <c r="AG73" t="s">
        <v>246</v>
      </c>
    </row>
    <row r="74" spans="2:33" x14ac:dyDescent="0.25">
      <c r="B74" t="s">
        <v>3060</v>
      </c>
      <c r="C74" t="s">
        <v>3060</v>
      </c>
      <c r="D74" t="s">
        <v>3060</v>
      </c>
      <c r="E74" t="s">
        <v>3060</v>
      </c>
      <c r="F74" t="s">
        <v>3060</v>
      </c>
      <c r="G74" t="s">
        <v>3060</v>
      </c>
      <c r="H74" t="s">
        <v>3060</v>
      </c>
      <c r="I74" t="s">
        <v>3060</v>
      </c>
      <c r="J74" t="s">
        <v>3060</v>
      </c>
      <c r="K74" t="s">
        <v>3060</v>
      </c>
      <c r="L74" t="s">
        <v>3138</v>
      </c>
      <c r="M74" t="s">
        <v>3060</v>
      </c>
      <c r="N74" t="s">
        <v>3060</v>
      </c>
      <c r="O74" t="s">
        <v>3060</v>
      </c>
      <c r="P74" t="s">
        <v>3060</v>
      </c>
      <c r="Q74" t="s">
        <v>3060</v>
      </c>
      <c r="R74" t="s">
        <v>3060</v>
      </c>
      <c r="S74" t="s">
        <v>3060</v>
      </c>
      <c r="T74" t="s">
        <v>3060</v>
      </c>
      <c r="U74" t="s">
        <v>3060</v>
      </c>
      <c r="V74" t="s">
        <v>3060</v>
      </c>
      <c r="W74" t="s">
        <v>185</v>
      </c>
      <c r="X74" t="s">
        <v>3060</v>
      </c>
      <c r="Y74" t="s">
        <v>186</v>
      </c>
      <c r="Z74" t="s">
        <v>187</v>
      </c>
      <c r="AA74" t="s">
        <v>3060</v>
      </c>
      <c r="AB74" t="s">
        <v>3060</v>
      </c>
      <c r="AC74" t="s">
        <v>3060</v>
      </c>
      <c r="AD74" t="s">
        <v>3060</v>
      </c>
      <c r="AE74" t="str">
        <f>HYPERLINK("file:///C:/rest_photo/Mis Pide &amp; Izgara, Merkez (Aşağı Kayabaşı Mah. - Dr. Sami Yağız Cad.).jpg","Mis Pide &amp; Izgara, Merkez (Aşağı Kayabaşı Mah. - Dr. Sami Yağız Cad.)")</f>
        <v>Mis Pide &amp; Izgara, Merkez (Aşağı Kayabaşı Mah. - Dr. Sami Yağız Cad.)</v>
      </c>
      <c r="AF74" t="s">
        <v>291</v>
      </c>
      <c r="AG74" t="s">
        <v>694</v>
      </c>
    </row>
    <row r="75" spans="2:33" x14ac:dyDescent="0.25">
      <c r="B75" t="s">
        <v>3060</v>
      </c>
      <c r="C75" t="s">
        <v>3060</v>
      </c>
      <c r="D75" t="s">
        <v>3060</v>
      </c>
      <c r="E75" t="s">
        <v>3060</v>
      </c>
      <c r="F75" t="s">
        <v>3060</v>
      </c>
      <c r="G75" t="s">
        <v>3060</v>
      </c>
      <c r="H75" t="s">
        <v>3060</v>
      </c>
      <c r="I75" t="s">
        <v>3060</v>
      </c>
      <c r="J75" t="s">
        <v>3060</v>
      </c>
      <c r="K75" t="s">
        <v>3060</v>
      </c>
      <c r="L75" t="s">
        <v>3139</v>
      </c>
      <c r="M75" t="s">
        <v>3060</v>
      </c>
      <c r="N75" t="s">
        <v>3060</v>
      </c>
      <c r="O75" t="s">
        <v>3060</v>
      </c>
      <c r="P75" t="s">
        <v>3060</v>
      </c>
      <c r="Q75" t="s">
        <v>3060</v>
      </c>
      <c r="R75" t="s">
        <v>3060</v>
      </c>
      <c r="S75" t="s">
        <v>3060</v>
      </c>
      <c r="T75" t="s">
        <v>3060</v>
      </c>
      <c r="U75" t="s">
        <v>3060</v>
      </c>
      <c r="V75" t="s">
        <v>3060</v>
      </c>
      <c r="W75" t="s">
        <v>185</v>
      </c>
      <c r="X75" t="s">
        <v>3060</v>
      </c>
      <c r="Y75" t="s">
        <v>186</v>
      </c>
      <c r="Z75" t="s">
        <v>3084</v>
      </c>
      <c r="AA75" t="s">
        <v>3060</v>
      </c>
      <c r="AB75" t="s">
        <v>3060</v>
      </c>
      <c r="AC75" t="s">
        <v>3060</v>
      </c>
      <c r="AD75" t="s">
        <v>3060</v>
      </c>
      <c r="AE75" t="str">
        <f>HYPERLINK("file:///C:/rest_photo/Nahita Fındık Lahmacun, Merkez (Kumluca Mah.).jpg","Nahita Fındık Lahmacun, Merkez (Kumluca Mah.)")</f>
        <v>Nahita Fındık Lahmacun, Merkez (Kumluca Mah.)</v>
      </c>
      <c r="AF75" t="s">
        <v>80</v>
      </c>
      <c r="AG75" t="s">
        <v>694</v>
      </c>
    </row>
    <row r="76" spans="2:33" x14ac:dyDescent="0.25">
      <c r="B76" t="s">
        <v>3060</v>
      </c>
      <c r="C76" t="s">
        <v>3060</v>
      </c>
      <c r="D76" t="s">
        <v>3060</v>
      </c>
      <c r="E76" t="s">
        <v>3060</v>
      </c>
      <c r="F76" t="s">
        <v>3060</v>
      </c>
      <c r="G76" t="s">
        <v>3060</v>
      </c>
      <c r="H76" t="s">
        <v>3060</v>
      </c>
      <c r="I76" t="s">
        <v>3060</v>
      </c>
      <c r="J76" t="s">
        <v>3060</v>
      </c>
      <c r="K76" t="s">
        <v>3060</v>
      </c>
      <c r="L76" t="s">
        <v>3140</v>
      </c>
      <c r="M76" t="s">
        <v>3060</v>
      </c>
      <c r="N76" t="s">
        <v>3060</v>
      </c>
      <c r="O76" t="s">
        <v>3060</v>
      </c>
      <c r="P76" t="s">
        <v>3060</v>
      </c>
      <c r="Q76" t="s">
        <v>3060</v>
      </c>
      <c r="R76" t="s">
        <v>3060</v>
      </c>
      <c r="S76" t="s">
        <v>3060</v>
      </c>
      <c r="T76" t="s">
        <v>3060</v>
      </c>
      <c r="U76" t="s">
        <v>3060</v>
      </c>
      <c r="V76" t="s">
        <v>3060</v>
      </c>
      <c r="W76" t="s">
        <v>185</v>
      </c>
      <c r="X76" t="s">
        <v>3060</v>
      </c>
      <c r="Y76" t="s">
        <v>186</v>
      </c>
      <c r="Z76" t="s">
        <v>187</v>
      </c>
      <c r="AA76" t="s">
        <v>3060</v>
      </c>
      <c r="AB76" t="s">
        <v>3060</v>
      </c>
      <c r="AC76" t="s">
        <v>3060</v>
      </c>
      <c r="AD76" t="s">
        <v>3060</v>
      </c>
      <c r="AE76" t="str">
        <f>HYPERLINK("file:///C:/rest_photo/Nefis Pide &amp; Lahmacun, Merkez (Aşağı Kayabaşı Mah. - Dr. Sami Yağız Cad.).jpg","Nefis Pide &amp; Lahmacun, Merkez (Aşağı Kayabaşı Mah. - Dr. Sami Yağız Cad.)")</f>
        <v>Nefis Pide &amp; Lahmacun, Merkez (Aşağı Kayabaşı Mah. - Dr. Sami Yağız Cad.)</v>
      </c>
      <c r="AF76" t="s">
        <v>80</v>
      </c>
      <c r="AG76" t="s">
        <v>694</v>
      </c>
    </row>
    <row r="77" spans="2:33" x14ac:dyDescent="0.25">
      <c r="B77" t="s">
        <v>3060</v>
      </c>
      <c r="C77" t="s">
        <v>3060</v>
      </c>
      <c r="D77" t="s">
        <v>3060</v>
      </c>
      <c r="E77" t="s">
        <v>3060</v>
      </c>
      <c r="F77" t="s">
        <v>3060</v>
      </c>
      <c r="G77" t="s">
        <v>3060</v>
      </c>
      <c r="H77" t="s">
        <v>3060</v>
      </c>
      <c r="I77" t="s">
        <v>3060</v>
      </c>
      <c r="J77" t="s">
        <v>3060</v>
      </c>
      <c r="K77" t="s">
        <v>3060</v>
      </c>
      <c r="L77" t="s">
        <v>3141</v>
      </c>
      <c r="M77" t="s">
        <v>3060</v>
      </c>
      <c r="N77" t="s">
        <v>3060</v>
      </c>
      <c r="O77" t="s">
        <v>3060</v>
      </c>
      <c r="P77" t="s">
        <v>3060</v>
      </c>
      <c r="Q77" t="s">
        <v>3060</v>
      </c>
      <c r="R77" t="s">
        <v>3060</v>
      </c>
      <c r="S77" t="s">
        <v>3060</v>
      </c>
      <c r="T77" t="s">
        <v>3060</v>
      </c>
      <c r="U77" t="s">
        <v>3060</v>
      </c>
      <c r="V77" t="s">
        <v>3060</v>
      </c>
      <c r="W77" t="s">
        <v>185</v>
      </c>
      <c r="X77" t="s">
        <v>3060</v>
      </c>
      <c r="Y77" t="s">
        <v>186</v>
      </c>
      <c r="Z77" t="s">
        <v>2849</v>
      </c>
      <c r="AA77" t="s">
        <v>3060</v>
      </c>
      <c r="AB77" t="s">
        <v>3060</v>
      </c>
      <c r="AC77" t="s">
        <v>3060</v>
      </c>
      <c r="AD77" t="s">
        <v>3060</v>
      </c>
      <c r="AE77" t="str">
        <f>HYPERLINK("file:///C:/rest_photo/Nizam Izgara, Merkez (Ahipaşa Mah.).jpg","Nizam Izgara, Merkez (Ahipaşa Mah.)")</f>
        <v>Nizam Izgara, Merkez (Ahipaşa Mah.)</v>
      </c>
      <c r="AF77" t="s">
        <v>291</v>
      </c>
      <c r="AG77" t="s">
        <v>647</v>
      </c>
    </row>
    <row r="78" spans="2:33" x14ac:dyDescent="0.25">
      <c r="B78" t="s">
        <v>3060</v>
      </c>
      <c r="C78" t="s">
        <v>3060</v>
      </c>
      <c r="D78" t="s">
        <v>3060</v>
      </c>
      <c r="E78" t="s">
        <v>3060</v>
      </c>
      <c r="F78" t="s">
        <v>3060</v>
      </c>
      <c r="G78" t="s">
        <v>3060</v>
      </c>
      <c r="H78" t="s">
        <v>3060</v>
      </c>
      <c r="I78" t="s">
        <v>3060</v>
      </c>
      <c r="J78" t="s">
        <v>3060</v>
      </c>
      <c r="K78" t="s">
        <v>3060</v>
      </c>
      <c r="L78" t="s">
        <v>3142</v>
      </c>
      <c r="M78" t="s">
        <v>3060</v>
      </c>
      <c r="N78" t="s">
        <v>3060</v>
      </c>
      <c r="O78" t="s">
        <v>3060</v>
      </c>
      <c r="P78" t="s">
        <v>3060</v>
      </c>
      <c r="Q78" t="s">
        <v>3060</v>
      </c>
      <c r="R78" t="s">
        <v>3060</v>
      </c>
      <c r="S78" t="s">
        <v>3060</v>
      </c>
      <c r="T78" t="s">
        <v>3060</v>
      </c>
      <c r="U78" t="s">
        <v>3060</v>
      </c>
      <c r="V78" t="s">
        <v>3060</v>
      </c>
      <c r="W78" t="s">
        <v>185</v>
      </c>
      <c r="X78" t="s">
        <v>3060</v>
      </c>
      <c r="Y78" t="s">
        <v>186</v>
      </c>
      <c r="Z78" t="s">
        <v>328</v>
      </c>
      <c r="AA78" t="s">
        <v>3060</v>
      </c>
      <c r="AB78" t="s">
        <v>3060</v>
      </c>
      <c r="AC78" t="s">
        <v>3060</v>
      </c>
      <c r="AD78" t="s">
        <v>3060</v>
      </c>
      <c r="AE78" t="str">
        <f>HYPERLINK("file:///C:/rest_photo/Ocakbaşı 51, Merkez (Selçuk Mah.).jpg","Ocakbaşı 51, Merkez (Selçuk Mah.)")</f>
        <v>Ocakbaşı 51, Merkez (Selçuk Mah.)</v>
      </c>
      <c r="AF78" t="s">
        <v>291</v>
      </c>
      <c r="AG78" t="s">
        <v>647</v>
      </c>
    </row>
    <row r="79" spans="2:33" x14ac:dyDescent="0.25">
      <c r="B79" t="s">
        <v>3060</v>
      </c>
      <c r="C79" t="s">
        <v>3060</v>
      </c>
      <c r="D79" t="s">
        <v>3060</v>
      </c>
      <c r="E79" t="s">
        <v>3060</v>
      </c>
      <c r="F79" t="s">
        <v>3060</v>
      </c>
      <c r="G79" t="s">
        <v>3060</v>
      </c>
      <c r="H79" t="s">
        <v>3060</v>
      </c>
      <c r="I79" t="s">
        <v>3060</v>
      </c>
      <c r="J79" t="s">
        <v>3060</v>
      </c>
      <c r="K79" t="s">
        <v>3060</v>
      </c>
      <c r="L79" t="s">
        <v>3143</v>
      </c>
      <c r="M79" t="s">
        <v>3060</v>
      </c>
      <c r="N79" t="s">
        <v>3060</v>
      </c>
      <c r="O79" t="s">
        <v>3060</v>
      </c>
      <c r="P79" t="s">
        <v>3060</v>
      </c>
      <c r="Q79" t="s">
        <v>3060</v>
      </c>
      <c r="R79" t="s">
        <v>3060</v>
      </c>
      <c r="S79" t="s">
        <v>3060</v>
      </c>
      <c r="T79" t="s">
        <v>3060</v>
      </c>
      <c r="U79" t="s">
        <v>3060</v>
      </c>
      <c r="V79" t="s">
        <v>3060</v>
      </c>
      <c r="W79" t="s">
        <v>185</v>
      </c>
      <c r="X79" t="s">
        <v>3060</v>
      </c>
      <c r="Y79" t="s">
        <v>186</v>
      </c>
      <c r="Z79" t="s">
        <v>328</v>
      </c>
      <c r="AA79" t="s">
        <v>3060</v>
      </c>
      <c r="AB79" t="s">
        <v>3060</v>
      </c>
      <c r="AC79" t="s">
        <v>3060</v>
      </c>
      <c r="AD79" t="s">
        <v>3060</v>
      </c>
      <c r="AE79" t="str">
        <f>HYPERLINK("file:///C:/rest_photo/Öncü Döner, Merkez (Selçuk Mah.).jpg","Öncü Döner, Merkez (Selçuk Mah.)")</f>
        <v>Öncü Döner, Merkez (Selçuk Mah.)</v>
      </c>
      <c r="AF79" t="s">
        <v>1277</v>
      </c>
      <c r="AG79" t="s">
        <v>899</v>
      </c>
    </row>
    <row r="80" spans="2:33" x14ac:dyDescent="0.25">
      <c r="B80" t="s">
        <v>3060</v>
      </c>
      <c r="C80" t="s">
        <v>3060</v>
      </c>
      <c r="D80" t="s">
        <v>3060</v>
      </c>
      <c r="E80" t="s">
        <v>3060</v>
      </c>
      <c r="F80" t="s">
        <v>3060</v>
      </c>
      <c r="G80" t="s">
        <v>3060</v>
      </c>
      <c r="H80" t="s">
        <v>3060</v>
      </c>
      <c r="I80" t="s">
        <v>3060</v>
      </c>
      <c r="J80" t="s">
        <v>3060</v>
      </c>
      <c r="K80" t="s">
        <v>3060</v>
      </c>
      <c r="L80" t="s">
        <v>3144</v>
      </c>
      <c r="M80" t="s">
        <v>3060</v>
      </c>
      <c r="N80" t="s">
        <v>3060</v>
      </c>
      <c r="O80" t="s">
        <v>3060</v>
      </c>
      <c r="P80" t="s">
        <v>3060</v>
      </c>
      <c r="Q80" t="s">
        <v>3060</v>
      </c>
      <c r="R80" t="s">
        <v>3060</v>
      </c>
      <c r="S80" t="s">
        <v>3060</v>
      </c>
      <c r="T80" t="s">
        <v>3060</v>
      </c>
      <c r="U80" t="s">
        <v>3060</v>
      </c>
      <c r="V80" t="s">
        <v>3060</v>
      </c>
      <c r="W80" t="s">
        <v>185</v>
      </c>
      <c r="X80" t="s">
        <v>3060</v>
      </c>
      <c r="Y80" t="s">
        <v>186</v>
      </c>
      <c r="Z80" t="s">
        <v>187</v>
      </c>
      <c r="AA80" t="s">
        <v>3060</v>
      </c>
      <c r="AB80" t="s">
        <v>3060</v>
      </c>
      <c r="AC80" t="s">
        <v>3060</v>
      </c>
      <c r="AD80" t="s">
        <v>3060</v>
      </c>
      <c r="AE80" t="str">
        <f>HYPERLINK("file:///C:/rest_photo/Özsüt, Merkez (Aşağı Kayabaşı Mah. - Dr. Sami Yağız Cad.).jpg","Özsüt, Merkez (Aşağı Kayabaşı Mah. - Dr. Sami Yağız Cad.)")</f>
        <v>Özsüt, Merkez (Aşağı Kayabaşı Mah. - Dr. Sami Yağız Cad.)</v>
      </c>
      <c r="AF80" t="s">
        <v>291</v>
      </c>
      <c r="AG80" t="s">
        <v>3073</v>
      </c>
    </row>
    <row r="81" spans="2:33" x14ac:dyDescent="0.25">
      <c r="B81" t="s">
        <v>3060</v>
      </c>
      <c r="C81" t="s">
        <v>3060</v>
      </c>
      <c r="D81" t="s">
        <v>3060</v>
      </c>
      <c r="E81" t="s">
        <v>3060</v>
      </c>
      <c r="F81" t="s">
        <v>3060</v>
      </c>
      <c r="G81" t="s">
        <v>3060</v>
      </c>
      <c r="H81" t="s">
        <v>3060</v>
      </c>
      <c r="I81" t="s">
        <v>3060</v>
      </c>
      <c r="J81" t="s">
        <v>3060</v>
      </c>
      <c r="K81" t="s">
        <v>3060</v>
      </c>
      <c r="L81" t="s">
        <v>3145</v>
      </c>
      <c r="M81" t="s">
        <v>3060</v>
      </c>
      <c r="N81" t="s">
        <v>3060</v>
      </c>
      <c r="O81" t="s">
        <v>3060</v>
      </c>
      <c r="P81" t="s">
        <v>3060</v>
      </c>
      <c r="Q81" t="s">
        <v>3060</v>
      </c>
      <c r="R81" t="s">
        <v>3060</v>
      </c>
      <c r="S81" t="s">
        <v>3060</v>
      </c>
      <c r="T81" t="s">
        <v>3060</v>
      </c>
      <c r="U81" t="s">
        <v>3060</v>
      </c>
      <c r="V81" t="s">
        <v>3060</v>
      </c>
      <c r="W81" t="s">
        <v>185</v>
      </c>
      <c r="X81" t="s">
        <v>3060</v>
      </c>
      <c r="Y81" t="s">
        <v>186</v>
      </c>
      <c r="Z81" t="s">
        <v>2402</v>
      </c>
      <c r="AA81" t="s">
        <v>3060</v>
      </c>
      <c r="AB81" t="s">
        <v>3060</v>
      </c>
      <c r="AC81" t="s">
        <v>3060</v>
      </c>
      <c r="AD81" t="s">
        <v>3060</v>
      </c>
      <c r="AE81" t="str">
        <f>HYPERLINK("file:///C:/rest_photo/Pembe Çiğ Köfte &amp; Waffle, Merkez (Şehitler Mah.).jpg","Pembe Çiğ Köfte &amp; Waffle, Merkez (Şehitler Mah.)")</f>
        <v>Pembe Çiğ Köfte &amp; Waffle, Merkez (Şehitler Mah.)</v>
      </c>
      <c r="AF81" t="s">
        <v>249</v>
      </c>
      <c r="AG81" t="s">
        <v>246</v>
      </c>
    </row>
    <row r="82" spans="2:33" x14ac:dyDescent="0.25">
      <c r="B82" t="s">
        <v>3060</v>
      </c>
      <c r="C82" t="s">
        <v>3060</v>
      </c>
      <c r="D82" t="s">
        <v>3060</v>
      </c>
      <c r="E82" t="s">
        <v>3060</v>
      </c>
      <c r="F82" t="s">
        <v>3060</v>
      </c>
      <c r="G82" t="s">
        <v>3060</v>
      </c>
      <c r="H82" t="s">
        <v>3060</v>
      </c>
      <c r="I82" t="s">
        <v>3060</v>
      </c>
      <c r="J82" t="s">
        <v>3060</v>
      </c>
      <c r="K82" t="s">
        <v>3060</v>
      </c>
      <c r="L82" t="s">
        <v>3146</v>
      </c>
      <c r="M82" t="s">
        <v>3060</v>
      </c>
      <c r="N82" t="s">
        <v>3060</v>
      </c>
      <c r="O82" t="s">
        <v>3060</v>
      </c>
      <c r="P82" t="s">
        <v>3060</v>
      </c>
      <c r="Q82" t="s">
        <v>3060</v>
      </c>
      <c r="R82" t="s">
        <v>3060</v>
      </c>
      <c r="S82" t="s">
        <v>3060</v>
      </c>
      <c r="T82" t="s">
        <v>3060</v>
      </c>
      <c r="U82" t="s">
        <v>3060</v>
      </c>
      <c r="V82" t="s">
        <v>3060</v>
      </c>
      <c r="W82" t="s">
        <v>185</v>
      </c>
      <c r="X82" t="s">
        <v>3060</v>
      </c>
      <c r="Y82" t="s">
        <v>186</v>
      </c>
      <c r="Z82" t="s">
        <v>351</v>
      </c>
      <c r="AA82" t="s">
        <v>3060</v>
      </c>
      <c r="AB82" t="s">
        <v>3060</v>
      </c>
      <c r="AC82" t="s">
        <v>3060</v>
      </c>
      <c r="AD82" t="s">
        <v>3060</v>
      </c>
      <c r="AE82" t="str">
        <f>HYPERLINK("file:///C:/rest_photo/Pia Balık Evi, Merkez (Yukarı Kayabaşı Mah.).jpg","Pia Balık Evi, Merkez (Yukarı Kayabaşı Mah.)")</f>
        <v>Pia Balık Evi, Merkez (Yukarı Kayabaşı Mah.)</v>
      </c>
      <c r="AF82" t="s">
        <v>291</v>
      </c>
      <c r="AG82" t="s">
        <v>375</v>
      </c>
    </row>
    <row r="83" spans="2:33" x14ac:dyDescent="0.25">
      <c r="B83" t="s">
        <v>3060</v>
      </c>
      <c r="C83" t="s">
        <v>3060</v>
      </c>
      <c r="D83" t="s">
        <v>3060</v>
      </c>
      <c r="E83" t="s">
        <v>3060</v>
      </c>
      <c r="F83" t="s">
        <v>3060</v>
      </c>
      <c r="G83" t="s">
        <v>3060</v>
      </c>
      <c r="H83" t="s">
        <v>3060</v>
      </c>
      <c r="I83" t="s">
        <v>3060</v>
      </c>
      <c r="J83" t="s">
        <v>3060</v>
      </c>
      <c r="K83" t="s">
        <v>3060</v>
      </c>
      <c r="L83" t="s">
        <v>3147</v>
      </c>
      <c r="M83" t="s">
        <v>3060</v>
      </c>
      <c r="N83" t="s">
        <v>3060</v>
      </c>
      <c r="O83" t="s">
        <v>3060</v>
      </c>
      <c r="P83" t="s">
        <v>3060</v>
      </c>
      <c r="Q83" t="s">
        <v>3060</v>
      </c>
      <c r="R83" t="s">
        <v>3060</v>
      </c>
      <c r="S83" t="s">
        <v>3060</v>
      </c>
      <c r="T83" t="s">
        <v>3060</v>
      </c>
      <c r="U83" t="s">
        <v>3060</v>
      </c>
      <c r="V83" t="s">
        <v>3060</v>
      </c>
      <c r="W83" t="s">
        <v>185</v>
      </c>
      <c r="X83" t="s">
        <v>3060</v>
      </c>
      <c r="Y83" t="s">
        <v>186</v>
      </c>
      <c r="Z83" t="s">
        <v>328</v>
      </c>
      <c r="AA83" t="s">
        <v>3060</v>
      </c>
      <c r="AB83" t="s">
        <v>3060</v>
      </c>
      <c r="AC83" t="s">
        <v>3060</v>
      </c>
      <c r="AD83" t="s">
        <v>3060</v>
      </c>
      <c r="AE83" t="str">
        <f>HYPERLINK("file:///C:/rest_photo/Pizza Tomato, Merkez (Selçuk Mah.).jpg","Pizza Tomato, Merkez (Selçuk Mah.)")</f>
        <v>Pizza Tomato, Merkez (Selçuk Mah.)</v>
      </c>
      <c r="AF83" t="s">
        <v>291</v>
      </c>
      <c r="AG83" t="s">
        <v>601</v>
      </c>
    </row>
    <row r="84" spans="2:33" x14ac:dyDescent="0.25">
      <c r="B84" t="s">
        <v>3060</v>
      </c>
      <c r="C84" t="s">
        <v>3060</v>
      </c>
      <c r="D84" t="s">
        <v>3060</v>
      </c>
      <c r="E84" t="s">
        <v>3060</v>
      </c>
      <c r="F84" t="s">
        <v>3060</v>
      </c>
      <c r="G84" t="s">
        <v>3060</v>
      </c>
      <c r="H84" t="s">
        <v>3060</v>
      </c>
      <c r="I84" t="s">
        <v>3060</v>
      </c>
      <c r="J84" t="s">
        <v>3060</v>
      </c>
      <c r="K84" t="s">
        <v>3060</v>
      </c>
      <c r="L84" t="s">
        <v>3148</v>
      </c>
      <c r="M84" t="s">
        <v>3060</v>
      </c>
      <c r="N84" t="s">
        <v>3060</v>
      </c>
      <c r="O84" t="s">
        <v>3060</v>
      </c>
      <c r="P84" t="s">
        <v>3060</v>
      </c>
      <c r="Q84" t="s">
        <v>3060</v>
      </c>
      <c r="R84" t="s">
        <v>3060</v>
      </c>
      <c r="S84" t="s">
        <v>3060</v>
      </c>
      <c r="T84" t="s">
        <v>3060</v>
      </c>
      <c r="U84" t="s">
        <v>3060</v>
      </c>
      <c r="V84" t="s">
        <v>3060</v>
      </c>
      <c r="W84" t="s">
        <v>185</v>
      </c>
      <c r="X84" t="s">
        <v>3060</v>
      </c>
      <c r="Y84" t="s">
        <v>186</v>
      </c>
      <c r="Z84" t="s">
        <v>187</v>
      </c>
      <c r="AA84" t="s">
        <v>3060</v>
      </c>
      <c r="AB84" t="s">
        <v>3060</v>
      </c>
      <c r="AC84" t="s">
        <v>3060</v>
      </c>
      <c r="AD84" t="s">
        <v>3060</v>
      </c>
      <c r="AE84" t="str">
        <f>HYPERLINK("file:///C:/rest_photo/Rampa Kavurma &amp; Izgara, Merkez (Aşağı Kayabaşı Mah. - Dr. Sami Yağız Cad.).jpg","Rampa Kavurma &amp; Izgara, Merkez (Aşağı Kayabaşı Mah. - Dr. Sami Yağız Cad.)")</f>
        <v>Rampa Kavurma &amp; Izgara, Merkez (Aşağı Kayabaşı Mah. - Dr. Sami Yağız Cad.)</v>
      </c>
      <c r="AF84" t="s">
        <v>249</v>
      </c>
      <c r="AG84" t="s">
        <v>647</v>
      </c>
    </row>
    <row r="85" spans="2:33" x14ac:dyDescent="0.25">
      <c r="B85" t="s">
        <v>3060</v>
      </c>
      <c r="C85" t="s">
        <v>3060</v>
      </c>
      <c r="D85" t="s">
        <v>3060</v>
      </c>
      <c r="E85" t="s">
        <v>3060</v>
      </c>
      <c r="F85" t="s">
        <v>3060</v>
      </c>
      <c r="G85" t="s">
        <v>3060</v>
      </c>
      <c r="H85" t="s">
        <v>3060</v>
      </c>
      <c r="I85" t="s">
        <v>3060</v>
      </c>
      <c r="J85" t="s">
        <v>3060</v>
      </c>
      <c r="K85" t="s">
        <v>3060</v>
      </c>
      <c r="L85" t="s">
        <v>3149</v>
      </c>
      <c r="M85" t="s">
        <v>3060</v>
      </c>
      <c r="N85" t="s">
        <v>3060</v>
      </c>
      <c r="O85" t="s">
        <v>3060</v>
      </c>
      <c r="P85" t="s">
        <v>3060</v>
      </c>
      <c r="Q85" t="s">
        <v>3060</v>
      </c>
      <c r="R85" t="s">
        <v>3060</v>
      </c>
      <c r="S85" t="s">
        <v>3060</v>
      </c>
      <c r="T85" t="s">
        <v>3060</v>
      </c>
      <c r="U85" t="s">
        <v>3060</v>
      </c>
      <c r="V85" t="s">
        <v>3060</v>
      </c>
      <c r="W85" t="s">
        <v>185</v>
      </c>
      <c r="X85" t="s">
        <v>3060</v>
      </c>
      <c r="Y85" t="s">
        <v>186</v>
      </c>
      <c r="Z85" t="s">
        <v>3095</v>
      </c>
      <c r="AA85" t="s">
        <v>3060</v>
      </c>
      <c r="AB85" t="s">
        <v>3060</v>
      </c>
      <c r="AC85" t="s">
        <v>3060</v>
      </c>
      <c r="AD85" t="s">
        <v>3060</v>
      </c>
      <c r="AE85" t="str">
        <f>HYPERLINK("file:///C:/rest_photo/Rıdvan Toprak Çiğ Köfte, Merkez (Şah Süleyman Mah.).jpg","Rıdvan Toprak Çiğ Köfte, Merkez (Şah Süleyman Mah.)")</f>
        <v>Rıdvan Toprak Çiğ Köfte, Merkez (Şah Süleyman Mah.)</v>
      </c>
      <c r="AF85" t="s">
        <v>291</v>
      </c>
      <c r="AG85" t="s">
        <v>246</v>
      </c>
    </row>
    <row r="86" spans="2:33" x14ac:dyDescent="0.25">
      <c r="B86" t="s">
        <v>3060</v>
      </c>
      <c r="C86" t="s">
        <v>3060</v>
      </c>
      <c r="D86" t="s">
        <v>3060</v>
      </c>
      <c r="E86" t="s">
        <v>3060</v>
      </c>
      <c r="F86" t="s">
        <v>3060</v>
      </c>
      <c r="G86" t="s">
        <v>3060</v>
      </c>
      <c r="H86" t="s">
        <v>3060</v>
      </c>
      <c r="I86" t="s">
        <v>3060</v>
      </c>
      <c r="J86" t="s">
        <v>3060</v>
      </c>
      <c r="K86" t="s">
        <v>3060</v>
      </c>
      <c r="L86" t="s">
        <v>3150</v>
      </c>
      <c r="M86" t="s">
        <v>3060</v>
      </c>
      <c r="N86" t="s">
        <v>3060</v>
      </c>
      <c r="O86" t="s">
        <v>3060</v>
      </c>
      <c r="P86" t="s">
        <v>3060</v>
      </c>
      <c r="Q86" t="s">
        <v>3060</v>
      </c>
      <c r="R86" t="s">
        <v>3060</v>
      </c>
      <c r="S86" t="s">
        <v>3060</v>
      </c>
      <c r="T86" t="s">
        <v>3060</v>
      </c>
      <c r="U86" t="s">
        <v>3060</v>
      </c>
      <c r="V86" t="s">
        <v>3060</v>
      </c>
      <c r="W86" t="s">
        <v>185</v>
      </c>
      <c r="X86" t="s">
        <v>3060</v>
      </c>
      <c r="Y86" t="s">
        <v>186</v>
      </c>
      <c r="Z86" t="s">
        <v>376</v>
      </c>
      <c r="AA86" t="s">
        <v>3060</v>
      </c>
      <c r="AB86" t="s">
        <v>3060</v>
      </c>
      <c r="AC86" t="s">
        <v>3060</v>
      </c>
      <c r="AD86" t="s">
        <v>3060</v>
      </c>
      <c r="AE86" t="str">
        <f>HYPERLINK("file:///C:/rest_photo/Rıdvan Toprak Çiğ Köfte &amp; Cafe, Merkez (Aşağı Kayabaşı Mah. - Bor Yolu).jpg","Rıdvan Toprak Çiğ Köfte &amp; Cafe, Merkez (Aşağı Kayabaşı Mah. - Bor Yolu)")</f>
        <v>Rıdvan Toprak Çiğ Köfte &amp; Cafe, Merkez (Aşağı Kayabaşı Mah. - Bor Yolu)</v>
      </c>
      <c r="AF86" t="s">
        <v>249</v>
      </c>
      <c r="AG86" t="s">
        <v>246</v>
      </c>
    </row>
    <row r="87" spans="2:33" x14ac:dyDescent="0.25">
      <c r="B87" t="s">
        <v>3060</v>
      </c>
      <c r="C87" t="s">
        <v>3060</v>
      </c>
      <c r="D87" t="s">
        <v>3060</v>
      </c>
      <c r="E87" t="s">
        <v>3060</v>
      </c>
      <c r="F87" t="s">
        <v>3060</v>
      </c>
      <c r="G87" t="s">
        <v>3060</v>
      </c>
      <c r="H87" t="s">
        <v>3060</v>
      </c>
      <c r="I87" t="s">
        <v>3060</v>
      </c>
      <c r="J87" t="s">
        <v>3060</v>
      </c>
      <c r="K87" t="s">
        <v>3060</v>
      </c>
      <c r="L87" t="s">
        <v>3151</v>
      </c>
      <c r="M87" t="s">
        <v>3060</v>
      </c>
      <c r="N87" t="s">
        <v>3060</v>
      </c>
      <c r="O87" t="s">
        <v>3060</v>
      </c>
      <c r="P87" t="s">
        <v>3060</v>
      </c>
      <c r="Q87" t="s">
        <v>3060</v>
      </c>
      <c r="R87" t="s">
        <v>3060</v>
      </c>
      <c r="S87" t="s">
        <v>3060</v>
      </c>
      <c r="T87" t="s">
        <v>3060</v>
      </c>
      <c r="U87" t="s">
        <v>3060</v>
      </c>
      <c r="V87" t="s">
        <v>3060</v>
      </c>
      <c r="W87" t="s">
        <v>185</v>
      </c>
      <c r="X87" t="s">
        <v>3060</v>
      </c>
      <c r="Y87" t="s">
        <v>186</v>
      </c>
      <c r="Z87" t="s">
        <v>648</v>
      </c>
      <c r="AA87" t="s">
        <v>3060</v>
      </c>
      <c r="AB87" t="s">
        <v>3060</v>
      </c>
      <c r="AC87" t="s">
        <v>3060</v>
      </c>
      <c r="AD87" t="s">
        <v>3060</v>
      </c>
      <c r="AE87" t="str">
        <f>HYPERLINK("file:///C:/rest_photo/Rüzgar Pide &amp; Kebap, Merkez (Sırali Mah.).jpg","Rüzgar Pide &amp; Kebap, Merkez (Sırali Mah.)")</f>
        <v>Rüzgar Pide &amp; Kebap, Merkez (Sırali Mah.)</v>
      </c>
      <c r="AF87" t="s">
        <v>249</v>
      </c>
      <c r="AG87" t="s">
        <v>694</v>
      </c>
    </row>
    <row r="88" spans="2:33" x14ac:dyDescent="0.25">
      <c r="B88" t="s">
        <v>3060</v>
      </c>
      <c r="C88" t="s">
        <v>3060</v>
      </c>
      <c r="D88" t="s">
        <v>3060</v>
      </c>
      <c r="E88" t="s">
        <v>3060</v>
      </c>
      <c r="F88" t="s">
        <v>3060</v>
      </c>
      <c r="G88" t="s">
        <v>3060</v>
      </c>
      <c r="H88" t="s">
        <v>3060</v>
      </c>
      <c r="I88" t="s">
        <v>3060</v>
      </c>
      <c r="J88" t="s">
        <v>3060</v>
      </c>
      <c r="K88" t="s">
        <v>3060</v>
      </c>
      <c r="L88" t="s">
        <v>3152</v>
      </c>
      <c r="M88" t="s">
        <v>3060</v>
      </c>
      <c r="N88" t="s">
        <v>3060</v>
      </c>
      <c r="O88" t="s">
        <v>3060</v>
      </c>
      <c r="P88" t="s">
        <v>3060</v>
      </c>
      <c r="Q88" t="s">
        <v>3060</v>
      </c>
      <c r="R88" t="s">
        <v>3060</v>
      </c>
      <c r="S88" t="s">
        <v>3060</v>
      </c>
      <c r="T88" t="s">
        <v>3060</v>
      </c>
      <c r="U88" t="s">
        <v>3060</v>
      </c>
      <c r="V88" t="s">
        <v>3060</v>
      </c>
      <c r="W88" t="s">
        <v>185</v>
      </c>
      <c r="X88" t="s">
        <v>3060</v>
      </c>
      <c r="Y88" t="s">
        <v>186</v>
      </c>
      <c r="Z88" t="s">
        <v>376</v>
      </c>
      <c r="AA88" t="s">
        <v>3060</v>
      </c>
      <c r="AB88" t="s">
        <v>3060</v>
      </c>
      <c r="AC88" t="s">
        <v>3060</v>
      </c>
      <c r="AD88" t="s">
        <v>3060</v>
      </c>
      <c r="AE88" t="str">
        <f>HYPERLINK("file:///C:/rest_photo/Sarı Çiğ Köfte, Merkez (Aşağı Kayabaşı Mah. - Bor Yolu).jpg","Sarı Çiğ Köfte, Merkez (Aşağı Kayabaşı Mah. - Bor Yolu)")</f>
        <v>Sarı Çiğ Köfte, Merkez (Aşağı Kayabaşı Mah. - Bor Yolu)</v>
      </c>
      <c r="AF88" t="s">
        <v>291</v>
      </c>
      <c r="AG88" t="s">
        <v>246</v>
      </c>
    </row>
    <row r="89" spans="2:33" x14ac:dyDescent="0.25">
      <c r="B89" t="s">
        <v>3060</v>
      </c>
      <c r="C89" t="s">
        <v>3060</v>
      </c>
      <c r="D89" t="s">
        <v>3060</v>
      </c>
      <c r="E89" t="s">
        <v>3060</v>
      </c>
      <c r="F89" t="s">
        <v>3060</v>
      </c>
      <c r="G89" t="s">
        <v>3060</v>
      </c>
      <c r="H89" t="s">
        <v>3060</v>
      </c>
      <c r="I89" t="s">
        <v>3060</v>
      </c>
      <c r="J89" t="s">
        <v>3060</v>
      </c>
      <c r="K89" t="s">
        <v>3060</v>
      </c>
      <c r="L89" t="s">
        <v>3153</v>
      </c>
      <c r="M89" t="s">
        <v>3060</v>
      </c>
      <c r="N89" t="s">
        <v>3060</v>
      </c>
      <c r="O89" t="s">
        <v>3060</v>
      </c>
      <c r="P89" t="s">
        <v>3060</v>
      </c>
      <c r="Q89" t="s">
        <v>3060</v>
      </c>
      <c r="R89" t="s">
        <v>3060</v>
      </c>
      <c r="S89" t="s">
        <v>3060</v>
      </c>
      <c r="T89" t="s">
        <v>3060</v>
      </c>
      <c r="U89" t="s">
        <v>3060</v>
      </c>
      <c r="V89" t="s">
        <v>3060</v>
      </c>
      <c r="W89" t="s">
        <v>185</v>
      </c>
      <c r="X89" t="s">
        <v>3060</v>
      </c>
      <c r="Y89" t="s">
        <v>186</v>
      </c>
      <c r="Z89" t="s">
        <v>376</v>
      </c>
      <c r="AA89" t="s">
        <v>3060</v>
      </c>
      <c r="AB89" t="s">
        <v>3060</v>
      </c>
      <c r="AC89" t="s">
        <v>3060</v>
      </c>
      <c r="AD89" t="s">
        <v>3060</v>
      </c>
      <c r="AE89" t="str">
        <f>HYPERLINK("file:///C:/rest_photo/Sofram, Merkez (Aşağı Kayabaşı Mah. - Bor Yolu).jpg","Sofram, Merkez (Aşağı Kayabaşı Mah. - Bor Yolu)")</f>
        <v>Sofram, Merkez (Aşağı Kayabaşı Mah. - Bor Yolu)</v>
      </c>
      <c r="AF89" t="s">
        <v>80</v>
      </c>
      <c r="AG89" t="s">
        <v>647</v>
      </c>
    </row>
    <row r="90" spans="2:33" x14ac:dyDescent="0.25">
      <c r="B90" t="s">
        <v>3060</v>
      </c>
      <c r="C90" t="s">
        <v>3060</v>
      </c>
      <c r="D90" t="s">
        <v>3060</v>
      </c>
      <c r="E90" t="s">
        <v>3060</v>
      </c>
      <c r="F90" t="s">
        <v>3060</v>
      </c>
      <c r="G90" t="s">
        <v>3060</v>
      </c>
      <c r="H90" t="s">
        <v>3060</v>
      </c>
      <c r="I90" t="s">
        <v>3060</v>
      </c>
      <c r="J90" t="s">
        <v>3060</v>
      </c>
      <c r="K90" t="s">
        <v>3060</v>
      </c>
      <c r="L90" t="s">
        <v>3154</v>
      </c>
      <c r="M90" t="s">
        <v>3060</v>
      </c>
      <c r="N90" t="s">
        <v>3060</v>
      </c>
      <c r="O90" t="s">
        <v>3060</v>
      </c>
      <c r="P90" t="s">
        <v>3060</v>
      </c>
      <c r="Q90" t="s">
        <v>3060</v>
      </c>
      <c r="R90" t="s">
        <v>3060</v>
      </c>
      <c r="S90" t="s">
        <v>3060</v>
      </c>
      <c r="T90" t="s">
        <v>3060</v>
      </c>
      <c r="U90" t="s">
        <v>3060</v>
      </c>
      <c r="V90" t="s">
        <v>3060</v>
      </c>
      <c r="W90" t="s">
        <v>185</v>
      </c>
      <c r="X90" t="s">
        <v>3060</v>
      </c>
      <c r="Y90" t="s">
        <v>186</v>
      </c>
      <c r="Z90" t="s">
        <v>187</v>
      </c>
      <c r="AA90" t="s">
        <v>3060</v>
      </c>
      <c r="AB90" t="s">
        <v>3060</v>
      </c>
      <c r="AC90" t="s">
        <v>3060</v>
      </c>
      <c r="AD90" t="s">
        <v>3060</v>
      </c>
      <c r="AE90" t="str">
        <f>HYPERLINK("file:///C:/rest_photo/Sokak Kahvecisi, Merkez (Aşağı Kayabaşı Mah. - Dr. Sami Yağız Cad.).jpg","Sokak Kahvecisi, Merkez (Aşağı Kayabaşı Mah. - Dr. Sami Yağız Cad.)")</f>
        <v>Sokak Kahvecisi, Merkez (Aşağı Kayabaşı Mah. - Dr. Sami Yağız Cad.)</v>
      </c>
      <c r="AF90" t="s">
        <v>291</v>
      </c>
      <c r="AG90" t="s">
        <v>3101</v>
      </c>
    </row>
    <row r="91" spans="2:33" x14ac:dyDescent="0.25">
      <c r="B91" t="s">
        <v>3060</v>
      </c>
      <c r="C91" t="s">
        <v>3060</v>
      </c>
      <c r="D91" t="s">
        <v>3060</v>
      </c>
      <c r="E91" t="s">
        <v>3060</v>
      </c>
      <c r="F91" t="s">
        <v>3060</v>
      </c>
      <c r="G91" t="s">
        <v>3060</v>
      </c>
      <c r="H91" t="s">
        <v>3060</v>
      </c>
      <c r="I91" t="s">
        <v>3060</v>
      </c>
      <c r="J91" t="s">
        <v>3060</v>
      </c>
      <c r="K91" t="s">
        <v>3060</v>
      </c>
      <c r="L91" t="s">
        <v>3155</v>
      </c>
      <c r="M91" t="s">
        <v>3060</v>
      </c>
      <c r="N91" t="s">
        <v>3060</v>
      </c>
      <c r="O91" t="s">
        <v>3060</v>
      </c>
      <c r="P91" t="s">
        <v>3060</v>
      </c>
      <c r="Q91" t="s">
        <v>3060</v>
      </c>
      <c r="R91" t="s">
        <v>3060</v>
      </c>
      <c r="S91" t="s">
        <v>3060</v>
      </c>
      <c r="T91" t="s">
        <v>3060</v>
      </c>
      <c r="U91" t="s">
        <v>3060</v>
      </c>
      <c r="V91" t="s">
        <v>3060</v>
      </c>
      <c r="W91" t="s">
        <v>185</v>
      </c>
      <c r="X91" t="s">
        <v>3060</v>
      </c>
      <c r="Y91" t="s">
        <v>186</v>
      </c>
      <c r="Z91" t="s">
        <v>709</v>
      </c>
      <c r="AA91" t="s">
        <v>3060</v>
      </c>
      <c r="AB91" t="s">
        <v>3060</v>
      </c>
      <c r="AC91" t="s">
        <v>3060</v>
      </c>
      <c r="AD91" t="s">
        <v>3060</v>
      </c>
      <c r="AE91" t="str">
        <f>HYPERLINK("file:///C:/rest_photo/Şanlıurfa Gül Ağacı Kebap &amp; Lahmacun, Merkez (Esenbey Mah.).jpg","Şanlıurfa Gül Ağacı Kebap &amp; Lahmacun, Merkez (Esenbey Mah.)")</f>
        <v>Şanlıurfa Gül Ağacı Kebap &amp; Lahmacun, Merkez (Esenbey Mah.)</v>
      </c>
      <c r="AF91" t="s">
        <v>80</v>
      </c>
      <c r="AG91" t="s">
        <v>647</v>
      </c>
    </row>
    <row r="92" spans="2:33" x14ac:dyDescent="0.25">
      <c r="B92" t="s">
        <v>3060</v>
      </c>
      <c r="C92" t="s">
        <v>3060</v>
      </c>
      <c r="D92" t="s">
        <v>3060</v>
      </c>
      <c r="E92" t="s">
        <v>3060</v>
      </c>
      <c r="F92" t="s">
        <v>3060</v>
      </c>
      <c r="G92" t="s">
        <v>3060</v>
      </c>
      <c r="H92" t="s">
        <v>3060</v>
      </c>
      <c r="I92" t="s">
        <v>3060</v>
      </c>
      <c r="J92" t="s">
        <v>3060</v>
      </c>
      <c r="K92" t="s">
        <v>3060</v>
      </c>
      <c r="L92" t="s">
        <v>3156</v>
      </c>
      <c r="M92" t="s">
        <v>3060</v>
      </c>
      <c r="N92" t="s">
        <v>3060</v>
      </c>
      <c r="O92" t="s">
        <v>3060</v>
      </c>
      <c r="P92" t="s">
        <v>3060</v>
      </c>
      <c r="Q92" t="s">
        <v>3060</v>
      </c>
      <c r="R92" t="s">
        <v>3060</v>
      </c>
      <c r="S92" t="s">
        <v>3060</v>
      </c>
      <c r="T92" t="s">
        <v>3060</v>
      </c>
      <c r="U92" t="s">
        <v>3060</v>
      </c>
      <c r="V92" t="s">
        <v>3060</v>
      </c>
      <c r="W92" t="s">
        <v>185</v>
      </c>
      <c r="X92" t="s">
        <v>3060</v>
      </c>
      <c r="Y92" t="s">
        <v>411</v>
      </c>
      <c r="Z92" t="s">
        <v>2800</v>
      </c>
      <c r="AA92" t="s">
        <v>3060</v>
      </c>
      <c r="AB92" t="s">
        <v>3060</v>
      </c>
      <c r="AC92" t="s">
        <v>3060</v>
      </c>
      <c r="AD92" t="s">
        <v>3060</v>
      </c>
      <c r="AE92" t="str">
        <f>HYPERLINK("file:///C:/rest_photo/Şelale Döner, Bor (Orta Mah.).jpg","Şelale Döner, Bor (Orta Mah.)")</f>
        <v>Şelale Döner, Bor (Orta Mah.)</v>
      </c>
      <c r="AF92" t="s">
        <v>80</v>
      </c>
      <c r="AG92" t="s">
        <v>899</v>
      </c>
    </row>
    <row r="93" spans="2:33" x14ac:dyDescent="0.25">
      <c r="B93" t="s">
        <v>3060</v>
      </c>
      <c r="C93" t="s">
        <v>3060</v>
      </c>
      <c r="D93" t="s">
        <v>3060</v>
      </c>
      <c r="E93" t="s">
        <v>3060</v>
      </c>
      <c r="F93" t="s">
        <v>3060</v>
      </c>
      <c r="G93" t="s">
        <v>3060</v>
      </c>
      <c r="H93" t="s">
        <v>3060</v>
      </c>
      <c r="I93" t="s">
        <v>3060</v>
      </c>
      <c r="J93" t="s">
        <v>3060</v>
      </c>
      <c r="K93" t="s">
        <v>3060</v>
      </c>
      <c r="L93" t="s">
        <v>3157</v>
      </c>
      <c r="M93" t="s">
        <v>3060</v>
      </c>
      <c r="N93" t="s">
        <v>3060</v>
      </c>
      <c r="O93" t="s">
        <v>3060</v>
      </c>
      <c r="P93" t="s">
        <v>3060</v>
      </c>
      <c r="Q93" t="s">
        <v>3060</v>
      </c>
      <c r="R93" t="s">
        <v>3060</v>
      </c>
      <c r="S93" t="s">
        <v>3060</v>
      </c>
      <c r="T93" t="s">
        <v>3060</v>
      </c>
      <c r="U93" t="s">
        <v>3060</v>
      </c>
      <c r="V93" t="s">
        <v>3060</v>
      </c>
      <c r="W93" t="s">
        <v>185</v>
      </c>
      <c r="X93" t="s">
        <v>3060</v>
      </c>
      <c r="Y93" t="s">
        <v>186</v>
      </c>
      <c r="Z93" t="s">
        <v>187</v>
      </c>
      <c r="AA93" t="s">
        <v>3060</v>
      </c>
      <c r="AB93" t="s">
        <v>3060</v>
      </c>
      <c r="AC93" t="s">
        <v>3060</v>
      </c>
      <c r="AD93" t="s">
        <v>3060</v>
      </c>
      <c r="AE93" t="str">
        <f>HYPERLINK("file:///C:/rest_photo/Tarihi Alaattin Yeri, Merkez (Aşağı Kayabaşı Mah. - Dr. Sami Yağız Cad.).jpg","Tarihi Alaattin Yeri, Merkez (Aşağı Kayabaşı Mah. - Dr. Sami Yağız Cad.)")</f>
        <v>Tarihi Alaattin Yeri, Merkez (Aşağı Kayabaşı Mah. - Dr. Sami Yağız Cad.)</v>
      </c>
      <c r="AF93" t="s">
        <v>291</v>
      </c>
      <c r="AG93" t="s">
        <v>694</v>
      </c>
    </row>
    <row r="94" spans="2:33" x14ac:dyDescent="0.25">
      <c r="B94" t="s">
        <v>3060</v>
      </c>
      <c r="C94" t="s">
        <v>3060</v>
      </c>
      <c r="D94" t="s">
        <v>3060</v>
      </c>
      <c r="E94" t="s">
        <v>3060</v>
      </c>
      <c r="F94" t="s">
        <v>3060</v>
      </c>
      <c r="G94" t="s">
        <v>3060</v>
      </c>
      <c r="H94" t="s">
        <v>3060</v>
      </c>
      <c r="I94" t="s">
        <v>3060</v>
      </c>
      <c r="J94" t="s">
        <v>3060</v>
      </c>
      <c r="K94" t="s">
        <v>3060</v>
      </c>
      <c r="L94" t="s">
        <v>3158</v>
      </c>
      <c r="M94" t="s">
        <v>3060</v>
      </c>
      <c r="N94" t="s">
        <v>3060</v>
      </c>
      <c r="O94" t="s">
        <v>3060</v>
      </c>
      <c r="P94" t="s">
        <v>3060</v>
      </c>
      <c r="Q94" t="s">
        <v>3060</v>
      </c>
      <c r="R94" t="s">
        <v>3060</v>
      </c>
      <c r="S94" t="s">
        <v>3060</v>
      </c>
      <c r="T94" t="s">
        <v>3060</v>
      </c>
      <c r="U94" t="s">
        <v>3060</v>
      </c>
      <c r="V94" t="s">
        <v>3060</v>
      </c>
      <c r="W94" t="s">
        <v>185</v>
      </c>
      <c r="X94" t="s">
        <v>3060</v>
      </c>
      <c r="Y94" t="s">
        <v>186</v>
      </c>
      <c r="Z94" t="s">
        <v>187</v>
      </c>
      <c r="AA94" t="s">
        <v>3060</v>
      </c>
      <c r="AB94" t="s">
        <v>3060</v>
      </c>
      <c r="AC94" t="s">
        <v>3060</v>
      </c>
      <c r="AD94" t="s">
        <v>3060</v>
      </c>
      <c r="AE94" t="str">
        <f>HYPERLINK("file:///C:/rest_photo/Tavada Tavuk, Merkez (Aşağı Kayabaşı Mah. - Dr. Sami Yağız Cad.).jpg","Tavada Tavuk, Merkez (Aşağı Kayabaşı Mah. - Dr. Sami Yağız Cad.)")</f>
        <v>Tavada Tavuk, Merkez (Aşağı Kayabaşı Mah. - Dr. Sami Yağız Cad.)</v>
      </c>
      <c r="AF94" t="s">
        <v>249</v>
      </c>
      <c r="AG94" t="s">
        <v>395</v>
      </c>
    </row>
    <row r="95" spans="2:33" x14ac:dyDescent="0.25">
      <c r="B95" t="s">
        <v>3060</v>
      </c>
      <c r="C95" t="s">
        <v>3060</v>
      </c>
      <c r="D95" t="s">
        <v>3060</v>
      </c>
      <c r="E95" t="s">
        <v>3060</v>
      </c>
      <c r="F95" t="s">
        <v>3060</v>
      </c>
      <c r="G95" t="s">
        <v>3060</v>
      </c>
      <c r="H95" t="s">
        <v>3060</v>
      </c>
      <c r="I95" t="s">
        <v>3060</v>
      </c>
      <c r="J95" t="s">
        <v>3060</v>
      </c>
      <c r="K95" t="s">
        <v>3060</v>
      </c>
      <c r="L95" t="s">
        <v>3159</v>
      </c>
      <c r="M95" t="s">
        <v>3060</v>
      </c>
      <c r="N95" t="s">
        <v>3060</v>
      </c>
      <c r="O95" t="s">
        <v>3060</v>
      </c>
      <c r="P95" t="s">
        <v>3060</v>
      </c>
      <c r="Q95" t="s">
        <v>3060</v>
      </c>
      <c r="R95" t="s">
        <v>3060</v>
      </c>
      <c r="S95" t="s">
        <v>3060</v>
      </c>
      <c r="T95" t="s">
        <v>3060</v>
      </c>
      <c r="U95" t="s">
        <v>3060</v>
      </c>
      <c r="V95" t="s">
        <v>3060</v>
      </c>
      <c r="W95" t="s">
        <v>185</v>
      </c>
      <c r="X95" t="s">
        <v>3060</v>
      </c>
      <c r="Y95" t="s">
        <v>186</v>
      </c>
      <c r="Z95" t="s">
        <v>2402</v>
      </c>
      <c r="AA95" t="s">
        <v>3060</v>
      </c>
      <c r="AB95" t="s">
        <v>3060</v>
      </c>
      <c r="AC95" t="s">
        <v>3060</v>
      </c>
      <c r="AD95" t="s">
        <v>3060</v>
      </c>
      <c r="AE95" t="str">
        <f>HYPERLINK("file:///C:/rest_photo/Tekir Dostlar Kebap &amp; Mangal, Merkez (Şehitler Mah.).jpg","Tekir Dostlar Kebap &amp; Mangal, Merkez (Şehitler Mah.)")</f>
        <v>Tekir Dostlar Kebap &amp; Mangal, Merkez (Şehitler Mah.)</v>
      </c>
      <c r="AF95" t="s">
        <v>291</v>
      </c>
      <c r="AG95" t="s">
        <v>647</v>
      </c>
    </row>
    <row r="96" spans="2:33" x14ac:dyDescent="0.25">
      <c r="B96" t="s">
        <v>3060</v>
      </c>
      <c r="C96" t="s">
        <v>3060</v>
      </c>
      <c r="D96" t="s">
        <v>3060</v>
      </c>
      <c r="E96" t="s">
        <v>3060</v>
      </c>
      <c r="F96" t="s">
        <v>3060</v>
      </c>
      <c r="G96" t="s">
        <v>3060</v>
      </c>
      <c r="H96" t="s">
        <v>3060</v>
      </c>
      <c r="I96" t="s">
        <v>3060</v>
      </c>
      <c r="J96" t="s">
        <v>3060</v>
      </c>
      <c r="K96" t="s">
        <v>3060</v>
      </c>
      <c r="L96" t="s">
        <v>3108</v>
      </c>
      <c r="M96" t="s">
        <v>3060</v>
      </c>
      <c r="N96" t="s">
        <v>3060</v>
      </c>
      <c r="O96" t="s">
        <v>3060</v>
      </c>
      <c r="P96" t="s">
        <v>3060</v>
      </c>
      <c r="Q96" t="s">
        <v>3060</v>
      </c>
      <c r="R96" t="s">
        <v>3060</v>
      </c>
      <c r="S96" t="s">
        <v>3060</v>
      </c>
      <c r="T96" t="s">
        <v>3060</v>
      </c>
      <c r="U96" t="s">
        <v>3060</v>
      </c>
      <c r="V96" t="s">
        <v>3060</v>
      </c>
      <c r="W96" t="s">
        <v>185</v>
      </c>
      <c r="X96" t="s">
        <v>3060</v>
      </c>
      <c r="Y96" t="s">
        <v>3109</v>
      </c>
      <c r="Z96" t="s">
        <v>3110</v>
      </c>
      <c r="AA96" t="s">
        <v>3060</v>
      </c>
      <c r="AB96" t="s">
        <v>3060</v>
      </c>
      <c r="AC96" t="s">
        <v>3060</v>
      </c>
      <c r="AD96" t="s">
        <v>3060</v>
      </c>
      <c r="AE96" t="str">
        <f>HYPERLINK("file:///C:/rest_photo/Terra Pizza - Pizza Pizza, Aşağı Kayabaşı Mah. (Dr. Sami Yağız Cad.).jpg","Terra Pizza - Pizza Pizza, Aşağı Kayabaşı Mah. (Dr. Sami Yağız Cad.)")</f>
        <v>Terra Pizza - Pizza Pizza, Aşağı Kayabaşı Mah. (Dr. Sami Yağız Cad.)</v>
      </c>
      <c r="AF96" t="s">
        <v>80</v>
      </c>
      <c r="AG96" t="s">
        <v>3108</v>
      </c>
    </row>
    <row r="97" spans="2:33" x14ac:dyDescent="0.25">
      <c r="B97" t="s">
        <v>3060</v>
      </c>
      <c r="C97" t="s">
        <v>3060</v>
      </c>
      <c r="D97" t="s">
        <v>3060</v>
      </c>
      <c r="E97" t="s">
        <v>3060</v>
      </c>
      <c r="F97" t="s">
        <v>3060</v>
      </c>
      <c r="G97" t="s">
        <v>3060</v>
      </c>
      <c r="H97" t="s">
        <v>3060</v>
      </c>
      <c r="I97" t="s">
        <v>3060</v>
      </c>
      <c r="J97" t="s">
        <v>3060</v>
      </c>
      <c r="K97" t="s">
        <v>3060</v>
      </c>
      <c r="L97" t="s">
        <v>3160</v>
      </c>
      <c r="M97" t="s">
        <v>3060</v>
      </c>
      <c r="N97" t="s">
        <v>3060</v>
      </c>
      <c r="O97" t="s">
        <v>3060</v>
      </c>
      <c r="P97" t="s">
        <v>3060</v>
      </c>
      <c r="Q97" t="s">
        <v>3060</v>
      </c>
      <c r="R97" t="s">
        <v>3060</v>
      </c>
      <c r="S97" t="s">
        <v>3060</v>
      </c>
      <c r="T97" t="s">
        <v>3060</v>
      </c>
      <c r="U97" t="s">
        <v>3060</v>
      </c>
      <c r="V97" t="s">
        <v>3060</v>
      </c>
      <c r="W97" t="s">
        <v>185</v>
      </c>
      <c r="X97" t="s">
        <v>3060</v>
      </c>
      <c r="Y97" t="s">
        <v>186</v>
      </c>
      <c r="Z97" t="s">
        <v>376</v>
      </c>
      <c r="AA97" t="s">
        <v>3060</v>
      </c>
      <c r="AB97" t="s">
        <v>3060</v>
      </c>
      <c r="AC97" t="s">
        <v>3060</v>
      </c>
      <c r="AD97" t="s">
        <v>3060</v>
      </c>
      <c r="AE97" t="str">
        <f>HYPERLINK("file:///C:/rest_photo/Usta Kasap, Merkez (Aşağı Kayabaşı Mah. - Bor Yolu).jpg","Usta Kasap, Merkez (Aşağı Kayabaşı Mah. - Bor Yolu)")</f>
        <v>Usta Kasap, Merkez (Aşağı Kayabaşı Mah. - Bor Yolu)</v>
      </c>
      <c r="AF97" t="s">
        <v>190</v>
      </c>
      <c r="AG97" t="s">
        <v>647</v>
      </c>
    </row>
    <row r="98" spans="2:33" x14ac:dyDescent="0.25">
      <c r="B98" t="s">
        <v>3060</v>
      </c>
      <c r="C98" t="s">
        <v>3060</v>
      </c>
      <c r="D98" t="s">
        <v>3060</v>
      </c>
      <c r="E98" t="s">
        <v>3060</v>
      </c>
      <c r="F98" t="s">
        <v>3060</v>
      </c>
      <c r="G98" t="s">
        <v>3060</v>
      </c>
      <c r="H98" t="s">
        <v>3060</v>
      </c>
      <c r="I98" t="s">
        <v>3060</v>
      </c>
      <c r="J98" t="s">
        <v>3060</v>
      </c>
      <c r="K98" t="s">
        <v>3060</v>
      </c>
      <c r="L98" t="s">
        <v>3161</v>
      </c>
      <c r="M98" t="s">
        <v>3060</v>
      </c>
      <c r="N98" t="s">
        <v>3060</v>
      </c>
      <c r="O98" t="s">
        <v>3060</v>
      </c>
      <c r="P98" t="s">
        <v>3060</v>
      </c>
      <c r="Q98" t="s">
        <v>3060</v>
      </c>
      <c r="R98" t="s">
        <v>3060</v>
      </c>
      <c r="S98" t="s">
        <v>3060</v>
      </c>
      <c r="T98" t="s">
        <v>3060</v>
      </c>
      <c r="U98" t="s">
        <v>3060</v>
      </c>
      <c r="V98" t="s">
        <v>3060</v>
      </c>
      <c r="W98" t="s">
        <v>185</v>
      </c>
      <c r="X98" t="s">
        <v>3060</v>
      </c>
      <c r="Y98" t="s">
        <v>186</v>
      </c>
      <c r="Z98" t="s">
        <v>2402</v>
      </c>
      <c r="AA98" t="s">
        <v>3060</v>
      </c>
      <c r="AB98" t="s">
        <v>3060</v>
      </c>
      <c r="AC98" t="s">
        <v>3060</v>
      </c>
      <c r="AD98" t="s">
        <v>3060</v>
      </c>
      <c r="AE98" t="str">
        <f>HYPERLINK("file:///C:/rest_photo/Ustam Piknik &amp; Mangal, Merkez (Şehitler Mah.).jpg","Ustam Piknik &amp; Mangal, Merkez (Şehitler Mah.)")</f>
        <v>Ustam Piknik &amp; Mangal, Merkez (Şehitler Mah.)</v>
      </c>
      <c r="AF98" t="s">
        <v>80</v>
      </c>
      <c r="AG98" t="s">
        <v>647</v>
      </c>
    </row>
    <row r="99" spans="2:33" x14ac:dyDescent="0.25">
      <c r="B99" t="s">
        <v>3060</v>
      </c>
      <c r="C99" t="s">
        <v>3060</v>
      </c>
      <c r="D99" t="s">
        <v>3060</v>
      </c>
      <c r="E99" t="s">
        <v>3060</v>
      </c>
      <c r="F99" t="s">
        <v>3060</v>
      </c>
      <c r="G99" t="s">
        <v>3060</v>
      </c>
      <c r="H99" t="s">
        <v>3060</v>
      </c>
      <c r="I99" t="s">
        <v>3060</v>
      </c>
      <c r="J99" t="s">
        <v>3060</v>
      </c>
      <c r="K99" t="s">
        <v>3060</v>
      </c>
      <c r="L99" t="s">
        <v>3162</v>
      </c>
      <c r="M99" t="s">
        <v>3060</v>
      </c>
      <c r="N99" t="s">
        <v>3060</v>
      </c>
      <c r="O99" t="s">
        <v>3060</v>
      </c>
      <c r="P99" t="s">
        <v>3060</v>
      </c>
      <c r="Q99" t="s">
        <v>3060</v>
      </c>
      <c r="R99" t="s">
        <v>3060</v>
      </c>
      <c r="S99" t="s">
        <v>3060</v>
      </c>
      <c r="T99" t="s">
        <v>3060</v>
      </c>
      <c r="U99" t="s">
        <v>3060</v>
      </c>
      <c r="V99" t="s">
        <v>3060</v>
      </c>
      <c r="W99" t="s">
        <v>185</v>
      </c>
      <c r="X99" t="s">
        <v>3060</v>
      </c>
      <c r="Y99" t="s">
        <v>186</v>
      </c>
      <c r="Z99" t="s">
        <v>187</v>
      </c>
      <c r="AA99" t="s">
        <v>3060</v>
      </c>
      <c r="AB99" t="s">
        <v>3060</v>
      </c>
      <c r="AC99" t="s">
        <v>3060</v>
      </c>
      <c r="AD99" t="s">
        <v>3060</v>
      </c>
      <c r="AE99" t="str">
        <f>HYPERLINK("file:///C:/rest_photo/Üç X Döner, Merkez (Aşağı Kayabaşı Mah. - Dr. Sami Yağız Cad.).jpg","Üç X Döner, Merkez (Aşağı Kayabaşı Mah. - Dr. Sami Yağız Cad.)")</f>
        <v>Üç X Döner, Merkez (Aşağı Kayabaşı Mah. - Dr. Sami Yağız Cad.)</v>
      </c>
      <c r="AF99" t="s">
        <v>291</v>
      </c>
      <c r="AG99" t="s">
        <v>899</v>
      </c>
    </row>
    <row r="100" spans="2:33" x14ac:dyDescent="0.25">
      <c r="B100" t="s">
        <v>3060</v>
      </c>
      <c r="C100" t="s">
        <v>3060</v>
      </c>
      <c r="D100" t="s">
        <v>3060</v>
      </c>
      <c r="E100" t="s">
        <v>3060</v>
      </c>
      <c r="F100" t="s">
        <v>3060</v>
      </c>
      <c r="G100" t="s">
        <v>3060</v>
      </c>
      <c r="H100" t="s">
        <v>3060</v>
      </c>
      <c r="I100" t="s">
        <v>3060</v>
      </c>
      <c r="J100" t="s">
        <v>3060</v>
      </c>
      <c r="K100" t="s">
        <v>3060</v>
      </c>
      <c r="L100" t="s">
        <v>3163</v>
      </c>
      <c r="M100" t="s">
        <v>3060</v>
      </c>
      <c r="N100" t="s">
        <v>3060</v>
      </c>
      <c r="O100" t="s">
        <v>3060</v>
      </c>
      <c r="P100" t="s">
        <v>3060</v>
      </c>
      <c r="Q100" t="s">
        <v>3060</v>
      </c>
      <c r="R100" t="s">
        <v>3060</v>
      </c>
      <c r="S100" t="s">
        <v>3060</v>
      </c>
      <c r="T100" t="s">
        <v>3060</v>
      </c>
      <c r="U100" t="s">
        <v>3060</v>
      </c>
      <c r="V100" t="s">
        <v>3060</v>
      </c>
      <c r="W100" t="s">
        <v>185</v>
      </c>
      <c r="X100" t="s">
        <v>3060</v>
      </c>
      <c r="Y100" t="s">
        <v>186</v>
      </c>
      <c r="Z100" t="s">
        <v>648</v>
      </c>
      <c r="AA100" t="s">
        <v>3060</v>
      </c>
      <c r="AB100" t="s">
        <v>3060</v>
      </c>
      <c r="AC100" t="s">
        <v>3060</v>
      </c>
      <c r="AD100" t="s">
        <v>3060</v>
      </c>
      <c r="AE100" t="str">
        <f>HYPERLINK("file:///C:/rest_photo/Ünlü Tost &amp; Kavurma, Merkez (Sırali Mah.).jpg","Ünlü Tost &amp; Kavurma, Merkez (Sırali Mah.)")</f>
        <v>Ünlü Tost &amp; Kavurma, Merkez (Sırali Mah.)</v>
      </c>
      <c r="AF100" t="s">
        <v>80</v>
      </c>
      <c r="AG100" t="s">
        <v>1418</v>
      </c>
    </row>
    <row r="101" spans="2:33" x14ac:dyDescent="0.25">
      <c r="B101" t="s">
        <v>3060</v>
      </c>
      <c r="C101" t="s">
        <v>3060</v>
      </c>
      <c r="D101" t="s">
        <v>3060</v>
      </c>
      <c r="E101" t="s">
        <v>3060</v>
      </c>
      <c r="F101" t="s">
        <v>3060</v>
      </c>
      <c r="G101" t="s">
        <v>3060</v>
      </c>
      <c r="H101" t="s">
        <v>3060</v>
      </c>
      <c r="I101" t="s">
        <v>3060</v>
      </c>
      <c r="J101" t="s">
        <v>3060</v>
      </c>
      <c r="K101" t="s">
        <v>3060</v>
      </c>
      <c r="L101" t="s">
        <v>3164</v>
      </c>
      <c r="M101" t="s">
        <v>3060</v>
      </c>
      <c r="N101" t="s">
        <v>3060</v>
      </c>
      <c r="O101" t="s">
        <v>3060</v>
      </c>
      <c r="P101" t="s">
        <v>3060</v>
      </c>
      <c r="Q101" t="s">
        <v>3060</v>
      </c>
      <c r="R101" t="s">
        <v>3060</v>
      </c>
      <c r="S101" t="s">
        <v>3060</v>
      </c>
      <c r="T101" t="s">
        <v>3060</v>
      </c>
      <c r="U101" t="s">
        <v>3060</v>
      </c>
      <c r="V101" t="s">
        <v>3060</v>
      </c>
      <c r="W101" t="s">
        <v>185</v>
      </c>
      <c r="X101" t="s">
        <v>3060</v>
      </c>
      <c r="Y101" t="s">
        <v>186</v>
      </c>
      <c r="Z101" t="s">
        <v>376</v>
      </c>
      <c r="AA101" t="s">
        <v>3060</v>
      </c>
      <c r="AB101" t="s">
        <v>3060</v>
      </c>
      <c r="AC101" t="s">
        <v>3060</v>
      </c>
      <c r="AD101" t="s">
        <v>3060</v>
      </c>
      <c r="AE101" t="str">
        <f>HYPERLINK("file:///C:/rest_photo/Van Kahvaltı Sarayı, Merkez (Aşağı Kayabaşı Mah. - Bor Yolu).jpg","Van Kahvaltı Sarayı, Merkez (Aşağı Kayabaşı Mah. - Bor Yolu)")</f>
        <v>Van Kahvaltı Sarayı, Merkez (Aşağı Kayabaşı Mah. - Bor Yolu)</v>
      </c>
      <c r="AF101" t="s">
        <v>80</v>
      </c>
      <c r="AG101" t="s">
        <v>3071</v>
      </c>
    </row>
    <row r="102" spans="2:33" x14ac:dyDescent="0.25">
      <c r="B102" t="s">
        <v>3060</v>
      </c>
      <c r="C102" t="s">
        <v>3060</v>
      </c>
      <c r="D102" t="s">
        <v>3060</v>
      </c>
      <c r="E102" t="s">
        <v>3060</v>
      </c>
      <c r="F102" t="s">
        <v>3060</v>
      </c>
      <c r="G102" t="s">
        <v>3060</v>
      </c>
      <c r="H102" t="s">
        <v>3060</v>
      </c>
      <c r="I102" t="s">
        <v>3060</v>
      </c>
      <c r="J102" t="s">
        <v>3060</v>
      </c>
      <c r="K102" t="s">
        <v>3060</v>
      </c>
      <c r="L102" t="s">
        <v>3165</v>
      </c>
      <c r="M102" t="s">
        <v>3060</v>
      </c>
      <c r="N102" t="s">
        <v>3060</v>
      </c>
      <c r="O102" t="s">
        <v>3060</v>
      </c>
      <c r="P102" t="s">
        <v>3060</v>
      </c>
      <c r="Q102" t="s">
        <v>3060</v>
      </c>
      <c r="R102" t="s">
        <v>3060</v>
      </c>
      <c r="S102" t="s">
        <v>3060</v>
      </c>
      <c r="T102" t="s">
        <v>3060</v>
      </c>
      <c r="U102" t="s">
        <v>3060</v>
      </c>
      <c r="V102" t="s">
        <v>3060</v>
      </c>
      <c r="W102" t="s">
        <v>185</v>
      </c>
      <c r="X102" t="s">
        <v>3060</v>
      </c>
      <c r="Y102" t="s">
        <v>186</v>
      </c>
      <c r="Z102" t="s">
        <v>328</v>
      </c>
      <c r="AA102" t="s">
        <v>3060</v>
      </c>
      <c r="AB102" t="s">
        <v>3060</v>
      </c>
      <c r="AC102" t="s">
        <v>3060</v>
      </c>
      <c r="AD102" t="s">
        <v>3060</v>
      </c>
      <c r="AE102" t="str">
        <f>HYPERLINK("file:///C:/rest_photo/Viva Mexico, Merkez (Selçuk Mah.).jpg","Viva Mexico, Merkez (Selçuk Mah.)")</f>
        <v>Viva Mexico, Merkez (Selçuk Mah.)</v>
      </c>
      <c r="AF102" t="s">
        <v>249</v>
      </c>
      <c r="AG102" t="s">
        <v>877</v>
      </c>
    </row>
    <row r="103" spans="2:33" x14ac:dyDescent="0.25">
      <c r="B103" t="s">
        <v>3060</v>
      </c>
      <c r="C103" t="s">
        <v>3060</v>
      </c>
      <c r="D103" t="s">
        <v>3060</v>
      </c>
      <c r="E103" t="s">
        <v>3060</v>
      </c>
      <c r="F103" t="s">
        <v>3060</v>
      </c>
      <c r="G103" t="s">
        <v>3060</v>
      </c>
      <c r="H103" t="s">
        <v>3060</v>
      </c>
      <c r="I103" t="s">
        <v>3060</v>
      </c>
      <c r="J103" t="s">
        <v>3060</v>
      </c>
      <c r="K103" t="s">
        <v>3060</v>
      </c>
      <c r="L103" t="s">
        <v>3166</v>
      </c>
      <c r="M103" t="s">
        <v>3060</v>
      </c>
      <c r="N103" t="s">
        <v>3060</v>
      </c>
      <c r="O103" t="s">
        <v>3060</v>
      </c>
      <c r="P103" t="s">
        <v>3060</v>
      </c>
      <c r="Q103" t="s">
        <v>3060</v>
      </c>
      <c r="R103" t="s">
        <v>3060</v>
      </c>
      <c r="S103" t="s">
        <v>3060</v>
      </c>
      <c r="T103" t="s">
        <v>3060</v>
      </c>
      <c r="U103" t="s">
        <v>3060</v>
      </c>
      <c r="V103" t="s">
        <v>3060</v>
      </c>
      <c r="W103" t="s">
        <v>185</v>
      </c>
      <c r="X103" t="s">
        <v>3060</v>
      </c>
      <c r="Y103" t="s">
        <v>186</v>
      </c>
      <c r="Z103" t="s">
        <v>187</v>
      </c>
      <c r="AA103" t="s">
        <v>3060</v>
      </c>
      <c r="AB103" t="s">
        <v>3060</v>
      </c>
      <c r="AC103" t="s">
        <v>3060</v>
      </c>
      <c r="AD103" t="s">
        <v>3060</v>
      </c>
      <c r="AE103" t="str">
        <f>HYPERLINK("file:///C:/rest_photo/Waffle House, Merkez (Aşağı Kayabaşı Mah. - Dr. Sami Yağız Cad.).jpg","Waffle House, Merkez (Aşağı Kayabaşı Mah. - Dr. Sami Yağız Cad.)")</f>
        <v>Waffle House, Merkez (Aşağı Kayabaşı Mah. - Dr. Sami Yağız Cad.)</v>
      </c>
      <c r="AF103" t="s">
        <v>291</v>
      </c>
      <c r="AG103" t="s">
        <v>3118</v>
      </c>
    </row>
    <row r="104" spans="2:33" x14ac:dyDescent="0.25">
      <c r="B104" t="s">
        <v>3060</v>
      </c>
      <c r="C104" t="s">
        <v>3060</v>
      </c>
      <c r="D104" t="s">
        <v>3060</v>
      </c>
      <c r="E104" t="s">
        <v>3060</v>
      </c>
      <c r="F104" t="s">
        <v>3060</v>
      </c>
      <c r="G104" t="s">
        <v>3060</v>
      </c>
      <c r="H104" t="s">
        <v>3060</v>
      </c>
      <c r="I104" t="s">
        <v>3060</v>
      </c>
      <c r="J104" t="s">
        <v>3060</v>
      </c>
      <c r="K104" t="s">
        <v>3060</v>
      </c>
      <c r="L104" t="s">
        <v>3167</v>
      </c>
      <c r="M104" t="s">
        <v>3060</v>
      </c>
      <c r="N104" t="s">
        <v>3060</v>
      </c>
      <c r="O104" t="s">
        <v>3060</v>
      </c>
      <c r="P104" t="s">
        <v>3060</v>
      </c>
      <c r="Q104" t="s">
        <v>3060</v>
      </c>
      <c r="R104" t="s">
        <v>3060</v>
      </c>
      <c r="S104" t="s">
        <v>3060</v>
      </c>
      <c r="T104" t="s">
        <v>3060</v>
      </c>
      <c r="U104" t="s">
        <v>3060</v>
      </c>
      <c r="V104" t="s">
        <v>3060</v>
      </c>
      <c r="W104" t="s">
        <v>185</v>
      </c>
      <c r="X104" t="s">
        <v>3060</v>
      </c>
      <c r="Y104" t="s">
        <v>186</v>
      </c>
      <c r="Z104" t="s">
        <v>328</v>
      </c>
      <c r="AA104" t="s">
        <v>3060</v>
      </c>
      <c r="AB104" t="s">
        <v>3060</v>
      </c>
      <c r="AC104" t="s">
        <v>3060</v>
      </c>
      <c r="AD104" t="s">
        <v>3060</v>
      </c>
      <c r="AE104" t="str">
        <f>HYPERLINK("file:///C:/rest_photo/XL Cafe, Merkez (Selçuk Mah.).jpg","XL Cafe, Merkez (Selçuk Mah.)")</f>
        <v>XL Cafe, Merkez (Selçuk Mah.)</v>
      </c>
      <c r="AF104" t="s">
        <v>291</v>
      </c>
      <c r="AG104" t="s">
        <v>877</v>
      </c>
    </row>
    <row r="105" spans="2:33" x14ac:dyDescent="0.25">
      <c r="B105" t="s">
        <v>3060</v>
      </c>
      <c r="C105" t="s">
        <v>3060</v>
      </c>
      <c r="D105" t="s">
        <v>3060</v>
      </c>
      <c r="E105" t="s">
        <v>3060</v>
      </c>
      <c r="F105" t="s">
        <v>3060</v>
      </c>
      <c r="G105" t="s">
        <v>3060</v>
      </c>
      <c r="H105" t="s">
        <v>3060</v>
      </c>
      <c r="I105" t="s">
        <v>3060</v>
      </c>
      <c r="J105" t="s">
        <v>3060</v>
      </c>
      <c r="K105" t="s">
        <v>3060</v>
      </c>
      <c r="L105" t="s">
        <v>3168</v>
      </c>
      <c r="M105" t="s">
        <v>3060</v>
      </c>
      <c r="N105" t="s">
        <v>3060</v>
      </c>
      <c r="O105" t="s">
        <v>3060</v>
      </c>
      <c r="P105" t="s">
        <v>3060</v>
      </c>
      <c r="Q105" t="s">
        <v>3060</v>
      </c>
      <c r="R105" t="s">
        <v>3060</v>
      </c>
      <c r="S105" t="s">
        <v>3060</v>
      </c>
      <c r="T105" t="s">
        <v>3060</v>
      </c>
      <c r="U105" t="s">
        <v>3060</v>
      </c>
      <c r="V105" t="s">
        <v>3060</v>
      </c>
      <c r="W105" t="s">
        <v>185</v>
      </c>
      <c r="X105" t="s">
        <v>3060</v>
      </c>
      <c r="Y105" t="s">
        <v>186</v>
      </c>
      <c r="Z105" t="s">
        <v>1438</v>
      </c>
      <c r="AA105" t="s">
        <v>3060</v>
      </c>
      <c r="AB105" t="s">
        <v>3060</v>
      </c>
      <c r="AC105" t="s">
        <v>3060</v>
      </c>
      <c r="AD105" t="s">
        <v>3060</v>
      </c>
      <c r="AE105" t="str">
        <f>HYPERLINK("file:///C:/rest_photo/Zigana Et, Merkez (Aşağı Kayabaşı Mah. - Hastane Bölgesi).jpg","Zigana Et, Merkez (Aşağı Kayabaşı Mah. - Hastane Bölgesi)")</f>
        <v>Zigana Et, Merkez (Aşağı Kayabaşı Mah. - Hastane Bölgesi)</v>
      </c>
      <c r="AF105" t="s">
        <v>1277</v>
      </c>
      <c r="AG105" t="s">
        <v>647</v>
      </c>
    </row>
    <row r="106" spans="2:33" x14ac:dyDescent="0.25">
      <c r="B106" t="s">
        <v>3060</v>
      </c>
      <c r="C106" t="s">
        <v>3060</v>
      </c>
      <c r="D106" t="s">
        <v>3060</v>
      </c>
      <c r="E106" t="s">
        <v>3060</v>
      </c>
      <c r="F106" t="s">
        <v>3060</v>
      </c>
      <c r="G106" t="s">
        <v>3060</v>
      </c>
      <c r="H106" t="s">
        <v>3060</v>
      </c>
      <c r="I106" t="s">
        <v>3060</v>
      </c>
      <c r="J106" t="s">
        <v>3060</v>
      </c>
      <c r="K106" t="s">
        <v>3060</v>
      </c>
      <c r="L106" t="s">
        <v>3169</v>
      </c>
      <c r="M106" t="s">
        <v>3060</v>
      </c>
      <c r="N106" t="s">
        <v>3060</v>
      </c>
      <c r="O106" t="s">
        <v>3060</v>
      </c>
      <c r="P106" t="s">
        <v>3060</v>
      </c>
      <c r="Q106" t="s">
        <v>3060</v>
      </c>
      <c r="R106" t="s">
        <v>3060</v>
      </c>
      <c r="S106" t="s">
        <v>3060</v>
      </c>
      <c r="T106" t="s">
        <v>3060</v>
      </c>
      <c r="U106" t="s">
        <v>3060</v>
      </c>
      <c r="V106" t="s">
        <v>3060</v>
      </c>
      <c r="W106" t="s">
        <v>185</v>
      </c>
      <c r="X106" t="s">
        <v>3060</v>
      </c>
      <c r="Y106" t="s">
        <v>186</v>
      </c>
      <c r="Z106" t="s">
        <v>648</v>
      </c>
      <c r="AA106" t="s">
        <v>3060</v>
      </c>
      <c r="AB106" t="s">
        <v>3060</v>
      </c>
      <c r="AC106" t="s">
        <v>3060</v>
      </c>
      <c r="AD106" t="s">
        <v>3060</v>
      </c>
      <c r="AE106" t="str">
        <f>HYPERLINK("file:///C:/rest_photo/Ziyade Unlu Mamülleri, Merkez (Sırali Mah.).jpg","Ziyade Unlu Mamülleri, Merkez (Sırali Mah.)")</f>
        <v>Ziyade Unlu Mamülleri, Merkez (Sırali Mah.)</v>
      </c>
      <c r="AF106" t="s">
        <v>190</v>
      </c>
      <c r="AG106" t="s">
        <v>3122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5689"/>
  <sheetViews>
    <sheetView topLeftCell="A5663" workbookViewId="0">
      <selection activeCell="A2887" sqref="A2887:XFD2887"/>
    </sheetView>
  </sheetViews>
  <sheetFormatPr defaultRowHeight="15" x14ac:dyDescent="0.25"/>
  <cols>
    <col min="1" max="1" width="70.85546875" bestFit="1" customWidth="1"/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105" x14ac:dyDescent="0.25">
      <c r="A3" s="2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86</v>
      </c>
      <c r="C4" t="s">
        <v>78</v>
      </c>
      <c r="D4" t="s">
        <v>87</v>
      </c>
      <c r="E4" t="s">
        <v>88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89</v>
      </c>
      <c r="C5" t="s">
        <v>78</v>
      </c>
      <c r="D5" t="s">
        <v>90</v>
      </c>
      <c r="E5" t="s">
        <v>91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92</v>
      </c>
      <c r="C6" t="s">
        <v>78</v>
      </c>
      <c r="D6" t="s">
        <v>93</v>
      </c>
      <c r="E6" t="s">
        <v>94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89</v>
      </c>
      <c r="C7" t="s">
        <v>78</v>
      </c>
      <c r="D7" t="s">
        <v>90</v>
      </c>
      <c r="E7" t="s">
        <v>95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96</v>
      </c>
      <c r="C8" t="s">
        <v>78</v>
      </c>
      <c r="D8" t="s">
        <v>97</v>
      </c>
      <c r="E8" t="s">
        <v>95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98</v>
      </c>
      <c r="C9" t="s">
        <v>78</v>
      </c>
      <c r="D9" t="s">
        <v>99</v>
      </c>
      <c r="E9" t="s">
        <v>100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101</v>
      </c>
      <c r="C10" t="s">
        <v>78</v>
      </c>
      <c r="D10" t="s">
        <v>102</v>
      </c>
      <c r="E10" t="s">
        <v>103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92</v>
      </c>
      <c r="C11" t="s">
        <v>78</v>
      </c>
      <c r="D11" t="s">
        <v>93</v>
      </c>
      <c r="E11" t="s">
        <v>94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104</v>
      </c>
      <c r="C12" t="s">
        <v>78</v>
      </c>
      <c r="D12" t="s">
        <v>105</v>
      </c>
      <c r="E12" t="s">
        <v>106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107</v>
      </c>
      <c r="C13" t="s">
        <v>78</v>
      </c>
      <c r="D13" t="s">
        <v>108</v>
      </c>
      <c r="E13" t="s">
        <v>109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110</v>
      </c>
      <c r="C14" t="s">
        <v>78</v>
      </c>
      <c r="D14" t="s">
        <v>111</v>
      </c>
      <c r="E14" t="s">
        <v>112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113</v>
      </c>
      <c r="C15" t="s">
        <v>78</v>
      </c>
      <c r="D15" t="s">
        <v>114</v>
      </c>
      <c r="E15" t="s">
        <v>112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115</v>
      </c>
      <c r="C16" t="s">
        <v>78</v>
      </c>
      <c r="D16" t="s">
        <v>116</v>
      </c>
      <c r="E16" t="s">
        <v>112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117</v>
      </c>
      <c r="C17" t="s">
        <v>78</v>
      </c>
      <c r="D17" t="s">
        <v>118</v>
      </c>
      <c r="E17" t="s">
        <v>119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120</v>
      </c>
      <c r="C18" t="s">
        <v>78</v>
      </c>
      <c r="D18" t="s">
        <v>121</v>
      </c>
      <c r="E18" t="s">
        <v>103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122</v>
      </c>
      <c r="C19" t="s">
        <v>78</v>
      </c>
      <c r="D19" t="s">
        <v>123</v>
      </c>
      <c r="E19" t="s">
        <v>103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124</v>
      </c>
      <c r="C20" t="s">
        <v>78</v>
      </c>
      <c r="D20" t="s">
        <v>125</v>
      </c>
      <c r="E20" t="s">
        <v>103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126</v>
      </c>
      <c r="C21" t="s">
        <v>78</v>
      </c>
      <c r="D21" t="s">
        <v>127</v>
      </c>
      <c r="E21" t="s">
        <v>119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128</v>
      </c>
      <c r="C22" t="s">
        <v>78</v>
      </c>
      <c r="D22" t="s">
        <v>129</v>
      </c>
      <c r="E22" t="s">
        <v>130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83</v>
      </c>
      <c r="C23" t="s">
        <v>78</v>
      </c>
      <c r="D23" t="s">
        <v>84</v>
      </c>
      <c r="E23" t="s">
        <v>85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82</v>
      </c>
      <c r="B24" t="s">
        <v>131</v>
      </c>
      <c r="C24" t="s">
        <v>78</v>
      </c>
      <c r="D24" t="s">
        <v>132</v>
      </c>
      <c r="E24" t="s">
        <v>133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82</v>
      </c>
      <c r="B25" t="s">
        <v>134</v>
      </c>
      <c r="C25" t="s">
        <v>78</v>
      </c>
      <c r="D25" t="s">
        <v>135</v>
      </c>
      <c r="E25" t="s">
        <v>136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82</v>
      </c>
      <c r="B26" t="s">
        <v>137</v>
      </c>
      <c r="C26" t="s">
        <v>78</v>
      </c>
      <c r="D26" t="s">
        <v>78</v>
      </c>
      <c r="E26" t="s">
        <v>138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82</v>
      </c>
      <c r="B27" t="s">
        <v>139</v>
      </c>
      <c r="C27" t="s">
        <v>78</v>
      </c>
      <c r="D27" t="s">
        <v>140</v>
      </c>
      <c r="E27" t="s">
        <v>141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82</v>
      </c>
      <c r="B28" t="s">
        <v>86</v>
      </c>
      <c r="C28" t="s">
        <v>78</v>
      </c>
      <c r="D28" t="s">
        <v>87</v>
      </c>
      <c r="E28" t="s">
        <v>88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82</v>
      </c>
      <c r="B29" t="s">
        <v>142</v>
      </c>
      <c r="C29" t="s">
        <v>78</v>
      </c>
      <c r="D29" t="s">
        <v>143</v>
      </c>
      <c r="E29" t="s">
        <v>88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82</v>
      </c>
      <c r="B30" t="s">
        <v>144</v>
      </c>
      <c r="C30" t="s">
        <v>78</v>
      </c>
      <c r="D30" t="s">
        <v>145</v>
      </c>
      <c r="E30" t="s">
        <v>88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82</v>
      </c>
      <c r="B31" t="s">
        <v>146</v>
      </c>
      <c r="C31" t="s">
        <v>78</v>
      </c>
      <c r="D31" t="s">
        <v>147</v>
      </c>
      <c r="E31" t="s">
        <v>141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82</v>
      </c>
      <c r="B32" t="s">
        <v>148</v>
      </c>
      <c r="C32" t="s">
        <v>78</v>
      </c>
      <c r="D32" t="s">
        <v>149</v>
      </c>
      <c r="E32" t="s">
        <v>150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82</v>
      </c>
      <c r="B33" t="s">
        <v>151</v>
      </c>
      <c r="C33" t="s">
        <v>78</v>
      </c>
      <c r="D33" t="s">
        <v>152</v>
      </c>
      <c r="E33" t="s">
        <v>88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82</v>
      </c>
      <c r="B34" t="s">
        <v>153</v>
      </c>
      <c r="C34" t="s">
        <v>78</v>
      </c>
      <c r="D34" t="s">
        <v>154</v>
      </c>
      <c r="E34" t="s">
        <v>155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82</v>
      </c>
      <c r="B35" t="s">
        <v>156</v>
      </c>
      <c r="C35" t="s">
        <v>78</v>
      </c>
      <c r="D35" t="s">
        <v>157</v>
      </c>
      <c r="E35" t="s">
        <v>88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82</v>
      </c>
      <c r="B36" t="s">
        <v>158</v>
      </c>
      <c r="C36" t="s">
        <v>78</v>
      </c>
      <c r="D36" t="s">
        <v>78</v>
      </c>
      <c r="E36" t="s">
        <v>159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82</v>
      </c>
      <c r="B37" t="s">
        <v>160</v>
      </c>
      <c r="C37" t="s">
        <v>78</v>
      </c>
      <c r="D37" t="s">
        <v>78</v>
      </c>
      <c r="E37" t="s">
        <v>161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82</v>
      </c>
      <c r="B38" t="s">
        <v>162</v>
      </c>
      <c r="C38" t="s">
        <v>78</v>
      </c>
      <c r="D38" t="s">
        <v>78</v>
      </c>
      <c r="E38" t="s">
        <v>161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82</v>
      </c>
      <c r="B39" t="s">
        <v>163</v>
      </c>
      <c r="C39" t="s">
        <v>78</v>
      </c>
      <c r="D39" t="s">
        <v>78</v>
      </c>
      <c r="E39" t="s">
        <v>159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82</v>
      </c>
      <c r="B40" t="s">
        <v>164</v>
      </c>
      <c r="C40" t="s">
        <v>78</v>
      </c>
      <c r="D40" t="s">
        <v>165</v>
      </c>
      <c r="E40" t="s">
        <v>166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82</v>
      </c>
      <c r="B41" t="s">
        <v>167</v>
      </c>
      <c r="C41" t="s">
        <v>78</v>
      </c>
      <c r="D41" t="s">
        <v>78</v>
      </c>
      <c r="E41" t="s">
        <v>138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82</v>
      </c>
      <c r="B42" t="s">
        <v>168</v>
      </c>
      <c r="C42" t="s">
        <v>78</v>
      </c>
      <c r="D42" t="s">
        <v>78</v>
      </c>
      <c r="E42" t="s">
        <v>138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82</v>
      </c>
      <c r="B43" t="s">
        <v>169</v>
      </c>
      <c r="C43" t="s">
        <v>78</v>
      </c>
      <c r="D43" t="s">
        <v>78</v>
      </c>
      <c r="E43" t="s">
        <v>138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82</v>
      </c>
      <c r="B44" t="s">
        <v>170</v>
      </c>
      <c r="C44" t="s">
        <v>78</v>
      </c>
      <c r="D44" t="s">
        <v>78</v>
      </c>
      <c r="E44" t="s">
        <v>138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82</v>
      </c>
      <c r="B45" t="s">
        <v>171</v>
      </c>
      <c r="C45" t="s">
        <v>78</v>
      </c>
      <c r="D45" t="s">
        <v>78</v>
      </c>
      <c r="E45" t="s">
        <v>138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82</v>
      </c>
      <c r="B46" t="s">
        <v>172</v>
      </c>
      <c r="C46" t="s">
        <v>78</v>
      </c>
      <c r="D46" t="s">
        <v>78</v>
      </c>
      <c r="E46" t="s">
        <v>138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82</v>
      </c>
      <c r="B47" t="s">
        <v>173</v>
      </c>
      <c r="C47" t="s">
        <v>78</v>
      </c>
      <c r="D47" t="s">
        <v>78</v>
      </c>
      <c r="E47" t="s">
        <v>174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82</v>
      </c>
      <c r="B48" t="s">
        <v>175</v>
      </c>
      <c r="C48" t="s">
        <v>78</v>
      </c>
      <c r="D48" t="s">
        <v>78</v>
      </c>
      <c r="E48" t="s">
        <v>176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82</v>
      </c>
      <c r="B49" t="s">
        <v>177</v>
      </c>
      <c r="C49" t="s">
        <v>78</v>
      </c>
      <c r="D49" t="s">
        <v>78</v>
      </c>
      <c r="E49" t="s">
        <v>138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82</v>
      </c>
      <c r="B50" t="s">
        <v>178</v>
      </c>
      <c r="C50" t="s">
        <v>78</v>
      </c>
      <c r="D50" t="s">
        <v>78</v>
      </c>
      <c r="E50" t="s">
        <v>176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82</v>
      </c>
      <c r="B51" t="s">
        <v>179</v>
      </c>
      <c r="C51" t="s">
        <v>78</v>
      </c>
      <c r="D51" t="s">
        <v>78</v>
      </c>
      <c r="E51" t="s">
        <v>174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82</v>
      </c>
      <c r="B52" t="s">
        <v>180</v>
      </c>
      <c r="C52" t="s">
        <v>78</v>
      </c>
      <c r="D52" t="s">
        <v>78</v>
      </c>
      <c r="E52" t="s">
        <v>174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82</v>
      </c>
      <c r="B53" t="s">
        <v>181</v>
      </c>
      <c r="C53" t="s">
        <v>78</v>
      </c>
      <c r="D53" t="s">
        <v>78</v>
      </c>
      <c r="E53" t="s">
        <v>182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82</v>
      </c>
      <c r="B54" t="s">
        <v>183</v>
      </c>
      <c r="C54" t="s">
        <v>78</v>
      </c>
      <c r="D54" t="s">
        <v>78</v>
      </c>
      <c r="E54" t="s">
        <v>184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191</v>
      </c>
      <c r="B55" t="s">
        <v>192</v>
      </c>
      <c r="C55" t="s">
        <v>78</v>
      </c>
      <c r="D55" t="s">
        <v>193</v>
      </c>
      <c r="E55" t="s">
        <v>194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191</v>
      </c>
      <c r="B56" t="s">
        <v>195</v>
      </c>
      <c r="C56" t="s">
        <v>78</v>
      </c>
      <c r="D56" t="s">
        <v>196</v>
      </c>
      <c r="E56" t="s">
        <v>197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191</v>
      </c>
      <c r="B57" t="s">
        <v>198</v>
      </c>
      <c r="C57" t="s">
        <v>78</v>
      </c>
      <c r="D57" t="s">
        <v>199</v>
      </c>
      <c r="E57" t="s">
        <v>200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191</v>
      </c>
      <c r="B58" t="s">
        <v>201</v>
      </c>
      <c r="C58" t="s">
        <v>78</v>
      </c>
      <c r="D58" t="s">
        <v>199</v>
      </c>
      <c r="E58" t="s">
        <v>202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191</v>
      </c>
      <c r="B59" t="s">
        <v>203</v>
      </c>
      <c r="C59" t="s">
        <v>78</v>
      </c>
      <c r="D59" t="s">
        <v>199</v>
      </c>
      <c r="E59" t="s">
        <v>204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191</v>
      </c>
      <c r="B60" t="s">
        <v>192</v>
      </c>
      <c r="C60" t="s">
        <v>78</v>
      </c>
      <c r="D60" t="s">
        <v>193</v>
      </c>
      <c r="E60" t="s">
        <v>194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191</v>
      </c>
      <c r="B61" t="s">
        <v>205</v>
      </c>
      <c r="C61" t="s">
        <v>78</v>
      </c>
      <c r="D61" t="s">
        <v>206</v>
      </c>
      <c r="E61" t="s">
        <v>207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191</v>
      </c>
      <c r="B62" t="s">
        <v>195</v>
      </c>
      <c r="C62" t="s">
        <v>78</v>
      </c>
      <c r="D62" t="s">
        <v>196</v>
      </c>
      <c r="E62" t="s">
        <v>197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191</v>
      </c>
      <c r="B63" t="s">
        <v>208</v>
      </c>
      <c r="C63" t="s">
        <v>78</v>
      </c>
      <c r="D63" t="s">
        <v>206</v>
      </c>
      <c r="E63" t="s">
        <v>209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191</v>
      </c>
      <c r="B64" t="s">
        <v>201</v>
      </c>
      <c r="C64" t="s">
        <v>78</v>
      </c>
      <c r="D64" t="s">
        <v>199</v>
      </c>
      <c r="E64" t="s">
        <v>202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191</v>
      </c>
      <c r="B65" t="s">
        <v>210</v>
      </c>
      <c r="C65" t="s">
        <v>78</v>
      </c>
      <c r="D65" t="s">
        <v>199</v>
      </c>
      <c r="E65" t="s">
        <v>202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191</v>
      </c>
      <c r="B66" t="s">
        <v>198</v>
      </c>
      <c r="C66" t="s">
        <v>78</v>
      </c>
      <c r="D66" t="s">
        <v>199</v>
      </c>
      <c r="E66" t="s">
        <v>200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191</v>
      </c>
      <c r="B67" t="s">
        <v>211</v>
      </c>
      <c r="C67" t="s">
        <v>78</v>
      </c>
      <c r="D67" t="s">
        <v>199</v>
      </c>
      <c r="E67" t="s">
        <v>212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191</v>
      </c>
      <c r="B68" t="s">
        <v>203</v>
      </c>
      <c r="C68" t="s">
        <v>78</v>
      </c>
      <c r="D68" t="s">
        <v>199</v>
      </c>
      <c r="E68" t="s">
        <v>204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191</v>
      </c>
      <c r="B69" t="s">
        <v>213</v>
      </c>
      <c r="C69" t="s">
        <v>78</v>
      </c>
      <c r="D69" t="s">
        <v>199</v>
      </c>
      <c r="E69" t="s">
        <v>214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191</v>
      </c>
      <c r="B70" t="s">
        <v>215</v>
      </c>
      <c r="C70" t="s">
        <v>78</v>
      </c>
      <c r="D70" t="s">
        <v>199</v>
      </c>
      <c r="E70" t="s">
        <v>216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191</v>
      </c>
      <c r="B71" t="s">
        <v>217</v>
      </c>
      <c r="C71" t="s">
        <v>78</v>
      </c>
      <c r="D71" t="s">
        <v>199</v>
      </c>
      <c r="E71" t="s">
        <v>218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191</v>
      </c>
      <c r="B72" t="s">
        <v>219</v>
      </c>
      <c r="C72" t="s">
        <v>78</v>
      </c>
      <c r="D72" t="s">
        <v>78</v>
      </c>
      <c r="E72" t="s">
        <v>220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191</v>
      </c>
      <c r="B73" t="s">
        <v>221</v>
      </c>
      <c r="C73" t="s">
        <v>78</v>
      </c>
      <c r="D73" t="s">
        <v>78</v>
      </c>
      <c r="E73" t="s">
        <v>207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191</v>
      </c>
      <c r="B74" t="s">
        <v>222</v>
      </c>
      <c r="C74" t="s">
        <v>78</v>
      </c>
      <c r="D74" t="s">
        <v>78</v>
      </c>
      <c r="E74" t="s">
        <v>202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191</v>
      </c>
      <c r="B75" t="s">
        <v>223</v>
      </c>
      <c r="C75" t="s">
        <v>78</v>
      </c>
      <c r="D75" t="s">
        <v>78</v>
      </c>
      <c r="E75" t="s">
        <v>202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191</v>
      </c>
      <c r="B76" t="s">
        <v>224</v>
      </c>
      <c r="C76" t="s">
        <v>78</v>
      </c>
      <c r="D76" t="s">
        <v>78</v>
      </c>
      <c r="E76" t="s">
        <v>202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191</v>
      </c>
      <c r="B77" t="s">
        <v>225</v>
      </c>
      <c r="C77" t="s">
        <v>78</v>
      </c>
      <c r="D77" t="s">
        <v>78</v>
      </c>
      <c r="E77" t="s">
        <v>202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191</v>
      </c>
      <c r="B78" t="s">
        <v>226</v>
      </c>
      <c r="C78" t="s">
        <v>78</v>
      </c>
      <c r="D78" t="s">
        <v>78</v>
      </c>
      <c r="E78" t="s">
        <v>202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191</v>
      </c>
      <c r="B79" t="s">
        <v>227</v>
      </c>
      <c r="C79" t="s">
        <v>78</v>
      </c>
      <c r="D79" t="s">
        <v>78</v>
      </c>
      <c r="E79" t="s">
        <v>202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191</v>
      </c>
      <c r="B80" t="s">
        <v>228</v>
      </c>
      <c r="C80" t="s">
        <v>78</v>
      </c>
      <c r="D80" t="s">
        <v>78</v>
      </c>
      <c r="E80" t="s">
        <v>202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191</v>
      </c>
      <c r="B81" t="s">
        <v>229</v>
      </c>
      <c r="C81" t="s">
        <v>78</v>
      </c>
      <c r="D81" t="s">
        <v>78</v>
      </c>
      <c r="E81" t="s">
        <v>194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191</v>
      </c>
      <c r="B82" t="s">
        <v>230</v>
      </c>
      <c r="C82" t="s">
        <v>78</v>
      </c>
      <c r="D82" t="s">
        <v>78</v>
      </c>
      <c r="E82" t="s">
        <v>194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191</v>
      </c>
      <c r="B83" t="s">
        <v>231</v>
      </c>
      <c r="C83" t="s">
        <v>78</v>
      </c>
      <c r="D83" t="s">
        <v>78</v>
      </c>
      <c r="E83" t="s">
        <v>194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191</v>
      </c>
      <c r="B84" t="s">
        <v>232</v>
      </c>
      <c r="C84" t="s">
        <v>78</v>
      </c>
      <c r="D84" t="s">
        <v>78</v>
      </c>
      <c r="E84" t="s">
        <v>194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191</v>
      </c>
      <c r="B85" t="s">
        <v>233</v>
      </c>
      <c r="C85" t="s">
        <v>78</v>
      </c>
      <c r="D85" t="s">
        <v>78</v>
      </c>
      <c r="E85" t="s">
        <v>194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191</v>
      </c>
      <c r="B86" t="s">
        <v>234</v>
      </c>
      <c r="C86" t="s">
        <v>78</v>
      </c>
      <c r="D86" t="s">
        <v>78</v>
      </c>
      <c r="E86" t="s">
        <v>235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191</v>
      </c>
      <c r="B87" t="s">
        <v>236</v>
      </c>
      <c r="C87" t="s">
        <v>78</v>
      </c>
      <c r="D87" t="s">
        <v>78</v>
      </c>
      <c r="E87" t="s">
        <v>237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191</v>
      </c>
      <c r="B88" t="s">
        <v>238</v>
      </c>
      <c r="C88" t="s">
        <v>78</v>
      </c>
      <c r="D88" t="s">
        <v>78</v>
      </c>
      <c r="E88" t="s">
        <v>239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191</v>
      </c>
      <c r="B89" t="s">
        <v>178</v>
      </c>
      <c r="C89" t="s">
        <v>78</v>
      </c>
      <c r="D89" t="s">
        <v>78</v>
      </c>
      <c r="E89" t="s">
        <v>240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191</v>
      </c>
      <c r="B90" t="s">
        <v>180</v>
      </c>
      <c r="C90" t="s">
        <v>78</v>
      </c>
      <c r="D90" t="s">
        <v>78</v>
      </c>
      <c r="E90" t="s">
        <v>220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191</v>
      </c>
      <c r="B91" t="s">
        <v>179</v>
      </c>
      <c r="C91" t="s">
        <v>78</v>
      </c>
      <c r="D91" t="s">
        <v>78</v>
      </c>
      <c r="E91" t="s">
        <v>235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191</v>
      </c>
      <c r="B92" t="s">
        <v>181</v>
      </c>
      <c r="C92" t="s">
        <v>78</v>
      </c>
      <c r="D92" t="s">
        <v>78</v>
      </c>
      <c r="E92" t="s">
        <v>241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191</v>
      </c>
      <c r="B93" t="s">
        <v>242</v>
      </c>
      <c r="C93" t="s">
        <v>78</v>
      </c>
      <c r="D93" t="s">
        <v>78</v>
      </c>
      <c r="E93" t="s">
        <v>243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191</v>
      </c>
      <c r="B94" t="s">
        <v>244</v>
      </c>
      <c r="C94" t="s">
        <v>78</v>
      </c>
      <c r="D94" t="s">
        <v>78</v>
      </c>
      <c r="E94" t="s">
        <v>197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191</v>
      </c>
      <c r="B95" t="s">
        <v>245</v>
      </c>
      <c r="C95" t="s">
        <v>78</v>
      </c>
      <c r="D95" t="s">
        <v>78</v>
      </c>
      <c r="E95" t="s">
        <v>243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191</v>
      </c>
      <c r="B96" t="s">
        <v>183</v>
      </c>
      <c r="C96" t="s">
        <v>78</v>
      </c>
      <c r="D96" t="s">
        <v>78</v>
      </c>
      <c r="E96" t="s">
        <v>184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250</v>
      </c>
      <c r="B97" t="s">
        <v>192</v>
      </c>
      <c r="C97" t="s">
        <v>78</v>
      </c>
      <c r="D97" t="s">
        <v>251</v>
      </c>
      <c r="E97" t="s">
        <v>252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250</v>
      </c>
      <c r="B98" t="s">
        <v>195</v>
      </c>
      <c r="C98" t="s">
        <v>78</v>
      </c>
      <c r="D98" t="s">
        <v>196</v>
      </c>
      <c r="E98" t="s">
        <v>253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250</v>
      </c>
      <c r="B99" t="s">
        <v>203</v>
      </c>
      <c r="C99" t="s">
        <v>78</v>
      </c>
      <c r="D99" t="s">
        <v>199</v>
      </c>
      <c r="E99" t="s">
        <v>254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250</v>
      </c>
      <c r="B100" t="s">
        <v>255</v>
      </c>
      <c r="C100" t="s">
        <v>78</v>
      </c>
      <c r="D100" t="s">
        <v>199</v>
      </c>
      <c r="E100" t="s">
        <v>256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250</v>
      </c>
      <c r="B101" t="s">
        <v>257</v>
      </c>
      <c r="C101" t="s">
        <v>78</v>
      </c>
      <c r="D101" t="s">
        <v>199</v>
      </c>
      <c r="E101" t="s">
        <v>258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250</v>
      </c>
      <c r="B102" t="s">
        <v>259</v>
      </c>
      <c r="C102" t="s">
        <v>78</v>
      </c>
      <c r="D102" t="s">
        <v>260</v>
      </c>
      <c r="E102" t="s">
        <v>261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250</v>
      </c>
      <c r="B103" t="s">
        <v>262</v>
      </c>
      <c r="C103" t="s">
        <v>78</v>
      </c>
      <c r="D103" t="s">
        <v>263</v>
      </c>
      <c r="E103" t="s">
        <v>264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250</v>
      </c>
      <c r="B104" t="s">
        <v>265</v>
      </c>
      <c r="C104" t="s">
        <v>78</v>
      </c>
      <c r="D104" t="s">
        <v>266</v>
      </c>
      <c r="E104" t="s">
        <v>267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250</v>
      </c>
      <c r="B105" t="s">
        <v>192</v>
      </c>
      <c r="C105" t="s">
        <v>78</v>
      </c>
      <c r="D105" t="s">
        <v>251</v>
      </c>
      <c r="E105" t="s">
        <v>252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250</v>
      </c>
      <c r="B106" t="s">
        <v>205</v>
      </c>
      <c r="C106" t="s">
        <v>78</v>
      </c>
      <c r="D106" t="s">
        <v>206</v>
      </c>
      <c r="E106" t="s">
        <v>268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250</v>
      </c>
      <c r="B107" t="s">
        <v>195</v>
      </c>
      <c r="C107" t="s">
        <v>78</v>
      </c>
      <c r="D107" t="s">
        <v>196</v>
      </c>
      <c r="E107" t="s">
        <v>253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250</v>
      </c>
      <c r="B108" t="s">
        <v>208</v>
      </c>
      <c r="C108" t="s">
        <v>78</v>
      </c>
      <c r="D108" t="s">
        <v>206</v>
      </c>
      <c r="E108" t="s">
        <v>269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250</v>
      </c>
      <c r="B109" t="s">
        <v>257</v>
      </c>
      <c r="C109" t="s">
        <v>78</v>
      </c>
      <c r="D109" t="s">
        <v>199</v>
      </c>
      <c r="E109" t="s">
        <v>258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250</v>
      </c>
      <c r="B110" t="s">
        <v>270</v>
      </c>
      <c r="C110" t="s">
        <v>78</v>
      </c>
      <c r="D110" t="s">
        <v>199</v>
      </c>
      <c r="E110" t="s">
        <v>258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250</v>
      </c>
      <c r="B111" t="s">
        <v>255</v>
      </c>
      <c r="C111" t="s">
        <v>78</v>
      </c>
      <c r="D111" t="s">
        <v>199</v>
      </c>
      <c r="E111" t="s">
        <v>256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250</v>
      </c>
      <c r="B112" t="s">
        <v>271</v>
      </c>
      <c r="C112" t="s">
        <v>78</v>
      </c>
      <c r="D112" t="s">
        <v>199</v>
      </c>
      <c r="E112" t="s">
        <v>272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250</v>
      </c>
      <c r="B113" t="s">
        <v>203</v>
      </c>
      <c r="C113" t="s">
        <v>78</v>
      </c>
      <c r="D113" t="s">
        <v>199</v>
      </c>
      <c r="E113" t="s">
        <v>254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250</v>
      </c>
      <c r="B114" t="s">
        <v>273</v>
      </c>
      <c r="C114" t="s">
        <v>78</v>
      </c>
      <c r="D114" t="s">
        <v>274</v>
      </c>
      <c r="E114" t="s">
        <v>218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250</v>
      </c>
      <c r="B115" t="s">
        <v>215</v>
      </c>
      <c r="C115" t="s">
        <v>78</v>
      </c>
      <c r="D115" t="s">
        <v>199</v>
      </c>
      <c r="E115" t="s">
        <v>267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250</v>
      </c>
      <c r="B116" t="s">
        <v>275</v>
      </c>
      <c r="C116" t="s">
        <v>78</v>
      </c>
      <c r="D116" t="s">
        <v>276</v>
      </c>
      <c r="E116" t="s">
        <v>277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250</v>
      </c>
      <c r="B117" t="s">
        <v>228</v>
      </c>
      <c r="C117" t="s">
        <v>78</v>
      </c>
      <c r="D117" t="s">
        <v>78</v>
      </c>
      <c r="E117" t="s">
        <v>258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250</v>
      </c>
      <c r="B118" t="s">
        <v>224</v>
      </c>
      <c r="C118" t="s">
        <v>78</v>
      </c>
      <c r="D118" t="s">
        <v>78</v>
      </c>
      <c r="E118" t="s">
        <v>258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250</v>
      </c>
      <c r="B119" t="s">
        <v>222</v>
      </c>
      <c r="C119" t="s">
        <v>78</v>
      </c>
      <c r="D119" t="s">
        <v>78</v>
      </c>
      <c r="E119" t="s">
        <v>258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250</v>
      </c>
      <c r="B120" t="s">
        <v>223</v>
      </c>
      <c r="C120" t="s">
        <v>78</v>
      </c>
      <c r="D120" t="s">
        <v>78</v>
      </c>
      <c r="E120" t="s">
        <v>258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250</v>
      </c>
      <c r="B121" t="s">
        <v>225</v>
      </c>
      <c r="C121" t="s">
        <v>78</v>
      </c>
      <c r="D121" t="s">
        <v>78</v>
      </c>
      <c r="E121" t="s">
        <v>258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250</v>
      </c>
      <c r="B122" t="s">
        <v>226</v>
      </c>
      <c r="C122" t="s">
        <v>78</v>
      </c>
      <c r="D122" t="s">
        <v>78</v>
      </c>
      <c r="E122" t="s">
        <v>258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250</v>
      </c>
      <c r="B123" t="s">
        <v>278</v>
      </c>
      <c r="C123" t="s">
        <v>78</v>
      </c>
      <c r="D123" t="s">
        <v>78</v>
      </c>
      <c r="E123" t="s">
        <v>258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250</v>
      </c>
      <c r="B124" t="s">
        <v>229</v>
      </c>
      <c r="C124" t="s">
        <v>78</v>
      </c>
      <c r="D124" t="s">
        <v>78</v>
      </c>
      <c r="E124" t="s">
        <v>252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250</v>
      </c>
      <c r="B125" t="s">
        <v>230</v>
      </c>
      <c r="C125" t="s">
        <v>78</v>
      </c>
      <c r="D125" t="s">
        <v>78</v>
      </c>
      <c r="E125" t="s">
        <v>252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250</v>
      </c>
      <c r="B126" t="s">
        <v>231</v>
      </c>
      <c r="C126" t="s">
        <v>78</v>
      </c>
      <c r="D126" t="s">
        <v>78</v>
      </c>
      <c r="E126" t="s">
        <v>252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250</v>
      </c>
      <c r="B127" t="s">
        <v>232</v>
      </c>
      <c r="C127" t="s">
        <v>78</v>
      </c>
      <c r="D127" t="s">
        <v>78</v>
      </c>
      <c r="E127" t="s">
        <v>252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250</v>
      </c>
      <c r="B128" t="s">
        <v>233</v>
      </c>
      <c r="C128" t="s">
        <v>78</v>
      </c>
      <c r="D128" t="s">
        <v>78</v>
      </c>
      <c r="E128" t="s">
        <v>252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250</v>
      </c>
      <c r="B129" t="s">
        <v>234</v>
      </c>
      <c r="C129" t="s">
        <v>78</v>
      </c>
      <c r="D129" t="s">
        <v>78</v>
      </c>
      <c r="E129" t="s">
        <v>279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250</v>
      </c>
      <c r="B130" t="s">
        <v>236</v>
      </c>
      <c r="C130" t="s">
        <v>78</v>
      </c>
      <c r="D130" t="s">
        <v>78</v>
      </c>
      <c r="E130" t="s">
        <v>207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250</v>
      </c>
      <c r="B131" t="s">
        <v>280</v>
      </c>
      <c r="C131" t="s">
        <v>78</v>
      </c>
      <c r="D131" t="s">
        <v>78</v>
      </c>
      <c r="E131" t="s">
        <v>281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250</v>
      </c>
      <c r="B132" t="s">
        <v>282</v>
      </c>
      <c r="C132" t="s">
        <v>78</v>
      </c>
      <c r="D132" t="s">
        <v>78</v>
      </c>
      <c r="E132" t="s">
        <v>182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250</v>
      </c>
      <c r="B133" t="s">
        <v>283</v>
      </c>
      <c r="C133" t="s">
        <v>78</v>
      </c>
      <c r="D133" t="s">
        <v>78</v>
      </c>
      <c r="E133" t="s">
        <v>235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250</v>
      </c>
      <c r="B134" t="s">
        <v>284</v>
      </c>
      <c r="C134" t="s">
        <v>78</v>
      </c>
      <c r="D134" t="s">
        <v>78</v>
      </c>
      <c r="E134" t="s">
        <v>279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250</v>
      </c>
      <c r="B135" t="s">
        <v>285</v>
      </c>
      <c r="C135" t="s">
        <v>78</v>
      </c>
      <c r="D135" t="s">
        <v>78</v>
      </c>
      <c r="E135" t="s">
        <v>286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250</v>
      </c>
      <c r="B136" t="s">
        <v>242</v>
      </c>
      <c r="C136" t="s">
        <v>78</v>
      </c>
      <c r="D136" t="s">
        <v>78</v>
      </c>
      <c r="E136" t="s">
        <v>287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250</v>
      </c>
      <c r="B137" t="s">
        <v>244</v>
      </c>
      <c r="C137" t="s">
        <v>78</v>
      </c>
      <c r="D137" t="s">
        <v>78</v>
      </c>
      <c r="E137" t="s">
        <v>253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250</v>
      </c>
      <c r="B138" t="s">
        <v>245</v>
      </c>
      <c r="C138" t="s">
        <v>78</v>
      </c>
      <c r="D138" t="s">
        <v>78</v>
      </c>
      <c r="E138" t="s">
        <v>287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250</v>
      </c>
      <c r="B139" t="s">
        <v>183</v>
      </c>
      <c r="C139" t="s">
        <v>78</v>
      </c>
      <c r="D139" t="s">
        <v>78</v>
      </c>
      <c r="E139" t="s">
        <v>184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292</v>
      </c>
      <c r="B140" t="s">
        <v>192</v>
      </c>
      <c r="C140" t="s">
        <v>78</v>
      </c>
      <c r="D140" t="s">
        <v>293</v>
      </c>
      <c r="E140" t="s">
        <v>194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292</v>
      </c>
      <c r="B141" t="s">
        <v>294</v>
      </c>
      <c r="C141" t="s">
        <v>78</v>
      </c>
      <c r="D141" t="s">
        <v>295</v>
      </c>
      <c r="E141" t="s">
        <v>197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292</v>
      </c>
      <c r="B142" t="s">
        <v>198</v>
      </c>
      <c r="C142" t="s">
        <v>78</v>
      </c>
      <c r="D142" t="s">
        <v>296</v>
      </c>
      <c r="E142" t="s">
        <v>200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292</v>
      </c>
      <c r="B143" t="s">
        <v>297</v>
      </c>
      <c r="C143" t="s">
        <v>78</v>
      </c>
      <c r="D143" t="s">
        <v>78</v>
      </c>
      <c r="E143" t="s">
        <v>220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292</v>
      </c>
      <c r="B144" t="s">
        <v>298</v>
      </c>
      <c r="C144" t="s">
        <v>78</v>
      </c>
      <c r="D144" t="s">
        <v>299</v>
      </c>
      <c r="E144" t="s">
        <v>204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292</v>
      </c>
      <c r="B145" t="s">
        <v>300</v>
      </c>
      <c r="C145" t="s">
        <v>78</v>
      </c>
      <c r="D145" t="s">
        <v>301</v>
      </c>
      <c r="E145" t="s">
        <v>302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292</v>
      </c>
      <c r="B146" t="s">
        <v>303</v>
      </c>
      <c r="C146" t="s">
        <v>78</v>
      </c>
      <c r="D146" t="s">
        <v>304</v>
      </c>
      <c r="E146" t="s">
        <v>305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292</v>
      </c>
      <c r="B147" t="s">
        <v>306</v>
      </c>
      <c r="C147" t="s">
        <v>78</v>
      </c>
      <c r="D147" t="s">
        <v>307</v>
      </c>
      <c r="E147" t="s">
        <v>308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292</v>
      </c>
      <c r="B148" t="s">
        <v>192</v>
      </c>
      <c r="C148" t="s">
        <v>78</v>
      </c>
      <c r="D148" t="s">
        <v>293</v>
      </c>
      <c r="E148" t="s">
        <v>194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292</v>
      </c>
      <c r="B149" t="s">
        <v>294</v>
      </c>
      <c r="C149" t="s">
        <v>78</v>
      </c>
      <c r="D149" t="s">
        <v>295</v>
      </c>
      <c r="E149" t="s">
        <v>197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292</v>
      </c>
      <c r="B150" t="s">
        <v>257</v>
      </c>
      <c r="C150" t="s">
        <v>78</v>
      </c>
      <c r="D150" t="s">
        <v>309</v>
      </c>
      <c r="E150" t="s">
        <v>202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292</v>
      </c>
      <c r="B151" t="s">
        <v>210</v>
      </c>
      <c r="C151" t="s">
        <v>78</v>
      </c>
      <c r="D151" t="s">
        <v>310</v>
      </c>
      <c r="E151" t="s">
        <v>202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292</v>
      </c>
      <c r="B152" t="s">
        <v>198</v>
      </c>
      <c r="C152" t="s">
        <v>78</v>
      </c>
      <c r="D152" t="s">
        <v>296</v>
      </c>
      <c r="E152" t="s">
        <v>200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292</v>
      </c>
      <c r="B153" t="s">
        <v>311</v>
      </c>
      <c r="C153" t="s">
        <v>78</v>
      </c>
      <c r="D153" t="s">
        <v>312</v>
      </c>
      <c r="E153" t="s">
        <v>212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292</v>
      </c>
      <c r="B154" t="s">
        <v>298</v>
      </c>
      <c r="C154" t="s">
        <v>78</v>
      </c>
      <c r="D154" t="s">
        <v>299</v>
      </c>
      <c r="E154" t="s">
        <v>204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292</v>
      </c>
      <c r="B155" t="s">
        <v>273</v>
      </c>
      <c r="C155" t="s">
        <v>78</v>
      </c>
      <c r="D155" t="s">
        <v>313</v>
      </c>
      <c r="E155" t="s">
        <v>214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292</v>
      </c>
      <c r="B156" t="s">
        <v>314</v>
      </c>
      <c r="C156" t="s">
        <v>78</v>
      </c>
      <c r="D156" t="s">
        <v>315</v>
      </c>
      <c r="E156" t="s">
        <v>216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292</v>
      </c>
      <c r="B157" t="s">
        <v>316</v>
      </c>
      <c r="C157" t="s">
        <v>78</v>
      </c>
      <c r="D157" t="s">
        <v>317</v>
      </c>
      <c r="E157" t="s">
        <v>218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292</v>
      </c>
      <c r="B158" t="s">
        <v>318</v>
      </c>
      <c r="C158" t="s">
        <v>78</v>
      </c>
      <c r="D158" t="s">
        <v>78</v>
      </c>
      <c r="E158" t="s">
        <v>207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292</v>
      </c>
      <c r="B159" t="s">
        <v>219</v>
      </c>
      <c r="C159" t="s">
        <v>78</v>
      </c>
      <c r="D159" t="s">
        <v>78</v>
      </c>
      <c r="E159" t="s">
        <v>220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292</v>
      </c>
      <c r="B160" t="s">
        <v>319</v>
      </c>
      <c r="C160" t="s">
        <v>78</v>
      </c>
      <c r="D160" t="s">
        <v>78</v>
      </c>
      <c r="E160" t="s">
        <v>320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292</v>
      </c>
      <c r="B161" t="s">
        <v>321</v>
      </c>
      <c r="C161" t="s">
        <v>78</v>
      </c>
      <c r="D161" t="s">
        <v>78</v>
      </c>
      <c r="E161" t="s">
        <v>243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292</v>
      </c>
      <c r="B162" t="s">
        <v>322</v>
      </c>
      <c r="C162" t="s">
        <v>78</v>
      </c>
      <c r="D162" t="s">
        <v>78</v>
      </c>
      <c r="E162" t="s">
        <v>202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292</v>
      </c>
      <c r="B163" t="s">
        <v>323</v>
      </c>
      <c r="C163" t="s">
        <v>78</v>
      </c>
      <c r="D163" t="s">
        <v>78</v>
      </c>
      <c r="E163" t="s">
        <v>320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292</v>
      </c>
      <c r="B164" t="s">
        <v>324</v>
      </c>
      <c r="C164" t="s">
        <v>78</v>
      </c>
      <c r="D164" t="s">
        <v>78</v>
      </c>
      <c r="E164" t="s">
        <v>320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292</v>
      </c>
      <c r="B165" t="s">
        <v>297</v>
      </c>
      <c r="C165" t="s">
        <v>78</v>
      </c>
      <c r="D165" t="s">
        <v>78</v>
      </c>
      <c r="E165" t="s">
        <v>220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292</v>
      </c>
      <c r="B166" t="s">
        <v>229</v>
      </c>
      <c r="C166" t="s">
        <v>78</v>
      </c>
      <c r="D166" t="s">
        <v>78</v>
      </c>
      <c r="E166" t="s">
        <v>194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292</v>
      </c>
      <c r="B167" t="s">
        <v>230</v>
      </c>
      <c r="C167" t="s">
        <v>78</v>
      </c>
      <c r="D167" t="s">
        <v>78</v>
      </c>
      <c r="E167" t="s">
        <v>194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292</v>
      </c>
      <c r="B168" t="s">
        <v>231</v>
      </c>
      <c r="C168" t="s">
        <v>78</v>
      </c>
      <c r="D168" t="s">
        <v>78</v>
      </c>
      <c r="E168" t="s">
        <v>194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292</v>
      </c>
      <c r="B169" t="s">
        <v>233</v>
      </c>
      <c r="C169" t="s">
        <v>78</v>
      </c>
      <c r="D169" t="s">
        <v>78</v>
      </c>
      <c r="E169" t="s">
        <v>194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292</v>
      </c>
      <c r="B170" t="s">
        <v>232</v>
      </c>
      <c r="C170" t="s">
        <v>78</v>
      </c>
      <c r="D170" t="s">
        <v>78</v>
      </c>
      <c r="E170" t="s">
        <v>194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292</v>
      </c>
      <c r="B171" t="s">
        <v>325</v>
      </c>
      <c r="C171" t="s">
        <v>78</v>
      </c>
      <c r="D171" t="s">
        <v>326</v>
      </c>
      <c r="E171" t="s">
        <v>194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292</v>
      </c>
      <c r="B172" t="s">
        <v>178</v>
      </c>
      <c r="C172" t="s">
        <v>78</v>
      </c>
      <c r="D172" t="s">
        <v>78</v>
      </c>
      <c r="E172" t="s">
        <v>240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292</v>
      </c>
      <c r="B173" t="s">
        <v>238</v>
      </c>
      <c r="C173" t="s">
        <v>78</v>
      </c>
      <c r="D173" t="s">
        <v>78</v>
      </c>
      <c r="E173" t="s">
        <v>239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292</v>
      </c>
      <c r="B174" t="s">
        <v>179</v>
      </c>
      <c r="C174" t="s">
        <v>78</v>
      </c>
      <c r="D174" t="s">
        <v>78</v>
      </c>
      <c r="E174" t="s">
        <v>235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292</v>
      </c>
      <c r="B175" t="s">
        <v>180</v>
      </c>
      <c r="C175" t="s">
        <v>78</v>
      </c>
      <c r="D175" t="s">
        <v>78</v>
      </c>
      <c r="E175" t="s">
        <v>220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292</v>
      </c>
      <c r="B176" t="s">
        <v>181</v>
      </c>
      <c r="C176" t="s">
        <v>78</v>
      </c>
      <c r="D176" t="s">
        <v>78</v>
      </c>
      <c r="E176" t="s">
        <v>241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292</v>
      </c>
      <c r="B177" t="s">
        <v>242</v>
      </c>
      <c r="C177" t="s">
        <v>78</v>
      </c>
      <c r="D177" t="s">
        <v>78</v>
      </c>
      <c r="E177" t="s">
        <v>243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292</v>
      </c>
      <c r="B178" t="s">
        <v>327</v>
      </c>
      <c r="C178" t="s">
        <v>78</v>
      </c>
      <c r="D178" t="s">
        <v>78</v>
      </c>
      <c r="E178" t="s">
        <v>243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292</v>
      </c>
      <c r="B179" t="s">
        <v>244</v>
      </c>
      <c r="C179" t="s">
        <v>78</v>
      </c>
      <c r="D179" t="s">
        <v>326</v>
      </c>
      <c r="E179" t="s">
        <v>202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292</v>
      </c>
      <c r="B180" t="s">
        <v>245</v>
      </c>
      <c r="C180" t="s">
        <v>78</v>
      </c>
      <c r="D180" t="s">
        <v>78</v>
      </c>
      <c r="E180" t="s">
        <v>243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292</v>
      </c>
      <c r="B181" t="s">
        <v>183</v>
      </c>
      <c r="C181" t="s">
        <v>78</v>
      </c>
      <c r="D181" t="s">
        <v>78</v>
      </c>
      <c r="E181" t="s">
        <v>184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330</v>
      </c>
      <c r="B182" t="s">
        <v>331</v>
      </c>
      <c r="C182" t="s">
        <v>78</v>
      </c>
      <c r="D182" t="s">
        <v>78</v>
      </c>
      <c r="E182" t="s">
        <v>286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330</v>
      </c>
      <c r="B183" t="s">
        <v>294</v>
      </c>
      <c r="C183" t="s">
        <v>78</v>
      </c>
      <c r="D183" t="s">
        <v>332</v>
      </c>
      <c r="E183" t="s">
        <v>253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330</v>
      </c>
      <c r="B184" t="s">
        <v>192</v>
      </c>
      <c r="C184" t="s">
        <v>78</v>
      </c>
      <c r="D184" t="s">
        <v>333</v>
      </c>
      <c r="E184" t="s">
        <v>252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330</v>
      </c>
      <c r="B185" t="s">
        <v>198</v>
      </c>
      <c r="C185" t="s">
        <v>78</v>
      </c>
      <c r="D185" t="s">
        <v>334</v>
      </c>
      <c r="E185" t="s">
        <v>212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330</v>
      </c>
      <c r="B186" t="s">
        <v>335</v>
      </c>
      <c r="C186" t="s">
        <v>78</v>
      </c>
      <c r="D186" t="s">
        <v>336</v>
      </c>
      <c r="E186" t="s">
        <v>218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330</v>
      </c>
      <c r="B187" t="s">
        <v>337</v>
      </c>
      <c r="C187" t="s">
        <v>78</v>
      </c>
      <c r="D187" t="s">
        <v>338</v>
      </c>
      <c r="E187" t="s">
        <v>254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330</v>
      </c>
      <c r="B188" t="s">
        <v>335</v>
      </c>
      <c r="C188" t="s">
        <v>78</v>
      </c>
      <c r="D188" t="s">
        <v>336</v>
      </c>
      <c r="E188" t="s">
        <v>218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330</v>
      </c>
      <c r="B189" t="s">
        <v>192</v>
      </c>
      <c r="C189" t="s">
        <v>78</v>
      </c>
      <c r="D189" t="s">
        <v>333</v>
      </c>
      <c r="E189" t="s">
        <v>252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330</v>
      </c>
      <c r="B190" t="s">
        <v>294</v>
      </c>
      <c r="C190" t="s">
        <v>78</v>
      </c>
      <c r="D190" t="s">
        <v>332</v>
      </c>
      <c r="E190" t="s">
        <v>253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330</v>
      </c>
      <c r="B191" t="s">
        <v>198</v>
      </c>
      <c r="C191" t="s">
        <v>78</v>
      </c>
      <c r="D191" t="s">
        <v>334</v>
      </c>
      <c r="E191" t="s">
        <v>212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330</v>
      </c>
      <c r="B192" t="s">
        <v>319</v>
      </c>
      <c r="C192" t="s">
        <v>78</v>
      </c>
      <c r="D192" t="s">
        <v>78</v>
      </c>
      <c r="E192" t="s">
        <v>320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330</v>
      </c>
      <c r="B193" t="s">
        <v>339</v>
      </c>
      <c r="C193" t="s">
        <v>78</v>
      </c>
      <c r="D193" t="s">
        <v>78</v>
      </c>
      <c r="E193" t="s">
        <v>268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330</v>
      </c>
      <c r="B194" t="s">
        <v>340</v>
      </c>
      <c r="C194" t="s">
        <v>78</v>
      </c>
      <c r="D194" t="s">
        <v>78</v>
      </c>
      <c r="E194" t="s">
        <v>268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330</v>
      </c>
      <c r="B195" t="s">
        <v>341</v>
      </c>
      <c r="C195" t="s">
        <v>78</v>
      </c>
      <c r="D195" t="s">
        <v>78</v>
      </c>
      <c r="E195" t="s">
        <v>268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330</v>
      </c>
      <c r="B196" t="s">
        <v>342</v>
      </c>
      <c r="C196" t="s">
        <v>78</v>
      </c>
      <c r="D196" t="s">
        <v>78</v>
      </c>
      <c r="E196" t="s">
        <v>268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330</v>
      </c>
      <c r="B197" t="s">
        <v>331</v>
      </c>
      <c r="C197" t="s">
        <v>78</v>
      </c>
      <c r="D197" t="s">
        <v>78</v>
      </c>
      <c r="E197" t="s">
        <v>286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330</v>
      </c>
      <c r="B198" t="s">
        <v>343</v>
      </c>
      <c r="C198" t="s">
        <v>78</v>
      </c>
      <c r="D198" t="s">
        <v>78</v>
      </c>
      <c r="E198" t="s">
        <v>287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330</v>
      </c>
      <c r="B199" t="s">
        <v>344</v>
      </c>
      <c r="C199" t="s">
        <v>78</v>
      </c>
      <c r="D199" t="s">
        <v>78</v>
      </c>
      <c r="E199" t="s">
        <v>279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330</v>
      </c>
      <c r="B200" t="s">
        <v>167</v>
      </c>
      <c r="C200" t="s">
        <v>78</v>
      </c>
      <c r="D200" t="s">
        <v>78</v>
      </c>
      <c r="E200" t="s">
        <v>252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330</v>
      </c>
      <c r="B201" t="s">
        <v>170</v>
      </c>
      <c r="C201" t="s">
        <v>78</v>
      </c>
      <c r="D201" t="s">
        <v>78</v>
      </c>
      <c r="E201" t="s">
        <v>252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330</v>
      </c>
      <c r="B202" t="s">
        <v>171</v>
      </c>
      <c r="C202" t="s">
        <v>78</v>
      </c>
      <c r="D202" t="s">
        <v>78</v>
      </c>
      <c r="E202" t="s">
        <v>252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330</v>
      </c>
      <c r="B203" t="s">
        <v>172</v>
      </c>
      <c r="C203" t="s">
        <v>78</v>
      </c>
      <c r="D203" t="s">
        <v>78</v>
      </c>
      <c r="E203" t="s">
        <v>252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330</v>
      </c>
      <c r="B204" t="s">
        <v>177</v>
      </c>
      <c r="C204" t="s">
        <v>78</v>
      </c>
      <c r="D204" t="s">
        <v>78</v>
      </c>
      <c r="E204" t="s">
        <v>252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330</v>
      </c>
      <c r="B205" t="s">
        <v>236</v>
      </c>
      <c r="C205" t="s">
        <v>78</v>
      </c>
      <c r="D205" t="s">
        <v>78</v>
      </c>
      <c r="E205" t="s">
        <v>279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330</v>
      </c>
      <c r="B206" t="s">
        <v>178</v>
      </c>
      <c r="C206" t="s">
        <v>78</v>
      </c>
      <c r="D206" t="s">
        <v>78</v>
      </c>
      <c r="E206" t="s">
        <v>182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330</v>
      </c>
      <c r="B207" t="s">
        <v>238</v>
      </c>
      <c r="C207" t="s">
        <v>78</v>
      </c>
      <c r="D207" t="s">
        <v>78</v>
      </c>
      <c r="E207" t="s">
        <v>281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330</v>
      </c>
      <c r="B208" t="s">
        <v>179</v>
      </c>
      <c r="C208" t="s">
        <v>78</v>
      </c>
      <c r="D208" t="s">
        <v>78</v>
      </c>
      <c r="E208" t="s">
        <v>279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330</v>
      </c>
      <c r="B209" t="s">
        <v>180</v>
      </c>
      <c r="C209" t="s">
        <v>78</v>
      </c>
      <c r="D209" t="s">
        <v>78</v>
      </c>
      <c r="E209" t="s">
        <v>235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330</v>
      </c>
      <c r="B210" t="s">
        <v>181</v>
      </c>
      <c r="C210" t="s">
        <v>78</v>
      </c>
      <c r="D210" t="s">
        <v>78</v>
      </c>
      <c r="E210" t="s">
        <v>286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330</v>
      </c>
      <c r="B211" t="s">
        <v>345</v>
      </c>
      <c r="C211" t="s">
        <v>78</v>
      </c>
      <c r="D211" t="s">
        <v>78</v>
      </c>
      <c r="E211" t="s">
        <v>287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330</v>
      </c>
      <c r="B212" t="s">
        <v>346</v>
      </c>
      <c r="C212" t="s">
        <v>78</v>
      </c>
      <c r="D212" t="s">
        <v>78</v>
      </c>
      <c r="E212" t="s">
        <v>287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330</v>
      </c>
      <c r="B213" t="s">
        <v>347</v>
      </c>
      <c r="C213" t="s">
        <v>78</v>
      </c>
      <c r="D213" t="s">
        <v>78</v>
      </c>
      <c r="E213" t="s">
        <v>207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330</v>
      </c>
      <c r="B214" t="s">
        <v>245</v>
      </c>
      <c r="C214" t="s">
        <v>78</v>
      </c>
      <c r="D214" t="s">
        <v>78</v>
      </c>
      <c r="E214" t="s">
        <v>197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330</v>
      </c>
      <c r="B215" t="s">
        <v>348</v>
      </c>
      <c r="C215" t="s">
        <v>78</v>
      </c>
      <c r="D215" t="s">
        <v>78</v>
      </c>
      <c r="E215" t="s">
        <v>269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330</v>
      </c>
      <c r="B216" t="s">
        <v>349</v>
      </c>
      <c r="C216" t="s">
        <v>78</v>
      </c>
      <c r="D216" t="s">
        <v>78</v>
      </c>
      <c r="E216" t="s">
        <v>269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330</v>
      </c>
      <c r="B217" t="s">
        <v>350</v>
      </c>
      <c r="C217" t="s">
        <v>78</v>
      </c>
      <c r="D217" t="s">
        <v>78</v>
      </c>
      <c r="E217" t="s">
        <v>269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330</v>
      </c>
      <c r="B218" t="s">
        <v>183</v>
      </c>
      <c r="C218" t="s">
        <v>78</v>
      </c>
      <c r="D218" t="s">
        <v>78</v>
      </c>
      <c r="E218" t="s">
        <v>184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353</v>
      </c>
      <c r="B219" t="s">
        <v>354</v>
      </c>
      <c r="C219" t="s">
        <v>78</v>
      </c>
      <c r="D219" t="s">
        <v>355</v>
      </c>
      <c r="E219" t="s">
        <v>264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353</v>
      </c>
      <c r="B220" t="s">
        <v>356</v>
      </c>
      <c r="C220" t="s">
        <v>78</v>
      </c>
      <c r="D220" t="s">
        <v>357</v>
      </c>
      <c r="E220" t="s">
        <v>358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353</v>
      </c>
      <c r="B221" t="s">
        <v>359</v>
      </c>
      <c r="C221" t="s">
        <v>78</v>
      </c>
      <c r="D221" t="s">
        <v>360</v>
      </c>
      <c r="E221" t="s">
        <v>361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353</v>
      </c>
      <c r="B222" t="s">
        <v>362</v>
      </c>
      <c r="C222" t="s">
        <v>78</v>
      </c>
      <c r="D222" t="s">
        <v>363</v>
      </c>
      <c r="E222" t="s">
        <v>212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353</v>
      </c>
      <c r="B223" t="s">
        <v>364</v>
      </c>
      <c r="C223" t="s">
        <v>78</v>
      </c>
      <c r="D223" t="s">
        <v>365</v>
      </c>
      <c r="E223" t="s">
        <v>366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353</v>
      </c>
      <c r="B224" t="s">
        <v>367</v>
      </c>
      <c r="C224" t="s">
        <v>78</v>
      </c>
      <c r="D224" t="s">
        <v>365</v>
      </c>
      <c r="E224" t="s">
        <v>254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353</v>
      </c>
      <c r="B225" t="s">
        <v>368</v>
      </c>
      <c r="C225" t="s">
        <v>78</v>
      </c>
      <c r="D225" t="s">
        <v>365</v>
      </c>
      <c r="E225" t="s">
        <v>369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353</v>
      </c>
      <c r="B226" t="s">
        <v>370</v>
      </c>
      <c r="C226" t="s">
        <v>78</v>
      </c>
      <c r="D226" t="s">
        <v>371</v>
      </c>
      <c r="E226" t="s">
        <v>372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353</v>
      </c>
      <c r="B227" t="s">
        <v>325</v>
      </c>
      <c r="C227" t="s">
        <v>78</v>
      </c>
      <c r="D227" t="s">
        <v>78</v>
      </c>
      <c r="E227" t="s">
        <v>235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353</v>
      </c>
      <c r="B228" t="s">
        <v>373</v>
      </c>
      <c r="C228" t="s">
        <v>78</v>
      </c>
      <c r="D228" t="s">
        <v>78</v>
      </c>
      <c r="E228" t="s">
        <v>241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353</v>
      </c>
      <c r="B229" t="s">
        <v>345</v>
      </c>
      <c r="C229" t="s">
        <v>78</v>
      </c>
      <c r="D229" t="s">
        <v>78</v>
      </c>
      <c r="E229" t="s">
        <v>287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353</v>
      </c>
      <c r="B230" t="s">
        <v>374</v>
      </c>
      <c r="C230" t="s">
        <v>78</v>
      </c>
      <c r="D230" t="s">
        <v>78</v>
      </c>
      <c r="E230" t="s">
        <v>207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353</v>
      </c>
      <c r="B231" t="s">
        <v>183</v>
      </c>
      <c r="C231" t="s">
        <v>78</v>
      </c>
      <c r="D231" t="s">
        <v>78</v>
      </c>
      <c r="E231" t="s">
        <v>184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379</v>
      </c>
      <c r="B232" t="s">
        <v>380</v>
      </c>
      <c r="C232" t="s">
        <v>78</v>
      </c>
      <c r="D232" t="s">
        <v>381</v>
      </c>
      <c r="E232" t="s">
        <v>272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379</v>
      </c>
      <c r="B233" t="s">
        <v>382</v>
      </c>
      <c r="C233" t="s">
        <v>78</v>
      </c>
      <c r="D233" t="s">
        <v>383</v>
      </c>
      <c r="E233" t="s">
        <v>272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379</v>
      </c>
      <c r="B234" t="s">
        <v>384</v>
      </c>
      <c r="C234" t="s">
        <v>78</v>
      </c>
      <c r="D234" t="s">
        <v>381</v>
      </c>
      <c r="E234" t="s">
        <v>385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379</v>
      </c>
      <c r="B235" t="s">
        <v>386</v>
      </c>
      <c r="C235" t="s">
        <v>78</v>
      </c>
      <c r="D235" t="s">
        <v>381</v>
      </c>
      <c r="E235" t="s">
        <v>272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379</v>
      </c>
      <c r="B236" t="s">
        <v>387</v>
      </c>
      <c r="C236" t="s">
        <v>78</v>
      </c>
      <c r="D236" t="s">
        <v>381</v>
      </c>
      <c r="E236" t="s">
        <v>272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379</v>
      </c>
      <c r="B237" t="s">
        <v>380</v>
      </c>
      <c r="C237" t="s">
        <v>78</v>
      </c>
      <c r="D237" t="s">
        <v>381</v>
      </c>
      <c r="E237" t="s">
        <v>272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379</v>
      </c>
      <c r="B238" t="s">
        <v>384</v>
      </c>
      <c r="C238" t="s">
        <v>78</v>
      </c>
      <c r="D238" t="s">
        <v>381</v>
      </c>
      <c r="E238" t="s">
        <v>385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379</v>
      </c>
      <c r="B239" t="s">
        <v>386</v>
      </c>
      <c r="C239" t="s">
        <v>78</v>
      </c>
      <c r="D239" t="s">
        <v>381</v>
      </c>
      <c r="E239" t="s">
        <v>272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379</v>
      </c>
      <c r="B240" t="s">
        <v>388</v>
      </c>
      <c r="C240" t="s">
        <v>78</v>
      </c>
      <c r="D240" t="s">
        <v>381</v>
      </c>
      <c r="E240" t="s">
        <v>389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379</v>
      </c>
      <c r="B241" t="s">
        <v>390</v>
      </c>
      <c r="C241" t="s">
        <v>78</v>
      </c>
      <c r="D241" t="s">
        <v>381</v>
      </c>
      <c r="E241" t="s">
        <v>272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379</v>
      </c>
      <c r="B242" t="s">
        <v>391</v>
      </c>
      <c r="C242" t="s">
        <v>78</v>
      </c>
      <c r="D242" t="s">
        <v>381</v>
      </c>
      <c r="E242" t="s">
        <v>272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379</v>
      </c>
      <c r="B243" t="s">
        <v>382</v>
      </c>
      <c r="C243" t="s">
        <v>78</v>
      </c>
      <c r="D243" t="s">
        <v>383</v>
      </c>
      <c r="E243" t="s">
        <v>272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379</v>
      </c>
      <c r="B244" t="s">
        <v>387</v>
      </c>
      <c r="C244" t="s">
        <v>78</v>
      </c>
      <c r="D244" t="s">
        <v>381</v>
      </c>
      <c r="E244" t="s">
        <v>272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379</v>
      </c>
      <c r="B245" t="s">
        <v>392</v>
      </c>
      <c r="C245" t="s">
        <v>78</v>
      </c>
      <c r="D245" t="s">
        <v>381</v>
      </c>
      <c r="E245" t="s">
        <v>272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379</v>
      </c>
      <c r="B246" t="s">
        <v>393</v>
      </c>
      <c r="C246" t="s">
        <v>78</v>
      </c>
      <c r="D246" t="s">
        <v>394</v>
      </c>
      <c r="E246" t="s">
        <v>212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379</v>
      </c>
      <c r="B247" t="s">
        <v>238</v>
      </c>
      <c r="C247" t="s">
        <v>78</v>
      </c>
      <c r="D247" t="s">
        <v>78</v>
      </c>
      <c r="E247" t="s">
        <v>235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379</v>
      </c>
      <c r="B248" t="s">
        <v>242</v>
      </c>
      <c r="C248" t="s">
        <v>78</v>
      </c>
      <c r="D248" t="s">
        <v>78</v>
      </c>
      <c r="E248" t="s">
        <v>287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379</v>
      </c>
      <c r="B249" t="s">
        <v>327</v>
      </c>
      <c r="C249" t="s">
        <v>78</v>
      </c>
      <c r="D249" t="s">
        <v>78</v>
      </c>
      <c r="E249" t="s">
        <v>287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379</v>
      </c>
      <c r="B250" t="s">
        <v>345</v>
      </c>
      <c r="C250" t="s">
        <v>78</v>
      </c>
      <c r="D250" t="s">
        <v>78</v>
      </c>
      <c r="E250" t="s">
        <v>287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379</v>
      </c>
      <c r="B251" t="s">
        <v>346</v>
      </c>
      <c r="C251" t="s">
        <v>78</v>
      </c>
      <c r="D251" t="s">
        <v>78</v>
      </c>
      <c r="E251" t="s">
        <v>287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379</v>
      </c>
      <c r="B252" t="s">
        <v>183</v>
      </c>
      <c r="C252" t="s">
        <v>78</v>
      </c>
      <c r="D252" t="s">
        <v>78</v>
      </c>
      <c r="E252" t="s">
        <v>184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398</v>
      </c>
      <c r="B253" t="s">
        <v>399</v>
      </c>
      <c r="C253" t="s">
        <v>78</v>
      </c>
      <c r="D253" t="s">
        <v>400</v>
      </c>
      <c r="E253" t="s">
        <v>401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398</v>
      </c>
      <c r="B254" t="s">
        <v>402</v>
      </c>
      <c r="C254" t="s">
        <v>78</v>
      </c>
      <c r="D254" t="s">
        <v>403</v>
      </c>
      <c r="E254" t="s">
        <v>253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398</v>
      </c>
      <c r="B255" t="s">
        <v>314</v>
      </c>
      <c r="C255" t="s">
        <v>78</v>
      </c>
      <c r="D255" t="s">
        <v>404</v>
      </c>
      <c r="E255" t="s">
        <v>218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398</v>
      </c>
      <c r="B256" t="s">
        <v>294</v>
      </c>
      <c r="C256" t="s">
        <v>78</v>
      </c>
      <c r="D256" t="s">
        <v>405</v>
      </c>
      <c r="E256" t="s">
        <v>406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398</v>
      </c>
      <c r="B257" t="s">
        <v>407</v>
      </c>
      <c r="C257" t="s">
        <v>78</v>
      </c>
      <c r="D257" t="s">
        <v>408</v>
      </c>
      <c r="E257" t="s">
        <v>254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398</v>
      </c>
      <c r="B258" t="s">
        <v>192</v>
      </c>
      <c r="C258" t="s">
        <v>78</v>
      </c>
      <c r="D258" t="s">
        <v>409</v>
      </c>
      <c r="E258" t="s">
        <v>207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398</v>
      </c>
      <c r="B259" t="s">
        <v>198</v>
      </c>
      <c r="C259" t="s">
        <v>78</v>
      </c>
      <c r="D259" t="s">
        <v>410</v>
      </c>
      <c r="E259" t="s">
        <v>212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398</v>
      </c>
      <c r="B260" t="s">
        <v>175</v>
      </c>
      <c r="C260" t="s">
        <v>78</v>
      </c>
      <c r="D260" t="s">
        <v>78</v>
      </c>
      <c r="E260" t="s">
        <v>235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398</v>
      </c>
      <c r="B261" t="s">
        <v>178</v>
      </c>
      <c r="C261" t="s">
        <v>78</v>
      </c>
      <c r="D261" t="s">
        <v>78</v>
      </c>
      <c r="E261" t="s">
        <v>281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398</v>
      </c>
      <c r="B262" t="s">
        <v>238</v>
      </c>
      <c r="C262" t="s">
        <v>78</v>
      </c>
      <c r="D262" t="s">
        <v>78</v>
      </c>
      <c r="E262" t="s">
        <v>241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398</v>
      </c>
      <c r="B263" t="s">
        <v>180</v>
      </c>
      <c r="C263" t="s">
        <v>78</v>
      </c>
      <c r="D263" t="s">
        <v>78</v>
      </c>
      <c r="E263" t="s">
        <v>286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398</v>
      </c>
      <c r="B264" t="s">
        <v>181</v>
      </c>
      <c r="C264" t="s">
        <v>78</v>
      </c>
      <c r="D264" t="s">
        <v>78</v>
      </c>
      <c r="E264" t="s">
        <v>241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398</v>
      </c>
      <c r="B265" t="s">
        <v>183</v>
      </c>
      <c r="C265" t="s">
        <v>78</v>
      </c>
      <c r="D265" t="s">
        <v>78</v>
      </c>
      <c r="E265" t="s">
        <v>184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415</v>
      </c>
      <c r="B266" t="s">
        <v>416</v>
      </c>
      <c r="C266" t="s">
        <v>78</v>
      </c>
      <c r="D266" t="s">
        <v>417</v>
      </c>
      <c r="E266" t="s">
        <v>418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415</v>
      </c>
      <c r="B267" t="s">
        <v>419</v>
      </c>
      <c r="C267" t="s">
        <v>78</v>
      </c>
      <c r="D267" t="s">
        <v>420</v>
      </c>
      <c r="E267" t="s">
        <v>418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415</v>
      </c>
      <c r="B268" t="s">
        <v>421</v>
      </c>
      <c r="C268" t="s">
        <v>78</v>
      </c>
      <c r="D268" t="s">
        <v>422</v>
      </c>
      <c r="E268" t="s">
        <v>401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415</v>
      </c>
      <c r="B269" t="s">
        <v>423</v>
      </c>
      <c r="C269" t="s">
        <v>78</v>
      </c>
      <c r="D269" t="s">
        <v>424</v>
      </c>
      <c r="E269" t="s">
        <v>425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415</v>
      </c>
      <c r="B270" t="s">
        <v>426</v>
      </c>
      <c r="C270" t="s">
        <v>78</v>
      </c>
      <c r="D270" t="s">
        <v>427</v>
      </c>
      <c r="E270" t="s">
        <v>428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415</v>
      </c>
      <c r="B271" t="s">
        <v>419</v>
      </c>
      <c r="C271" t="s">
        <v>78</v>
      </c>
      <c r="D271" t="s">
        <v>420</v>
      </c>
      <c r="E271" t="s">
        <v>418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415</v>
      </c>
      <c r="B272" t="s">
        <v>429</v>
      </c>
      <c r="C272" t="s">
        <v>78</v>
      </c>
      <c r="D272" t="s">
        <v>430</v>
      </c>
      <c r="E272" t="s">
        <v>428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415</v>
      </c>
      <c r="B273" t="s">
        <v>431</v>
      </c>
      <c r="C273" t="s">
        <v>78</v>
      </c>
      <c r="D273" t="s">
        <v>432</v>
      </c>
      <c r="E273" t="s">
        <v>428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415</v>
      </c>
      <c r="B274" t="s">
        <v>433</v>
      </c>
      <c r="C274" t="s">
        <v>78</v>
      </c>
      <c r="D274" t="s">
        <v>434</v>
      </c>
      <c r="E274" t="s">
        <v>212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415</v>
      </c>
      <c r="B275" t="s">
        <v>435</v>
      </c>
      <c r="C275" t="s">
        <v>78</v>
      </c>
      <c r="D275" t="s">
        <v>436</v>
      </c>
      <c r="E275" t="s">
        <v>437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415</v>
      </c>
      <c r="B276" t="s">
        <v>438</v>
      </c>
      <c r="C276" t="s">
        <v>78</v>
      </c>
      <c r="D276" t="s">
        <v>439</v>
      </c>
      <c r="E276" t="s">
        <v>437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415</v>
      </c>
      <c r="B277" t="s">
        <v>440</v>
      </c>
      <c r="C277" t="s">
        <v>78</v>
      </c>
      <c r="D277" t="s">
        <v>441</v>
      </c>
      <c r="E277" t="s">
        <v>442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415</v>
      </c>
      <c r="B278" t="s">
        <v>443</v>
      </c>
      <c r="C278" t="s">
        <v>78</v>
      </c>
      <c r="D278" t="s">
        <v>444</v>
      </c>
      <c r="E278" t="s">
        <v>401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415</v>
      </c>
      <c r="B279" t="s">
        <v>445</v>
      </c>
      <c r="C279" t="s">
        <v>78</v>
      </c>
      <c r="D279" t="s">
        <v>446</v>
      </c>
      <c r="E279" t="s">
        <v>425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415</v>
      </c>
      <c r="B280" t="s">
        <v>447</v>
      </c>
      <c r="C280" t="s">
        <v>78</v>
      </c>
      <c r="D280" t="s">
        <v>448</v>
      </c>
      <c r="E280" t="s">
        <v>437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415</v>
      </c>
      <c r="B281" t="s">
        <v>449</v>
      </c>
      <c r="C281" t="s">
        <v>78</v>
      </c>
      <c r="D281" t="s">
        <v>450</v>
      </c>
      <c r="E281" t="s">
        <v>451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415</v>
      </c>
      <c r="B282" t="s">
        <v>421</v>
      </c>
      <c r="C282" t="s">
        <v>78</v>
      </c>
      <c r="D282" t="s">
        <v>422</v>
      </c>
      <c r="E282" t="s">
        <v>401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415</v>
      </c>
      <c r="B283" t="s">
        <v>452</v>
      </c>
      <c r="C283" t="s">
        <v>78</v>
      </c>
      <c r="D283" t="s">
        <v>453</v>
      </c>
      <c r="E283" t="s">
        <v>428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415</v>
      </c>
      <c r="B284" t="s">
        <v>454</v>
      </c>
      <c r="C284" t="s">
        <v>78</v>
      </c>
      <c r="D284" t="s">
        <v>455</v>
      </c>
      <c r="E284" t="s">
        <v>456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415</v>
      </c>
      <c r="B285" t="s">
        <v>423</v>
      </c>
      <c r="C285" t="s">
        <v>78</v>
      </c>
      <c r="D285" t="s">
        <v>424</v>
      </c>
      <c r="E285" t="s">
        <v>425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415</v>
      </c>
      <c r="B286" t="s">
        <v>426</v>
      </c>
      <c r="C286" t="s">
        <v>78</v>
      </c>
      <c r="D286" t="s">
        <v>427</v>
      </c>
      <c r="E286" t="s">
        <v>428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415</v>
      </c>
      <c r="B287" t="s">
        <v>416</v>
      </c>
      <c r="C287" t="s">
        <v>78</v>
      </c>
      <c r="D287" t="s">
        <v>417</v>
      </c>
      <c r="E287" t="s">
        <v>418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415</v>
      </c>
      <c r="B288" t="s">
        <v>457</v>
      </c>
      <c r="C288" t="s">
        <v>78</v>
      </c>
      <c r="D288" t="s">
        <v>458</v>
      </c>
      <c r="E288" t="s">
        <v>267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415</v>
      </c>
      <c r="B289" t="s">
        <v>459</v>
      </c>
      <c r="C289" t="s">
        <v>78</v>
      </c>
      <c r="D289" t="s">
        <v>460</v>
      </c>
      <c r="E289" t="s">
        <v>461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415</v>
      </c>
      <c r="B290" t="s">
        <v>462</v>
      </c>
      <c r="C290" t="s">
        <v>78</v>
      </c>
      <c r="D290" t="s">
        <v>463</v>
      </c>
      <c r="E290" t="s">
        <v>437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415</v>
      </c>
      <c r="B291" t="s">
        <v>464</v>
      </c>
      <c r="C291" t="s">
        <v>78</v>
      </c>
      <c r="D291" t="s">
        <v>465</v>
      </c>
      <c r="E291" t="s">
        <v>466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415</v>
      </c>
      <c r="B292" t="s">
        <v>467</v>
      </c>
      <c r="C292" t="s">
        <v>78</v>
      </c>
      <c r="D292" t="s">
        <v>468</v>
      </c>
      <c r="E292" t="s">
        <v>469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415</v>
      </c>
      <c r="B293" t="s">
        <v>470</v>
      </c>
      <c r="C293" t="s">
        <v>78</v>
      </c>
      <c r="D293" t="s">
        <v>471</v>
      </c>
      <c r="E293" t="s">
        <v>469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415</v>
      </c>
      <c r="B294" t="s">
        <v>472</v>
      </c>
      <c r="C294" t="s">
        <v>78</v>
      </c>
      <c r="D294" t="s">
        <v>473</v>
      </c>
      <c r="E294" t="s">
        <v>418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415</v>
      </c>
      <c r="B295" t="s">
        <v>474</v>
      </c>
      <c r="C295" t="s">
        <v>78</v>
      </c>
      <c r="D295" t="s">
        <v>475</v>
      </c>
      <c r="E295" t="s">
        <v>418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415</v>
      </c>
      <c r="B296" t="s">
        <v>126</v>
      </c>
      <c r="C296" t="s">
        <v>78</v>
      </c>
      <c r="D296" t="s">
        <v>476</v>
      </c>
      <c r="E296" t="s">
        <v>425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415</v>
      </c>
      <c r="B297" t="s">
        <v>477</v>
      </c>
      <c r="C297" t="s">
        <v>78</v>
      </c>
      <c r="D297" t="s">
        <v>478</v>
      </c>
      <c r="E297" t="s">
        <v>479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415</v>
      </c>
      <c r="B298" t="s">
        <v>480</v>
      </c>
      <c r="C298" t="s">
        <v>78</v>
      </c>
      <c r="D298" t="s">
        <v>481</v>
      </c>
      <c r="E298" t="s">
        <v>469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415</v>
      </c>
      <c r="B299" t="s">
        <v>482</v>
      </c>
      <c r="C299" t="s">
        <v>78</v>
      </c>
      <c r="D299" t="s">
        <v>483</v>
      </c>
      <c r="E299" t="s">
        <v>469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415</v>
      </c>
      <c r="B300" t="s">
        <v>484</v>
      </c>
      <c r="C300" t="s">
        <v>78</v>
      </c>
      <c r="D300" t="s">
        <v>485</v>
      </c>
      <c r="E300" t="s">
        <v>469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415</v>
      </c>
      <c r="B301" t="s">
        <v>486</v>
      </c>
      <c r="C301" t="s">
        <v>78</v>
      </c>
      <c r="D301" t="s">
        <v>483</v>
      </c>
      <c r="E301" t="s">
        <v>437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415</v>
      </c>
      <c r="B302" t="s">
        <v>487</v>
      </c>
      <c r="C302" t="s">
        <v>78</v>
      </c>
      <c r="D302" t="s">
        <v>488</v>
      </c>
      <c r="E302" t="s">
        <v>258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415</v>
      </c>
      <c r="B303" t="s">
        <v>489</v>
      </c>
      <c r="C303" t="s">
        <v>78</v>
      </c>
      <c r="D303" t="s">
        <v>490</v>
      </c>
      <c r="E303" t="s">
        <v>437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415</v>
      </c>
      <c r="B304" t="s">
        <v>491</v>
      </c>
      <c r="C304" t="s">
        <v>78</v>
      </c>
      <c r="D304" t="s">
        <v>488</v>
      </c>
      <c r="E304" t="s">
        <v>437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415</v>
      </c>
      <c r="B305" t="s">
        <v>492</v>
      </c>
      <c r="C305" t="s">
        <v>78</v>
      </c>
      <c r="D305" t="s">
        <v>488</v>
      </c>
      <c r="E305" t="s">
        <v>401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415</v>
      </c>
      <c r="B306" t="s">
        <v>493</v>
      </c>
      <c r="C306" t="s">
        <v>78</v>
      </c>
      <c r="D306" t="s">
        <v>488</v>
      </c>
      <c r="E306" t="s">
        <v>469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415</v>
      </c>
      <c r="B307" t="s">
        <v>494</v>
      </c>
      <c r="C307" t="s">
        <v>78</v>
      </c>
      <c r="D307" t="s">
        <v>488</v>
      </c>
      <c r="E307" t="s">
        <v>437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415</v>
      </c>
      <c r="B308" t="s">
        <v>495</v>
      </c>
      <c r="C308" t="s">
        <v>78</v>
      </c>
      <c r="D308" t="s">
        <v>496</v>
      </c>
      <c r="E308" t="s">
        <v>437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415</v>
      </c>
      <c r="B309" t="s">
        <v>497</v>
      </c>
      <c r="C309" t="s">
        <v>78</v>
      </c>
      <c r="D309" t="s">
        <v>498</v>
      </c>
      <c r="E309" t="s">
        <v>258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415</v>
      </c>
      <c r="B310" t="s">
        <v>499</v>
      </c>
      <c r="C310" t="s">
        <v>78</v>
      </c>
      <c r="D310" t="s">
        <v>488</v>
      </c>
      <c r="E310" t="s">
        <v>401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415</v>
      </c>
      <c r="B311" t="s">
        <v>500</v>
      </c>
      <c r="C311" t="s">
        <v>78</v>
      </c>
      <c r="D311" t="s">
        <v>488</v>
      </c>
      <c r="E311" t="s">
        <v>401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415</v>
      </c>
      <c r="B312" t="s">
        <v>501</v>
      </c>
      <c r="C312" t="s">
        <v>78</v>
      </c>
      <c r="D312" t="s">
        <v>502</v>
      </c>
      <c r="E312" t="s">
        <v>418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415</v>
      </c>
      <c r="B313" t="s">
        <v>503</v>
      </c>
      <c r="C313" t="s">
        <v>78</v>
      </c>
      <c r="D313" t="s">
        <v>504</v>
      </c>
      <c r="E313" t="s">
        <v>505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415</v>
      </c>
      <c r="B314" t="s">
        <v>506</v>
      </c>
      <c r="C314" t="s">
        <v>78</v>
      </c>
      <c r="D314" t="s">
        <v>507</v>
      </c>
      <c r="E314" t="s">
        <v>418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415</v>
      </c>
      <c r="B315" t="s">
        <v>508</v>
      </c>
      <c r="C315" t="s">
        <v>78</v>
      </c>
      <c r="D315" t="s">
        <v>509</v>
      </c>
      <c r="E315" t="s">
        <v>505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415</v>
      </c>
      <c r="B316" t="s">
        <v>510</v>
      </c>
      <c r="C316" t="s">
        <v>78</v>
      </c>
      <c r="D316" t="s">
        <v>511</v>
      </c>
      <c r="E316" t="s">
        <v>418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415</v>
      </c>
      <c r="B317" t="s">
        <v>512</v>
      </c>
      <c r="C317" t="s">
        <v>78</v>
      </c>
      <c r="D317" t="s">
        <v>513</v>
      </c>
      <c r="E317" t="s">
        <v>418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415</v>
      </c>
      <c r="B318" t="s">
        <v>514</v>
      </c>
      <c r="C318" t="s">
        <v>78</v>
      </c>
      <c r="D318" t="s">
        <v>515</v>
      </c>
      <c r="E318" t="s">
        <v>418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415</v>
      </c>
      <c r="B319" t="s">
        <v>516</v>
      </c>
      <c r="C319" t="s">
        <v>78</v>
      </c>
      <c r="D319" t="s">
        <v>517</v>
      </c>
      <c r="E319" t="s">
        <v>425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415</v>
      </c>
      <c r="B320" t="s">
        <v>518</v>
      </c>
      <c r="C320" t="s">
        <v>78</v>
      </c>
      <c r="D320" t="s">
        <v>502</v>
      </c>
      <c r="E320" t="s">
        <v>264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415</v>
      </c>
      <c r="B321" t="s">
        <v>519</v>
      </c>
      <c r="C321" t="s">
        <v>78</v>
      </c>
      <c r="D321" t="s">
        <v>509</v>
      </c>
      <c r="E321" t="s">
        <v>372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415</v>
      </c>
      <c r="B322" t="s">
        <v>520</v>
      </c>
      <c r="C322" t="s">
        <v>78</v>
      </c>
      <c r="D322" t="s">
        <v>515</v>
      </c>
      <c r="E322" t="s">
        <v>264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415</v>
      </c>
      <c r="B323" t="s">
        <v>521</v>
      </c>
      <c r="C323" t="s">
        <v>78</v>
      </c>
      <c r="D323" t="s">
        <v>504</v>
      </c>
      <c r="E323" t="s">
        <v>372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415</v>
      </c>
      <c r="B324" t="s">
        <v>522</v>
      </c>
      <c r="C324" t="s">
        <v>78</v>
      </c>
      <c r="D324" t="s">
        <v>511</v>
      </c>
      <c r="E324" t="s">
        <v>264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415</v>
      </c>
      <c r="B325" t="s">
        <v>523</v>
      </c>
      <c r="C325" t="s">
        <v>78</v>
      </c>
      <c r="D325" t="s">
        <v>507</v>
      </c>
      <c r="E325" t="s">
        <v>264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415</v>
      </c>
      <c r="B326" t="s">
        <v>524</v>
      </c>
      <c r="C326" t="s">
        <v>78</v>
      </c>
      <c r="D326" t="s">
        <v>513</v>
      </c>
      <c r="E326" t="s">
        <v>264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415</v>
      </c>
      <c r="B327" t="s">
        <v>525</v>
      </c>
      <c r="C327" t="s">
        <v>78</v>
      </c>
      <c r="D327" t="s">
        <v>517</v>
      </c>
      <c r="E327" t="s">
        <v>256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415</v>
      </c>
      <c r="B328" t="s">
        <v>526</v>
      </c>
      <c r="C328" t="s">
        <v>78</v>
      </c>
      <c r="D328" t="s">
        <v>527</v>
      </c>
      <c r="E328" t="s">
        <v>469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415</v>
      </c>
      <c r="B329" t="s">
        <v>528</v>
      </c>
      <c r="C329" t="s">
        <v>78</v>
      </c>
      <c r="D329" t="s">
        <v>515</v>
      </c>
      <c r="E329" t="s">
        <v>529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415</v>
      </c>
      <c r="B330" t="s">
        <v>530</v>
      </c>
      <c r="C330" t="s">
        <v>78</v>
      </c>
      <c r="D330" t="s">
        <v>507</v>
      </c>
      <c r="E330" t="s">
        <v>529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415</v>
      </c>
      <c r="B331" t="s">
        <v>531</v>
      </c>
      <c r="C331" t="s">
        <v>78</v>
      </c>
      <c r="D331" t="s">
        <v>511</v>
      </c>
      <c r="E331" t="s">
        <v>529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415</v>
      </c>
      <c r="B332" t="s">
        <v>532</v>
      </c>
      <c r="C332" t="s">
        <v>78</v>
      </c>
      <c r="D332" t="s">
        <v>513</v>
      </c>
      <c r="E332" t="s">
        <v>529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415</v>
      </c>
      <c r="B333" t="s">
        <v>533</v>
      </c>
      <c r="C333" t="s">
        <v>78</v>
      </c>
      <c r="D333" t="s">
        <v>502</v>
      </c>
      <c r="E333" t="s">
        <v>529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415</v>
      </c>
      <c r="B334" t="s">
        <v>534</v>
      </c>
      <c r="C334" t="s">
        <v>78</v>
      </c>
      <c r="D334" t="s">
        <v>504</v>
      </c>
      <c r="E334" t="s">
        <v>366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415</v>
      </c>
      <c r="B335" t="s">
        <v>535</v>
      </c>
      <c r="C335" t="s">
        <v>78</v>
      </c>
      <c r="D335" t="s">
        <v>509</v>
      </c>
      <c r="E335" t="s">
        <v>366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415</v>
      </c>
      <c r="B336" t="s">
        <v>536</v>
      </c>
      <c r="C336" t="s">
        <v>78</v>
      </c>
      <c r="D336" t="s">
        <v>517</v>
      </c>
      <c r="E336" t="s">
        <v>214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415</v>
      </c>
      <c r="B337" t="s">
        <v>537</v>
      </c>
      <c r="C337" t="s">
        <v>78</v>
      </c>
      <c r="D337" t="s">
        <v>515</v>
      </c>
      <c r="E337" t="s">
        <v>218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415</v>
      </c>
      <c r="B338" t="s">
        <v>538</v>
      </c>
      <c r="C338" t="s">
        <v>78</v>
      </c>
      <c r="D338" t="s">
        <v>517</v>
      </c>
      <c r="E338" t="s">
        <v>539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415</v>
      </c>
      <c r="B339" t="s">
        <v>540</v>
      </c>
      <c r="C339" t="s">
        <v>78</v>
      </c>
      <c r="D339" t="s">
        <v>504</v>
      </c>
      <c r="E339" t="s">
        <v>541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415</v>
      </c>
      <c r="B340" t="s">
        <v>542</v>
      </c>
      <c r="C340" t="s">
        <v>78</v>
      </c>
      <c r="D340" t="s">
        <v>502</v>
      </c>
      <c r="E340" t="s">
        <v>218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415</v>
      </c>
      <c r="B341" t="s">
        <v>543</v>
      </c>
      <c r="C341" t="s">
        <v>78</v>
      </c>
      <c r="D341" t="s">
        <v>509</v>
      </c>
      <c r="E341" t="s">
        <v>541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415</v>
      </c>
      <c r="B342" t="s">
        <v>544</v>
      </c>
      <c r="C342" t="s">
        <v>78</v>
      </c>
      <c r="D342" t="s">
        <v>513</v>
      </c>
      <c r="E342" t="s">
        <v>218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415</v>
      </c>
      <c r="B343" t="s">
        <v>545</v>
      </c>
      <c r="C343" t="s">
        <v>78</v>
      </c>
      <c r="D343" t="s">
        <v>507</v>
      </c>
      <c r="E343" t="s">
        <v>218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415</v>
      </c>
      <c r="B344" t="s">
        <v>546</v>
      </c>
      <c r="C344" t="s">
        <v>78</v>
      </c>
      <c r="D344" t="s">
        <v>511</v>
      </c>
      <c r="E344" t="s">
        <v>218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415</v>
      </c>
      <c r="B345" t="s">
        <v>547</v>
      </c>
      <c r="C345" t="s">
        <v>78</v>
      </c>
      <c r="D345" t="s">
        <v>548</v>
      </c>
      <c r="E345" t="s">
        <v>418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415</v>
      </c>
      <c r="B346" t="s">
        <v>549</v>
      </c>
      <c r="C346" t="s">
        <v>78</v>
      </c>
      <c r="D346" t="s">
        <v>548</v>
      </c>
      <c r="E346" t="s">
        <v>466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415</v>
      </c>
      <c r="B347" t="s">
        <v>550</v>
      </c>
      <c r="C347" t="s">
        <v>78</v>
      </c>
      <c r="D347" t="s">
        <v>548</v>
      </c>
      <c r="E347" t="s">
        <v>258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415</v>
      </c>
      <c r="B348" t="s">
        <v>551</v>
      </c>
      <c r="C348" t="s">
        <v>78</v>
      </c>
      <c r="D348" t="s">
        <v>548</v>
      </c>
      <c r="E348" t="s">
        <v>212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415</v>
      </c>
      <c r="B349" t="s">
        <v>552</v>
      </c>
      <c r="C349" t="s">
        <v>78</v>
      </c>
      <c r="D349" t="s">
        <v>553</v>
      </c>
      <c r="E349" t="s">
        <v>554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415</v>
      </c>
      <c r="B350" t="s">
        <v>555</v>
      </c>
      <c r="C350" t="s">
        <v>78</v>
      </c>
      <c r="D350" t="s">
        <v>78</v>
      </c>
      <c r="E350" t="s">
        <v>286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415</v>
      </c>
      <c r="B351" t="s">
        <v>556</v>
      </c>
      <c r="C351" t="s">
        <v>78</v>
      </c>
      <c r="D351" t="s">
        <v>78</v>
      </c>
      <c r="E351" t="s">
        <v>286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415</v>
      </c>
      <c r="B352" t="s">
        <v>557</v>
      </c>
      <c r="C352" t="s">
        <v>78</v>
      </c>
      <c r="D352" t="s">
        <v>78</v>
      </c>
      <c r="E352" t="s">
        <v>286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415</v>
      </c>
      <c r="B353" t="s">
        <v>558</v>
      </c>
      <c r="C353" t="s">
        <v>78</v>
      </c>
      <c r="D353" t="s">
        <v>78</v>
      </c>
      <c r="E353" t="s">
        <v>207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415</v>
      </c>
      <c r="B354" t="s">
        <v>559</v>
      </c>
      <c r="C354" t="s">
        <v>78</v>
      </c>
      <c r="D354" t="s">
        <v>78</v>
      </c>
      <c r="E354" t="s">
        <v>197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415</v>
      </c>
      <c r="B355" t="s">
        <v>560</v>
      </c>
      <c r="C355" t="s">
        <v>78</v>
      </c>
      <c r="D355" t="s">
        <v>78</v>
      </c>
      <c r="E355" t="s">
        <v>207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415</v>
      </c>
      <c r="B356" t="s">
        <v>561</v>
      </c>
      <c r="C356" t="s">
        <v>78</v>
      </c>
      <c r="D356" t="s">
        <v>78</v>
      </c>
      <c r="E356" t="s">
        <v>197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415</v>
      </c>
      <c r="B357" t="s">
        <v>562</v>
      </c>
      <c r="C357" t="s">
        <v>78</v>
      </c>
      <c r="D357" t="s">
        <v>78</v>
      </c>
      <c r="E357" t="s">
        <v>253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415</v>
      </c>
      <c r="B358" t="s">
        <v>563</v>
      </c>
      <c r="C358" t="s">
        <v>78</v>
      </c>
      <c r="D358" t="s">
        <v>78</v>
      </c>
      <c r="E358" t="s">
        <v>442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415</v>
      </c>
      <c r="B359" t="s">
        <v>564</v>
      </c>
      <c r="C359" t="s">
        <v>78</v>
      </c>
      <c r="D359" t="s">
        <v>78</v>
      </c>
      <c r="E359" t="s">
        <v>202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415</v>
      </c>
      <c r="B360" t="s">
        <v>565</v>
      </c>
      <c r="C360" t="s">
        <v>78</v>
      </c>
      <c r="D360" t="s">
        <v>78</v>
      </c>
      <c r="E360" t="s">
        <v>418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415</v>
      </c>
      <c r="B361" t="s">
        <v>566</v>
      </c>
      <c r="C361" t="s">
        <v>78</v>
      </c>
      <c r="D361" t="s">
        <v>78</v>
      </c>
      <c r="E361" t="s">
        <v>252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415</v>
      </c>
      <c r="B362" t="s">
        <v>567</v>
      </c>
      <c r="C362" t="s">
        <v>78</v>
      </c>
      <c r="D362" t="s">
        <v>78</v>
      </c>
      <c r="E362" t="s">
        <v>287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415</v>
      </c>
      <c r="B363" t="s">
        <v>568</v>
      </c>
      <c r="C363" t="s">
        <v>78</v>
      </c>
      <c r="D363" t="s">
        <v>569</v>
      </c>
      <c r="E363" t="s">
        <v>437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415</v>
      </c>
      <c r="B364" t="s">
        <v>570</v>
      </c>
      <c r="C364" t="s">
        <v>78</v>
      </c>
      <c r="D364" t="s">
        <v>571</v>
      </c>
      <c r="E364" t="s">
        <v>428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415</v>
      </c>
      <c r="B365" t="s">
        <v>572</v>
      </c>
      <c r="C365" t="s">
        <v>78</v>
      </c>
      <c r="D365" t="s">
        <v>78</v>
      </c>
      <c r="E365" t="s">
        <v>287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415</v>
      </c>
      <c r="B366" t="s">
        <v>573</v>
      </c>
      <c r="C366" t="s">
        <v>78</v>
      </c>
      <c r="D366" t="s">
        <v>78</v>
      </c>
      <c r="E366" t="s">
        <v>197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415</v>
      </c>
      <c r="B367" t="s">
        <v>574</v>
      </c>
      <c r="C367" t="s">
        <v>78</v>
      </c>
      <c r="D367" t="s">
        <v>78</v>
      </c>
      <c r="E367" t="s">
        <v>575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415</v>
      </c>
      <c r="B368" t="s">
        <v>576</v>
      </c>
      <c r="C368" t="s">
        <v>78</v>
      </c>
      <c r="D368" t="s">
        <v>78</v>
      </c>
      <c r="E368" t="s">
        <v>286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415</v>
      </c>
      <c r="B369" t="s">
        <v>577</v>
      </c>
      <c r="C369" t="s">
        <v>78</v>
      </c>
      <c r="D369" t="s">
        <v>78</v>
      </c>
      <c r="E369" t="s">
        <v>286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415</v>
      </c>
      <c r="B370" t="s">
        <v>578</v>
      </c>
      <c r="C370" t="s">
        <v>78</v>
      </c>
      <c r="D370" t="s">
        <v>579</v>
      </c>
      <c r="E370" t="s">
        <v>437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415</v>
      </c>
      <c r="B371" t="s">
        <v>580</v>
      </c>
      <c r="C371" t="s">
        <v>78</v>
      </c>
      <c r="D371" t="s">
        <v>581</v>
      </c>
      <c r="E371" t="s">
        <v>582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415</v>
      </c>
      <c r="B372" t="s">
        <v>583</v>
      </c>
      <c r="C372" t="s">
        <v>78</v>
      </c>
      <c r="D372" t="s">
        <v>584</v>
      </c>
      <c r="E372" t="s">
        <v>437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415</v>
      </c>
      <c r="B373" t="s">
        <v>585</v>
      </c>
      <c r="C373" t="s">
        <v>78</v>
      </c>
      <c r="D373" t="s">
        <v>586</v>
      </c>
      <c r="E373" t="s">
        <v>437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415</v>
      </c>
      <c r="B374" t="s">
        <v>587</v>
      </c>
      <c r="C374" t="s">
        <v>78</v>
      </c>
      <c r="D374" t="s">
        <v>78</v>
      </c>
      <c r="E374" t="s">
        <v>582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415</v>
      </c>
      <c r="B375" t="s">
        <v>588</v>
      </c>
      <c r="C375" t="s">
        <v>78</v>
      </c>
      <c r="D375" t="s">
        <v>78</v>
      </c>
      <c r="E375" t="s">
        <v>258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415</v>
      </c>
      <c r="B376" t="s">
        <v>589</v>
      </c>
      <c r="C376" t="s">
        <v>78</v>
      </c>
      <c r="D376" t="s">
        <v>78</v>
      </c>
      <c r="E376" t="s">
        <v>582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415</v>
      </c>
      <c r="B377" t="s">
        <v>590</v>
      </c>
      <c r="C377" t="s">
        <v>78</v>
      </c>
      <c r="D377" t="s">
        <v>78</v>
      </c>
      <c r="E377" t="s">
        <v>582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415</v>
      </c>
      <c r="B378" t="s">
        <v>591</v>
      </c>
      <c r="C378" t="s">
        <v>78</v>
      </c>
      <c r="D378" t="s">
        <v>78</v>
      </c>
      <c r="E378" t="s">
        <v>582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415</v>
      </c>
      <c r="B379" t="s">
        <v>592</v>
      </c>
      <c r="C379" t="s">
        <v>78</v>
      </c>
      <c r="D379" t="s">
        <v>78</v>
      </c>
      <c r="E379" t="s">
        <v>442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415</v>
      </c>
      <c r="B380" t="s">
        <v>593</v>
      </c>
      <c r="C380" t="s">
        <v>78</v>
      </c>
      <c r="D380" t="s">
        <v>78</v>
      </c>
      <c r="E380" t="s">
        <v>582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415</v>
      </c>
      <c r="B381" t="s">
        <v>594</v>
      </c>
      <c r="C381" t="s">
        <v>78</v>
      </c>
      <c r="D381" t="s">
        <v>78</v>
      </c>
      <c r="E381" t="s">
        <v>258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415</v>
      </c>
      <c r="B382" t="s">
        <v>167</v>
      </c>
      <c r="C382" t="s">
        <v>78</v>
      </c>
      <c r="D382" t="s">
        <v>78</v>
      </c>
      <c r="E382" t="s">
        <v>268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415</v>
      </c>
      <c r="B383" t="s">
        <v>169</v>
      </c>
      <c r="C383" t="s">
        <v>78</v>
      </c>
      <c r="D383" t="s">
        <v>78</v>
      </c>
      <c r="E383" t="s">
        <v>268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415</v>
      </c>
      <c r="B384" t="s">
        <v>170</v>
      </c>
      <c r="C384" t="s">
        <v>78</v>
      </c>
      <c r="D384" t="s">
        <v>78</v>
      </c>
      <c r="E384" t="s">
        <v>268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415</v>
      </c>
      <c r="B385" t="s">
        <v>171</v>
      </c>
      <c r="C385" t="s">
        <v>78</v>
      </c>
      <c r="D385" t="s">
        <v>78</v>
      </c>
      <c r="E385" t="s">
        <v>252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415</v>
      </c>
      <c r="B386" t="s">
        <v>595</v>
      </c>
      <c r="C386" t="s">
        <v>78</v>
      </c>
      <c r="D386" t="s">
        <v>78</v>
      </c>
      <c r="E386" t="s">
        <v>575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415</v>
      </c>
      <c r="B387" t="s">
        <v>596</v>
      </c>
      <c r="C387" t="s">
        <v>78</v>
      </c>
      <c r="D387" t="s">
        <v>78</v>
      </c>
      <c r="E387" t="s">
        <v>575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415</v>
      </c>
      <c r="B388" t="s">
        <v>173</v>
      </c>
      <c r="C388" t="s">
        <v>78</v>
      </c>
      <c r="D388" t="s">
        <v>78</v>
      </c>
      <c r="E388" t="s">
        <v>575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415</v>
      </c>
      <c r="B389" t="s">
        <v>172</v>
      </c>
      <c r="C389" t="s">
        <v>78</v>
      </c>
      <c r="D389" t="s">
        <v>78</v>
      </c>
      <c r="E389" t="s">
        <v>268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415</v>
      </c>
      <c r="B390" t="s">
        <v>177</v>
      </c>
      <c r="C390" t="s">
        <v>78</v>
      </c>
      <c r="D390" t="s">
        <v>78</v>
      </c>
      <c r="E390" t="s">
        <v>252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415</v>
      </c>
      <c r="B391" t="s">
        <v>597</v>
      </c>
      <c r="C391" t="s">
        <v>78</v>
      </c>
      <c r="D391" t="s">
        <v>78</v>
      </c>
      <c r="E391" t="s">
        <v>235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415</v>
      </c>
      <c r="B392" t="s">
        <v>598</v>
      </c>
      <c r="C392" t="s">
        <v>78</v>
      </c>
      <c r="D392" t="s">
        <v>78</v>
      </c>
      <c r="E392" t="s">
        <v>575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415</v>
      </c>
      <c r="B393" t="s">
        <v>180</v>
      </c>
      <c r="C393" t="s">
        <v>78</v>
      </c>
      <c r="D393" t="s">
        <v>78</v>
      </c>
      <c r="E393" t="s">
        <v>235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415</v>
      </c>
      <c r="B394" t="s">
        <v>181</v>
      </c>
      <c r="C394" t="s">
        <v>78</v>
      </c>
      <c r="D394" t="s">
        <v>78</v>
      </c>
      <c r="E394" t="s">
        <v>286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415</v>
      </c>
      <c r="B395" t="s">
        <v>345</v>
      </c>
      <c r="C395" t="s">
        <v>78</v>
      </c>
      <c r="D395" t="s">
        <v>78</v>
      </c>
      <c r="E395" t="s">
        <v>197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415</v>
      </c>
      <c r="B396" t="s">
        <v>599</v>
      </c>
      <c r="C396" t="s">
        <v>78</v>
      </c>
      <c r="D396" t="s">
        <v>78</v>
      </c>
      <c r="E396" t="s">
        <v>197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415</v>
      </c>
      <c r="B397" t="s">
        <v>346</v>
      </c>
      <c r="C397" t="s">
        <v>78</v>
      </c>
      <c r="D397" t="s">
        <v>78</v>
      </c>
      <c r="E397" t="s">
        <v>197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415</v>
      </c>
      <c r="B398" t="s">
        <v>600</v>
      </c>
      <c r="C398" t="s">
        <v>78</v>
      </c>
      <c r="D398" t="s">
        <v>78</v>
      </c>
      <c r="E398" t="s">
        <v>197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415</v>
      </c>
      <c r="B399" t="s">
        <v>183</v>
      </c>
      <c r="C399" t="s">
        <v>78</v>
      </c>
      <c r="D399" t="s">
        <v>78</v>
      </c>
      <c r="E399" t="s">
        <v>184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604</v>
      </c>
      <c r="B400" t="s">
        <v>605</v>
      </c>
      <c r="C400" t="s">
        <v>78</v>
      </c>
      <c r="D400" t="s">
        <v>606</v>
      </c>
      <c r="E400" t="s">
        <v>268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604</v>
      </c>
      <c r="B401" t="s">
        <v>607</v>
      </c>
      <c r="C401" t="s">
        <v>78</v>
      </c>
      <c r="D401" t="s">
        <v>608</v>
      </c>
      <c r="E401" t="s">
        <v>202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604</v>
      </c>
      <c r="B402" t="s">
        <v>609</v>
      </c>
      <c r="C402" t="s">
        <v>78</v>
      </c>
      <c r="D402" t="s">
        <v>608</v>
      </c>
      <c r="E402" t="s">
        <v>287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604</v>
      </c>
      <c r="B403" t="s">
        <v>610</v>
      </c>
      <c r="C403" t="s">
        <v>78</v>
      </c>
      <c r="D403" t="s">
        <v>78</v>
      </c>
      <c r="E403" t="s">
        <v>197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604</v>
      </c>
      <c r="B404" t="s">
        <v>611</v>
      </c>
      <c r="C404" t="s">
        <v>78</v>
      </c>
      <c r="D404" t="s">
        <v>606</v>
      </c>
      <c r="E404" t="s">
        <v>202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604</v>
      </c>
      <c r="B405" t="s">
        <v>612</v>
      </c>
      <c r="C405" t="s">
        <v>78</v>
      </c>
      <c r="D405" t="s">
        <v>78</v>
      </c>
      <c r="E405" t="s">
        <v>442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604</v>
      </c>
      <c r="B406" t="s">
        <v>610</v>
      </c>
      <c r="C406" t="s">
        <v>78</v>
      </c>
      <c r="D406" t="s">
        <v>78</v>
      </c>
      <c r="E406" t="s">
        <v>197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604</v>
      </c>
      <c r="B407" t="s">
        <v>605</v>
      </c>
      <c r="C407" t="s">
        <v>78</v>
      </c>
      <c r="D407" t="s">
        <v>606</v>
      </c>
      <c r="E407" t="s">
        <v>268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604</v>
      </c>
      <c r="B408" t="s">
        <v>613</v>
      </c>
      <c r="C408" t="s">
        <v>78</v>
      </c>
      <c r="D408" t="s">
        <v>606</v>
      </c>
      <c r="E408" t="s">
        <v>554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604</v>
      </c>
      <c r="B409" t="s">
        <v>614</v>
      </c>
      <c r="C409" t="s">
        <v>78</v>
      </c>
      <c r="D409" t="s">
        <v>606</v>
      </c>
      <c r="E409" t="s">
        <v>554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604</v>
      </c>
      <c r="B410" t="s">
        <v>611</v>
      </c>
      <c r="C410" t="s">
        <v>78</v>
      </c>
      <c r="D410" t="s">
        <v>606</v>
      </c>
      <c r="E410" t="s">
        <v>202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604</v>
      </c>
      <c r="B411" t="s">
        <v>615</v>
      </c>
      <c r="C411" t="s">
        <v>78</v>
      </c>
      <c r="D411" t="s">
        <v>606</v>
      </c>
      <c r="E411" t="s">
        <v>258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604</v>
      </c>
      <c r="B412" t="s">
        <v>616</v>
      </c>
      <c r="C412" t="s">
        <v>78</v>
      </c>
      <c r="D412" t="s">
        <v>606</v>
      </c>
      <c r="E412" t="s">
        <v>258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604</v>
      </c>
      <c r="B413" t="s">
        <v>617</v>
      </c>
      <c r="C413" t="s">
        <v>78</v>
      </c>
      <c r="D413" t="s">
        <v>618</v>
      </c>
      <c r="E413" t="s">
        <v>258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604</v>
      </c>
      <c r="B414" t="s">
        <v>619</v>
      </c>
      <c r="C414" t="s">
        <v>78</v>
      </c>
      <c r="D414" t="s">
        <v>606</v>
      </c>
      <c r="E414" t="s">
        <v>425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604</v>
      </c>
      <c r="B415" t="s">
        <v>620</v>
      </c>
      <c r="C415" t="s">
        <v>78</v>
      </c>
      <c r="D415" t="s">
        <v>78</v>
      </c>
      <c r="E415" t="s">
        <v>212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604</v>
      </c>
      <c r="B416" t="s">
        <v>621</v>
      </c>
      <c r="C416" t="s">
        <v>78</v>
      </c>
      <c r="D416" t="s">
        <v>622</v>
      </c>
      <c r="E416" t="s">
        <v>466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604</v>
      </c>
      <c r="B417" t="s">
        <v>623</v>
      </c>
      <c r="C417" t="s">
        <v>78</v>
      </c>
      <c r="D417" t="s">
        <v>606</v>
      </c>
      <c r="E417" t="s">
        <v>401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604</v>
      </c>
      <c r="B418" t="s">
        <v>624</v>
      </c>
      <c r="C418" t="s">
        <v>78</v>
      </c>
      <c r="D418" t="s">
        <v>606</v>
      </c>
      <c r="E418" t="s">
        <v>469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604</v>
      </c>
      <c r="B419" t="s">
        <v>625</v>
      </c>
      <c r="C419" t="s">
        <v>78</v>
      </c>
      <c r="D419" t="s">
        <v>606</v>
      </c>
      <c r="E419" t="s">
        <v>469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604</v>
      </c>
      <c r="B420" t="s">
        <v>626</v>
      </c>
      <c r="C420" t="s">
        <v>78</v>
      </c>
      <c r="D420" t="s">
        <v>606</v>
      </c>
      <c r="E420" t="s">
        <v>258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604</v>
      </c>
      <c r="B421" t="s">
        <v>627</v>
      </c>
      <c r="C421" t="s">
        <v>78</v>
      </c>
      <c r="D421" t="s">
        <v>606</v>
      </c>
      <c r="E421" t="s">
        <v>401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604</v>
      </c>
      <c r="B422" t="s">
        <v>628</v>
      </c>
      <c r="C422" t="s">
        <v>78</v>
      </c>
      <c r="D422" t="s">
        <v>606</v>
      </c>
      <c r="E422" t="s">
        <v>366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604</v>
      </c>
      <c r="B423" t="s">
        <v>629</v>
      </c>
      <c r="C423" t="s">
        <v>78</v>
      </c>
      <c r="D423" t="s">
        <v>630</v>
      </c>
      <c r="E423" t="s">
        <v>366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604</v>
      </c>
      <c r="B424" t="s">
        <v>631</v>
      </c>
      <c r="C424" t="s">
        <v>78</v>
      </c>
      <c r="D424" t="s">
        <v>606</v>
      </c>
      <c r="E424" t="s">
        <v>406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604</v>
      </c>
      <c r="B425" t="s">
        <v>632</v>
      </c>
      <c r="C425" t="s">
        <v>78</v>
      </c>
      <c r="D425" t="s">
        <v>78</v>
      </c>
      <c r="E425" t="s">
        <v>252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604</v>
      </c>
      <c r="B426" t="s">
        <v>633</v>
      </c>
      <c r="C426" t="s">
        <v>78</v>
      </c>
      <c r="D426" t="s">
        <v>606</v>
      </c>
      <c r="E426" t="s">
        <v>406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604</v>
      </c>
      <c r="B427" t="s">
        <v>634</v>
      </c>
      <c r="C427" t="s">
        <v>78</v>
      </c>
      <c r="D427" t="s">
        <v>606</v>
      </c>
      <c r="E427" t="s">
        <v>466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604</v>
      </c>
      <c r="B428" t="s">
        <v>635</v>
      </c>
      <c r="C428" t="s">
        <v>78</v>
      </c>
      <c r="D428" t="s">
        <v>608</v>
      </c>
      <c r="E428" t="s">
        <v>636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604</v>
      </c>
      <c r="B429" t="s">
        <v>637</v>
      </c>
      <c r="C429" t="s">
        <v>78</v>
      </c>
      <c r="D429" t="s">
        <v>608</v>
      </c>
      <c r="E429" t="s">
        <v>202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604</v>
      </c>
      <c r="B430" t="s">
        <v>638</v>
      </c>
      <c r="C430" t="s">
        <v>78</v>
      </c>
      <c r="D430" t="s">
        <v>608</v>
      </c>
      <c r="E430" t="s">
        <v>202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604</v>
      </c>
      <c r="B431" t="s">
        <v>607</v>
      </c>
      <c r="C431" t="s">
        <v>78</v>
      </c>
      <c r="D431" t="s">
        <v>608</v>
      </c>
      <c r="E431" t="s">
        <v>202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604</v>
      </c>
      <c r="B432" t="s">
        <v>609</v>
      </c>
      <c r="C432" t="s">
        <v>78</v>
      </c>
      <c r="D432" t="s">
        <v>608</v>
      </c>
      <c r="E432" t="s">
        <v>287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604</v>
      </c>
      <c r="B433" t="s">
        <v>639</v>
      </c>
      <c r="C433" t="s">
        <v>78</v>
      </c>
      <c r="D433" t="s">
        <v>640</v>
      </c>
      <c r="E433" t="s">
        <v>258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604</v>
      </c>
      <c r="B434" t="s">
        <v>641</v>
      </c>
      <c r="C434" t="s">
        <v>78</v>
      </c>
      <c r="D434" t="s">
        <v>78</v>
      </c>
      <c r="E434" t="s">
        <v>287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604</v>
      </c>
      <c r="B435" t="s">
        <v>642</v>
      </c>
      <c r="C435" t="s">
        <v>78</v>
      </c>
      <c r="D435" t="s">
        <v>78</v>
      </c>
      <c r="E435" t="s">
        <v>207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604</v>
      </c>
      <c r="B436" t="s">
        <v>229</v>
      </c>
      <c r="C436" t="s">
        <v>78</v>
      </c>
      <c r="D436" t="s">
        <v>78</v>
      </c>
      <c r="E436" t="s">
        <v>207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604</v>
      </c>
      <c r="B437" t="s">
        <v>643</v>
      </c>
      <c r="C437" t="s">
        <v>78</v>
      </c>
      <c r="D437" t="s">
        <v>78</v>
      </c>
      <c r="E437" t="s">
        <v>207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604</v>
      </c>
      <c r="B438" t="s">
        <v>325</v>
      </c>
      <c r="C438" t="s">
        <v>78</v>
      </c>
      <c r="D438" t="s">
        <v>644</v>
      </c>
      <c r="E438" t="s">
        <v>235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604</v>
      </c>
      <c r="B439" t="s">
        <v>645</v>
      </c>
      <c r="C439" t="s">
        <v>78</v>
      </c>
      <c r="D439" t="s">
        <v>78</v>
      </c>
      <c r="E439" t="s">
        <v>286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604</v>
      </c>
      <c r="B440" t="s">
        <v>180</v>
      </c>
      <c r="C440" t="s">
        <v>78</v>
      </c>
      <c r="D440" t="s">
        <v>78</v>
      </c>
      <c r="E440" t="s">
        <v>235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604</v>
      </c>
      <c r="B441" t="s">
        <v>181</v>
      </c>
      <c r="C441" t="s">
        <v>78</v>
      </c>
      <c r="D441" t="s">
        <v>78</v>
      </c>
      <c r="E441" t="s">
        <v>235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604</v>
      </c>
      <c r="B442" t="s">
        <v>646</v>
      </c>
      <c r="C442" t="s">
        <v>78</v>
      </c>
      <c r="D442" t="s">
        <v>78</v>
      </c>
      <c r="E442" t="s">
        <v>286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604</v>
      </c>
      <c r="B443" t="s">
        <v>183</v>
      </c>
      <c r="C443" t="s">
        <v>78</v>
      </c>
      <c r="D443" t="s">
        <v>78</v>
      </c>
      <c r="E443" t="s">
        <v>184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651</v>
      </c>
      <c r="B444" t="s">
        <v>605</v>
      </c>
      <c r="C444" t="s">
        <v>78</v>
      </c>
      <c r="D444" t="s">
        <v>652</v>
      </c>
      <c r="E444" t="s">
        <v>268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651</v>
      </c>
      <c r="B445" t="s">
        <v>653</v>
      </c>
      <c r="C445" t="s">
        <v>78</v>
      </c>
      <c r="D445" t="s">
        <v>654</v>
      </c>
      <c r="E445" t="s">
        <v>202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651</v>
      </c>
      <c r="B446" t="s">
        <v>607</v>
      </c>
      <c r="C446" t="s">
        <v>78</v>
      </c>
      <c r="D446" t="s">
        <v>655</v>
      </c>
      <c r="E446" t="s">
        <v>656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651</v>
      </c>
      <c r="B447" t="s">
        <v>657</v>
      </c>
      <c r="C447" t="s">
        <v>78</v>
      </c>
      <c r="D447" t="s">
        <v>652</v>
      </c>
      <c r="E447" t="s">
        <v>258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651</v>
      </c>
      <c r="B448" t="s">
        <v>658</v>
      </c>
      <c r="C448" t="s">
        <v>78</v>
      </c>
      <c r="D448" t="s">
        <v>659</v>
      </c>
      <c r="E448" t="s">
        <v>256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651</v>
      </c>
      <c r="B449" t="s">
        <v>660</v>
      </c>
      <c r="C449" t="s">
        <v>78</v>
      </c>
      <c r="D449" t="s">
        <v>661</v>
      </c>
      <c r="E449" t="s">
        <v>662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651</v>
      </c>
      <c r="B450" t="s">
        <v>663</v>
      </c>
      <c r="C450" t="s">
        <v>78</v>
      </c>
      <c r="D450" t="s">
        <v>664</v>
      </c>
      <c r="E450" t="s">
        <v>287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651</v>
      </c>
      <c r="B451" t="s">
        <v>619</v>
      </c>
      <c r="C451" t="s">
        <v>78</v>
      </c>
      <c r="D451" t="s">
        <v>665</v>
      </c>
      <c r="E451" t="s">
        <v>469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651</v>
      </c>
      <c r="B452" t="s">
        <v>666</v>
      </c>
      <c r="C452" t="s">
        <v>78</v>
      </c>
      <c r="D452" t="s">
        <v>665</v>
      </c>
      <c r="E452" t="s">
        <v>212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651</v>
      </c>
      <c r="B453" t="s">
        <v>667</v>
      </c>
      <c r="C453" t="s">
        <v>78</v>
      </c>
      <c r="D453" t="s">
        <v>665</v>
      </c>
      <c r="E453" t="s">
        <v>505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651</v>
      </c>
      <c r="B454" t="s">
        <v>627</v>
      </c>
      <c r="C454" t="s">
        <v>78</v>
      </c>
      <c r="D454" t="s">
        <v>665</v>
      </c>
      <c r="E454" t="s">
        <v>469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651</v>
      </c>
      <c r="B455" t="s">
        <v>626</v>
      </c>
      <c r="C455" t="s">
        <v>78</v>
      </c>
      <c r="D455" t="s">
        <v>665</v>
      </c>
      <c r="E455" t="s">
        <v>425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651</v>
      </c>
      <c r="B456" t="s">
        <v>605</v>
      </c>
      <c r="C456" t="s">
        <v>78</v>
      </c>
      <c r="D456" t="s">
        <v>652</v>
      </c>
      <c r="E456" t="s">
        <v>268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651</v>
      </c>
      <c r="B457" t="s">
        <v>617</v>
      </c>
      <c r="C457" t="s">
        <v>78</v>
      </c>
      <c r="D457" t="s">
        <v>668</v>
      </c>
      <c r="E457" t="s">
        <v>425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651</v>
      </c>
      <c r="B458" t="s">
        <v>669</v>
      </c>
      <c r="C458" t="s">
        <v>78</v>
      </c>
      <c r="D458" t="s">
        <v>652</v>
      </c>
      <c r="E458" t="s">
        <v>469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651</v>
      </c>
      <c r="B459" t="s">
        <v>670</v>
      </c>
      <c r="C459" t="s">
        <v>78</v>
      </c>
      <c r="D459" t="s">
        <v>652</v>
      </c>
      <c r="E459" t="s">
        <v>582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651</v>
      </c>
      <c r="B460" t="s">
        <v>657</v>
      </c>
      <c r="C460" t="s">
        <v>78</v>
      </c>
      <c r="D460" t="s">
        <v>652</v>
      </c>
      <c r="E460" t="s">
        <v>258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651</v>
      </c>
      <c r="B461" t="s">
        <v>653</v>
      </c>
      <c r="C461" t="s">
        <v>78</v>
      </c>
      <c r="D461" t="s">
        <v>654</v>
      </c>
      <c r="E461" t="s">
        <v>202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651</v>
      </c>
      <c r="B462" t="s">
        <v>611</v>
      </c>
      <c r="C462" t="s">
        <v>78</v>
      </c>
      <c r="D462" t="s">
        <v>652</v>
      </c>
      <c r="E462" t="s">
        <v>636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651</v>
      </c>
      <c r="B463" t="s">
        <v>615</v>
      </c>
      <c r="C463" t="s">
        <v>78</v>
      </c>
      <c r="D463" t="s">
        <v>652</v>
      </c>
      <c r="E463" t="s">
        <v>425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651</v>
      </c>
      <c r="B464" t="s">
        <v>614</v>
      </c>
      <c r="C464" t="s">
        <v>78</v>
      </c>
      <c r="D464" t="s">
        <v>671</v>
      </c>
      <c r="E464" t="s">
        <v>636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651</v>
      </c>
      <c r="B465" t="s">
        <v>672</v>
      </c>
      <c r="C465" t="s">
        <v>78</v>
      </c>
      <c r="D465" t="s">
        <v>673</v>
      </c>
      <c r="E465" t="s">
        <v>287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651</v>
      </c>
      <c r="B466" t="s">
        <v>674</v>
      </c>
      <c r="C466" t="s">
        <v>78</v>
      </c>
      <c r="D466" t="s">
        <v>675</v>
      </c>
      <c r="E466" t="s">
        <v>469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651</v>
      </c>
      <c r="B467" t="s">
        <v>676</v>
      </c>
      <c r="C467" t="s">
        <v>78</v>
      </c>
      <c r="D467" t="s">
        <v>675</v>
      </c>
      <c r="E467" t="s">
        <v>469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651</v>
      </c>
      <c r="B468" t="s">
        <v>607</v>
      </c>
      <c r="C468" t="s">
        <v>78</v>
      </c>
      <c r="D468" t="s">
        <v>655</v>
      </c>
      <c r="E468" t="s">
        <v>656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651</v>
      </c>
      <c r="B469" t="s">
        <v>677</v>
      </c>
      <c r="C469" t="s">
        <v>78</v>
      </c>
      <c r="D469" t="s">
        <v>655</v>
      </c>
      <c r="E469" t="s">
        <v>202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651</v>
      </c>
      <c r="B470" t="s">
        <v>678</v>
      </c>
      <c r="C470" t="s">
        <v>78</v>
      </c>
      <c r="D470" t="s">
        <v>655</v>
      </c>
      <c r="E470" t="s">
        <v>269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651</v>
      </c>
      <c r="B471" t="s">
        <v>609</v>
      </c>
      <c r="C471" t="s">
        <v>78</v>
      </c>
      <c r="D471" t="s">
        <v>655</v>
      </c>
      <c r="E471" t="s">
        <v>253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651</v>
      </c>
      <c r="B472" t="s">
        <v>658</v>
      </c>
      <c r="C472" t="s">
        <v>78</v>
      </c>
      <c r="D472" t="s">
        <v>659</v>
      </c>
      <c r="E472" t="s">
        <v>256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651</v>
      </c>
      <c r="B473" t="s">
        <v>679</v>
      </c>
      <c r="C473" t="s">
        <v>78</v>
      </c>
      <c r="D473" t="s">
        <v>659</v>
      </c>
      <c r="E473" t="s">
        <v>272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651</v>
      </c>
      <c r="B474" t="s">
        <v>680</v>
      </c>
      <c r="C474" t="s">
        <v>78</v>
      </c>
      <c r="D474" t="s">
        <v>659</v>
      </c>
      <c r="E474" t="s">
        <v>541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651</v>
      </c>
      <c r="B475" t="s">
        <v>681</v>
      </c>
      <c r="C475" t="s">
        <v>78</v>
      </c>
      <c r="D475" t="s">
        <v>659</v>
      </c>
      <c r="E475" t="s">
        <v>272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651</v>
      </c>
      <c r="B476" t="s">
        <v>682</v>
      </c>
      <c r="C476" t="s">
        <v>78</v>
      </c>
      <c r="D476" t="s">
        <v>659</v>
      </c>
      <c r="E476" t="s">
        <v>272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651</v>
      </c>
      <c r="B477" t="s">
        <v>683</v>
      </c>
      <c r="C477" t="s">
        <v>78</v>
      </c>
      <c r="D477" t="s">
        <v>659</v>
      </c>
      <c r="E477" t="s">
        <v>218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651</v>
      </c>
      <c r="B478" t="s">
        <v>684</v>
      </c>
      <c r="C478" t="s">
        <v>78</v>
      </c>
      <c r="D478" t="s">
        <v>659</v>
      </c>
      <c r="E478" t="s">
        <v>218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651</v>
      </c>
      <c r="B479" t="s">
        <v>685</v>
      </c>
      <c r="C479" t="s">
        <v>78</v>
      </c>
      <c r="D479" t="s">
        <v>659</v>
      </c>
      <c r="E479" t="s">
        <v>218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651</v>
      </c>
      <c r="B480" t="s">
        <v>686</v>
      </c>
      <c r="C480" t="s">
        <v>78</v>
      </c>
      <c r="D480" t="s">
        <v>687</v>
      </c>
      <c r="E480" t="s">
        <v>254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651</v>
      </c>
      <c r="B481" t="s">
        <v>688</v>
      </c>
      <c r="C481" t="s">
        <v>78</v>
      </c>
      <c r="D481" t="s">
        <v>689</v>
      </c>
      <c r="E481" t="s">
        <v>202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651</v>
      </c>
      <c r="B482" t="s">
        <v>229</v>
      </c>
      <c r="C482" t="s">
        <v>78</v>
      </c>
      <c r="D482" t="s">
        <v>78</v>
      </c>
      <c r="E482" t="s">
        <v>207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651</v>
      </c>
      <c r="B483" t="s">
        <v>230</v>
      </c>
      <c r="C483" t="s">
        <v>78</v>
      </c>
      <c r="D483" t="s">
        <v>78</v>
      </c>
      <c r="E483" t="s">
        <v>207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651</v>
      </c>
      <c r="B484" t="s">
        <v>234</v>
      </c>
      <c r="C484" t="s">
        <v>78</v>
      </c>
      <c r="D484" t="s">
        <v>78</v>
      </c>
      <c r="E484" t="s">
        <v>279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651</v>
      </c>
      <c r="B485" t="s">
        <v>690</v>
      </c>
      <c r="C485" t="s">
        <v>78</v>
      </c>
      <c r="D485" t="s">
        <v>78</v>
      </c>
      <c r="E485" t="s">
        <v>279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651</v>
      </c>
      <c r="B486" t="s">
        <v>325</v>
      </c>
      <c r="C486" t="s">
        <v>78</v>
      </c>
      <c r="D486" t="s">
        <v>78</v>
      </c>
      <c r="E486" t="s">
        <v>279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651</v>
      </c>
      <c r="B487" t="s">
        <v>178</v>
      </c>
      <c r="C487" t="s">
        <v>78</v>
      </c>
      <c r="D487" t="s">
        <v>78</v>
      </c>
      <c r="E487" t="s">
        <v>279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651</v>
      </c>
      <c r="B488" t="s">
        <v>238</v>
      </c>
      <c r="C488" t="s">
        <v>78</v>
      </c>
      <c r="D488" t="s">
        <v>78</v>
      </c>
      <c r="E488" t="s">
        <v>286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651</v>
      </c>
      <c r="B489" t="s">
        <v>180</v>
      </c>
      <c r="C489" t="s">
        <v>78</v>
      </c>
      <c r="D489" t="s">
        <v>78</v>
      </c>
      <c r="E489" t="s">
        <v>281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651</v>
      </c>
      <c r="B490" t="s">
        <v>181</v>
      </c>
      <c r="C490" t="s">
        <v>78</v>
      </c>
      <c r="D490" t="s">
        <v>78</v>
      </c>
      <c r="E490" t="s">
        <v>286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651</v>
      </c>
      <c r="B491" t="s">
        <v>242</v>
      </c>
      <c r="C491" t="s">
        <v>78</v>
      </c>
      <c r="D491" t="s">
        <v>78</v>
      </c>
      <c r="E491" t="s">
        <v>287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651</v>
      </c>
      <c r="B492" t="s">
        <v>327</v>
      </c>
      <c r="C492" t="s">
        <v>78</v>
      </c>
      <c r="D492" t="s">
        <v>78</v>
      </c>
      <c r="E492" t="s">
        <v>287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651</v>
      </c>
      <c r="B493" t="s">
        <v>691</v>
      </c>
      <c r="C493" t="s">
        <v>78</v>
      </c>
      <c r="D493" t="s">
        <v>78</v>
      </c>
      <c r="E493" t="s">
        <v>692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651</v>
      </c>
      <c r="B494" t="s">
        <v>693</v>
      </c>
      <c r="C494" t="s">
        <v>78</v>
      </c>
      <c r="D494" t="s">
        <v>78</v>
      </c>
      <c r="E494" t="s">
        <v>692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651</v>
      </c>
      <c r="B495" t="s">
        <v>183</v>
      </c>
      <c r="C495" t="s">
        <v>78</v>
      </c>
      <c r="D495" t="s">
        <v>78</v>
      </c>
      <c r="E495" t="s">
        <v>184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697</v>
      </c>
      <c r="B496" t="s">
        <v>698</v>
      </c>
      <c r="C496" t="s">
        <v>78</v>
      </c>
      <c r="D496" t="s">
        <v>206</v>
      </c>
      <c r="E496" t="s">
        <v>202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697</v>
      </c>
      <c r="B497" t="s">
        <v>619</v>
      </c>
      <c r="C497" t="s">
        <v>78</v>
      </c>
      <c r="D497" t="s">
        <v>699</v>
      </c>
      <c r="E497" t="s">
        <v>212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697</v>
      </c>
      <c r="B498" t="s">
        <v>609</v>
      </c>
      <c r="C498" t="s">
        <v>78</v>
      </c>
      <c r="D498" t="s">
        <v>206</v>
      </c>
      <c r="E498" t="s">
        <v>656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697</v>
      </c>
      <c r="B499" t="s">
        <v>700</v>
      </c>
      <c r="C499" t="s">
        <v>78</v>
      </c>
      <c r="D499" t="s">
        <v>206</v>
      </c>
      <c r="E499" t="s">
        <v>258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697</v>
      </c>
      <c r="B500" t="s">
        <v>626</v>
      </c>
      <c r="C500" t="s">
        <v>78</v>
      </c>
      <c r="D500" t="s">
        <v>699</v>
      </c>
      <c r="E500" t="s">
        <v>401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697</v>
      </c>
      <c r="B501" t="s">
        <v>624</v>
      </c>
      <c r="C501" t="s">
        <v>78</v>
      </c>
      <c r="D501" t="s">
        <v>699</v>
      </c>
      <c r="E501" t="s">
        <v>264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697</v>
      </c>
      <c r="B502" t="s">
        <v>629</v>
      </c>
      <c r="C502" t="s">
        <v>78</v>
      </c>
      <c r="D502" t="s">
        <v>701</v>
      </c>
      <c r="E502" t="s">
        <v>366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697</v>
      </c>
      <c r="B503" t="s">
        <v>625</v>
      </c>
      <c r="C503" t="s">
        <v>78</v>
      </c>
      <c r="D503" t="s">
        <v>699</v>
      </c>
      <c r="E503" t="s">
        <v>212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697</v>
      </c>
      <c r="B504" t="s">
        <v>619</v>
      </c>
      <c r="C504" t="s">
        <v>78</v>
      </c>
      <c r="D504" t="s">
        <v>699</v>
      </c>
      <c r="E504" t="s">
        <v>212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697</v>
      </c>
      <c r="B505" t="s">
        <v>626</v>
      </c>
      <c r="C505" t="s">
        <v>78</v>
      </c>
      <c r="D505" t="s">
        <v>699</v>
      </c>
      <c r="E505" t="s">
        <v>401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697</v>
      </c>
      <c r="B506" t="s">
        <v>700</v>
      </c>
      <c r="C506" t="s">
        <v>78</v>
      </c>
      <c r="D506" t="s">
        <v>206</v>
      </c>
      <c r="E506" t="s">
        <v>258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697</v>
      </c>
      <c r="B507" t="s">
        <v>702</v>
      </c>
      <c r="C507" t="s">
        <v>78</v>
      </c>
      <c r="D507" t="s">
        <v>206</v>
      </c>
      <c r="E507" t="s">
        <v>437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697</v>
      </c>
      <c r="B508" t="s">
        <v>703</v>
      </c>
      <c r="C508" t="s">
        <v>78</v>
      </c>
      <c r="D508" t="s">
        <v>206</v>
      </c>
      <c r="E508" t="s">
        <v>442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697</v>
      </c>
      <c r="B509" t="s">
        <v>698</v>
      </c>
      <c r="C509" t="s">
        <v>78</v>
      </c>
      <c r="D509" t="s">
        <v>206</v>
      </c>
      <c r="E509" t="s">
        <v>202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697</v>
      </c>
      <c r="B510" t="s">
        <v>704</v>
      </c>
      <c r="C510" t="s">
        <v>78</v>
      </c>
      <c r="D510" t="s">
        <v>206</v>
      </c>
      <c r="E510" t="s">
        <v>437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697</v>
      </c>
      <c r="B511" t="s">
        <v>637</v>
      </c>
      <c r="C511" t="s">
        <v>78</v>
      </c>
      <c r="D511" t="s">
        <v>206</v>
      </c>
      <c r="E511" t="s">
        <v>636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697</v>
      </c>
      <c r="B512" t="s">
        <v>705</v>
      </c>
      <c r="C512" t="s">
        <v>78</v>
      </c>
      <c r="D512" t="s">
        <v>206</v>
      </c>
      <c r="E512" t="s">
        <v>636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697</v>
      </c>
      <c r="B513" t="s">
        <v>609</v>
      </c>
      <c r="C513" t="s">
        <v>78</v>
      </c>
      <c r="D513" t="s">
        <v>206</v>
      </c>
      <c r="E513" t="s">
        <v>656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697</v>
      </c>
      <c r="B514" t="s">
        <v>229</v>
      </c>
      <c r="C514" t="s">
        <v>78</v>
      </c>
      <c r="D514" t="s">
        <v>78</v>
      </c>
      <c r="E514" t="s">
        <v>207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697</v>
      </c>
      <c r="B515" t="s">
        <v>706</v>
      </c>
      <c r="C515" t="s">
        <v>78</v>
      </c>
      <c r="D515" t="s">
        <v>78</v>
      </c>
      <c r="E515" t="s">
        <v>279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697</v>
      </c>
      <c r="B516" t="s">
        <v>230</v>
      </c>
      <c r="C516" t="s">
        <v>78</v>
      </c>
      <c r="D516" t="s">
        <v>78</v>
      </c>
      <c r="E516" t="s">
        <v>207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697</v>
      </c>
      <c r="B517" t="s">
        <v>707</v>
      </c>
      <c r="C517" t="s">
        <v>78</v>
      </c>
      <c r="D517" t="s">
        <v>78</v>
      </c>
      <c r="E517" t="s">
        <v>279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697</v>
      </c>
      <c r="B518" t="s">
        <v>325</v>
      </c>
      <c r="C518" t="s">
        <v>78</v>
      </c>
      <c r="D518" t="s">
        <v>78</v>
      </c>
      <c r="E518" t="s">
        <v>235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697</v>
      </c>
      <c r="B519" t="s">
        <v>238</v>
      </c>
      <c r="C519" t="s">
        <v>78</v>
      </c>
      <c r="D519" t="s">
        <v>78</v>
      </c>
      <c r="E519" t="s">
        <v>286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697</v>
      </c>
      <c r="B520" t="s">
        <v>234</v>
      </c>
      <c r="C520" t="s">
        <v>78</v>
      </c>
      <c r="D520" t="s">
        <v>78</v>
      </c>
      <c r="E520" t="s">
        <v>235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697</v>
      </c>
      <c r="B521" t="s">
        <v>708</v>
      </c>
      <c r="C521" t="s">
        <v>78</v>
      </c>
      <c r="D521" t="s">
        <v>78</v>
      </c>
      <c r="E521" t="s">
        <v>235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697</v>
      </c>
      <c r="B522" t="s">
        <v>180</v>
      </c>
      <c r="C522" t="s">
        <v>78</v>
      </c>
      <c r="D522" t="s">
        <v>78</v>
      </c>
      <c r="E522" t="s">
        <v>281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697</v>
      </c>
      <c r="B523" t="s">
        <v>181</v>
      </c>
      <c r="C523" t="s">
        <v>78</v>
      </c>
      <c r="D523" t="s">
        <v>78</v>
      </c>
      <c r="E523" t="s">
        <v>241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697</v>
      </c>
      <c r="B524" t="s">
        <v>183</v>
      </c>
      <c r="C524" t="s">
        <v>78</v>
      </c>
      <c r="D524" t="s">
        <v>78</v>
      </c>
      <c r="E524" t="s">
        <v>184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712</v>
      </c>
      <c r="B525" t="s">
        <v>607</v>
      </c>
      <c r="C525" t="s">
        <v>78</v>
      </c>
      <c r="D525" t="s">
        <v>713</v>
      </c>
      <c r="E525" t="s">
        <v>656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712</v>
      </c>
      <c r="B526" t="s">
        <v>610</v>
      </c>
      <c r="C526" t="s">
        <v>78</v>
      </c>
      <c r="D526" t="s">
        <v>78</v>
      </c>
      <c r="E526" t="s">
        <v>287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712</v>
      </c>
      <c r="B527" t="s">
        <v>609</v>
      </c>
      <c r="C527" t="s">
        <v>78</v>
      </c>
      <c r="D527" t="s">
        <v>713</v>
      </c>
      <c r="E527" t="s">
        <v>406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712</v>
      </c>
      <c r="B528" t="s">
        <v>714</v>
      </c>
      <c r="C528" t="s">
        <v>78</v>
      </c>
      <c r="D528" t="s">
        <v>715</v>
      </c>
      <c r="E528" t="s">
        <v>656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712</v>
      </c>
      <c r="B529" t="s">
        <v>716</v>
      </c>
      <c r="C529" t="s">
        <v>78</v>
      </c>
      <c r="D529" t="s">
        <v>713</v>
      </c>
      <c r="E529" t="s">
        <v>656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712</v>
      </c>
      <c r="B530" t="s">
        <v>717</v>
      </c>
      <c r="C530" t="s">
        <v>78</v>
      </c>
      <c r="D530" t="s">
        <v>718</v>
      </c>
      <c r="E530" t="s">
        <v>719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712</v>
      </c>
      <c r="B531" t="s">
        <v>610</v>
      </c>
      <c r="C531" t="s">
        <v>78</v>
      </c>
      <c r="D531" t="s">
        <v>78</v>
      </c>
      <c r="E531" t="s">
        <v>287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712</v>
      </c>
      <c r="B532" t="s">
        <v>720</v>
      </c>
      <c r="C532" t="s">
        <v>78</v>
      </c>
      <c r="D532" t="s">
        <v>78</v>
      </c>
      <c r="E532" t="s">
        <v>202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712</v>
      </c>
      <c r="B533" t="s">
        <v>619</v>
      </c>
      <c r="C533" t="s">
        <v>78</v>
      </c>
      <c r="D533" t="s">
        <v>721</v>
      </c>
      <c r="E533" t="s">
        <v>466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712</v>
      </c>
      <c r="B534" t="s">
        <v>626</v>
      </c>
      <c r="C534" t="s">
        <v>78</v>
      </c>
      <c r="D534" t="s">
        <v>721</v>
      </c>
      <c r="E534" t="s">
        <v>401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712</v>
      </c>
      <c r="B535" t="s">
        <v>625</v>
      </c>
      <c r="C535" t="s">
        <v>78</v>
      </c>
      <c r="D535" t="s">
        <v>721</v>
      </c>
      <c r="E535" t="s">
        <v>466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712</v>
      </c>
      <c r="B536" t="s">
        <v>667</v>
      </c>
      <c r="C536" t="s">
        <v>78</v>
      </c>
      <c r="D536" t="s">
        <v>722</v>
      </c>
      <c r="E536" t="s">
        <v>466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712</v>
      </c>
      <c r="B537" t="s">
        <v>627</v>
      </c>
      <c r="C537" t="s">
        <v>78</v>
      </c>
      <c r="D537" t="s">
        <v>721</v>
      </c>
      <c r="E537" t="s">
        <v>466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712</v>
      </c>
      <c r="B538" t="s">
        <v>723</v>
      </c>
      <c r="C538" t="s">
        <v>78</v>
      </c>
      <c r="D538" t="s">
        <v>78</v>
      </c>
      <c r="E538" t="s">
        <v>418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712</v>
      </c>
      <c r="B539" t="s">
        <v>724</v>
      </c>
      <c r="C539" t="s">
        <v>78</v>
      </c>
      <c r="D539" t="s">
        <v>78</v>
      </c>
      <c r="E539" t="s">
        <v>401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712</v>
      </c>
      <c r="B540" t="s">
        <v>716</v>
      </c>
      <c r="C540" t="s">
        <v>78</v>
      </c>
      <c r="D540" t="s">
        <v>713</v>
      </c>
      <c r="E540" t="s">
        <v>656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712</v>
      </c>
      <c r="B541" t="s">
        <v>609</v>
      </c>
      <c r="C541" t="s">
        <v>78</v>
      </c>
      <c r="D541" t="s">
        <v>713</v>
      </c>
      <c r="E541" t="s">
        <v>406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712</v>
      </c>
      <c r="B542" t="s">
        <v>607</v>
      </c>
      <c r="C542" t="s">
        <v>78</v>
      </c>
      <c r="D542" t="s">
        <v>713</v>
      </c>
      <c r="E542" t="s">
        <v>656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712</v>
      </c>
      <c r="B543" t="s">
        <v>714</v>
      </c>
      <c r="C543" t="s">
        <v>78</v>
      </c>
      <c r="D543" t="s">
        <v>715</v>
      </c>
      <c r="E543" t="s">
        <v>656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712</v>
      </c>
      <c r="B544" t="s">
        <v>725</v>
      </c>
      <c r="C544" t="s">
        <v>78</v>
      </c>
      <c r="D544" t="s">
        <v>726</v>
      </c>
      <c r="E544" t="s">
        <v>253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712</v>
      </c>
      <c r="B545" t="s">
        <v>229</v>
      </c>
      <c r="C545" t="s">
        <v>78</v>
      </c>
      <c r="D545" t="s">
        <v>78</v>
      </c>
      <c r="E545" t="s">
        <v>207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712</v>
      </c>
      <c r="B546" t="s">
        <v>230</v>
      </c>
      <c r="C546" t="s">
        <v>78</v>
      </c>
      <c r="D546" t="s">
        <v>78</v>
      </c>
      <c r="E546" t="s">
        <v>207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712</v>
      </c>
      <c r="B547" t="s">
        <v>167</v>
      </c>
      <c r="C547" t="s">
        <v>78</v>
      </c>
      <c r="D547" t="s">
        <v>78</v>
      </c>
      <c r="E547" t="s">
        <v>207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712</v>
      </c>
      <c r="B548" t="s">
        <v>170</v>
      </c>
      <c r="C548" t="s">
        <v>78</v>
      </c>
      <c r="D548" t="s">
        <v>78</v>
      </c>
      <c r="E548" t="s">
        <v>207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712</v>
      </c>
      <c r="B549" t="s">
        <v>236</v>
      </c>
      <c r="C549" t="s">
        <v>78</v>
      </c>
      <c r="D549" t="s">
        <v>78</v>
      </c>
      <c r="E549" t="s">
        <v>279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712</v>
      </c>
      <c r="B550" t="s">
        <v>727</v>
      </c>
      <c r="C550" t="s">
        <v>78</v>
      </c>
      <c r="D550" t="s">
        <v>78</v>
      </c>
      <c r="E550" t="s">
        <v>241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712</v>
      </c>
      <c r="B551" t="s">
        <v>181</v>
      </c>
      <c r="C551" t="s">
        <v>78</v>
      </c>
      <c r="D551" t="s">
        <v>78</v>
      </c>
      <c r="E551" t="s">
        <v>241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712</v>
      </c>
      <c r="B552" t="s">
        <v>183</v>
      </c>
      <c r="C552" t="s">
        <v>78</v>
      </c>
      <c r="D552" t="s">
        <v>78</v>
      </c>
      <c r="E552" t="s">
        <v>184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730</v>
      </c>
      <c r="B553" t="s">
        <v>731</v>
      </c>
      <c r="C553" t="s">
        <v>78</v>
      </c>
      <c r="D553" t="s">
        <v>732</v>
      </c>
      <c r="E553" t="s">
        <v>264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730</v>
      </c>
      <c r="B554" t="s">
        <v>86</v>
      </c>
      <c r="C554" t="s">
        <v>78</v>
      </c>
      <c r="D554" t="s">
        <v>733</v>
      </c>
      <c r="E554" t="s">
        <v>256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730</v>
      </c>
      <c r="B555" t="s">
        <v>734</v>
      </c>
      <c r="C555" t="s">
        <v>78</v>
      </c>
      <c r="D555" t="s">
        <v>735</v>
      </c>
      <c r="E555" t="s">
        <v>264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730</v>
      </c>
      <c r="B556" t="s">
        <v>736</v>
      </c>
      <c r="C556" t="s">
        <v>78</v>
      </c>
      <c r="D556" t="s">
        <v>737</v>
      </c>
      <c r="E556" t="s">
        <v>264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730</v>
      </c>
      <c r="B557" t="s">
        <v>738</v>
      </c>
      <c r="C557" t="s">
        <v>78</v>
      </c>
      <c r="D557" t="s">
        <v>739</v>
      </c>
      <c r="E557" t="s">
        <v>212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730</v>
      </c>
      <c r="B558" t="s">
        <v>740</v>
      </c>
      <c r="C558" t="s">
        <v>78</v>
      </c>
      <c r="D558" t="s">
        <v>741</v>
      </c>
      <c r="E558" t="s">
        <v>541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730</v>
      </c>
      <c r="B559" t="s">
        <v>742</v>
      </c>
      <c r="C559" t="s">
        <v>78</v>
      </c>
      <c r="D559" t="s">
        <v>743</v>
      </c>
      <c r="E559" t="s">
        <v>267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730</v>
      </c>
      <c r="B560" t="s">
        <v>744</v>
      </c>
      <c r="C560" t="s">
        <v>78</v>
      </c>
      <c r="D560" t="s">
        <v>745</v>
      </c>
      <c r="E560" t="s">
        <v>369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730</v>
      </c>
      <c r="B561" t="s">
        <v>746</v>
      </c>
      <c r="C561" t="s">
        <v>78</v>
      </c>
      <c r="D561" t="s">
        <v>747</v>
      </c>
      <c r="E561" t="s">
        <v>541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730</v>
      </c>
      <c r="B562" t="s">
        <v>748</v>
      </c>
      <c r="C562" t="s">
        <v>78</v>
      </c>
      <c r="D562" t="s">
        <v>749</v>
      </c>
      <c r="E562" t="s">
        <v>369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730</v>
      </c>
      <c r="B563" t="s">
        <v>750</v>
      </c>
      <c r="C563" t="s">
        <v>78</v>
      </c>
      <c r="D563" t="s">
        <v>751</v>
      </c>
      <c r="E563" t="s">
        <v>218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730</v>
      </c>
      <c r="B564" t="s">
        <v>752</v>
      </c>
      <c r="C564" t="s">
        <v>78</v>
      </c>
      <c r="D564" t="s">
        <v>753</v>
      </c>
      <c r="E564" t="s">
        <v>277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730</v>
      </c>
      <c r="B565" t="s">
        <v>754</v>
      </c>
      <c r="C565" t="s">
        <v>78</v>
      </c>
      <c r="D565" t="s">
        <v>755</v>
      </c>
      <c r="E565" t="s">
        <v>267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730</v>
      </c>
      <c r="B566" t="s">
        <v>756</v>
      </c>
      <c r="C566" t="s">
        <v>78</v>
      </c>
      <c r="D566" t="s">
        <v>757</v>
      </c>
      <c r="E566" t="s">
        <v>218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730</v>
      </c>
      <c r="B567" t="s">
        <v>758</v>
      </c>
      <c r="C567" t="s">
        <v>78</v>
      </c>
      <c r="D567" t="s">
        <v>759</v>
      </c>
      <c r="E567" t="s">
        <v>277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730</v>
      </c>
      <c r="B568" t="s">
        <v>760</v>
      </c>
      <c r="C568" t="s">
        <v>78</v>
      </c>
      <c r="D568" t="s">
        <v>761</v>
      </c>
      <c r="E568" t="s">
        <v>762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730</v>
      </c>
      <c r="B569" t="s">
        <v>628</v>
      </c>
      <c r="C569" t="s">
        <v>78</v>
      </c>
      <c r="D569" t="s">
        <v>763</v>
      </c>
      <c r="E569" t="s">
        <v>277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730</v>
      </c>
      <c r="B570" t="s">
        <v>764</v>
      </c>
      <c r="C570" t="s">
        <v>78</v>
      </c>
      <c r="D570" t="s">
        <v>765</v>
      </c>
      <c r="E570" t="s">
        <v>267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730</v>
      </c>
      <c r="B571" t="s">
        <v>766</v>
      </c>
      <c r="C571" t="s">
        <v>78</v>
      </c>
      <c r="D571" t="s">
        <v>767</v>
      </c>
      <c r="E571" t="s">
        <v>218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730</v>
      </c>
      <c r="B572" t="s">
        <v>768</v>
      </c>
      <c r="C572" t="s">
        <v>78</v>
      </c>
      <c r="D572" t="s">
        <v>769</v>
      </c>
      <c r="E572" t="s">
        <v>277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730</v>
      </c>
      <c r="B573" t="s">
        <v>770</v>
      </c>
      <c r="C573" t="s">
        <v>78</v>
      </c>
      <c r="D573" t="s">
        <v>771</v>
      </c>
      <c r="E573" t="s">
        <v>267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730</v>
      </c>
      <c r="B574" t="s">
        <v>772</v>
      </c>
      <c r="C574" t="s">
        <v>78</v>
      </c>
      <c r="D574" t="s">
        <v>773</v>
      </c>
      <c r="E574" t="s">
        <v>369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730</v>
      </c>
      <c r="B575" t="s">
        <v>774</v>
      </c>
      <c r="C575" t="s">
        <v>78</v>
      </c>
      <c r="D575" t="s">
        <v>775</v>
      </c>
      <c r="E575" t="s">
        <v>776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730</v>
      </c>
      <c r="B576" t="s">
        <v>777</v>
      </c>
      <c r="C576" t="s">
        <v>78</v>
      </c>
      <c r="D576" t="s">
        <v>778</v>
      </c>
      <c r="E576" t="s">
        <v>779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730</v>
      </c>
      <c r="B577" t="s">
        <v>780</v>
      </c>
      <c r="C577" t="s">
        <v>78</v>
      </c>
      <c r="D577" t="s">
        <v>781</v>
      </c>
      <c r="E577" t="s">
        <v>264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730</v>
      </c>
      <c r="B578" t="s">
        <v>782</v>
      </c>
      <c r="C578" t="s">
        <v>78</v>
      </c>
      <c r="D578" t="s">
        <v>783</v>
      </c>
      <c r="E578" t="s">
        <v>264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730</v>
      </c>
      <c r="B579" t="s">
        <v>784</v>
      </c>
      <c r="C579" t="s">
        <v>78</v>
      </c>
      <c r="D579" t="s">
        <v>785</v>
      </c>
      <c r="E579" t="s">
        <v>264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730</v>
      </c>
      <c r="B580" t="s">
        <v>786</v>
      </c>
      <c r="C580" t="s">
        <v>78</v>
      </c>
      <c r="D580" t="s">
        <v>787</v>
      </c>
      <c r="E580" t="s">
        <v>256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730</v>
      </c>
      <c r="B581" t="s">
        <v>788</v>
      </c>
      <c r="C581" t="s">
        <v>78</v>
      </c>
      <c r="D581" t="s">
        <v>789</v>
      </c>
      <c r="E581" t="s">
        <v>264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730</v>
      </c>
      <c r="B582" t="s">
        <v>790</v>
      </c>
      <c r="C582" t="s">
        <v>78</v>
      </c>
      <c r="D582" t="s">
        <v>791</v>
      </c>
      <c r="E582" t="s">
        <v>256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730</v>
      </c>
      <c r="B583" t="s">
        <v>792</v>
      </c>
      <c r="C583" t="s">
        <v>78</v>
      </c>
      <c r="D583" t="s">
        <v>793</v>
      </c>
      <c r="E583" t="s">
        <v>256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730</v>
      </c>
      <c r="B584" t="s">
        <v>794</v>
      </c>
      <c r="C584" t="s">
        <v>78</v>
      </c>
      <c r="D584" t="s">
        <v>767</v>
      </c>
      <c r="E584" t="s">
        <v>256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730</v>
      </c>
      <c r="B585" t="s">
        <v>731</v>
      </c>
      <c r="C585" t="s">
        <v>78</v>
      </c>
      <c r="D585" t="s">
        <v>732</v>
      </c>
      <c r="E585" t="s">
        <v>264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730</v>
      </c>
      <c r="B586" t="s">
        <v>734</v>
      </c>
      <c r="C586" t="s">
        <v>78</v>
      </c>
      <c r="D586" t="s">
        <v>735</v>
      </c>
      <c r="E586" t="s">
        <v>264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730</v>
      </c>
      <c r="B587" t="s">
        <v>736</v>
      </c>
      <c r="C587" t="s">
        <v>78</v>
      </c>
      <c r="D587" t="s">
        <v>737</v>
      </c>
      <c r="E587" t="s">
        <v>264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730</v>
      </c>
      <c r="B588" t="s">
        <v>795</v>
      </c>
      <c r="C588" t="s">
        <v>78</v>
      </c>
      <c r="D588" t="s">
        <v>796</v>
      </c>
      <c r="E588" t="s">
        <v>256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730</v>
      </c>
      <c r="B589" t="s">
        <v>797</v>
      </c>
      <c r="C589" t="s">
        <v>78</v>
      </c>
      <c r="D589" t="s">
        <v>798</v>
      </c>
      <c r="E589" t="s">
        <v>277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730</v>
      </c>
      <c r="B590" t="s">
        <v>799</v>
      </c>
      <c r="C590" t="s">
        <v>78</v>
      </c>
      <c r="D590" t="s">
        <v>798</v>
      </c>
      <c r="E590" t="s">
        <v>451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730</v>
      </c>
      <c r="B591" t="s">
        <v>800</v>
      </c>
      <c r="C591" t="s">
        <v>78</v>
      </c>
      <c r="D591" t="s">
        <v>798</v>
      </c>
      <c r="E591" t="s">
        <v>801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730</v>
      </c>
      <c r="B592" t="s">
        <v>802</v>
      </c>
      <c r="C592" t="s">
        <v>78</v>
      </c>
      <c r="D592" t="s">
        <v>798</v>
      </c>
      <c r="E592" t="s">
        <v>369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730</v>
      </c>
      <c r="B593" t="s">
        <v>803</v>
      </c>
      <c r="C593" t="s">
        <v>78</v>
      </c>
      <c r="D593" t="s">
        <v>798</v>
      </c>
      <c r="E593" t="s">
        <v>277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730</v>
      </c>
      <c r="B594" t="s">
        <v>804</v>
      </c>
      <c r="C594" t="s">
        <v>78</v>
      </c>
      <c r="D594" t="s">
        <v>798</v>
      </c>
      <c r="E594" t="s">
        <v>369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730</v>
      </c>
      <c r="B595" t="s">
        <v>805</v>
      </c>
      <c r="C595" t="s">
        <v>78</v>
      </c>
      <c r="D595" t="s">
        <v>798</v>
      </c>
      <c r="E595" t="s">
        <v>277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730</v>
      </c>
      <c r="B596" t="s">
        <v>806</v>
      </c>
      <c r="C596" t="s">
        <v>78</v>
      </c>
      <c r="D596" t="s">
        <v>807</v>
      </c>
      <c r="E596" t="s">
        <v>267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730</v>
      </c>
      <c r="B597" t="s">
        <v>86</v>
      </c>
      <c r="C597" t="s">
        <v>78</v>
      </c>
      <c r="D597" t="s">
        <v>733</v>
      </c>
      <c r="E597" t="s">
        <v>256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730</v>
      </c>
      <c r="B598" t="s">
        <v>808</v>
      </c>
      <c r="C598" t="s">
        <v>78</v>
      </c>
      <c r="D598" t="s">
        <v>809</v>
      </c>
      <c r="E598" t="s">
        <v>214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730</v>
      </c>
      <c r="B599" t="s">
        <v>153</v>
      </c>
      <c r="C599" t="s">
        <v>78</v>
      </c>
      <c r="D599" t="s">
        <v>810</v>
      </c>
      <c r="E599" t="s">
        <v>461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730</v>
      </c>
      <c r="B600" t="s">
        <v>738</v>
      </c>
      <c r="C600" t="s">
        <v>78</v>
      </c>
      <c r="D600" t="s">
        <v>739</v>
      </c>
      <c r="E600" t="s">
        <v>212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730</v>
      </c>
      <c r="B601" t="s">
        <v>142</v>
      </c>
      <c r="C601" t="s">
        <v>78</v>
      </c>
      <c r="D601" t="s">
        <v>811</v>
      </c>
      <c r="E601" t="s">
        <v>812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730</v>
      </c>
      <c r="B602" t="s">
        <v>813</v>
      </c>
      <c r="C602" t="s">
        <v>78</v>
      </c>
      <c r="D602" t="s">
        <v>814</v>
      </c>
      <c r="E602" t="s">
        <v>461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730</v>
      </c>
      <c r="B603" t="s">
        <v>815</v>
      </c>
      <c r="C603" t="s">
        <v>78</v>
      </c>
      <c r="D603" t="s">
        <v>816</v>
      </c>
      <c r="E603" t="s">
        <v>505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730</v>
      </c>
      <c r="B604" t="s">
        <v>817</v>
      </c>
      <c r="C604" t="s">
        <v>78</v>
      </c>
      <c r="D604" t="s">
        <v>818</v>
      </c>
      <c r="E604" t="s">
        <v>272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730</v>
      </c>
      <c r="B605" t="s">
        <v>819</v>
      </c>
      <c r="C605" t="s">
        <v>78</v>
      </c>
      <c r="D605" t="s">
        <v>820</v>
      </c>
      <c r="E605" t="s">
        <v>254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730</v>
      </c>
      <c r="B606" t="s">
        <v>821</v>
      </c>
      <c r="C606" t="s">
        <v>78</v>
      </c>
      <c r="D606" t="s">
        <v>822</v>
      </c>
      <c r="E606" t="s">
        <v>366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730</v>
      </c>
      <c r="B607" t="s">
        <v>823</v>
      </c>
      <c r="C607" t="s">
        <v>78</v>
      </c>
      <c r="D607" t="s">
        <v>824</v>
      </c>
      <c r="E607" t="s">
        <v>254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730</v>
      </c>
      <c r="B608" t="s">
        <v>825</v>
      </c>
      <c r="C608" t="s">
        <v>78</v>
      </c>
      <c r="D608" t="s">
        <v>826</v>
      </c>
      <c r="E608" t="s">
        <v>529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730</v>
      </c>
      <c r="B609" t="s">
        <v>827</v>
      </c>
      <c r="C609" t="s">
        <v>78</v>
      </c>
      <c r="D609" t="s">
        <v>828</v>
      </c>
      <c r="E609" t="s">
        <v>212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730</v>
      </c>
      <c r="B610" t="s">
        <v>829</v>
      </c>
      <c r="C610" t="s">
        <v>78</v>
      </c>
      <c r="D610" t="s">
        <v>830</v>
      </c>
      <c r="E610" t="s">
        <v>812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730</v>
      </c>
      <c r="B611" t="s">
        <v>831</v>
      </c>
      <c r="C611" t="s">
        <v>78</v>
      </c>
      <c r="D611" t="s">
        <v>832</v>
      </c>
      <c r="E611" t="s">
        <v>214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730</v>
      </c>
      <c r="B612" t="s">
        <v>833</v>
      </c>
      <c r="C612" t="s">
        <v>78</v>
      </c>
      <c r="D612" t="s">
        <v>834</v>
      </c>
      <c r="E612" t="s">
        <v>366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730</v>
      </c>
      <c r="B613" t="s">
        <v>835</v>
      </c>
      <c r="C613" t="s">
        <v>78</v>
      </c>
      <c r="D613" t="s">
        <v>836</v>
      </c>
      <c r="E613" t="s">
        <v>272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730</v>
      </c>
      <c r="B614" t="s">
        <v>837</v>
      </c>
      <c r="C614" t="s">
        <v>78</v>
      </c>
      <c r="D614" t="s">
        <v>838</v>
      </c>
      <c r="E614" t="s">
        <v>272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730</v>
      </c>
      <c r="B615" t="s">
        <v>839</v>
      </c>
      <c r="C615" t="s">
        <v>78</v>
      </c>
      <c r="D615" t="s">
        <v>840</v>
      </c>
      <c r="E615" t="s">
        <v>256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730</v>
      </c>
      <c r="B616" t="s">
        <v>841</v>
      </c>
      <c r="C616" t="s">
        <v>78</v>
      </c>
      <c r="D616" t="s">
        <v>842</v>
      </c>
      <c r="E616" t="s">
        <v>254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730</v>
      </c>
      <c r="B617" t="s">
        <v>843</v>
      </c>
      <c r="C617" t="s">
        <v>78</v>
      </c>
      <c r="D617" t="s">
        <v>844</v>
      </c>
      <c r="E617" t="s">
        <v>762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730</v>
      </c>
      <c r="B618" t="s">
        <v>845</v>
      </c>
      <c r="C618" t="s">
        <v>78</v>
      </c>
      <c r="D618" t="s">
        <v>846</v>
      </c>
      <c r="E618" t="s">
        <v>214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730</v>
      </c>
      <c r="B619" t="s">
        <v>847</v>
      </c>
      <c r="C619" t="s">
        <v>78</v>
      </c>
      <c r="D619" t="s">
        <v>848</v>
      </c>
      <c r="E619" t="s">
        <v>366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730</v>
      </c>
      <c r="B620" t="s">
        <v>849</v>
      </c>
      <c r="C620" t="s">
        <v>78</v>
      </c>
      <c r="D620" t="s">
        <v>850</v>
      </c>
      <c r="E620" t="s">
        <v>214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730</v>
      </c>
      <c r="B621" t="s">
        <v>851</v>
      </c>
      <c r="C621" t="s">
        <v>78</v>
      </c>
      <c r="D621" t="s">
        <v>852</v>
      </c>
      <c r="E621" t="s">
        <v>272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730</v>
      </c>
      <c r="B622" t="s">
        <v>853</v>
      </c>
      <c r="C622" t="s">
        <v>78</v>
      </c>
      <c r="D622" t="s">
        <v>854</v>
      </c>
      <c r="E622" t="s">
        <v>254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730</v>
      </c>
      <c r="B623" t="s">
        <v>855</v>
      </c>
      <c r="C623" t="s">
        <v>78</v>
      </c>
      <c r="D623" t="s">
        <v>856</v>
      </c>
      <c r="E623" t="s">
        <v>254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730</v>
      </c>
      <c r="B624" t="s">
        <v>857</v>
      </c>
      <c r="C624" t="s">
        <v>78</v>
      </c>
      <c r="D624" t="s">
        <v>858</v>
      </c>
      <c r="E624" t="s">
        <v>256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730</v>
      </c>
      <c r="B625" t="s">
        <v>859</v>
      </c>
      <c r="C625" t="s">
        <v>78</v>
      </c>
      <c r="D625" t="s">
        <v>860</v>
      </c>
      <c r="E625" t="s">
        <v>256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730</v>
      </c>
      <c r="B626" t="s">
        <v>861</v>
      </c>
      <c r="C626" t="s">
        <v>78</v>
      </c>
      <c r="D626" t="s">
        <v>862</v>
      </c>
      <c r="E626" t="s">
        <v>366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730</v>
      </c>
      <c r="B627" t="s">
        <v>863</v>
      </c>
      <c r="C627" t="s">
        <v>78</v>
      </c>
      <c r="D627" t="s">
        <v>864</v>
      </c>
      <c r="E627" t="s">
        <v>277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730</v>
      </c>
      <c r="B628" t="s">
        <v>865</v>
      </c>
      <c r="C628" t="s">
        <v>78</v>
      </c>
      <c r="D628" t="s">
        <v>866</v>
      </c>
      <c r="E628" t="s">
        <v>256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730</v>
      </c>
      <c r="B629" t="s">
        <v>867</v>
      </c>
      <c r="C629" t="s">
        <v>78</v>
      </c>
      <c r="D629" t="s">
        <v>868</v>
      </c>
      <c r="E629" t="s">
        <v>385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730</v>
      </c>
      <c r="B630" t="s">
        <v>869</v>
      </c>
      <c r="C630" t="s">
        <v>78</v>
      </c>
      <c r="D630" t="s">
        <v>870</v>
      </c>
      <c r="E630" t="s">
        <v>871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730</v>
      </c>
      <c r="B631" t="s">
        <v>872</v>
      </c>
      <c r="C631" t="s">
        <v>78</v>
      </c>
      <c r="D631" t="s">
        <v>873</v>
      </c>
      <c r="E631" t="s">
        <v>372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730</v>
      </c>
      <c r="B632" t="s">
        <v>874</v>
      </c>
      <c r="C632" t="s">
        <v>78</v>
      </c>
      <c r="D632" t="s">
        <v>875</v>
      </c>
      <c r="E632" t="s">
        <v>442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730</v>
      </c>
      <c r="B633" t="s">
        <v>229</v>
      </c>
      <c r="C633" t="s">
        <v>78</v>
      </c>
      <c r="D633" t="s">
        <v>78</v>
      </c>
      <c r="E633" t="s">
        <v>287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730</v>
      </c>
      <c r="B634" t="s">
        <v>643</v>
      </c>
      <c r="C634" t="s">
        <v>78</v>
      </c>
      <c r="D634" t="s">
        <v>78</v>
      </c>
      <c r="E634" t="s">
        <v>287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730</v>
      </c>
      <c r="B635" t="s">
        <v>876</v>
      </c>
      <c r="C635" t="s">
        <v>78</v>
      </c>
      <c r="D635" t="s">
        <v>78</v>
      </c>
      <c r="E635" t="s">
        <v>287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730</v>
      </c>
      <c r="B636" t="s">
        <v>230</v>
      </c>
      <c r="C636" t="s">
        <v>78</v>
      </c>
      <c r="D636" t="s">
        <v>78</v>
      </c>
      <c r="E636" t="s">
        <v>287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730</v>
      </c>
      <c r="B637" t="s">
        <v>231</v>
      </c>
      <c r="C637" t="s">
        <v>78</v>
      </c>
      <c r="D637" t="s">
        <v>78</v>
      </c>
      <c r="E637" t="s">
        <v>287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730</v>
      </c>
      <c r="B638" t="s">
        <v>233</v>
      </c>
      <c r="C638" t="s">
        <v>78</v>
      </c>
      <c r="D638" t="s">
        <v>78</v>
      </c>
      <c r="E638" t="s">
        <v>287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730</v>
      </c>
      <c r="B639" t="s">
        <v>232</v>
      </c>
      <c r="C639" t="s">
        <v>78</v>
      </c>
      <c r="D639" t="s">
        <v>78</v>
      </c>
      <c r="E639" t="s">
        <v>287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730</v>
      </c>
      <c r="B640" t="s">
        <v>325</v>
      </c>
      <c r="C640" t="s">
        <v>78</v>
      </c>
      <c r="D640" t="s">
        <v>78</v>
      </c>
      <c r="E640" t="s">
        <v>287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730</v>
      </c>
      <c r="B641" t="s">
        <v>178</v>
      </c>
      <c r="C641" t="s">
        <v>78</v>
      </c>
      <c r="D641" t="s">
        <v>78</v>
      </c>
      <c r="E641" t="s">
        <v>252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730</v>
      </c>
      <c r="B642" t="s">
        <v>238</v>
      </c>
      <c r="C642" t="s">
        <v>78</v>
      </c>
      <c r="D642" t="s">
        <v>78</v>
      </c>
      <c r="E642" t="s">
        <v>252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730</v>
      </c>
      <c r="B643" t="s">
        <v>179</v>
      </c>
      <c r="C643" t="s">
        <v>78</v>
      </c>
      <c r="D643" t="s">
        <v>78</v>
      </c>
      <c r="E643" t="s">
        <v>268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730</v>
      </c>
      <c r="B644" t="s">
        <v>180</v>
      </c>
      <c r="C644" t="s">
        <v>78</v>
      </c>
      <c r="D644" t="s">
        <v>78</v>
      </c>
      <c r="E644" t="s">
        <v>252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730</v>
      </c>
      <c r="B645" t="s">
        <v>646</v>
      </c>
      <c r="C645" t="s">
        <v>78</v>
      </c>
      <c r="D645" t="s">
        <v>78</v>
      </c>
      <c r="E645" t="s">
        <v>575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730</v>
      </c>
      <c r="B646" t="s">
        <v>183</v>
      </c>
      <c r="C646" t="s">
        <v>78</v>
      </c>
      <c r="D646" t="s">
        <v>78</v>
      </c>
      <c r="E646" t="s">
        <v>184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880</v>
      </c>
      <c r="B647" t="s">
        <v>672</v>
      </c>
      <c r="C647" t="s">
        <v>78</v>
      </c>
      <c r="D647" t="s">
        <v>881</v>
      </c>
      <c r="E647" t="s">
        <v>269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880</v>
      </c>
      <c r="B648" t="s">
        <v>882</v>
      </c>
      <c r="C648" t="s">
        <v>78</v>
      </c>
      <c r="D648" t="s">
        <v>883</v>
      </c>
      <c r="E648" t="s">
        <v>418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880</v>
      </c>
      <c r="B649" t="s">
        <v>884</v>
      </c>
      <c r="C649" t="s">
        <v>78</v>
      </c>
      <c r="D649" t="s">
        <v>885</v>
      </c>
      <c r="E649" t="s">
        <v>554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880</v>
      </c>
      <c r="B650" t="s">
        <v>886</v>
      </c>
      <c r="C650" t="s">
        <v>78</v>
      </c>
      <c r="D650" t="s">
        <v>885</v>
      </c>
      <c r="E650" t="s">
        <v>656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880</v>
      </c>
      <c r="B651" t="s">
        <v>887</v>
      </c>
      <c r="C651" t="s">
        <v>78</v>
      </c>
      <c r="D651" t="s">
        <v>885</v>
      </c>
      <c r="E651" t="s">
        <v>888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880</v>
      </c>
      <c r="B652" t="s">
        <v>889</v>
      </c>
      <c r="C652" t="s">
        <v>78</v>
      </c>
      <c r="D652" t="s">
        <v>885</v>
      </c>
      <c r="E652" t="s">
        <v>202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880</v>
      </c>
      <c r="B653" t="s">
        <v>890</v>
      </c>
      <c r="C653" t="s">
        <v>78</v>
      </c>
      <c r="D653" t="s">
        <v>885</v>
      </c>
      <c r="E653" t="s">
        <v>442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880</v>
      </c>
      <c r="B654" t="s">
        <v>891</v>
      </c>
      <c r="C654" t="s">
        <v>78</v>
      </c>
      <c r="D654" t="s">
        <v>885</v>
      </c>
      <c r="E654" t="s">
        <v>554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880</v>
      </c>
      <c r="B655" t="s">
        <v>892</v>
      </c>
      <c r="C655" t="s">
        <v>78</v>
      </c>
      <c r="D655" t="s">
        <v>893</v>
      </c>
      <c r="E655" t="s">
        <v>469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880</v>
      </c>
      <c r="B656" t="s">
        <v>229</v>
      </c>
      <c r="C656" t="s">
        <v>78</v>
      </c>
      <c r="D656" t="s">
        <v>78</v>
      </c>
      <c r="E656" t="s">
        <v>252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880</v>
      </c>
      <c r="B657" t="s">
        <v>894</v>
      </c>
      <c r="C657" t="s">
        <v>78</v>
      </c>
      <c r="D657" t="s">
        <v>78</v>
      </c>
      <c r="E657" t="s">
        <v>575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880</v>
      </c>
      <c r="B658" t="s">
        <v>230</v>
      </c>
      <c r="C658" t="s">
        <v>78</v>
      </c>
      <c r="D658" t="s">
        <v>78</v>
      </c>
      <c r="E658" t="s">
        <v>252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880</v>
      </c>
      <c r="B659" t="s">
        <v>167</v>
      </c>
      <c r="C659" t="s">
        <v>78</v>
      </c>
      <c r="D659" t="s">
        <v>78</v>
      </c>
      <c r="E659" t="s">
        <v>895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880</v>
      </c>
      <c r="B660" t="s">
        <v>170</v>
      </c>
      <c r="C660" t="s">
        <v>78</v>
      </c>
      <c r="D660" t="s">
        <v>78</v>
      </c>
      <c r="E660" t="s">
        <v>207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880</v>
      </c>
      <c r="B661" t="s">
        <v>896</v>
      </c>
      <c r="C661" t="s">
        <v>78</v>
      </c>
      <c r="D661" t="s">
        <v>78</v>
      </c>
      <c r="E661" t="s">
        <v>575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880</v>
      </c>
      <c r="B662" t="s">
        <v>173</v>
      </c>
      <c r="C662" t="s">
        <v>78</v>
      </c>
      <c r="D662" t="s">
        <v>78</v>
      </c>
      <c r="E662" t="s">
        <v>182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880</v>
      </c>
      <c r="B663" t="s">
        <v>325</v>
      </c>
      <c r="C663" t="s">
        <v>78</v>
      </c>
      <c r="D663" t="s">
        <v>897</v>
      </c>
      <c r="E663" t="s">
        <v>279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880</v>
      </c>
      <c r="B664" t="s">
        <v>178</v>
      </c>
      <c r="C664" t="s">
        <v>78</v>
      </c>
      <c r="D664" t="s">
        <v>78</v>
      </c>
      <c r="E664" t="s">
        <v>279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880</v>
      </c>
      <c r="B665" t="s">
        <v>238</v>
      </c>
      <c r="C665" t="s">
        <v>78</v>
      </c>
      <c r="D665" t="s">
        <v>78</v>
      </c>
      <c r="E665" t="s">
        <v>235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880</v>
      </c>
      <c r="B666" t="s">
        <v>180</v>
      </c>
      <c r="C666" t="s">
        <v>78</v>
      </c>
      <c r="D666" t="s">
        <v>78</v>
      </c>
      <c r="E666" t="s">
        <v>281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880</v>
      </c>
      <c r="B667" t="s">
        <v>181</v>
      </c>
      <c r="C667" t="s">
        <v>78</v>
      </c>
      <c r="D667" t="s">
        <v>78</v>
      </c>
      <c r="E667" t="s">
        <v>286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880</v>
      </c>
      <c r="B668" t="s">
        <v>898</v>
      </c>
      <c r="C668" t="s">
        <v>78</v>
      </c>
      <c r="D668" t="s">
        <v>78</v>
      </c>
      <c r="E668" t="s">
        <v>212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880</v>
      </c>
      <c r="B669" t="s">
        <v>183</v>
      </c>
      <c r="C669" t="s">
        <v>78</v>
      </c>
      <c r="D669" t="s">
        <v>78</v>
      </c>
      <c r="E669" t="s">
        <v>184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903</v>
      </c>
      <c r="B670" t="s">
        <v>674</v>
      </c>
      <c r="C670" t="s">
        <v>78</v>
      </c>
      <c r="D670" t="s">
        <v>904</v>
      </c>
      <c r="E670" t="s">
        <v>258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903</v>
      </c>
      <c r="B671" t="s">
        <v>905</v>
      </c>
      <c r="C671" t="s">
        <v>78</v>
      </c>
      <c r="D671" t="s">
        <v>906</v>
      </c>
      <c r="E671" t="s">
        <v>554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903</v>
      </c>
      <c r="B672" t="s">
        <v>674</v>
      </c>
      <c r="C672" t="s">
        <v>78</v>
      </c>
      <c r="D672" t="s">
        <v>904</v>
      </c>
      <c r="E672" t="s">
        <v>258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903</v>
      </c>
      <c r="B673" t="s">
        <v>676</v>
      </c>
      <c r="C673" t="s">
        <v>78</v>
      </c>
      <c r="D673" t="s">
        <v>907</v>
      </c>
      <c r="E673" t="s">
        <v>258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903</v>
      </c>
      <c r="B674" t="s">
        <v>908</v>
      </c>
      <c r="C674" t="s">
        <v>78</v>
      </c>
      <c r="D674" t="s">
        <v>909</v>
      </c>
      <c r="E674" t="s">
        <v>253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903</v>
      </c>
      <c r="B675" t="s">
        <v>672</v>
      </c>
      <c r="C675" t="s">
        <v>78</v>
      </c>
      <c r="D675" t="s">
        <v>910</v>
      </c>
      <c r="E675" t="s">
        <v>406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903</v>
      </c>
      <c r="B676" t="s">
        <v>911</v>
      </c>
      <c r="C676" t="s">
        <v>78</v>
      </c>
      <c r="D676" t="s">
        <v>904</v>
      </c>
      <c r="E676" t="s">
        <v>258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903</v>
      </c>
      <c r="B677" t="s">
        <v>912</v>
      </c>
      <c r="C677" t="s">
        <v>78</v>
      </c>
      <c r="D677" t="s">
        <v>913</v>
      </c>
      <c r="E677" t="s">
        <v>269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903</v>
      </c>
      <c r="B678" t="s">
        <v>905</v>
      </c>
      <c r="C678" t="s">
        <v>78</v>
      </c>
      <c r="D678" t="s">
        <v>906</v>
      </c>
      <c r="E678" t="s">
        <v>554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903</v>
      </c>
      <c r="B679" t="s">
        <v>914</v>
      </c>
      <c r="C679" t="s">
        <v>78</v>
      </c>
      <c r="D679" t="s">
        <v>915</v>
      </c>
      <c r="E679" t="s">
        <v>401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903</v>
      </c>
      <c r="B680" t="s">
        <v>916</v>
      </c>
      <c r="C680" t="s">
        <v>78</v>
      </c>
      <c r="D680" t="s">
        <v>917</v>
      </c>
      <c r="E680" t="s">
        <v>401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903</v>
      </c>
      <c r="B681" t="s">
        <v>918</v>
      </c>
      <c r="C681" t="s">
        <v>78</v>
      </c>
      <c r="D681" t="s">
        <v>915</v>
      </c>
      <c r="E681" t="s">
        <v>401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903</v>
      </c>
      <c r="B682" t="s">
        <v>642</v>
      </c>
      <c r="C682" t="s">
        <v>78</v>
      </c>
      <c r="D682" t="s">
        <v>78</v>
      </c>
      <c r="E682" t="s">
        <v>207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903</v>
      </c>
      <c r="B683" t="s">
        <v>229</v>
      </c>
      <c r="C683" t="s">
        <v>78</v>
      </c>
      <c r="D683" t="s">
        <v>78</v>
      </c>
      <c r="E683" t="s">
        <v>207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903</v>
      </c>
      <c r="B684" t="s">
        <v>643</v>
      </c>
      <c r="C684" t="s">
        <v>78</v>
      </c>
      <c r="D684" t="s">
        <v>78</v>
      </c>
      <c r="E684" t="s">
        <v>207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903</v>
      </c>
      <c r="B685" t="s">
        <v>230</v>
      </c>
      <c r="C685" t="s">
        <v>78</v>
      </c>
      <c r="D685" t="s">
        <v>78</v>
      </c>
      <c r="E685" t="s">
        <v>207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903</v>
      </c>
      <c r="B686" t="s">
        <v>175</v>
      </c>
      <c r="C686" t="s">
        <v>78</v>
      </c>
      <c r="D686" t="s">
        <v>78</v>
      </c>
      <c r="E686" t="s">
        <v>575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903</v>
      </c>
      <c r="B687" t="s">
        <v>708</v>
      </c>
      <c r="C687" t="s">
        <v>78</v>
      </c>
      <c r="D687" t="s">
        <v>78</v>
      </c>
      <c r="E687" t="s">
        <v>279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903</v>
      </c>
      <c r="B688" t="s">
        <v>180</v>
      </c>
      <c r="C688" t="s">
        <v>78</v>
      </c>
      <c r="D688" t="s">
        <v>78</v>
      </c>
      <c r="E688" t="s">
        <v>286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903</v>
      </c>
      <c r="B689" t="s">
        <v>646</v>
      </c>
      <c r="C689" t="s">
        <v>78</v>
      </c>
      <c r="D689" t="s">
        <v>78</v>
      </c>
      <c r="E689" t="s">
        <v>281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903</v>
      </c>
      <c r="B690" t="s">
        <v>242</v>
      </c>
      <c r="C690" t="s">
        <v>78</v>
      </c>
      <c r="D690" t="s">
        <v>78</v>
      </c>
      <c r="E690" t="s">
        <v>287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903</v>
      </c>
      <c r="B691" t="s">
        <v>327</v>
      </c>
      <c r="C691" t="s">
        <v>78</v>
      </c>
      <c r="D691" t="s">
        <v>78</v>
      </c>
      <c r="E691" t="s">
        <v>287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903</v>
      </c>
      <c r="B692" t="s">
        <v>183</v>
      </c>
      <c r="C692" t="s">
        <v>78</v>
      </c>
      <c r="D692" t="s">
        <v>78</v>
      </c>
      <c r="E692" t="s">
        <v>184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921</v>
      </c>
      <c r="B693" t="s">
        <v>922</v>
      </c>
      <c r="C693" t="s">
        <v>78</v>
      </c>
      <c r="D693" t="s">
        <v>923</v>
      </c>
      <c r="E693" t="s">
        <v>924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921</v>
      </c>
      <c r="B694" t="s">
        <v>925</v>
      </c>
      <c r="C694" t="s">
        <v>78</v>
      </c>
      <c r="D694" t="s">
        <v>926</v>
      </c>
      <c r="E694" t="s">
        <v>927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921</v>
      </c>
      <c r="B695" t="s">
        <v>928</v>
      </c>
      <c r="C695" t="s">
        <v>78</v>
      </c>
      <c r="D695" t="s">
        <v>929</v>
      </c>
      <c r="E695" t="s">
        <v>930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921</v>
      </c>
      <c r="B696" t="s">
        <v>931</v>
      </c>
      <c r="C696" t="s">
        <v>78</v>
      </c>
      <c r="D696" t="s">
        <v>932</v>
      </c>
      <c r="E696" t="s">
        <v>933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921</v>
      </c>
      <c r="B697" t="s">
        <v>934</v>
      </c>
      <c r="C697" t="s">
        <v>78</v>
      </c>
      <c r="D697" t="s">
        <v>935</v>
      </c>
      <c r="E697" t="s">
        <v>936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921</v>
      </c>
      <c r="B698" t="s">
        <v>937</v>
      </c>
      <c r="C698" t="s">
        <v>78</v>
      </c>
      <c r="D698" t="s">
        <v>938</v>
      </c>
      <c r="E698" t="s">
        <v>939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921</v>
      </c>
      <c r="B699" t="s">
        <v>940</v>
      </c>
      <c r="C699" t="s">
        <v>78</v>
      </c>
      <c r="D699" t="s">
        <v>941</v>
      </c>
      <c r="E699" t="s">
        <v>942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921</v>
      </c>
      <c r="B700" t="s">
        <v>943</v>
      </c>
      <c r="C700" t="s">
        <v>78</v>
      </c>
      <c r="D700" t="s">
        <v>944</v>
      </c>
      <c r="E700" t="s">
        <v>930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921</v>
      </c>
      <c r="B701" t="s">
        <v>945</v>
      </c>
      <c r="C701" t="s">
        <v>78</v>
      </c>
      <c r="D701" t="s">
        <v>946</v>
      </c>
      <c r="E701" t="s">
        <v>947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921</v>
      </c>
      <c r="B702" t="s">
        <v>948</v>
      </c>
      <c r="C702" t="s">
        <v>78</v>
      </c>
      <c r="D702" t="s">
        <v>949</v>
      </c>
      <c r="E702" t="s">
        <v>950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921</v>
      </c>
      <c r="B703" t="s">
        <v>951</v>
      </c>
      <c r="C703" t="s">
        <v>78</v>
      </c>
      <c r="D703" t="s">
        <v>952</v>
      </c>
      <c r="E703" t="s">
        <v>953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921</v>
      </c>
      <c r="B704" t="s">
        <v>954</v>
      </c>
      <c r="C704" t="s">
        <v>78</v>
      </c>
      <c r="D704" t="s">
        <v>955</v>
      </c>
      <c r="E704" t="s">
        <v>927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921</v>
      </c>
      <c r="B705" t="s">
        <v>956</v>
      </c>
      <c r="C705" t="s">
        <v>78</v>
      </c>
      <c r="D705" t="s">
        <v>957</v>
      </c>
      <c r="E705" t="s">
        <v>958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921</v>
      </c>
      <c r="B706" t="s">
        <v>959</v>
      </c>
      <c r="C706" t="s">
        <v>78</v>
      </c>
      <c r="D706" t="s">
        <v>960</v>
      </c>
      <c r="E706" t="s">
        <v>961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921</v>
      </c>
      <c r="B707" t="s">
        <v>962</v>
      </c>
      <c r="C707" t="s">
        <v>78</v>
      </c>
      <c r="D707" t="s">
        <v>963</v>
      </c>
      <c r="E707" t="s">
        <v>964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921</v>
      </c>
      <c r="B708" t="s">
        <v>965</v>
      </c>
      <c r="C708" t="s">
        <v>78</v>
      </c>
      <c r="D708" t="s">
        <v>966</v>
      </c>
      <c r="E708" t="s">
        <v>967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921</v>
      </c>
      <c r="B709" t="s">
        <v>968</v>
      </c>
      <c r="C709" t="s">
        <v>78</v>
      </c>
      <c r="D709" t="s">
        <v>969</v>
      </c>
      <c r="E709" t="s">
        <v>970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921</v>
      </c>
      <c r="B710" t="s">
        <v>971</v>
      </c>
      <c r="C710" t="s">
        <v>78</v>
      </c>
      <c r="D710" t="s">
        <v>972</v>
      </c>
      <c r="E710" t="s">
        <v>939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921</v>
      </c>
      <c r="B711" t="s">
        <v>973</v>
      </c>
      <c r="C711" t="s">
        <v>78</v>
      </c>
      <c r="D711" t="s">
        <v>974</v>
      </c>
      <c r="E711" t="s">
        <v>975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921</v>
      </c>
      <c r="B712" t="s">
        <v>976</v>
      </c>
      <c r="C712" t="s">
        <v>78</v>
      </c>
      <c r="D712" t="s">
        <v>977</v>
      </c>
      <c r="E712" t="s">
        <v>978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921</v>
      </c>
      <c r="B713" t="s">
        <v>979</v>
      </c>
      <c r="C713" t="s">
        <v>78</v>
      </c>
      <c r="D713" t="s">
        <v>980</v>
      </c>
      <c r="E713" t="s">
        <v>981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921</v>
      </c>
      <c r="B714" t="s">
        <v>982</v>
      </c>
      <c r="C714" t="s">
        <v>78</v>
      </c>
      <c r="D714" t="s">
        <v>983</v>
      </c>
      <c r="E714" t="s">
        <v>924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921</v>
      </c>
      <c r="B715" t="s">
        <v>984</v>
      </c>
      <c r="C715" t="s">
        <v>78</v>
      </c>
      <c r="D715" t="s">
        <v>985</v>
      </c>
      <c r="E715" t="s">
        <v>927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921</v>
      </c>
      <c r="B716" t="s">
        <v>986</v>
      </c>
      <c r="C716" t="s">
        <v>78</v>
      </c>
      <c r="D716" t="s">
        <v>987</v>
      </c>
      <c r="E716" t="s">
        <v>988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921</v>
      </c>
      <c r="B717" t="s">
        <v>989</v>
      </c>
      <c r="C717" t="s">
        <v>78</v>
      </c>
      <c r="D717" t="s">
        <v>990</v>
      </c>
      <c r="E717" t="s">
        <v>924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921</v>
      </c>
      <c r="B718" t="s">
        <v>991</v>
      </c>
      <c r="C718" t="s">
        <v>78</v>
      </c>
      <c r="D718" t="s">
        <v>992</v>
      </c>
      <c r="E718" t="s">
        <v>993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921</v>
      </c>
      <c r="B719" t="s">
        <v>994</v>
      </c>
      <c r="C719" t="s">
        <v>78</v>
      </c>
      <c r="D719" t="s">
        <v>995</v>
      </c>
      <c r="E719" t="s">
        <v>996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921</v>
      </c>
      <c r="B720" t="s">
        <v>997</v>
      </c>
      <c r="C720" t="s">
        <v>78</v>
      </c>
      <c r="D720" t="s">
        <v>998</v>
      </c>
      <c r="E720" t="s">
        <v>924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921</v>
      </c>
      <c r="B721" t="s">
        <v>999</v>
      </c>
      <c r="C721" t="s">
        <v>78</v>
      </c>
      <c r="D721" t="s">
        <v>1000</v>
      </c>
      <c r="E721" t="s">
        <v>958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921</v>
      </c>
      <c r="B722" t="s">
        <v>1001</v>
      </c>
      <c r="C722" t="s">
        <v>78</v>
      </c>
      <c r="D722" t="s">
        <v>1002</v>
      </c>
      <c r="E722" t="s">
        <v>970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921</v>
      </c>
      <c r="B723" t="s">
        <v>1003</v>
      </c>
      <c r="C723" t="s">
        <v>78</v>
      </c>
      <c r="D723" t="s">
        <v>1004</v>
      </c>
      <c r="E723" t="s">
        <v>996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921</v>
      </c>
      <c r="B724" t="s">
        <v>1005</v>
      </c>
      <c r="C724" t="s">
        <v>78</v>
      </c>
      <c r="D724" t="s">
        <v>1006</v>
      </c>
      <c r="E724" t="s">
        <v>204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921</v>
      </c>
      <c r="B725" t="s">
        <v>1007</v>
      </c>
      <c r="C725" t="s">
        <v>78</v>
      </c>
      <c r="D725" t="s">
        <v>1008</v>
      </c>
      <c r="E725" t="s">
        <v>967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921</v>
      </c>
      <c r="B726" t="s">
        <v>1009</v>
      </c>
      <c r="C726" t="s">
        <v>78</v>
      </c>
      <c r="D726" t="s">
        <v>1010</v>
      </c>
      <c r="E726" t="s">
        <v>927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921</v>
      </c>
      <c r="B727" t="s">
        <v>1011</v>
      </c>
      <c r="C727" t="s">
        <v>78</v>
      </c>
      <c r="D727" t="s">
        <v>1012</v>
      </c>
      <c r="E727" t="s">
        <v>1013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921</v>
      </c>
      <c r="B728" t="s">
        <v>1014</v>
      </c>
      <c r="C728" t="s">
        <v>78</v>
      </c>
      <c r="D728" t="s">
        <v>1015</v>
      </c>
      <c r="E728" t="s">
        <v>996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921</v>
      </c>
      <c r="B729" t="s">
        <v>1016</v>
      </c>
      <c r="C729" t="s">
        <v>78</v>
      </c>
      <c r="D729" t="s">
        <v>1017</v>
      </c>
      <c r="E729" t="s">
        <v>1018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921</v>
      </c>
      <c r="B730" t="s">
        <v>1019</v>
      </c>
      <c r="C730" t="s">
        <v>78</v>
      </c>
      <c r="D730" t="s">
        <v>1020</v>
      </c>
      <c r="E730" t="s">
        <v>1021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921</v>
      </c>
      <c r="B731" t="s">
        <v>1022</v>
      </c>
      <c r="C731" t="s">
        <v>78</v>
      </c>
      <c r="D731" t="s">
        <v>1023</v>
      </c>
      <c r="E731" t="s">
        <v>1024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921</v>
      </c>
      <c r="B732" t="s">
        <v>1025</v>
      </c>
      <c r="C732" t="s">
        <v>78</v>
      </c>
      <c r="D732" t="s">
        <v>1026</v>
      </c>
      <c r="E732" t="s">
        <v>1024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921</v>
      </c>
      <c r="B733" t="s">
        <v>1027</v>
      </c>
      <c r="C733" t="s">
        <v>78</v>
      </c>
      <c r="D733" t="s">
        <v>1028</v>
      </c>
      <c r="E733" t="s">
        <v>1024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921</v>
      </c>
      <c r="B734" t="s">
        <v>1029</v>
      </c>
      <c r="C734" t="s">
        <v>78</v>
      </c>
      <c r="D734" t="s">
        <v>1030</v>
      </c>
      <c r="E734" t="s">
        <v>1024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921</v>
      </c>
      <c r="B735" t="s">
        <v>1031</v>
      </c>
      <c r="C735" t="s">
        <v>78</v>
      </c>
      <c r="D735" t="s">
        <v>1032</v>
      </c>
      <c r="E735" t="s">
        <v>1033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921</v>
      </c>
      <c r="B736" t="s">
        <v>1034</v>
      </c>
      <c r="C736" t="s">
        <v>78</v>
      </c>
      <c r="D736" t="s">
        <v>1035</v>
      </c>
      <c r="E736" t="s">
        <v>1036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921</v>
      </c>
      <c r="B737" t="s">
        <v>1037</v>
      </c>
      <c r="C737" t="s">
        <v>78</v>
      </c>
      <c r="D737" t="s">
        <v>1038</v>
      </c>
      <c r="E737" t="s">
        <v>924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921</v>
      </c>
      <c r="B738" t="s">
        <v>1039</v>
      </c>
      <c r="C738" t="s">
        <v>78</v>
      </c>
      <c r="D738" t="s">
        <v>1040</v>
      </c>
      <c r="E738" t="s">
        <v>978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921</v>
      </c>
      <c r="B739" t="s">
        <v>1041</v>
      </c>
      <c r="C739" t="s">
        <v>78</v>
      </c>
      <c r="D739" t="s">
        <v>1042</v>
      </c>
      <c r="E739" t="s">
        <v>939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921</v>
      </c>
      <c r="B740" t="s">
        <v>1043</v>
      </c>
      <c r="C740" t="s">
        <v>78</v>
      </c>
      <c r="D740" t="s">
        <v>1044</v>
      </c>
      <c r="E740" t="s">
        <v>1036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921</v>
      </c>
      <c r="B741" t="s">
        <v>1045</v>
      </c>
      <c r="C741" t="s">
        <v>78</v>
      </c>
      <c r="D741" t="s">
        <v>1046</v>
      </c>
      <c r="E741" t="s">
        <v>978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921</v>
      </c>
      <c r="B742" t="s">
        <v>1047</v>
      </c>
      <c r="C742" t="s">
        <v>78</v>
      </c>
      <c r="D742" t="s">
        <v>1048</v>
      </c>
      <c r="E742" t="s">
        <v>947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921</v>
      </c>
      <c r="B743" t="s">
        <v>1049</v>
      </c>
      <c r="C743" t="s">
        <v>78</v>
      </c>
      <c r="D743" t="s">
        <v>1050</v>
      </c>
      <c r="E743" t="s">
        <v>1051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921</v>
      </c>
      <c r="B744" t="s">
        <v>1052</v>
      </c>
      <c r="C744" t="s">
        <v>78</v>
      </c>
      <c r="D744" t="s">
        <v>1053</v>
      </c>
      <c r="E744" t="s">
        <v>924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921</v>
      </c>
      <c r="B745" t="s">
        <v>474</v>
      </c>
      <c r="C745" t="s">
        <v>78</v>
      </c>
      <c r="D745" t="s">
        <v>1054</v>
      </c>
      <c r="E745" t="s">
        <v>1055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921</v>
      </c>
      <c r="B746" t="s">
        <v>126</v>
      </c>
      <c r="C746" t="s">
        <v>78</v>
      </c>
      <c r="D746" t="s">
        <v>1056</v>
      </c>
      <c r="E746" t="s">
        <v>996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921</v>
      </c>
      <c r="B747" t="s">
        <v>1057</v>
      </c>
      <c r="C747" t="s">
        <v>78</v>
      </c>
      <c r="D747" t="s">
        <v>1058</v>
      </c>
      <c r="E747" t="s">
        <v>1059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921</v>
      </c>
      <c r="B748" t="s">
        <v>1060</v>
      </c>
      <c r="C748" t="s">
        <v>78</v>
      </c>
      <c r="D748" t="s">
        <v>1061</v>
      </c>
      <c r="E748" t="s">
        <v>1062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921</v>
      </c>
      <c r="B749" t="s">
        <v>1063</v>
      </c>
      <c r="C749" t="s">
        <v>78</v>
      </c>
      <c r="D749" t="s">
        <v>1064</v>
      </c>
      <c r="E749" t="s">
        <v>1065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921</v>
      </c>
      <c r="B750" t="s">
        <v>1066</v>
      </c>
      <c r="C750" t="s">
        <v>78</v>
      </c>
      <c r="D750" t="s">
        <v>1067</v>
      </c>
      <c r="E750" t="s">
        <v>993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921</v>
      </c>
      <c r="B751" t="s">
        <v>1068</v>
      </c>
      <c r="C751" t="s">
        <v>78</v>
      </c>
      <c r="D751" t="s">
        <v>1069</v>
      </c>
      <c r="E751" t="s">
        <v>1018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921</v>
      </c>
      <c r="B752" t="s">
        <v>1070</v>
      </c>
      <c r="C752" t="s">
        <v>78</v>
      </c>
      <c r="D752" t="s">
        <v>1071</v>
      </c>
      <c r="E752" t="s">
        <v>924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921</v>
      </c>
      <c r="B753" t="s">
        <v>1072</v>
      </c>
      <c r="C753" t="s">
        <v>78</v>
      </c>
      <c r="D753" t="s">
        <v>1073</v>
      </c>
      <c r="E753" t="s">
        <v>1074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921</v>
      </c>
      <c r="B754" t="s">
        <v>1075</v>
      </c>
      <c r="C754" t="s">
        <v>78</v>
      </c>
      <c r="D754" t="s">
        <v>1076</v>
      </c>
      <c r="E754" t="s">
        <v>1077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921</v>
      </c>
      <c r="B755" t="s">
        <v>1078</v>
      </c>
      <c r="C755" t="s">
        <v>78</v>
      </c>
      <c r="D755" t="s">
        <v>1079</v>
      </c>
      <c r="E755" t="s">
        <v>1018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921</v>
      </c>
      <c r="B756" t="s">
        <v>1080</v>
      </c>
      <c r="C756" t="s">
        <v>78</v>
      </c>
      <c r="D756" t="s">
        <v>1081</v>
      </c>
      <c r="E756" t="s">
        <v>993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921</v>
      </c>
      <c r="B757" t="s">
        <v>1082</v>
      </c>
      <c r="C757" t="s">
        <v>78</v>
      </c>
      <c r="D757" t="s">
        <v>1083</v>
      </c>
      <c r="E757" t="s">
        <v>924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921</v>
      </c>
      <c r="B758" t="s">
        <v>1084</v>
      </c>
      <c r="C758" t="s">
        <v>78</v>
      </c>
      <c r="D758" t="s">
        <v>1085</v>
      </c>
      <c r="E758" t="s">
        <v>1086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921</v>
      </c>
      <c r="B759" t="s">
        <v>1087</v>
      </c>
      <c r="C759" t="s">
        <v>78</v>
      </c>
      <c r="D759" t="s">
        <v>1088</v>
      </c>
      <c r="E759" t="s">
        <v>996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921</v>
      </c>
      <c r="B760" t="s">
        <v>1089</v>
      </c>
      <c r="C760" t="s">
        <v>78</v>
      </c>
      <c r="D760" t="s">
        <v>1090</v>
      </c>
      <c r="E760" t="s">
        <v>1077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921</v>
      </c>
      <c r="B761" t="s">
        <v>1091</v>
      </c>
      <c r="C761" t="s">
        <v>78</v>
      </c>
      <c r="D761" t="s">
        <v>1092</v>
      </c>
      <c r="E761" t="s">
        <v>1093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921</v>
      </c>
      <c r="B762" t="s">
        <v>1094</v>
      </c>
      <c r="C762" t="s">
        <v>78</v>
      </c>
      <c r="D762" t="s">
        <v>1095</v>
      </c>
      <c r="E762" t="s">
        <v>1096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921</v>
      </c>
      <c r="B763" t="s">
        <v>1097</v>
      </c>
      <c r="C763" t="s">
        <v>78</v>
      </c>
      <c r="D763" t="s">
        <v>1098</v>
      </c>
      <c r="E763" t="s">
        <v>1013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921</v>
      </c>
      <c r="B764" t="s">
        <v>1099</v>
      </c>
      <c r="C764" t="s">
        <v>78</v>
      </c>
      <c r="D764" t="s">
        <v>1100</v>
      </c>
      <c r="E764" t="s">
        <v>1096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921</v>
      </c>
      <c r="B765" t="s">
        <v>1101</v>
      </c>
      <c r="C765" t="s">
        <v>78</v>
      </c>
      <c r="D765" t="s">
        <v>1102</v>
      </c>
      <c r="E765" t="s">
        <v>1086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921</v>
      </c>
      <c r="B766" t="s">
        <v>1103</v>
      </c>
      <c r="C766" t="s">
        <v>78</v>
      </c>
      <c r="D766" t="s">
        <v>1104</v>
      </c>
      <c r="E766" t="s">
        <v>1105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921</v>
      </c>
      <c r="B767" t="s">
        <v>1106</v>
      </c>
      <c r="C767" t="s">
        <v>78</v>
      </c>
      <c r="D767" t="s">
        <v>1107</v>
      </c>
      <c r="E767" t="s">
        <v>1108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921</v>
      </c>
      <c r="B768" t="s">
        <v>1109</v>
      </c>
      <c r="C768" t="s">
        <v>78</v>
      </c>
      <c r="D768" t="s">
        <v>1110</v>
      </c>
      <c r="E768" t="s">
        <v>1096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921</v>
      </c>
      <c r="B769" t="s">
        <v>1111</v>
      </c>
      <c r="C769" t="s">
        <v>78</v>
      </c>
      <c r="D769" t="s">
        <v>1110</v>
      </c>
      <c r="E769" t="s">
        <v>953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921</v>
      </c>
      <c r="B770" t="s">
        <v>1112</v>
      </c>
      <c r="C770" t="s">
        <v>78</v>
      </c>
      <c r="D770" t="s">
        <v>1110</v>
      </c>
      <c r="E770" t="s">
        <v>927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921</v>
      </c>
      <c r="B771" t="s">
        <v>1113</v>
      </c>
      <c r="C771" t="s">
        <v>78</v>
      </c>
      <c r="D771" t="s">
        <v>1114</v>
      </c>
      <c r="E771" t="s">
        <v>1105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921</v>
      </c>
      <c r="B772" t="s">
        <v>1115</v>
      </c>
      <c r="C772" t="s">
        <v>78</v>
      </c>
      <c r="D772" t="s">
        <v>1116</v>
      </c>
      <c r="E772" t="s">
        <v>1018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921</v>
      </c>
      <c r="B773" t="s">
        <v>1117</v>
      </c>
      <c r="C773" t="s">
        <v>78</v>
      </c>
      <c r="D773" t="s">
        <v>1118</v>
      </c>
      <c r="E773" t="s">
        <v>978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921</v>
      </c>
      <c r="B774" t="s">
        <v>1119</v>
      </c>
      <c r="C774" t="s">
        <v>78</v>
      </c>
      <c r="D774" t="s">
        <v>1120</v>
      </c>
      <c r="E774" t="s">
        <v>947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921</v>
      </c>
      <c r="B775" t="s">
        <v>1121</v>
      </c>
      <c r="C775" t="s">
        <v>78</v>
      </c>
      <c r="D775" t="s">
        <v>1122</v>
      </c>
      <c r="E775" t="s">
        <v>1108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921</v>
      </c>
      <c r="B776" t="s">
        <v>1123</v>
      </c>
      <c r="C776" t="s">
        <v>78</v>
      </c>
      <c r="D776" t="s">
        <v>1124</v>
      </c>
      <c r="E776" t="s">
        <v>1105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921</v>
      </c>
      <c r="B777" t="s">
        <v>1125</v>
      </c>
      <c r="C777" t="s">
        <v>78</v>
      </c>
      <c r="D777" t="s">
        <v>1126</v>
      </c>
      <c r="E777" t="s">
        <v>1018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921</v>
      </c>
      <c r="B778" t="s">
        <v>1127</v>
      </c>
      <c r="C778" t="s">
        <v>78</v>
      </c>
      <c r="D778" t="s">
        <v>1128</v>
      </c>
      <c r="E778" t="s">
        <v>1018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921</v>
      </c>
      <c r="B779" t="s">
        <v>1129</v>
      </c>
      <c r="C779" t="s">
        <v>78</v>
      </c>
      <c r="D779" t="s">
        <v>1130</v>
      </c>
      <c r="E779" t="s">
        <v>996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921</v>
      </c>
      <c r="B780" t="s">
        <v>1131</v>
      </c>
      <c r="C780" t="s">
        <v>78</v>
      </c>
      <c r="D780" t="s">
        <v>1132</v>
      </c>
      <c r="E780" t="s">
        <v>996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921</v>
      </c>
      <c r="B781" t="s">
        <v>1133</v>
      </c>
      <c r="C781" t="s">
        <v>78</v>
      </c>
      <c r="D781" t="s">
        <v>1134</v>
      </c>
      <c r="E781" t="s">
        <v>1018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921</v>
      </c>
      <c r="B782" t="s">
        <v>1135</v>
      </c>
      <c r="C782" t="s">
        <v>78</v>
      </c>
      <c r="D782" t="s">
        <v>1136</v>
      </c>
      <c r="E782" t="s">
        <v>1137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921</v>
      </c>
      <c r="B783" t="s">
        <v>1138</v>
      </c>
      <c r="C783" t="s">
        <v>78</v>
      </c>
      <c r="D783" t="s">
        <v>1139</v>
      </c>
      <c r="E783" t="s">
        <v>1140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921</v>
      </c>
      <c r="B784" t="s">
        <v>1141</v>
      </c>
      <c r="C784" t="s">
        <v>78</v>
      </c>
      <c r="D784" t="s">
        <v>1142</v>
      </c>
      <c r="E784" t="s">
        <v>993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921</v>
      </c>
      <c r="B785" t="s">
        <v>1143</v>
      </c>
      <c r="C785" t="s">
        <v>78</v>
      </c>
      <c r="D785" t="s">
        <v>1144</v>
      </c>
      <c r="E785" t="s">
        <v>1024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921</v>
      </c>
      <c r="B786" t="s">
        <v>1145</v>
      </c>
      <c r="C786" t="s">
        <v>78</v>
      </c>
      <c r="D786" t="s">
        <v>1146</v>
      </c>
      <c r="E786" t="s">
        <v>1018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921</v>
      </c>
      <c r="B787" t="s">
        <v>1147</v>
      </c>
      <c r="C787" t="s">
        <v>78</v>
      </c>
      <c r="D787" t="s">
        <v>1148</v>
      </c>
      <c r="E787" t="s">
        <v>1140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921</v>
      </c>
      <c r="B788" t="s">
        <v>1149</v>
      </c>
      <c r="C788" t="s">
        <v>78</v>
      </c>
      <c r="D788" t="s">
        <v>1150</v>
      </c>
      <c r="E788" t="s">
        <v>1024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921</v>
      </c>
      <c r="B789" t="s">
        <v>1151</v>
      </c>
      <c r="C789" t="s">
        <v>78</v>
      </c>
      <c r="D789" t="s">
        <v>1152</v>
      </c>
      <c r="E789" t="s">
        <v>1153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921</v>
      </c>
      <c r="B790" t="s">
        <v>1154</v>
      </c>
      <c r="C790" t="s">
        <v>78</v>
      </c>
      <c r="D790" t="s">
        <v>1155</v>
      </c>
      <c r="E790" t="s">
        <v>1156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921</v>
      </c>
      <c r="B791" t="s">
        <v>1157</v>
      </c>
      <c r="C791" t="s">
        <v>78</v>
      </c>
      <c r="D791" t="s">
        <v>1158</v>
      </c>
      <c r="E791" t="s">
        <v>1013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921</v>
      </c>
      <c r="B792" t="s">
        <v>1159</v>
      </c>
      <c r="C792" t="s">
        <v>78</v>
      </c>
      <c r="D792" t="s">
        <v>1160</v>
      </c>
      <c r="E792" t="s">
        <v>1161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921</v>
      </c>
      <c r="B793" t="s">
        <v>1162</v>
      </c>
      <c r="C793" t="s">
        <v>78</v>
      </c>
      <c r="D793" t="s">
        <v>1163</v>
      </c>
      <c r="E793" t="s">
        <v>1164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921</v>
      </c>
      <c r="B794" t="s">
        <v>142</v>
      </c>
      <c r="C794" t="s">
        <v>78</v>
      </c>
      <c r="D794" t="s">
        <v>1165</v>
      </c>
      <c r="E794" t="s">
        <v>1166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921</v>
      </c>
      <c r="B795" t="s">
        <v>1167</v>
      </c>
      <c r="C795" t="s">
        <v>78</v>
      </c>
      <c r="D795" t="s">
        <v>1168</v>
      </c>
      <c r="E795" t="s">
        <v>1169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921</v>
      </c>
      <c r="B796" t="s">
        <v>1170</v>
      </c>
      <c r="C796" t="s">
        <v>78</v>
      </c>
      <c r="D796" t="s">
        <v>1171</v>
      </c>
      <c r="E796" t="s">
        <v>1086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921</v>
      </c>
      <c r="B797" t="s">
        <v>1172</v>
      </c>
      <c r="C797" t="s">
        <v>78</v>
      </c>
      <c r="D797" t="s">
        <v>1173</v>
      </c>
      <c r="E797" t="s">
        <v>1086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921</v>
      </c>
      <c r="B798" t="s">
        <v>1174</v>
      </c>
      <c r="C798" t="s">
        <v>78</v>
      </c>
      <c r="D798" t="s">
        <v>1175</v>
      </c>
      <c r="E798" t="s">
        <v>1176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921</v>
      </c>
      <c r="B799" t="s">
        <v>1177</v>
      </c>
      <c r="C799" t="s">
        <v>78</v>
      </c>
      <c r="D799" t="s">
        <v>1178</v>
      </c>
      <c r="E799" t="s">
        <v>1096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921</v>
      </c>
      <c r="B800" t="s">
        <v>1179</v>
      </c>
      <c r="C800" t="s">
        <v>78</v>
      </c>
      <c r="D800" t="s">
        <v>1180</v>
      </c>
      <c r="E800" t="s">
        <v>1169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921</v>
      </c>
      <c r="B801" t="s">
        <v>1181</v>
      </c>
      <c r="C801" t="s">
        <v>78</v>
      </c>
      <c r="D801" t="s">
        <v>1182</v>
      </c>
      <c r="E801" t="s">
        <v>1164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921</v>
      </c>
      <c r="B802" t="s">
        <v>1183</v>
      </c>
      <c r="C802" t="s">
        <v>78</v>
      </c>
      <c r="D802" t="s">
        <v>1184</v>
      </c>
      <c r="E802" t="s">
        <v>1161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921</v>
      </c>
      <c r="B803" t="s">
        <v>1185</v>
      </c>
      <c r="C803" t="s">
        <v>78</v>
      </c>
      <c r="D803" t="s">
        <v>1186</v>
      </c>
      <c r="E803" t="s">
        <v>1164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921</v>
      </c>
      <c r="B804" t="s">
        <v>1187</v>
      </c>
      <c r="C804" t="s">
        <v>78</v>
      </c>
      <c r="D804" t="s">
        <v>1188</v>
      </c>
      <c r="E804" t="s">
        <v>1096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921</v>
      </c>
      <c r="B805" t="s">
        <v>1189</v>
      </c>
      <c r="C805" t="s">
        <v>78</v>
      </c>
      <c r="D805" t="s">
        <v>1190</v>
      </c>
      <c r="E805" t="s">
        <v>1161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921</v>
      </c>
      <c r="B806" t="s">
        <v>1191</v>
      </c>
      <c r="C806" t="s">
        <v>78</v>
      </c>
      <c r="D806" t="s">
        <v>1192</v>
      </c>
      <c r="E806" t="s">
        <v>1166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921</v>
      </c>
      <c r="B807" t="s">
        <v>1193</v>
      </c>
      <c r="C807" t="s">
        <v>78</v>
      </c>
      <c r="D807" t="s">
        <v>1194</v>
      </c>
      <c r="E807" t="s">
        <v>1166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921</v>
      </c>
      <c r="B808" t="s">
        <v>1195</v>
      </c>
      <c r="C808" t="s">
        <v>78</v>
      </c>
      <c r="D808" t="s">
        <v>1196</v>
      </c>
      <c r="E808" t="s">
        <v>1166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921</v>
      </c>
      <c r="B809" t="s">
        <v>1197</v>
      </c>
      <c r="C809" t="s">
        <v>78</v>
      </c>
      <c r="D809" t="s">
        <v>1198</v>
      </c>
      <c r="E809" t="s">
        <v>1199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921</v>
      </c>
      <c r="B810" t="s">
        <v>1200</v>
      </c>
      <c r="C810" t="s">
        <v>78</v>
      </c>
      <c r="D810" t="s">
        <v>78</v>
      </c>
      <c r="E810" t="s">
        <v>1201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921</v>
      </c>
      <c r="B811" t="s">
        <v>1202</v>
      </c>
      <c r="C811" t="s">
        <v>78</v>
      </c>
      <c r="D811" t="s">
        <v>78</v>
      </c>
      <c r="E811" t="s">
        <v>1203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921</v>
      </c>
      <c r="B812" t="s">
        <v>1204</v>
      </c>
      <c r="C812" t="s">
        <v>78</v>
      </c>
      <c r="D812" t="s">
        <v>78</v>
      </c>
      <c r="E812" t="s">
        <v>1205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921</v>
      </c>
      <c r="B813" t="s">
        <v>1206</v>
      </c>
      <c r="C813" t="s">
        <v>78</v>
      </c>
      <c r="D813" t="s">
        <v>78</v>
      </c>
      <c r="E813" t="s">
        <v>1207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921</v>
      </c>
      <c r="B814" t="s">
        <v>1208</v>
      </c>
      <c r="C814" t="s">
        <v>78</v>
      </c>
      <c r="D814" t="s">
        <v>78</v>
      </c>
      <c r="E814" t="s">
        <v>1201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921</v>
      </c>
      <c r="B815" t="s">
        <v>1209</v>
      </c>
      <c r="C815" t="s">
        <v>78</v>
      </c>
      <c r="D815" t="s">
        <v>78</v>
      </c>
      <c r="E815" t="s">
        <v>1210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921</v>
      </c>
      <c r="B816" t="s">
        <v>1211</v>
      </c>
      <c r="C816" t="s">
        <v>78</v>
      </c>
      <c r="D816" t="s">
        <v>78</v>
      </c>
      <c r="E816" t="s">
        <v>1212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921</v>
      </c>
      <c r="B817" t="s">
        <v>1213</v>
      </c>
      <c r="C817" t="s">
        <v>78</v>
      </c>
      <c r="D817" t="s">
        <v>78</v>
      </c>
      <c r="E817" t="s">
        <v>1203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921</v>
      </c>
      <c r="B818" t="s">
        <v>158</v>
      </c>
      <c r="C818" t="s">
        <v>78</v>
      </c>
      <c r="D818" t="s">
        <v>78</v>
      </c>
      <c r="E818" t="s">
        <v>1214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921</v>
      </c>
      <c r="B819" t="s">
        <v>1215</v>
      </c>
      <c r="C819" t="s">
        <v>78</v>
      </c>
      <c r="D819" t="s">
        <v>78</v>
      </c>
      <c r="E819" t="s">
        <v>1216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921</v>
      </c>
      <c r="B820" t="s">
        <v>160</v>
      </c>
      <c r="C820" t="s">
        <v>78</v>
      </c>
      <c r="D820" t="s">
        <v>78</v>
      </c>
      <c r="E820" t="s">
        <v>1217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921</v>
      </c>
      <c r="B821" t="s">
        <v>1218</v>
      </c>
      <c r="C821" t="s">
        <v>78</v>
      </c>
      <c r="D821" t="s">
        <v>78</v>
      </c>
      <c r="E821" t="s">
        <v>1219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921</v>
      </c>
      <c r="B822" t="s">
        <v>1220</v>
      </c>
      <c r="C822" t="s">
        <v>78</v>
      </c>
      <c r="D822" t="s">
        <v>78</v>
      </c>
      <c r="E822" t="s">
        <v>1210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921</v>
      </c>
      <c r="B823" t="s">
        <v>1221</v>
      </c>
      <c r="C823" t="s">
        <v>78</v>
      </c>
      <c r="D823" t="s">
        <v>78</v>
      </c>
      <c r="E823" t="s">
        <v>1199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921</v>
      </c>
      <c r="B824" t="s">
        <v>1222</v>
      </c>
      <c r="C824" t="s">
        <v>78</v>
      </c>
      <c r="D824" t="s">
        <v>78</v>
      </c>
      <c r="E824" t="s">
        <v>1207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921</v>
      </c>
      <c r="B825" t="s">
        <v>1223</v>
      </c>
      <c r="C825" t="s">
        <v>78</v>
      </c>
      <c r="D825" t="s">
        <v>78</v>
      </c>
      <c r="E825" t="s">
        <v>1224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921</v>
      </c>
      <c r="B826" t="s">
        <v>1225</v>
      </c>
      <c r="C826" t="s">
        <v>78</v>
      </c>
      <c r="D826" t="s">
        <v>78</v>
      </c>
      <c r="E826" t="s">
        <v>1205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921</v>
      </c>
      <c r="B827" t="s">
        <v>1226</v>
      </c>
      <c r="C827" t="s">
        <v>78</v>
      </c>
      <c r="D827" t="s">
        <v>78</v>
      </c>
      <c r="E827" t="s">
        <v>1214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921</v>
      </c>
      <c r="B828" t="s">
        <v>1227</v>
      </c>
      <c r="C828" t="s">
        <v>78</v>
      </c>
      <c r="D828" t="s">
        <v>78</v>
      </c>
      <c r="E828" t="s">
        <v>1216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921</v>
      </c>
      <c r="B829" t="s">
        <v>1228</v>
      </c>
      <c r="C829" t="s">
        <v>78</v>
      </c>
      <c r="D829" t="s">
        <v>78</v>
      </c>
      <c r="E829" t="s">
        <v>1217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921</v>
      </c>
      <c r="B830" t="s">
        <v>1229</v>
      </c>
      <c r="C830" t="s">
        <v>78</v>
      </c>
      <c r="D830" t="s">
        <v>78</v>
      </c>
      <c r="E830" t="s">
        <v>1219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921</v>
      </c>
      <c r="B831" t="s">
        <v>1230</v>
      </c>
      <c r="C831" t="s">
        <v>78</v>
      </c>
      <c r="D831" t="s">
        <v>78</v>
      </c>
      <c r="E831" t="s">
        <v>1210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921</v>
      </c>
      <c r="B832" t="s">
        <v>1231</v>
      </c>
      <c r="C832" t="s">
        <v>78</v>
      </c>
      <c r="D832" t="s">
        <v>78</v>
      </c>
      <c r="E832" t="s">
        <v>1199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921</v>
      </c>
      <c r="B833" t="s">
        <v>1232</v>
      </c>
      <c r="C833" t="s">
        <v>78</v>
      </c>
      <c r="D833" t="s">
        <v>78</v>
      </c>
      <c r="E833" t="s">
        <v>1217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921</v>
      </c>
      <c r="B834" t="s">
        <v>1233</v>
      </c>
      <c r="C834" t="s">
        <v>78</v>
      </c>
      <c r="D834" t="s">
        <v>78</v>
      </c>
      <c r="E834" t="s">
        <v>1219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921</v>
      </c>
      <c r="B835" t="s">
        <v>1234</v>
      </c>
      <c r="C835" t="s">
        <v>78</v>
      </c>
      <c r="D835" t="s">
        <v>78</v>
      </c>
      <c r="E835" t="s">
        <v>895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921</v>
      </c>
      <c r="B836" t="s">
        <v>1235</v>
      </c>
      <c r="C836" t="s">
        <v>78</v>
      </c>
      <c r="D836" t="s">
        <v>78</v>
      </c>
      <c r="E836" t="s">
        <v>895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921</v>
      </c>
      <c r="B837" t="s">
        <v>1236</v>
      </c>
      <c r="C837" t="s">
        <v>78</v>
      </c>
      <c r="D837" t="s">
        <v>1237</v>
      </c>
      <c r="E837" t="s">
        <v>1238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921</v>
      </c>
      <c r="B838" t="s">
        <v>1239</v>
      </c>
      <c r="C838" t="s">
        <v>78</v>
      </c>
      <c r="D838" t="s">
        <v>1240</v>
      </c>
      <c r="E838" t="s">
        <v>1214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921</v>
      </c>
      <c r="B839" t="s">
        <v>1241</v>
      </c>
      <c r="C839" t="s">
        <v>78</v>
      </c>
      <c r="D839" t="s">
        <v>1240</v>
      </c>
      <c r="E839" t="s">
        <v>1216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921</v>
      </c>
      <c r="B840" t="s">
        <v>1242</v>
      </c>
      <c r="C840" t="s">
        <v>78</v>
      </c>
      <c r="D840" t="s">
        <v>78</v>
      </c>
      <c r="E840" t="s">
        <v>252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921</v>
      </c>
      <c r="B841" t="s">
        <v>1243</v>
      </c>
      <c r="C841" t="s">
        <v>78</v>
      </c>
      <c r="D841" t="s">
        <v>78</v>
      </c>
      <c r="E841" t="s">
        <v>252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921</v>
      </c>
      <c r="B842" t="s">
        <v>1244</v>
      </c>
      <c r="C842" t="s">
        <v>78</v>
      </c>
      <c r="D842" t="s">
        <v>78</v>
      </c>
      <c r="E842" t="s">
        <v>252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921</v>
      </c>
      <c r="B843" t="s">
        <v>1245</v>
      </c>
      <c r="C843" t="s">
        <v>78</v>
      </c>
      <c r="D843" t="s">
        <v>78</v>
      </c>
      <c r="E843" t="s">
        <v>252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921</v>
      </c>
      <c r="B844" t="s">
        <v>1246</v>
      </c>
      <c r="C844" t="s">
        <v>78</v>
      </c>
      <c r="D844" t="s">
        <v>78</v>
      </c>
      <c r="E844" t="s">
        <v>252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921</v>
      </c>
      <c r="B845" t="s">
        <v>1247</v>
      </c>
      <c r="C845" t="s">
        <v>78</v>
      </c>
      <c r="D845" t="s">
        <v>78</v>
      </c>
      <c r="E845" t="s">
        <v>252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921</v>
      </c>
      <c r="B846" t="s">
        <v>1248</v>
      </c>
      <c r="C846" t="s">
        <v>78</v>
      </c>
      <c r="D846" t="s">
        <v>78</v>
      </c>
      <c r="E846" t="s">
        <v>252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921</v>
      </c>
      <c r="B847" t="s">
        <v>642</v>
      </c>
      <c r="C847" t="s">
        <v>78</v>
      </c>
      <c r="D847" t="s">
        <v>78</v>
      </c>
      <c r="E847" t="s">
        <v>1216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921</v>
      </c>
      <c r="B848" t="s">
        <v>229</v>
      </c>
      <c r="C848" t="s">
        <v>78</v>
      </c>
      <c r="D848" t="s">
        <v>78</v>
      </c>
      <c r="E848" t="s">
        <v>1216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921</v>
      </c>
      <c r="B849" t="s">
        <v>643</v>
      </c>
      <c r="C849" t="s">
        <v>78</v>
      </c>
      <c r="D849" t="s">
        <v>78</v>
      </c>
      <c r="E849" t="s">
        <v>1216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921</v>
      </c>
      <c r="B850" t="s">
        <v>230</v>
      </c>
      <c r="C850" t="s">
        <v>78</v>
      </c>
      <c r="D850" t="s">
        <v>78</v>
      </c>
      <c r="E850" t="s">
        <v>1216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921</v>
      </c>
      <c r="B851" t="s">
        <v>231</v>
      </c>
      <c r="C851" t="s">
        <v>78</v>
      </c>
      <c r="D851" t="s">
        <v>78</v>
      </c>
      <c r="E851" t="s">
        <v>1216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921</v>
      </c>
      <c r="B852" t="s">
        <v>1249</v>
      </c>
      <c r="C852" t="s">
        <v>78</v>
      </c>
      <c r="D852" t="s">
        <v>78</v>
      </c>
      <c r="E852" t="s">
        <v>1216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921</v>
      </c>
      <c r="B853" t="s">
        <v>1250</v>
      </c>
      <c r="C853" t="s">
        <v>78</v>
      </c>
      <c r="D853" t="s">
        <v>78</v>
      </c>
      <c r="E853" t="s">
        <v>1216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921</v>
      </c>
      <c r="B854" t="s">
        <v>1251</v>
      </c>
      <c r="C854" t="s">
        <v>78</v>
      </c>
      <c r="D854" t="s">
        <v>78</v>
      </c>
      <c r="E854" t="s">
        <v>1252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921</v>
      </c>
      <c r="B855" t="s">
        <v>1253</v>
      </c>
      <c r="C855" t="s">
        <v>78</v>
      </c>
      <c r="D855" t="s">
        <v>78</v>
      </c>
      <c r="E855" t="s">
        <v>1254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921</v>
      </c>
      <c r="B856" t="s">
        <v>1255</v>
      </c>
      <c r="C856" t="s">
        <v>78</v>
      </c>
      <c r="D856" t="s">
        <v>1256</v>
      </c>
      <c r="E856" t="s">
        <v>1257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921</v>
      </c>
      <c r="B857" t="s">
        <v>1258</v>
      </c>
      <c r="C857" t="s">
        <v>78</v>
      </c>
      <c r="D857" t="s">
        <v>78</v>
      </c>
      <c r="E857" t="s">
        <v>1252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921</v>
      </c>
      <c r="B858" t="s">
        <v>1259</v>
      </c>
      <c r="C858" t="s">
        <v>78</v>
      </c>
      <c r="D858" t="s">
        <v>78</v>
      </c>
      <c r="E858" t="s">
        <v>1252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921</v>
      </c>
      <c r="B859" t="s">
        <v>1260</v>
      </c>
      <c r="C859" t="s">
        <v>78</v>
      </c>
      <c r="D859" t="s">
        <v>78</v>
      </c>
      <c r="E859" t="s">
        <v>1252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921</v>
      </c>
      <c r="B860" t="s">
        <v>1261</v>
      </c>
      <c r="C860" t="s">
        <v>78</v>
      </c>
      <c r="D860" t="s">
        <v>78</v>
      </c>
      <c r="E860" t="s">
        <v>1252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921</v>
      </c>
      <c r="B861" t="s">
        <v>1262</v>
      </c>
      <c r="C861" t="s">
        <v>78</v>
      </c>
      <c r="D861" t="s">
        <v>78</v>
      </c>
      <c r="E861" t="s">
        <v>1263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921</v>
      </c>
      <c r="B862" t="s">
        <v>242</v>
      </c>
      <c r="C862" t="s">
        <v>78</v>
      </c>
      <c r="D862" t="s">
        <v>78</v>
      </c>
      <c r="E862" t="s">
        <v>1217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921</v>
      </c>
      <c r="B863" t="s">
        <v>1264</v>
      </c>
      <c r="C863" t="s">
        <v>78</v>
      </c>
      <c r="D863" t="s">
        <v>78</v>
      </c>
      <c r="E863" t="s">
        <v>1217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921</v>
      </c>
      <c r="B864" t="s">
        <v>1265</v>
      </c>
      <c r="C864" t="s">
        <v>78</v>
      </c>
      <c r="D864" t="s">
        <v>78</v>
      </c>
      <c r="E864" t="s">
        <v>1217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921</v>
      </c>
      <c r="B865" t="s">
        <v>327</v>
      </c>
      <c r="C865" t="s">
        <v>78</v>
      </c>
      <c r="D865" t="s">
        <v>78</v>
      </c>
      <c r="E865" t="s">
        <v>1217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921</v>
      </c>
      <c r="B866" t="s">
        <v>1266</v>
      </c>
      <c r="C866" t="s">
        <v>78</v>
      </c>
      <c r="D866" t="s">
        <v>78</v>
      </c>
      <c r="E866" t="s">
        <v>1217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921</v>
      </c>
      <c r="B867" t="s">
        <v>1267</v>
      </c>
      <c r="C867" t="s">
        <v>78</v>
      </c>
      <c r="D867" t="s">
        <v>78</v>
      </c>
      <c r="E867" t="s">
        <v>1217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921</v>
      </c>
      <c r="B868" t="s">
        <v>1268</v>
      </c>
      <c r="C868" t="s">
        <v>78</v>
      </c>
      <c r="D868" t="s">
        <v>78</v>
      </c>
      <c r="E868" t="s">
        <v>1217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921</v>
      </c>
      <c r="B869" t="s">
        <v>1269</v>
      </c>
      <c r="C869" t="s">
        <v>78</v>
      </c>
      <c r="D869" t="s">
        <v>78</v>
      </c>
      <c r="E869" t="s">
        <v>241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921</v>
      </c>
      <c r="B870" t="s">
        <v>1270</v>
      </c>
      <c r="C870" t="s">
        <v>78</v>
      </c>
      <c r="D870" t="s">
        <v>78</v>
      </c>
      <c r="E870" t="s">
        <v>241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921</v>
      </c>
      <c r="B871" t="s">
        <v>1271</v>
      </c>
      <c r="C871" t="s">
        <v>78</v>
      </c>
      <c r="D871" t="s">
        <v>78</v>
      </c>
      <c r="E871" t="s">
        <v>241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921</v>
      </c>
      <c r="B872" t="s">
        <v>556</v>
      </c>
      <c r="C872" t="s">
        <v>78</v>
      </c>
      <c r="D872" t="s">
        <v>78</v>
      </c>
      <c r="E872" t="s">
        <v>241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921</v>
      </c>
      <c r="B873" t="s">
        <v>1272</v>
      </c>
      <c r="C873" t="s">
        <v>78</v>
      </c>
      <c r="D873" t="s">
        <v>78</v>
      </c>
      <c r="E873" t="s">
        <v>241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921</v>
      </c>
      <c r="B874" t="s">
        <v>1273</v>
      </c>
      <c r="C874" t="s">
        <v>78</v>
      </c>
      <c r="D874" t="s">
        <v>78</v>
      </c>
      <c r="E874" t="s">
        <v>241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921</v>
      </c>
      <c r="B875" t="s">
        <v>1274</v>
      </c>
      <c r="C875" t="s">
        <v>78</v>
      </c>
      <c r="D875" t="s">
        <v>78</v>
      </c>
      <c r="E875" t="s">
        <v>286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1278</v>
      </c>
      <c r="B876" t="s">
        <v>416</v>
      </c>
      <c r="C876" t="s">
        <v>78</v>
      </c>
      <c r="D876" t="s">
        <v>1279</v>
      </c>
      <c r="E876" t="s">
        <v>1169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1278</v>
      </c>
      <c r="B877" t="s">
        <v>1280</v>
      </c>
      <c r="C877" t="s">
        <v>78</v>
      </c>
      <c r="D877" t="s">
        <v>1281</v>
      </c>
      <c r="E877" t="s">
        <v>1108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1278</v>
      </c>
      <c r="B878" t="s">
        <v>1282</v>
      </c>
      <c r="C878" t="s">
        <v>78</v>
      </c>
      <c r="D878" t="s">
        <v>1283</v>
      </c>
      <c r="E878" t="s">
        <v>1284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1278</v>
      </c>
      <c r="B879" t="s">
        <v>1285</v>
      </c>
      <c r="C879" t="s">
        <v>78</v>
      </c>
      <c r="D879" t="s">
        <v>1286</v>
      </c>
      <c r="E879" t="s">
        <v>1176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1278</v>
      </c>
      <c r="B880" t="s">
        <v>1287</v>
      </c>
      <c r="C880" t="s">
        <v>78</v>
      </c>
      <c r="D880" t="s">
        <v>1288</v>
      </c>
      <c r="E880" t="s">
        <v>1199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1278</v>
      </c>
      <c r="B881" t="s">
        <v>1289</v>
      </c>
      <c r="C881" t="s">
        <v>78</v>
      </c>
      <c r="D881" t="s">
        <v>1290</v>
      </c>
      <c r="E881" t="s">
        <v>1291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1278</v>
      </c>
      <c r="B882" t="s">
        <v>1292</v>
      </c>
      <c r="C882" t="s">
        <v>78</v>
      </c>
      <c r="D882" t="s">
        <v>1293</v>
      </c>
      <c r="E882" t="s">
        <v>1291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1278</v>
      </c>
      <c r="B883" t="s">
        <v>1294</v>
      </c>
      <c r="C883" t="s">
        <v>78</v>
      </c>
      <c r="D883" t="s">
        <v>1295</v>
      </c>
      <c r="E883" t="s">
        <v>1296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1278</v>
      </c>
      <c r="B884" t="s">
        <v>1297</v>
      </c>
      <c r="C884" t="s">
        <v>78</v>
      </c>
      <c r="D884" t="s">
        <v>1298</v>
      </c>
      <c r="E884" t="s">
        <v>401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1278</v>
      </c>
      <c r="B885" t="s">
        <v>1299</v>
      </c>
      <c r="C885" t="s">
        <v>78</v>
      </c>
      <c r="D885" t="s">
        <v>1300</v>
      </c>
      <c r="E885" t="s">
        <v>1169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1278</v>
      </c>
      <c r="B886" t="s">
        <v>1301</v>
      </c>
      <c r="C886" t="s">
        <v>78</v>
      </c>
      <c r="D886" t="s">
        <v>1302</v>
      </c>
      <c r="E886" t="s">
        <v>1176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1278</v>
      </c>
      <c r="B887" t="s">
        <v>1303</v>
      </c>
      <c r="C887" t="s">
        <v>78</v>
      </c>
      <c r="D887" t="s">
        <v>1304</v>
      </c>
      <c r="E887" t="s">
        <v>1176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1278</v>
      </c>
      <c r="B888" t="s">
        <v>1305</v>
      </c>
      <c r="C888" t="s">
        <v>78</v>
      </c>
      <c r="D888" t="s">
        <v>1306</v>
      </c>
      <c r="E888" t="s">
        <v>1169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1278</v>
      </c>
      <c r="B889" t="s">
        <v>1307</v>
      </c>
      <c r="C889" t="s">
        <v>78</v>
      </c>
      <c r="D889" t="s">
        <v>1308</v>
      </c>
      <c r="E889" t="s">
        <v>1105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1278</v>
      </c>
      <c r="B890" t="s">
        <v>1309</v>
      </c>
      <c r="C890" t="s">
        <v>78</v>
      </c>
      <c r="D890" t="s">
        <v>1310</v>
      </c>
      <c r="E890" t="s">
        <v>1086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1278</v>
      </c>
      <c r="B891" t="s">
        <v>1311</v>
      </c>
      <c r="C891" t="s">
        <v>78</v>
      </c>
      <c r="D891" t="s">
        <v>1312</v>
      </c>
      <c r="E891" t="s">
        <v>1086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1278</v>
      </c>
      <c r="B892" t="s">
        <v>1313</v>
      </c>
      <c r="C892" t="s">
        <v>78</v>
      </c>
      <c r="D892" t="s">
        <v>1314</v>
      </c>
      <c r="E892" t="s">
        <v>1074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1278</v>
      </c>
      <c r="B893" t="s">
        <v>1315</v>
      </c>
      <c r="C893" t="s">
        <v>78</v>
      </c>
      <c r="D893" t="s">
        <v>1316</v>
      </c>
      <c r="E893" t="s">
        <v>1176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1278</v>
      </c>
      <c r="B894" t="s">
        <v>1317</v>
      </c>
      <c r="C894" t="s">
        <v>78</v>
      </c>
      <c r="D894" t="s">
        <v>1318</v>
      </c>
      <c r="E894" t="s">
        <v>1013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1278</v>
      </c>
      <c r="B895" t="s">
        <v>1319</v>
      </c>
      <c r="C895" t="s">
        <v>78</v>
      </c>
      <c r="D895" t="s">
        <v>1320</v>
      </c>
      <c r="E895" t="s">
        <v>1105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1278</v>
      </c>
      <c r="B896" t="s">
        <v>1321</v>
      </c>
      <c r="C896" t="s">
        <v>78</v>
      </c>
      <c r="D896" t="s">
        <v>1322</v>
      </c>
      <c r="E896" t="s">
        <v>1203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1278</v>
      </c>
      <c r="B897" t="s">
        <v>1323</v>
      </c>
      <c r="C897" t="s">
        <v>78</v>
      </c>
      <c r="D897" t="s">
        <v>1324</v>
      </c>
      <c r="E897" t="s">
        <v>1156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1278</v>
      </c>
      <c r="B898" t="s">
        <v>1325</v>
      </c>
      <c r="C898" t="s">
        <v>78</v>
      </c>
      <c r="D898" t="s">
        <v>1326</v>
      </c>
      <c r="E898" t="s">
        <v>1327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1278</v>
      </c>
      <c r="B899" t="s">
        <v>1328</v>
      </c>
      <c r="C899" t="s">
        <v>78</v>
      </c>
      <c r="D899" t="s">
        <v>1329</v>
      </c>
      <c r="E899" t="s">
        <v>1169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1278</v>
      </c>
      <c r="B900" t="s">
        <v>1330</v>
      </c>
      <c r="C900" t="s">
        <v>78</v>
      </c>
      <c r="D900" t="s">
        <v>1331</v>
      </c>
      <c r="E900" t="s">
        <v>1332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1278</v>
      </c>
      <c r="B901" t="s">
        <v>1333</v>
      </c>
      <c r="C901" t="s">
        <v>78</v>
      </c>
      <c r="D901" t="s">
        <v>1334</v>
      </c>
      <c r="E901" t="s">
        <v>1018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1278</v>
      </c>
      <c r="B902" t="s">
        <v>1335</v>
      </c>
      <c r="C902" t="s">
        <v>78</v>
      </c>
      <c r="D902" t="s">
        <v>1336</v>
      </c>
      <c r="E902" t="s">
        <v>1018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1278</v>
      </c>
      <c r="B903" t="s">
        <v>1337</v>
      </c>
      <c r="C903" t="s">
        <v>78</v>
      </c>
      <c r="D903" t="s">
        <v>1338</v>
      </c>
      <c r="E903" t="s">
        <v>1086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1278</v>
      </c>
      <c r="B904" t="s">
        <v>1280</v>
      </c>
      <c r="C904" t="s">
        <v>78</v>
      </c>
      <c r="D904" t="s">
        <v>1281</v>
      </c>
      <c r="E904" t="s">
        <v>1108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1278</v>
      </c>
      <c r="B905" t="s">
        <v>474</v>
      </c>
      <c r="C905" t="s">
        <v>78</v>
      </c>
      <c r="D905" t="s">
        <v>1339</v>
      </c>
      <c r="E905" t="s">
        <v>1013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1278</v>
      </c>
      <c r="B906" t="s">
        <v>1340</v>
      </c>
      <c r="C906" t="s">
        <v>78</v>
      </c>
      <c r="D906" t="s">
        <v>1341</v>
      </c>
      <c r="E906" t="s">
        <v>1108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1278</v>
      </c>
      <c r="B907" t="s">
        <v>416</v>
      </c>
      <c r="C907" t="s">
        <v>78</v>
      </c>
      <c r="D907" t="s">
        <v>1279</v>
      </c>
      <c r="E907" t="s">
        <v>1169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1278</v>
      </c>
      <c r="B908" t="s">
        <v>497</v>
      </c>
      <c r="C908" t="s">
        <v>78</v>
      </c>
      <c r="D908" t="s">
        <v>1342</v>
      </c>
      <c r="E908" t="s">
        <v>1343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1278</v>
      </c>
      <c r="B909" t="s">
        <v>1344</v>
      </c>
      <c r="C909" t="s">
        <v>78</v>
      </c>
      <c r="D909" t="s">
        <v>1345</v>
      </c>
      <c r="E909" t="s">
        <v>1199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1278</v>
      </c>
      <c r="B910" t="s">
        <v>499</v>
      </c>
      <c r="C910" t="s">
        <v>78</v>
      </c>
      <c r="D910" t="s">
        <v>1346</v>
      </c>
      <c r="E910" t="s">
        <v>1166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1278</v>
      </c>
      <c r="B911" t="s">
        <v>1347</v>
      </c>
      <c r="C911" t="s">
        <v>78</v>
      </c>
      <c r="D911" t="s">
        <v>1348</v>
      </c>
      <c r="E911" t="s">
        <v>1224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1278</v>
      </c>
      <c r="B912" t="s">
        <v>1285</v>
      </c>
      <c r="C912" t="s">
        <v>78</v>
      </c>
      <c r="D912" t="s">
        <v>1286</v>
      </c>
      <c r="E912" t="s">
        <v>1176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1278</v>
      </c>
      <c r="B913" t="s">
        <v>1349</v>
      </c>
      <c r="C913" t="s">
        <v>78</v>
      </c>
      <c r="D913" t="s">
        <v>1350</v>
      </c>
      <c r="E913" t="s">
        <v>1203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1278</v>
      </c>
      <c r="B914" t="s">
        <v>1351</v>
      </c>
      <c r="C914" t="s">
        <v>78</v>
      </c>
      <c r="D914" t="s">
        <v>1352</v>
      </c>
      <c r="E914" t="s">
        <v>1166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1278</v>
      </c>
      <c r="B915" t="s">
        <v>1353</v>
      </c>
      <c r="C915" t="s">
        <v>78</v>
      </c>
      <c r="D915" t="s">
        <v>1354</v>
      </c>
      <c r="E915" t="s">
        <v>1284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1278</v>
      </c>
      <c r="B916" t="s">
        <v>1355</v>
      </c>
      <c r="C916" t="s">
        <v>78</v>
      </c>
      <c r="D916" t="s">
        <v>1356</v>
      </c>
      <c r="E916" t="s">
        <v>1203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1278</v>
      </c>
      <c r="B917" t="s">
        <v>1357</v>
      </c>
      <c r="C917" t="s">
        <v>78</v>
      </c>
      <c r="D917" t="s">
        <v>1358</v>
      </c>
      <c r="E917" t="s">
        <v>1284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1278</v>
      </c>
      <c r="B918" t="s">
        <v>1359</v>
      </c>
      <c r="C918" t="s">
        <v>78</v>
      </c>
      <c r="D918" t="s">
        <v>78</v>
      </c>
      <c r="E918" t="s">
        <v>1199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1278</v>
      </c>
      <c r="B919" t="s">
        <v>1287</v>
      </c>
      <c r="C919" t="s">
        <v>78</v>
      </c>
      <c r="D919" t="s">
        <v>1288</v>
      </c>
      <c r="E919" t="s">
        <v>1199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1278</v>
      </c>
      <c r="B920" t="s">
        <v>1360</v>
      </c>
      <c r="C920" t="s">
        <v>78</v>
      </c>
      <c r="D920" t="s">
        <v>1361</v>
      </c>
      <c r="E920" t="s">
        <v>1210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1278</v>
      </c>
      <c r="B921" t="s">
        <v>1362</v>
      </c>
      <c r="C921" t="s">
        <v>78</v>
      </c>
      <c r="D921" t="s">
        <v>1363</v>
      </c>
      <c r="E921" t="s">
        <v>1219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1278</v>
      </c>
      <c r="B922" t="s">
        <v>1282</v>
      </c>
      <c r="C922" t="s">
        <v>78</v>
      </c>
      <c r="D922" t="s">
        <v>1283</v>
      </c>
      <c r="E922" t="s">
        <v>1284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1278</v>
      </c>
      <c r="B923" t="s">
        <v>1364</v>
      </c>
      <c r="C923" t="s">
        <v>78</v>
      </c>
      <c r="D923" t="s">
        <v>1365</v>
      </c>
      <c r="E923" t="s">
        <v>1199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1278</v>
      </c>
      <c r="B924" t="s">
        <v>1366</v>
      </c>
      <c r="C924" t="s">
        <v>78</v>
      </c>
      <c r="D924" t="s">
        <v>1367</v>
      </c>
      <c r="E924" t="s">
        <v>1203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1278</v>
      </c>
      <c r="B925" t="s">
        <v>1368</v>
      </c>
      <c r="C925" t="s">
        <v>78</v>
      </c>
      <c r="D925" t="s">
        <v>1369</v>
      </c>
      <c r="E925" t="s">
        <v>1166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1278</v>
      </c>
      <c r="B926" t="s">
        <v>1370</v>
      </c>
      <c r="C926" t="s">
        <v>78</v>
      </c>
      <c r="D926" t="s">
        <v>1371</v>
      </c>
      <c r="E926" t="s">
        <v>1161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1278</v>
      </c>
      <c r="B927" t="s">
        <v>1372</v>
      </c>
      <c r="C927" t="s">
        <v>78</v>
      </c>
      <c r="D927" t="s">
        <v>1373</v>
      </c>
      <c r="E927" t="s">
        <v>1161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1278</v>
      </c>
      <c r="B928" t="s">
        <v>1374</v>
      </c>
      <c r="C928" t="s">
        <v>78</v>
      </c>
      <c r="D928" t="s">
        <v>1371</v>
      </c>
      <c r="E928" t="s">
        <v>1203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1278</v>
      </c>
      <c r="B929" t="s">
        <v>1375</v>
      </c>
      <c r="C929" t="s">
        <v>78</v>
      </c>
      <c r="D929" t="s">
        <v>1373</v>
      </c>
      <c r="E929" t="s">
        <v>1199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1278</v>
      </c>
      <c r="B930" t="s">
        <v>1376</v>
      </c>
      <c r="C930" t="s">
        <v>78</v>
      </c>
      <c r="D930" t="s">
        <v>1369</v>
      </c>
      <c r="E930" t="s">
        <v>1203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1278</v>
      </c>
      <c r="B931" t="s">
        <v>1377</v>
      </c>
      <c r="C931" t="s">
        <v>78</v>
      </c>
      <c r="D931" t="s">
        <v>1378</v>
      </c>
      <c r="E931" t="s">
        <v>1203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1278</v>
      </c>
      <c r="B932" t="s">
        <v>1379</v>
      </c>
      <c r="C932" t="s">
        <v>78</v>
      </c>
      <c r="D932" t="s">
        <v>1380</v>
      </c>
      <c r="E932" t="s">
        <v>1169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1278</v>
      </c>
      <c r="B933" t="s">
        <v>1381</v>
      </c>
      <c r="C933" t="s">
        <v>78</v>
      </c>
      <c r="D933" t="s">
        <v>1382</v>
      </c>
      <c r="E933" t="s">
        <v>1203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1278</v>
      </c>
      <c r="B934" t="s">
        <v>1383</v>
      </c>
      <c r="C934" t="s">
        <v>78</v>
      </c>
      <c r="D934" t="s">
        <v>1384</v>
      </c>
      <c r="E934" t="s">
        <v>1199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1278</v>
      </c>
      <c r="B935" t="s">
        <v>1385</v>
      </c>
      <c r="C935" t="s">
        <v>78</v>
      </c>
      <c r="D935" t="s">
        <v>1386</v>
      </c>
      <c r="E935" t="s">
        <v>1203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1278</v>
      </c>
      <c r="B936" t="s">
        <v>1387</v>
      </c>
      <c r="C936" t="s">
        <v>78</v>
      </c>
      <c r="D936" t="s">
        <v>1388</v>
      </c>
      <c r="E936" t="s">
        <v>1166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1278</v>
      </c>
      <c r="B937" t="s">
        <v>1389</v>
      </c>
      <c r="C937" t="s">
        <v>78</v>
      </c>
      <c r="D937" t="s">
        <v>1390</v>
      </c>
      <c r="E937" t="s">
        <v>1207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1278</v>
      </c>
      <c r="B938" t="s">
        <v>1391</v>
      </c>
      <c r="C938" t="s">
        <v>78</v>
      </c>
      <c r="D938" t="s">
        <v>1392</v>
      </c>
      <c r="E938" t="s">
        <v>1284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1278</v>
      </c>
      <c r="B939" t="s">
        <v>1393</v>
      </c>
      <c r="C939" t="s">
        <v>78</v>
      </c>
      <c r="D939" t="s">
        <v>1394</v>
      </c>
      <c r="E939" t="s">
        <v>1161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1278</v>
      </c>
      <c r="B940" t="s">
        <v>1395</v>
      </c>
      <c r="C940" t="s">
        <v>78</v>
      </c>
      <c r="D940" t="s">
        <v>1396</v>
      </c>
      <c r="E940" t="s">
        <v>1161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1278</v>
      </c>
      <c r="B941" t="s">
        <v>1397</v>
      </c>
      <c r="C941" t="s">
        <v>78</v>
      </c>
      <c r="D941" t="s">
        <v>1398</v>
      </c>
      <c r="E941" t="s">
        <v>1161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1278</v>
      </c>
      <c r="B942" t="s">
        <v>1399</v>
      </c>
      <c r="C942" t="s">
        <v>78</v>
      </c>
      <c r="D942" t="s">
        <v>1394</v>
      </c>
      <c r="E942" t="s">
        <v>1161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1278</v>
      </c>
      <c r="B943" t="s">
        <v>1159</v>
      </c>
      <c r="C943" t="s">
        <v>78</v>
      </c>
      <c r="D943" t="s">
        <v>1400</v>
      </c>
      <c r="E943" t="s">
        <v>1166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1278</v>
      </c>
      <c r="B944" t="s">
        <v>667</v>
      </c>
      <c r="C944" t="s">
        <v>78</v>
      </c>
      <c r="D944" t="s">
        <v>1401</v>
      </c>
      <c r="E944" t="s">
        <v>993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1278</v>
      </c>
      <c r="B945" t="s">
        <v>1402</v>
      </c>
      <c r="C945" t="s">
        <v>78</v>
      </c>
      <c r="D945" t="s">
        <v>1403</v>
      </c>
      <c r="E945" t="s">
        <v>1284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1278</v>
      </c>
      <c r="B946" t="s">
        <v>1404</v>
      </c>
      <c r="C946" t="s">
        <v>78</v>
      </c>
      <c r="D946" t="s">
        <v>1403</v>
      </c>
      <c r="E946" t="s">
        <v>1166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1278</v>
      </c>
      <c r="B947" t="s">
        <v>585</v>
      </c>
      <c r="C947" t="s">
        <v>78</v>
      </c>
      <c r="D947" t="s">
        <v>1405</v>
      </c>
      <c r="E947" t="s">
        <v>1169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1278</v>
      </c>
      <c r="B948" t="s">
        <v>578</v>
      </c>
      <c r="C948" t="s">
        <v>78</v>
      </c>
      <c r="D948" t="s">
        <v>1406</v>
      </c>
      <c r="E948" t="s">
        <v>1284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1278</v>
      </c>
      <c r="B949" t="s">
        <v>1407</v>
      </c>
      <c r="C949" t="s">
        <v>78</v>
      </c>
      <c r="D949" t="s">
        <v>1408</v>
      </c>
      <c r="E949" t="s">
        <v>1169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1278</v>
      </c>
      <c r="B950" t="s">
        <v>1409</v>
      </c>
      <c r="C950" t="s">
        <v>78</v>
      </c>
      <c r="D950" t="s">
        <v>78</v>
      </c>
      <c r="E950" t="s">
        <v>1207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1278</v>
      </c>
      <c r="B951" t="s">
        <v>1410</v>
      </c>
      <c r="C951" t="s">
        <v>78</v>
      </c>
      <c r="D951" t="s">
        <v>78</v>
      </c>
      <c r="E951" t="s">
        <v>1210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1278</v>
      </c>
      <c r="B952" t="s">
        <v>1411</v>
      </c>
      <c r="C952" t="s">
        <v>78</v>
      </c>
      <c r="D952" t="s">
        <v>78</v>
      </c>
      <c r="E952" t="s">
        <v>1217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1278</v>
      </c>
      <c r="B953" t="s">
        <v>1412</v>
      </c>
      <c r="C953" t="s">
        <v>78</v>
      </c>
      <c r="D953" t="s">
        <v>78</v>
      </c>
      <c r="E953" t="s">
        <v>1207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1278</v>
      </c>
      <c r="B954" t="s">
        <v>1413</v>
      </c>
      <c r="C954" t="s">
        <v>78</v>
      </c>
      <c r="D954" t="s">
        <v>78</v>
      </c>
      <c r="E954" t="s">
        <v>1164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1278</v>
      </c>
      <c r="B955" t="s">
        <v>1414</v>
      </c>
      <c r="C955" t="s">
        <v>78</v>
      </c>
      <c r="D955" t="s">
        <v>1415</v>
      </c>
      <c r="E955" t="s">
        <v>1074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1278</v>
      </c>
      <c r="B956" t="s">
        <v>642</v>
      </c>
      <c r="C956" t="s">
        <v>78</v>
      </c>
      <c r="D956" t="s">
        <v>78</v>
      </c>
      <c r="E956" t="s">
        <v>1216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1278</v>
      </c>
      <c r="B957" t="s">
        <v>229</v>
      </c>
      <c r="C957" t="s">
        <v>78</v>
      </c>
      <c r="D957" t="s">
        <v>78</v>
      </c>
      <c r="E957" t="s">
        <v>1216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1278</v>
      </c>
      <c r="B958" t="s">
        <v>643</v>
      </c>
      <c r="C958" t="s">
        <v>78</v>
      </c>
      <c r="D958" t="s">
        <v>78</v>
      </c>
      <c r="E958" t="s">
        <v>1216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1278</v>
      </c>
      <c r="B959" t="s">
        <v>230</v>
      </c>
      <c r="C959" t="s">
        <v>78</v>
      </c>
      <c r="D959" t="s">
        <v>78</v>
      </c>
      <c r="E959" t="s">
        <v>1216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1278</v>
      </c>
      <c r="B960" t="s">
        <v>231</v>
      </c>
      <c r="C960" t="s">
        <v>78</v>
      </c>
      <c r="D960" t="s">
        <v>78</v>
      </c>
      <c r="E960" t="s">
        <v>1216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1278</v>
      </c>
      <c r="B961" t="s">
        <v>233</v>
      </c>
      <c r="C961" t="s">
        <v>78</v>
      </c>
      <c r="D961" t="s">
        <v>78</v>
      </c>
      <c r="E961" t="s">
        <v>1216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1278</v>
      </c>
      <c r="B962" t="s">
        <v>232</v>
      </c>
      <c r="C962" t="s">
        <v>78</v>
      </c>
      <c r="D962" t="s">
        <v>78</v>
      </c>
      <c r="E962" t="s">
        <v>1216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1278</v>
      </c>
      <c r="B963" t="s">
        <v>175</v>
      </c>
      <c r="C963" t="s">
        <v>78</v>
      </c>
      <c r="D963" t="s">
        <v>78</v>
      </c>
      <c r="E963" t="s">
        <v>237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1278</v>
      </c>
      <c r="B964" t="s">
        <v>178</v>
      </c>
      <c r="C964" t="s">
        <v>78</v>
      </c>
      <c r="D964" t="s">
        <v>78</v>
      </c>
      <c r="E964" t="s">
        <v>1252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1278</v>
      </c>
      <c r="B965" t="s">
        <v>238</v>
      </c>
      <c r="C965" t="s">
        <v>78</v>
      </c>
      <c r="D965" t="s">
        <v>78</v>
      </c>
      <c r="E965" t="s">
        <v>182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1278</v>
      </c>
      <c r="B966" t="s">
        <v>179</v>
      </c>
      <c r="C966" t="s">
        <v>78</v>
      </c>
      <c r="D966" t="s">
        <v>78</v>
      </c>
      <c r="E966" t="s">
        <v>237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1278</v>
      </c>
      <c r="B967" t="s">
        <v>173</v>
      </c>
      <c r="C967" t="s">
        <v>78</v>
      </c>
      <c r="D967" t="s">
        <v>78</v>
      </c>
      <c r="E967" t="s">
        <v>1252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1278</v>
      </c>
      <c r="B968" t="s">
        <v>180</v>
      </c>
      <c r="C968" t="s">
        <v>78</v>
      </c>
      <c r="D968" t="s">
        <v>78</v>
      </c>
      <c r="E968" t="s">
        <v>1416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1278</v>
      </c>
      <c r="B969" t="s">
        <v>181</v>
      </c>
      <c r="C969" t="s">
        <v>78</v>
      </c>
      <c r="D969" t="s">
        <v>78</v>
      </c>
      <c r="E969" t="s">
        <v>281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1278</v>
      </c>
      <c r="B970" t="s">
        <v>242</v>
      </c>
      <c r="C970" t="s">
        <v>78</v>
      </c>
      <c r="D970" t="s">
        <v>78</v>
      </c>
      <c r="E970" t="s">
        <v>1219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1278</v>
      </c>
      <c r="B971" t="s">
        <v>1264</v>
      </c>
      <c r="C971" t="s">
        <v>78</v>
      </c>
      <c r="D971" t="s">
        <v>78</v>
      </c>
      <c r="E971" t="s">
        <v>1219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1278</v>
      </c>
      <c r="B972" t="s">
        <v>1265</v>
      </c>
      <c r="C972" t="s">
        <v>78</v>
      </c>
      <c r="D972" t="s">
        <v>78</v>
      </c>
      <c r="E972" t="s">
        <v>1219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1278</v>
      </c>
      <c r="B973" t="s">
        <v>327</v>
      </c>
      <c r="C973" t="s">
        <v>78</v>
      </c>
      <c r="D973" t="s">
        <v>78</v>
      </c>
      <c r="E973" t="s">
        <v>1219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1278</v>
      </c>
      <c r="B974" t="s">
        <v>1266</v>
      </c>
      <c r="C974" t="s">
        <v>78</v>
      </c>
      <c r="D974" t="s">
        <v>78</v>
      </c>
      <c r="E974" t="s">
        <v>1219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1278</v>
      </c>
      <c r="B975" t="s">
        <v>1269</v>
      </c>
      <c r="C975" t="s">
        <v>78</v>
      </c>
      <c r="D975" t="s">
        <v>78</v>
      </c>
      <c r="E975" t="s">
        <v>1417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1278</v>
      </c>
      <c r="B976" t="s">
        <v>1271</v>
      </c>
      <c r="C976" t="s">
        <v>78</v>
      </c>
      <c r="D976" t="s">
        <v>78</v>
      </c>
      <c r="E976" t="s">
        <v>241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1278</v>
      </c>
      <c r="B977" t="s">
        <v>183</v>
      </c>
      <c r="C977" t="s">
        <v>78</v>
      </c>
      <c r="D977" t="s">
        <v>78</v>
      </c>
      <c r="E977" t="s">
        <v>184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1421</v>
      </c>
      <c r="B978" t="s">
        <v>499</v>
      </c>
      <c r="C978" t="s">
        <v>78</v>
      </c>
      <c r="D978" t="s">
        <v>1422</v>
      </c>
      <c r="E978" t="s">
        <v>269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1421</v>
      </c>
      <c r="B979" t="s">
        <v>1423</v>
      </c>
      <c r="C979" t="s">
        <v>78</v>
      </c>
      <c r="D979" t="s">
        <v>1424</v>
      </c>
      <c r="E979" t="s">
        <v>1425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1421</v>
      </c>
      <c r="B980" t="s">
        <v>1344</v>
      </c>
      <c r="C980" t="s">
        <v>78</v>
      </c>
      <c r="D980" t="s">
        <v>78</v>
      </c>
      <c r="E980" t="s">
        <v>269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1421</v>
      </c>
      <c r="B981" t="s">
        <v>497</v>
      </c>
      <c r="C981" t="s">
        <v>78</v>
      </c>
      <c r="D981" t="s">
        <v>78</v>
      </c>
      <c r="E981" t="s">
        <v>406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1421</v>
      </c>
      <c r="B982" t="s">
        <v>1426</v>
      </c>
      <c r="C982" t="s">
        <v>78</v>
      </c>
      <c r="D982" t="s">
        <v>206</v>
      </c>
      <c r="E982" t="s">
        <v>1427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1421</v>
      </c>
      <c r="B983" t="s">
        <v>1423</v>
      </c>
      <c r="C983" t="s">
        <v>78</v>
      </c>
      <c r="D983" t="s">
        <v>1424</v>
      </c>
      <c r="E983" t="s">
        <v>1425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1421</v>
      </c>
      <c r="B984" t="s">
        <v>1428</v>
      </c>
      <c r="C984" t="s">
        <v>78</v>
      </c>
      <c r="D984" t="s">
        <v>1429</v>
      </c>
      <c r="E984" t="s">
        <v>287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1421</v>
      </c>
      <c r="B985" t="s">
        <v>497</v>
      </c>
      <c r="C985" t="s">
        <v>78</v>
      </c>
      <c r="D985" t="s">
        <v>78</v>
      </c>
      <c r="E985" t="s">
        <v>406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1421</v>
      </c>
      <c r="B986" t="s">
        <v>1430</v>
      </c>
      <c r="C986" t="s">
        <v>78</v>
      </c>
      <c r="D986" t="s">
        <v>78</v>
      </c>
      <c r="E986" t="s">
        <v>269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1421</v>
      </c>
      <c r="B987" t="s">
        <v>1344</v>
      </c>
      <c r="C987" t="s">
        <v>78</v>
      </c>
      <c r="D987" t="s">
        <v>78</v>
      </c>
      <c r="E987" t="s">
        <v>269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1421</v>
      </c>
      <c r="B988" t="s">
        <v>1431</v>
      </c>
      <c r="C988" t="s">
        <v>78</v>
      </c>
      <c r="D988" t="s">
        <v>78</v>
      </c>
      <c r="E988" t="s">
        <v>656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1421</v>
      </c>
      <c r="B989" t="s">
        <v>499</v>
      </c>
      <c r="C989" t="s">
        <v>78</v>
      </c>
      <c r="D989" t="s">
        <v>1422</v>
      </c>
      <c r="E989" t="s">
        <v>269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1421</v>
      </c>
      <c r="B990" t="s">
        <v>1351</v>
      </c>
      <c r="C990" t="s">
        <v>78</v>
      </c>
      <c r="D990" t="s">
        <v>78</v>
      </c>
      <c r="E990" t="s">
        <v>269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1421</v>
      </c>
      <c r="B991" t="s">
        <v>500</v>
      </c>
      <c r="C991" t="s">
        <v>78</v>
      </c>
      <c r="D991" t="s">
        <v>78</v>
      </c>
      <c r="E991" t="s">
        <v>269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1421</v>
      </c>
      <c r="B992" t="s">
        <v>1432</v>
      </c>
      <c r="C992" t="s">
        <v>78</v>
      </c>
      <c r="D992" t="s">
        <v>1433</v>
      </c>
      <c r="E992" t="s">
        <v>656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1421</v>
      </c>
      <c r="B993" t="s">
        <v>1434</v>
      </c>
      <c r="C993" t="s">
        <v>78</v>
      </c>
      <c r="D993" t="s">
        <v>1435</v>
      </c>
      <c r="E993" t="s">
        <v>656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1421</v>
      </c>
      <c r="B994" t="s">
        <v>1436</v>
      </c>
      <c r="C994" t="s">
        <v>78</v>
      </c>
      <c r="D994" t="s">
        <v>206</v>
      </c>
      <c r="E994" t="s">
        <v>469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1421</v>
      </c>
      <c r="B995" t="s">
        <v>1426</v>
      </c>
      <c r="C995" t="s">
        <v>78</v>
      </c>
      <c r="D995" t="s">
        <v>206</v>
      </c>
      <c r="E995" t="s">
        <v>1427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1421</v>
      </c>
      <c r="B996" t="s">
        <v>229</v>
      </c>
      <c r="C996" t="s">
        <v>78</v>
      </c>
      <c r="D996" t="s">
        <v>78</v>
      </c>
      <c r="E996" t="s">
        <v>207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1421</v>
      </c>
      <c r="B997" t="s">
        <v>230</v>
      </c>
      <c r="C997" t="s">
        <v>78</v>
      </c>
      <c r="D997" t="s">
        <v>78</v>
      </c>
      <c r="E997" t="s">
        <v>207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1421</v>
      </c>
      <c r="B998" t="s">
        <v>231</v>
      </c>
      <c r="C998" t="s">
        <v>78</v>
      </c>
      <c r="D998" t="s">
        <v>78</v>
      </c>
      <c r="E998" t="s">
        <v>207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1421</v>
      </c>
      <c r="B999" t="s">
        <v>238</v>
      </c>
      <c r="C999" t="s">
        <v>78</v>
      </c>
      <c r="D999" t="s">
        <v>78</v>
      </c>
      <c r="E999" t="s">
        <v>286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1421</v>
      </c>
      <c r="B1000" t="s">
        <v>180</v>
      </c>
      <c r="C1000" t="s">
        <v>78</v>
      </c>
      <c r="D1000" t="s">
        <v>78</v>
      </c>
      <c r="E1000" t="s">
        <v>286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1421</v>
      </c>
      <c r="B1001" t="s">
        <v>181</v>
      </c>
      <c r="C1001" t="s">
        <v>78</v>
      </c>
      <c r="D1001" t="s">
        <v>78</v>
      </c>
      <c r="E1001" t="s">
        <v>286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1421</v>
      </c>
      <c r="B1002" t="s">
        <v>242</v>
      </c>
      <c r="C1002" t="s">
        <v>78</v>
      </c>
      <c r="D1002" t="s">
        <v>78</v>
      </c>
      <c r="E1002" t="s">
        <v>197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1421</v>
      </c>
      <c r="B1003" t="s">
        <v>327</v>
      </c>
      <c r="C1003" t="s">
        <v>78</v>
      </c>
      <c r="D1003" t="s">
        <v>78</v>
      </c>
      <c r="E1003" t="s">
        <v>197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1421</v>
      </c>
      <c r="B1004" t="s">
        <v>1266</v>
      </c>
      <c r="C1004" t="s">
        <v>78</v>
      </c>
      <c r="D1004" t="s">
        <v>78</v>
      </c>
      <c r="E1004" t="s">
        <v>197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1421</v>
      </c>
      <c r="B1005" t="s">
        <v>183</v>
      </c>
      <c r="C1005" t="s">
        <v>78</v>
      </c>
      <c r="D1005" t="s">
        <v>78</v>
      </c>
      <c r="E1005" t="s">
        <v>184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1441</v>
      </c>
      <c r="B1006" t="s">
        <v>607</v>
      </c>
      <c r="C1006" t="s">
        <v>78</v>
      </c>
      <c r="D1006" t="s">
        <v>206</v>
      </c>
      <c r="E1006" t="s">
        <v>202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1441</v>
      </c>
      <c r="B1007" t="s">
        <v>609</v>
      </c>
      <c r="C1007" t="s">
        <v>78</v>
      </c>
      <c r="D1007" t="s">
        <v>206</v>
      </c>
      <c r="E1007" t="s">
        <v>253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1441</v>
      </c>
      <c r="B1008" t="s">
        <v>666</v>
      </c>
      <c r="C1008" t="s">
        <v>78</v>
      </c>
      <c r="D1008" t="s">
        <v>1442</v>
      </c>
      <c r="E1008" t="s">
        <v>212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1441</v>
      </c>
      <c r="B1009" t="s">
        <v>677</v>
      </c>
      <c r="C1009" t="s">
        <v>78</v>
      </c>
      <c r="D1009" t="s">
        <v>206</v>
      </c>
      <c r="E1009" t="s">
        <v>202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1441</v>
      </c>
      <c r="B1010" t="s">
        <v>619</v>
      </c>
      <c r="C1010" t="s">
        <v>78</v>
      </c>
      <c r="D1010" t="s">
        <v>1442</v>
      </c>
      <c r="E1010" t="s">
        <v>212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1441</v>
      </c>
      <c r="B1011" t="s">
        <v>619</v>
      </c>
      <c r="C1011" t="s">
        <v>78</v>
      </c>
      <c r="D1011" t="s">
        <v>1442</v>
      </c>
      <c r="E1011" t="s">
        <v>212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1441</v>
      </c>
      <c r="B1012" t="s">
        <v>666</v>
      </c>
      <c r="C1012" t="s">
        <v>78</v>
      </c>
      <c r="D1012" t="s">
        <v>1442</v>
      </c>
      <c r="E1012" t="s">
        <v>212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1441</v>
      </c>
      <c r="B1013" t="s">
        <v>626</v>
      </c>
      <c r="C1013" t="s">
        <v>78</v>
      </c>
      <c r="D1013" t="s">
        <v>1442</v>
      </c>
      <c r="E1013" t="s">
        <v>401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1441</v>
      </c>
      <c r="B1014" t="s">
        <v>625</v>
      </c>
      <c r="C1014" t="s">
        <v>78</v>
      </c>
      <c r="D1014" t="s">
        <v>1442</v>
      </c>
      <c r="E1014" t="s">
        <v>212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1441</v>
      </c>
      <c r="B1015" t="s">
        <v>609</v>
      </c>
      <c r="C1015" t="s">
        <v>78</v>
      </c>
      <c r="D1015" t="s">
        <v>206</v>
      </c>
      <c r="E1015" t="s">
        <v>253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1441</v>
      </c>
      <c r="B1016" t="s">
        <v>607</v>
      </c>
      <c r="C1016" t="s">
        <v>78</v>
      </c>
      <c r="D1016" t="s">
        <v>206</v>
      </c>
      <c r="E1016" t="s">
        <v>202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1441</v>
      </c>
      <c r="B1017" t="s">
        <v>1443</v>
      </c>
      <c r="C1017" t="s">
        <v>78</v>
      </c>
      <c r="D1017" t="s">
        <v>206</v>
      </c>
      <c r="E1017" t="s">
        <v>202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1441</v>
      </c>
      <c r="B1018" t="s">
        <v>677</v>
      </c>
      <c r="C1018" t="s">
        <v>78</v>
      </c>
      <c r="D1018" t="s">
        <v>206</v>
      </c>
      <c r="E1018" t="s">
        <v>202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1441</v>
      </c>
      <c r="B1019" t="s">
        <v>167</v>
      </c>
      <c r="C1019" t="s">
        <v>78</v>
      </c>
      <c r="D1019" t="s">
        <v>78</v>
      </c>
      <c r="E1019" t="s">
        <v>575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1441</v>
      </c>
      <c r="B1020" t="s">
        <v>170</v>
      </c>
      <c r="C1020" t="s">
        <v>78</v>
      </c>
      <c r="D1020" t="s">
        <v>78</v>
      </c>
      <c r="E1020" t="s">
        <v>207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1441</v>
      </c>
      <c r="B1021" t="s">
        <v>325</v>
      </c>
      <c r="C1021" t="s">
        <v>78</v>
      </c>
      <c r="D1021" t="s">
        <v>78</v>
      </c>
      <c r="E1021" t="s">
        <v>279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1441</v>
      </c>
      <c r="B1022" t="s">
        <v>178</v>
      </c>
      <c r="C1022" t="s">
        <v>78</v>
      </c>
      <c r="D1022" t="s">
        <v>78</v>
      </c>
      <c r="E1022" t="s">
        <v>182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1441</v>
      </c>
      <c r="B1023" t="s">
        <v>238</v>
      </c>
      <c r="C1023" t="s">
        <v>78</v>
      </c>
      <c r="D1023" t="s">
        <v>78</v>
      </c>
      <c r="E1023" t="s">
        <v>286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1441</v>
      </c>
      <c r="B1024" t="s">
        <v>180</v>
      </c>
      <c r="C1024" t="s">
        <v>78</v>
      </c>
      <c r="D1024" t="s">
        <v>78</v>
      </c>
      <c r="E1024" t="s">
        <v>281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1441</v>
      </c>
      <c r="B1025" t="s">
        <v>181</v>
      </c>
      <c r="C1025" t="s">
        <v>78</v>
      </c>
      <c r="D1025" t="s">
        <v>78</v>
      </c>
      <c r="E1025" t="s">
        <v>286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1441</v>
      </c>
      <c r="B1026" t="s">
        <v>183</v>
      </c>
      <c r="C1026" t="s">
        <v>78</v>
      </c>
      <c r="D1026" t="s">
        <v>78</v>
      </c>
      <c r="E1026" t="s">
        <v>184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1447</v>
      </c>
      <c r="B1027" t="s">
        <v>294</v>
      </c>
      <c r="C1027" t="s">
        <v>78</v>
      </c>
      <c r="D1027" t="s">
        <v>1448</v>
      </c>
      <c r="E1027" t="s">
        <v>287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1447</v>
      </c>
      <c r="B1028" t="s">
        <v>192</v>
      </c>
      <c r="C1028" t="s">
        <v>78</v>
      </c>
      <c r="D1028" t="s">
        <v>1448</v>
      </c>
      <c r="E1028" t="s">
        <v>207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1447</v>
      </c>
      <c r="B1029" t="s">
        <v>1449</v>
      </c>
      <c r="C1029" t="s">
        <v>78</v>
      </c>
      <c r="D1029" t="s">
        <v>1450</v>
      </c>
      <c r="E1029" t="s">
        <v>212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1447</v>
      </c>
      <c r="B1030" t="s">
        <v>314</v>
      </c>
      <c r="C1030" t="s">
        <v>78</v>
      </c>
      <c r="D1030" t="s">
        <v>1451</v>
      </c>
      <c r="E1030" t="s">
        <v>254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1447</v>
      </c>
      <c r="B1031" t="s">
        <v>198</v>
      </c>
      <c r="C1031" t="s">
        <v>78</v>
      </c>
      <c r="D1031" t="s">
        <v>1452</v>
      </c>
      <c r="E1031" t="s">
        <v>401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1447</v>
      </c>
      <c r="B1032" t="s">
        <v>1453</v>
      </c>
      <c r="C1032" t="s">
        <v>78</v>
      </c>
      <c r="D1032" t="s">
        <v>1454</v>
      </c>
      <c r="E1032" t="s">
        <v>1455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1447</v>
      </c>
      <c r="B1033" t="s">
        <v>1456</v>
      </c>
      <c r="C1033" t="s">
        <v>78</v>
      </c>
      <c r="D1033" t="s">
        <v>1457</v>
      </c>
      <c r="E1033" t="s">
        <v>1458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1447</v>
      </c>
      <c r="B1034" t="s">
        <v>192</v>
      </c>
      <c r="C1034" t="s">
        <v>78</v>
      </c>
      <c r="D1034" t="s">
        <v>1448</v>
      </c>
      <c r="E1034" t="s">
        <v>207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1447</v>
      </c>
      <c r="B1035" t="s">
        <v>294</v>
      </c>
      <c r="C1035" t="s">
        <v>78</v>
      </c>
      <c r="D1035" t="s">
        <v>1448</v>
      </c>
      <c r="E1035" t="s">
        <v>287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1447</v>
      </c>
      <c r="B1036" t="s">
        <v>1459</v>
      </c>
      <c r="C1036" t="s">
        <v>78</v>
      </c>
      <c r="D1036" t="s">
        <v>1460</v>
      </c>
      <c r="E1036" t="s">
        <v>202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1447</v>
      </c>
      <c r="B1037" t="s">
        <v>1461</v>
      </c>
      <c r="C1037" t="s">
        <v>78</v>
      </c>
      <c r="D1037" t="s">
        <v>1462</v>
      </c>
      <c r="E1037" t="s">
        <v>258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1447</v>
      </c>
      <c r="B1038" t="s">
        <v>198</v>
      </c>
      <c r="C1038" t="s">
        <v>78</v>
      </c>
      <c r="D1038" t="s">
        <v>1452</v>
      </c>
      <c r="E1038" t="s">
        <v>401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1447</v>
      </c>
      <c r="B1039" t="s">
        <v>1449</v>
      </c>
      <c r="C1039" t="s">
        <v>78</v>
      </c>
      <c r="D1039" t="s">
        <v>1450</v>
      </c>
      <c r="E1039" t="s">
        <v>212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1447</v>
      </c>
      <c r="B1040" t="s">
        <v>1463</v>
      </c>
      <c r="C1040" t="s">
        <v>78</v>
      </c>
      <c r="D1040" t="s">
        <v>1464</v>
      </c>
      <c r="E1040" t="s">
        <v>256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1447</v>
      </c>
      <c r="B1041" t="s">
        <v>1465</v>
      </c>
      <c r="C1041" t="s">
        <v>78</v>
      </c>
      <c r="D1041" t="s">
        <v>1466</v>
      </c>
      <c r="E1041" t="s">
        <v>272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1447</v>
      </c>
      <c r="B1042" t="s">
        <v>1467</v>
      </c>
      <c r="C1042" t="s">
        <v>78</v>
      </c>
      <c r="D1042" t="s">
        <v>1468</v>
      </c>
      <c r="E1042" t="s">
        <v>214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1447</v>
      </c>
      <c r="B1043" t="s">
        <v>314</v>
      </c>
      <c r="C1043" t="s">
        <v>78</v>
      </c>
      <c r="D1043" t="s">
        <v>1451</v>
      </c>
      <c r="E1043" t="s">
        <v>254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1447</v>
      </c>
      <c r="B1044" t="s">
        <v>1469</v>
      </c>
      <c r="C1044" t="s">
        <v>78</v>
      </c>
      <c r="D1044" t="s">
        <v>78</v>
      </c>
      <c r="E1044" t="s">
        <v>286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1447</v>
      </c>
      <c r="B1045" t="s">
        <v>1470</v>
      </c>
      <c r="C1045" t="s">
        <v>78</v>
      </c>
      <c r="D1045" t="s">
        <v>78</v>
      </c>
      <c r="E1045" t="s">
        <v>258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1447</v>
      </c>
      <c r="B1046" t="s">
        <v>1271</v>
      </c>
      <c r="C1046" t="s">
        <v>78</v>
      </c>
      <c r="D1046" t="s">
        <v>78</v>
      </c>
      <c r="E1046" t="s">
        <v>286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1447</v>
      </c>
      <c r="B1047" t="s">
        <v>1471</v>
      </c>
      <c r="C1047" t="s">
        <v>78</v>
      </c>
      <c r="D1047" t="s">
        <v>78</v>
      </c>
      <c r="E1047" t="s">
        <v>268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1447</v>
      </c>
      <c r="B1048" t="s">
        <v>1472</v>
      </c>
      <c r="C1048" t="s">
        <v>78</v>
      </c>
      <c r="D1048" t="s">
        <v>78</v>
      </c>
      <c r="E1048" t="s">
        <v>241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1447</v>
      </c>
      <c r="B1049" t="s">
        <v>319</v>
      </c>
      <c r="C1049" t="s">
        <v>78</v>
      </c>
      <c r="D1049" t="s">
        <v>78</v>
      </c>
      <c r="E1049" t="s">
        <v>1417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1447</v>
      </c>
      <c r="B1050" t="s">
        <v>706</v>
      </c>
      <c r="C1050" t="s">
        <v>78</v>
      </c>
      <c r="D1050" t="s">
        <v>78</v>
      </c>
      <c r="E1050" t="s">
        <v>279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1447</v>
      </c>
      <c r="B1051" t="s">
        <v>175</v>
      </c>
      <c r="C1051" t="s">
        <v>78</v>
      </c>
      <c r="D1051" t="s">
        <v>1473</v>
      </c>
      <c r="E1051" t="s">
        <v>279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1447</v>
      </c>
      <c r="B1052" t="s">
        <v>1474</v>
      </c>
      <c r="C1052" t="s">
        <v>78</v>
      </c>
      <c r="D1052" t="s">
        <v>78</v>
      </c>
      <c r="E1052" t="s">
        <v>235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1447</v>
      </c>
      <c r="B1053" t="s">
        <v>238</v>
      </c>
      <c r="C1053" t="s">
        <v>78</v>
      </c>
      <c r="D1053" t="s">
        <v>78</v>
      </c>
      <c r="E1053" t="s">
        <v>286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1447</v>
      </c>
      <c r="B1054" t="s">
        <v>1475</v>
      </c>
      <c r="C1054" t="s">
        <v>78</v>
      </c>
      <c r="D1054" t="s">
        <v>78</v>
      </c>
      <c r="E1054" t="s">
        <v>235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1447</v>
      </c>
      <c r="B1055" t="s">
        <v>1476</v>
      </c>
      <c r="C1055" t="s">
        <v>78</v>
      </c>
      <c r="D1055" t="s">
        <v>78</v>
      </c>
      <c r="E1055" t="s">
        <v>281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1447</v>
      </c>
      <c r="B1056" t="s">
        <v>181</v>
      </c>
      <c r="C1056" t="s">
        <v>78</v>
      </c>
      <c r="D1056" t="s">
        <v>78</v>
      </c>
      <c r="E1056" t="s">
        <v>241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1447</v>
      </c>
      <c r="B1057" t="s">
        <v>1477</v>
      </c>
      <c r="C1057" t="s">
        <v>78</v>
      </c>
      <c r="D1057" t="s">
        <v>78</v>
      </c>
      <c r="E1057" t="s">
        <v>268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1447</v>
      </c>
      <c r="B1058" t="s">
        <v>183</v>
      </c>
      <c r="C1058" t="s">
        <v>78</v>
      </c>
      <c r="D1058" t="s">
        <v>78</v>
      </c>
      <c r="E1058" t="s">
        <v>184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1480</v>
      </c>
      <c r="B1059" t="s">
        <v>1431</v>
      </c>
      <c r="C1059" t="s">
        <v>78</v>
      </c>
      <c r="D1059" t="s">
        <v>1481</v>
      </c>
      <c r="E1059" t="s">
        <v>406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1480</v>
      </c>
      <c r="B1060" t="s">
        <v>449</v>
      </c>
      <c r="C1060" t="s">
        <v>78</v>
      </c>
      <c r="D1060" t="s">
        <v>1482</v>
      </c>
      <c r="E1060" t="s">
        <v>1483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1480</v>
      </c>
      <c r="B1061" t="s">
        <v>497</v>
      </c>
      <c r="C1061" t="s">
        <v>78</v>
      </c>
      <c r="D1061" t="s">
        <v>1484</v>
      </c>
      <c r="E1061" t="s">
        <v>406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1480</v>
      </c>
      <c r="B1062" t="s">
        <v>1485</v>
      </c>
      <c r="C1062" t="s">
        <v>78</v>
      </c>
      <c r="D1062" t="s">
        <v>1486</v>
      </c>
      <c r="E1062" t="s">
        <v>287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1480</v>
      </c>
      <c r="B1063" t="s">
        <v>449</v>
      </c>
      <c r="C1063" t="s">
        <v>78</v>
      </c>
      <c r="D1063" t="s">
        <v>1482</v>
      </c>
      <c r="E1063" t="s">
        <v>1483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1480</v>
      </c>
      <c r="B1064" t="s">
        <v>1487</v>
      </c>
      <c r="C1064" t="s">
        <v>78</v>
      </c>
      <c r="D1064" t="s">
        <v>1488</v>
      </c>
      <c r="E1064" t="s">
        <v>541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1480</v>
      </c>
      <c r="B1065" t="s">
        <v>1431</v>
      </c>
      <c r="C1065" t="s">
        <v>78</v>
      </c>
      <c r="D1065" t="s">
        <v>1481</v>
      </c>
      <c r="E1065" t="s">
        <v>406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1480</v>
      </c>
      <c r="B1066" t="s">
        <v>495</v>
      </c>
      <c r="C1066" t="s">
        <v>78</v>
      </c>
      <c r="D1066" t="s">
        <v>1489</v>
      </c>
      <c r="E1066" t="s">
        <v>269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1480</v>
      </c>
      <c r="B1067" t="s">
        <v>497</v>
      </c>
      <c r="C1067" t="s">
        <v>78</v>
      </c>
      <c r="D1067" t="s">
        <v>1484</v>
      </c>
      <c r="E1067" t="s">
        <v>406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1480</v>
      </c>
      <c r="B1068" t="s">
        <v>192</v>
      </c>
      <c r="C1068" t="s">
        <v>78</v>
      </c>
      <c r="D1068" t="s">
        <v>1490</v>
      </c>
      <c r="E1068" t="s">
        <v>268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1480</v>
      </c>
      <c r="B1069" t="s">
        <v>294</v>
      </c>
      <c r="C1069" t="s">
        <v>78</v>
      </c>
      <c r="D1069" t="s">
        <v>1491</v>
      </c>
      <c r="E1069" t="s">
        <v>253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1480</v>
      </c>
      <c r="B1070" t="s">
        <v>1492</v>
      </c>
      <c r="C1070" t="s">
        <v>78</v>
      </c>
      <c r="D1070" t="s">
        <v>78</v>
      </c>
      <c r="E1070" t="s">
        <v>258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1480</v>
      </c>
      <c r="B1071" t="s">
        <v>1493</v>
      </c>
      <c r="C1071" t="s">
        <v>78</v>
      </c>
      <c r="D1071" t="s">
        <v>78</v>
      </c>
      <c r="E1071" t="s">
        <v>256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1480</v>
      </c>
      <c r="B1072" t="s">
        <v>210</v>
      </c>
      <c r="C1072" t="s">
        <v>78</v>
      </c>
      <c r="D1072" t="s">
        <v>1494</v>
      </c>
      <c r="E1072" t="s">
        <v>258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1480</v>
      </c>
      <c r="B1073" t="s">
        <v>198</v>
      </c>
      <c r="C1073" t="s">
        <v>78</v>
      </c>
      <c r="D1073" t="s">
        <v>1495</v>
      </c>
      <c r="E1073" t="s">
        <v>372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1480</v>
      </c>
      <c r="B1074" t="s">
        <v>298</v>
      </c>
      <c r="C1074" t="s">
        <v>78</v>
      </c>
      <c r="D1074" t="s">
        <v>1496</v>
      </c>
      <c r="E1074" t="s">
        <v>366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1480</v>
      </c>
      <c r="B1075" t="s">
        <v>314</v>
      </c>
      <c r="C1075" t="s">
        <v>78</v>
      </c>
      <c r="D1075" t="s">
        <v>1497</v>
      </c>
      <c r="E1075" t="s">
        <v>539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1480</v>
      </c>
      <c r="B1076" t="s">
        <v>1498</v>
      </c>
      <c r="C1076" t="s">
        <v>78</v>
      </c>
      <c r="D1076" t="s">
        <v>1499</v>
      </c>
      <c r="E1076" t="s">
        <v>254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1480</v>
      </c>
      <c r="B1077" t="s">
        <v>229</v>
      </c>
      <c r="C1077" t="s">
        <v>78</v>
      </c>
      <c r="D1077" t="s">
        <v>78</v>
      </c>
      <c r="E1077" t="s">
        <v>252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1480</v>
      </c>
      <c r="B1078" t="s">
        <v>706</v>
      </c>
      <c r="C1078" t="s">
        <v>78</v>
      </c>
      <c r="D1078" t="s">
        <v>78</v>
      </c>
      <c r="E1078" t="s">
        <v>237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1480</v>
      </c>
      <c r="B1079" t="s">
        <v>876</v>
      </c>
      <c r="C1079" t="s">
        <v>78</v>
      </c>
      <c r="D1079" t="s">
        <v>78</v>
      </c>
      <c r="E1079" t="s">
        <v>252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1480</v>
      </c>
      <c r="B1080" t="s">
        <v>595</v>
      </c>
      <c r="C1080" t="s">
        <v>78</v>
      </c>
      <c r="D1080" t="s">
        <v>326</v>
      </c>
      <c r="E1080" t="s">
        <v>237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1480</v>
      </c>
      <c r="B1081" t="s">
        <v>325</v>
      </c>
      <c r="C1081" t="s">
        <v>78</v>
      </c>
      <c r="D1081" t="s">
        <v>78</v>
      </c>
      <c r="E1081" t="s">
        <v>279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1480</v>
      </c>
      <c r="B1082" t="s">
        <v>178</v>
      </c>
      <c r="C1082" t="s">
        <v>78</v>
      </c>
      <c r="D1082" t="s">
        <v>78</v>
      </c>
      <c r="E1082" t="s">
        <v>279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1480</v>
      </c>
      <c r="B1083" t="s">
        <v>238</v>
      </c>
      <c r="C1083" t="s">
        <v>78</v>
      </c>
      <c r="D1083" t="s">
        <v>78</v>
      </c>
      <c r="E1083" t="s">
        <v>235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1480</v>
      </c>
      <c r="B1084" t="s">
        <v>179</v>
      </c>
      <c r="C1084" t="s">
        <v>78</v>
      </c>
      <c r="D1084" t="s">
        <v>78</v>
      </c>
      <c r="E1084" t="s">
        <v>235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1480</v>
      </c>
      <c r="B1085" t="s">
        <v>180</v>
      </c>
      <c r="C1085" t="s">
        <v>78</v>
      </c>
      <c r="D1085" t="s">
        <v>78</v>
      </c>
      <c r="E1085" t="s">
        <v>286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1480</v>
      </c>
      <c r="B1086" t="s">
        <v>181</v>
      </c>
      <c r="C1086" t="s">
        <v>78</v>
      </c>
      <c r="D1086" t="s">
        <v>78</v>
      </c>
      <c r="E1086" t="s">
        <v>241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1480</v>
      </c>
      <c r="B1087" t="s">
        <v>242</v>
      </c>
      <c r="C1087" t="s">
        <v>78</v>
      </c>
      <c r="D1087" t="s">
        <v>78</v>
      </c>
      <c r="E1087" t="s">
        <v>197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1480</v>
      </c>
      <c r="B1088" t="s">
        <v>345</v>
      </c>
      <c r="C1088" t="s">
        <v>78</v>
      </c>
      <c r="D1088" t="s">
        <v>78</v>
      </c>
      <c r="E1088" t="s">
        <v>1257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1480</v>
      </c>
      <c r="B1089" t="s">
        <v>327</v>
      </c>
      <c r="C1089" t="s">
        <v>78</v>
      </c>
      <c r="D1089" t="s">
        <v>78</v>
      </c>
      <c r="E1089" t="s">
        <v>197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1480</v>
      </c>
      <c r="B1090" t="s">
        <v>346</v>
      </c>
      <c r="C1090" t="s">
        <v>78</v>
      </c>
      <c r="D1090" t="s">
        <v>78</v>
      </c>
      <c r="E1090" t="s">
        <v>1257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1480</v>
      </c>
      <c r="B1091" t="s">
        <v>1500</v>
      </c>
      <c r="C1091" t="s">
        <v>78</v>
      </c>
      <c r="D1091" t="s">
        <v>78</v>
      </c>
      <c r="E1091" t="s">
        <v>268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1480</v>
      </c>
      <c r="B1092" t="s">
        <v>245</v>
      </c>
      <c r="C1092" t="s">
        <v>78</v>
      </c>
      <c r="D1092" t="s">
        <v>78</v>
      </c>
      <c r="E1092" t="s">
        <v>287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1480</v>
      </c>
      <c r="B1093" t="s">
        <v>183</v>
      </c>
      <c r="C1093" t="s">
        <v>78</v>
      </c>
      <c r="D1093" t="s">
        <v>78</v>
      </c>
      <c r="E1093" t="s">
        <v>184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1503</v>
      </c>
      <c r="B1094" t="s">
        <v>1504</v>
      </c>
      <c r="C1094" t="s">
        <v>78</v>
      </c>
      <c r="D1094" t="s">
        <v>1505</v>
      </c>
      <c r="E1094" t="s">
        <v>197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1503</v>
      </c>
      <c r="B1095" t="s">
        <v>335</v>
      </c>
      <c r="C1095" t="s">
        <v>78</v>
      </c>
      <c r="D1095" t="s">
        <v>1506</v>
      </c>
      <c r="E1095" t="s">
        <v>218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1503</v>
      </c>
      <c r="B1096" t="s">
        <v>1485</v>
      </c>
      <c r="C1096" t="s">
        <v>78</v>
      </c>
      <c r="D1096" t="s">
        <v>1507</v>
      </c>
      <c r="E1096" t="s">
        <v>197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1503</v>
      </c>
      <c r="B1097" t="s">
        <v>192</v>
      </c>
      <c r="C1097" t="s">
        <v>78</v>
      </c>
      <c r="D1097" t="s">
        <v>1508</v>
      </c>
      <c r="E1097" t="s">
        <v>252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1503</v>
      </c>
      <c r="B1098" t="s">
        <v>294</v>
      </c>
      <c r="C1098" t="s">
        <v>78</v>
      </c>
      <c r="D1098" t="s">
        <v>1509</v>
      </c>
      <c r="E1098" t="s">
        <v>253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1503</v>
      </c>
      <c r="B1099" t="s">
        <v>1510</v>
      </c>
      <c r="C1099" t="s">
        <v>78</v>
      </c>
      <c r="D1099" t="s">
        <v>1511</v>
      </c>
      <c r="E1099" t="s">
        <v>202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1503</v>
      </c>
      <c r="B1100" t="s">
        <v>210</v>
      </c>
      <c r="C1100" t="s">
        <v>78</v>
      </c>
      <c r="D1100" t="s">
        <v>1512</v>
      </c>
      <c r="E1100" t="s">
        <v>202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1503</v>
      </c>
      <c r="B1101" t="s">
        <v>198</v>
      </c>
      <c r="C1101" t="s">
        <v>78</v>
      </c>
      <c r="D1101" t="s">
        <v>1513</v>
      </c>
      <c r="E1101" t="s">
        <v>212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1503</v>
      </c>
      <c r="B1102" t="s">
        <v>298</v>
      </c>
      <c r="C1102" t="s">
        <v>78</v>
      </c>
      <c r="D1102" t="s">
        <v>1514</v>
      </c>
      <c r="E1102" t="s">
        <v>214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1503</v>
      </c>
      <c r="B1103" t="s">
        <v>314</v>
      </c>
      <c r="C1103" t="s">
        <v>78</v>
      </c>
      <c r="D1103" t="s">
        <v>1515</v>
      </c>
      <c r="E1103" t="s">
        <v>366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1503</v>
      </c>
      <c r="B1104" t="s">
        <v>1516</v>
      </c>
      <c r="C1104" t="s">
        <v>78</v>
      </c>
      <c r="D1104" t="s">
        <v>78</v>
      </c>
      <c r="E1104" t="s">
        <v>272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1503</v>
      </c>
      <c r="B1105" t="s">
        <v>229</v>
      </c>
      <c r="C1105" t="s">
        <v>78</v>
      </c>
      <c r="D1105" t="s">
        <v>78</v>
      </c>
      <c r="E1105" t="s">
        <v>207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1503</v>
      </c>
      <c r="B1106" t="s">
        <v>230</v>
      </c>
      <c r="C1106" t="s">
        <v>78</v>
      </c>
      <c r="D1106" t="s">
        <v>78</v>
      </c>
      <c r="E1106" t="s">
        <v>207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1503</v>
      </c>
      <c r="B1107" t="s">
        <v>231</v>
      </c>
      <c r="C1107" t="s">
        <v>78</v>
      </c>
      <c r="D1107" t="s">
        <v>78</v>
      </c>
      <c r="E1107" t="s">
        <v>207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1503</v>
      </c>
      <c r="B1108" t="s">
        <v>233</v>
      </c>
      <c r="C1108" t="s">
        <v>78</v>
      </c>
      <c r="D1108" t="s">
        <v>78</v>
      </c>
      <c r="E1108" t="s">
        <v>207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1503</v>
      </c>
      <c r="B1109" t="s">
        <v>167</v>
      </c>
      <c r="C1109" t="s">
        <v>78</v>
      </c>
      <c r="D1109" t="s">
        <v>78</v>
      </c>
      <c r="E1109" t="s">
        <v>207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1503</v>
      </c>
      <c r="B1110" t="s">
        <v>170</v>
      </c>
      <c r="C1110" t="s">
        <v>78</v>
      </c>
      <c r="D1110" t="s">
        <v>78</v>
      </c>
      <c r="E1110" t="s">
        <v>207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1503</v>
      </c>
      <c r="B1111" t="s">
        <v>175</v>
      </c>
      <c r="C1111" t="s">
        <v>78</v>
      </c>
      <c r="D1111" t="s">
        <v>78</v>
      </c>
      <c r="E1111" t="s">
        <v>279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1503</v>
      </c>
      <c r="B1112" t="s">
        <v>178</v>
      </c>
      <c r="C1112" t="s">
        <v>78</v>
      </c>
      <c r="D1112" t="s">
        <v>78</v>
      </c>
      <c r="E1112" t="s">
        <v>279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1503</v>
      </c>
      <c r="B1113" t="s">
        <v>238</v>
      </c>
      <c r="C1113" t="s">
        <v>78</v>
      </c>
      <c r="D1113" t="s">
        <v>78</v>
      </c>
      <c r="E1113" t="s">
        <v>286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1503</v>
      </c>
      <c r="B1114" t="s">
        <v>179</v>
      </c>
      <c r="C1114" t="s">
        <v>78</v>
      </c>
      <c r="D1114" t="s">
        <v>78</v>
      </c>
      <c r="E1114" t="s">
        <v>235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1503</v>
      </c>
      <c r="B1115" t="s">
        <v>180</v>
      </c>
      <c r="C1115" t="s">
        <v>78</v>
      </c>
      <c r="D1115" t="s">
        <v>78</v>
      </c>
      <c r="E1115" t="s">
        <v>286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1503</v>
      </c>
      <c r="B1116" t="s">
        <v>181</v>
      </c>
      <c r="C1116" t="s">
        <v>78</v>
      </c>
      <c r="D1116" t="s">
        <v>78</v>
      </c>
      <c r="E1116" t="s">
        <v>241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1503</v>
      </c>
      <c r="B1117" t="s">
        <v>242</v>
      </c>
      <c r="C1117" t="s">
        <v>78</v>
      </c>
      <c r="D1117" t="s">
        <v>78</v>
      </c>
      <c r="E1117" t="s">
        <v>268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1503</v>
      </c>
      <c r="B1118" t="s">
        <v>327</v>
      </c>
      <c r="C1118" t="s">
        <v>78</v>
      </c>
      <c r="D1118" t="s">
        <v>78</v>
      </c>
      <c r="E1118" t="s">
        <v>268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1503</v>
      </c>
      <c r="B1119" t="s">
        <v>1266</v>
      </c>
      <c r="C1119" t="s">
        <v>78</v>
      </c>
      <c r="D1119" t="s">
        <v>78</v>
      </c>
      <c r="E1119" t="s">
        <v>268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1503</v>
      </c>
      <c r="B1120" t="s">
        <v>345</v>
      </c>
      <c r="C1120" t="s">
        <v>78</v>
      </c>
      <c r="D1120" t="s">
        <v>78</v>
      </c>
      <c r="E1120" t="s">
        <v>268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1503</v>
      </c>
      <c r="B1121" t="s">
        <v>346</v>
      </c>
      <c r="C1121" t="s">
        <v>78</v>
      </c>
      <c r="D1121" t="s">
        <v>78</v>
      </c>
      <c r="E1121" t="s">
        <v>268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1503</v>
      </c>
      <c r="B1122" t="s">
        <v>600</v>
      </c>
      <c r="C1122" t="s">
        <v>78</v>
      </c>
      <c r="D1122" t="s">
        <v>78</v>
      </c>
      <c r="E1122" t="s">
        <v>268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1503</v>
      </c>
      <c r="B1123" t="s">
        <v>183</v>
      </c>
      <c r="C1123" t="s">
        <v>78</v>
      </c>
      <c r="D1123" t="s">
        <v>78</v>
      </c>
      <c r="E1123" t="s">
        <v>184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1519</v>
      </c>
      <c r="B1124" t="s">
        <v>605</v>
      </c>
      <c r="C1124" t="s">
        <v>78</v>
      </c>
      <c r="D1124" t="s">
        <v>78</v>
      </c>
      <c r="E1124" t="s">
        <v>287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1519</v>
      </c>
      <c r="B1125" t="s">
        <v>629</v>
      </c>
      <c r="C1125" t="s">
        <v>78</v>
      </c>
      <c r="D1125" t="s">
        <v>1520</v>
      </c>
      <c r="E1125" t="s">
        <v>254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1519</v>
      </c>
      <c r="B1126" t="s">
        <v>619</v>
      </c>
      <c r="C1126" t="s">
        <v>78</v>
      </c>
      <c r="D1126" t="s">
        <v>1521</v>
      </c>
      <c r="E1126" t="s">
        <v>212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1519</v>
      </c>
      <c r="B1127" t="s">
        <v>688</v>
      </c>
      <c r="C1127" t="s">
        <v>78</v>
      </c>
      <c r="D1127" t="s">
        <v>78</v>
      </c>
      <c r="E1127" t="s">
        <v>692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1519</v>
      </c>
      <c r="B1128" t="s">
        <v>617</v>
      </c>
      <c r="C1128" t="s">
        <v>78</v>
      </c>
      <c r="D1128" t="s">
        <v>1522</v>
      </c>
      <c r="E1128" t="s">
        <v>212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1519</v>
      </c>
      <c r="B1129" t="s">
        <v>619</v>
      </c>
      <c r="C1129" t="s">
        <v>78</v>
      </c>
      <c r="D1129" t="s">
        <v>1521</v>
      </c>
      <c r="E1129" t="s">
        <v>212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1519</v>
      </c>
      <c r="B1130" t="s">
        <v>1523</v>
      </c>
      <c r="C1130" t="s">
        <v>78</v>
      </c>
      <c r="D1130" t="s">
        <v>1521</v>
      </c>
      <c r="E1130" t="s">
        <v>256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1519</v>
      </c>
      <c r="B1131" t="s">
        <v>1524</v>
      </c>
      <c r="C1131" t="s">
        <v>78</v>
      </c>
      <c r="D1131" t="s">
        <v>1521</v>
      </c>
      <c r="E1131" t="s">
        <v>256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1519</v>
      </c>
      <c r="B1132" t="s">
        <v>625</v>
      </c>
      <c r="C1132" t="s">
        <v>78</v>
      </c>
      <c r="D1132" t="s">
        <v>1521</v>
      </c>
      <c r="E1132" t="s">
        <v>256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1519</v>
      </c>
      <c r="B1133" t="s">
        <v>629</v>
      </c>
      <c r="C1133" t="s">
        <v>78</v>
      </c>
      <c r="D1133" t="s">
        <v>1520</v>
      </c>
      <c r="E1133" t="s">
        <v>254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1519</v>
      </c>
      <c r="B1134" t="s">
        <v>628</v>
      </c>
      <c r="C1134" t="s">
        <v>78</v>
      </c>
      <c r="D1134" t="s">
        <v>1521</v>
      </c>
      <c r="E1134" t="s">
        <v>254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1519</v>
      </c>
      <c r="B1135" t="s">
        <v>1525</v>
      </c>
      <c r="C1135" t="s">
        <v>78</v>
      </c>
      <c r="D1135" t="s">
        <v>1521</v>
      </c>
      <c r="E1135" t="s">
        <v>256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1519</v>
      </c>
      <c r="B1136" t="s">
        <v>627</v>
      </c>
      <c r="C1136" t="s">
        <v>78</v>
      </c>
      <c r="D1136" t="s">
        <v>1521</v>
      </c>
      <c r="E1136" t="s">
        <v>212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1519</v>
      </c>
      <c r="B1137" t="s">
        <v>626</v>
      </c>
      <c r="C1137" t="s">
        <v>78</v>
      </c>
      <c r="D1137" t="s">
        <v>1521</v>
      </c>
      <c r="E1137" t="s">
        <v>212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1519</v>
      </c>
      <c r="B1138" t="s">
        <v>1526</v>
      </c>
      <c r="C1138" t="s">
        <v>78</v>
      </c>
      <c r="D1138" t="s">
        <v>1521</v>
      </c>
      <c r="E1138" t="s">
        <v>212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1519</v>
      </c>
      <c r="B1139" t="s">
        <v>605</v>
      </c>
      <c r="C1139" t="s">
        <v>78</v>
      </c>
      <c r="D1139" t="s">
        <v>78</v>
      </c>
      <c r="E1139" t="s">
        <v>287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1519</v>
      </c>
      <c r="B1140" t="s">
        <v>614</v>
      </c>
      <c r="C1140" t="s">
        <v>78</v>
      </c>
      <c r="D1140" t="s">
        <v>1527</v>
      </c>
      <c r="E1140" t="s">
        <v>258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1519</v>
      </c>
      <c r="B1141" t="s">
        <v>611</v>
      </c>
      <c r="C1141" t="s">
        <v>78</v>
      </c>
      <c r="D1141" t="s">
        <v>1527</v>
      </c>
      <c r="E1141" t="s">
        <v>258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1519</v>
      </c>
      <c r="B1142" t="s">
        <v>1528</v>
      </c>
      <c r="C1142" t="s">
        <v>78</v>
      </c>
      <c r="D1142" t="s">
        <v>1527</v>
      </c>
      <c r="E1142" t="s">
        <v>401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1519</v>
      </c>
      <c r="B1143" t="s">
        <v>615</v>
      </c>
      <c r="C1143" t="s">
        <v>78</v>
      </c>
      <c r="D1143" t="s">
        <v>1527</v>
      </c>
      <c r="E1143" t="s">
        <v>212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1519</v>
      </c>
      <c r="B1144" t="s">
        <v>1529</v>
      </c>
      <c r="C1144" t="s">
        <v>78</v>
      </c>
      <c r="D1144" t="s">
        <v>1527</v>
      </c>
      <c r="E1144" t="s">
        <v>256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1519</v>
      </c>
      <c r="B1145" t="s">
        <v>1530</v>
      </c>
      <c r="C1145" t="s">
        <v>78</v>
      </c>
      <c r="D1145" t="s">
        <v>1527</v>
      </c>
      <c r="E1145" t="s">
        <v>212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1519</v>
      </c>
      <c r="B1146" t="s">
        <v>617</v>
      </c>
      <c r="C1146" t="s">
        <v>78</v>
      </c>
      <c r="D1146" t="s">
        <v>1522</v>
      </c>
      <c r="E1146" t="s">
        <v>212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1519</v>
      </c>
      <c r="B1147" t="s">
        <v>1531</v>
      </c>
      <c r="C1147" t="s">
        <v>78</v>
      </c>
      <c r="D1147" t="s">
        <v>78</v>
      </c>
      <c r="E1147" t="s">
        <v>575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1519</v>
      </c>
      <c r="B1148" t="s">
        <v>1532</v>
      </c>
      <c r="C1148" t="s">
        <v>78</v>
      </c>
      <c r="D1148" t="s">
        <v>78</v>
      </c>
      <c r="E1148" t="s">
        <v>575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1519</v>
      </c>
      <c r="B1149" t="s">
        <v>1533</v>
      </c>
      <c r="C1149" t="s">
        <v>78</v>
      </c>
      <c r="D1149" t="s">
        <v>78</v>
      </c>
      <c r="E1149" t="s">
        <v>575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1519</v>
      </c>
      <c r="B1150" t="s">
        <v>688</v>
      </c>
      <c r="C1150" t="s">
        <v>78</v>
      </c>
      <c r="D1150" t="s">
        <v>78</v>
      </c>
      <c r="E1150" t="s">
        <v>692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1519</v>
      </c>
      <c r="B1151" t="s">
        <v>167</v>
      </c>
      <c r="C1151" t="s">
        <v>78</v>
      </c>
      <c r="D1151" t="s">
        <v>78</v>
      </c>
      <c r="E1151" t="s">
        <v>575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1519</v>
      </c>
      <c r="B1152" t="s">
        <v>234</v>
      </c>
      <c r="C1152" t="s">
        <v>78</v>
      </c>
      <c r="D1152" t="s">
        <v>78</v>
      </c>
      <c r="E1152" t="s">
        <v>235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1519</v>
      </c>
      <c r="B1153" t="s">
        <v>325</v>
      </c>
      <c r="C1153" t="s">
        <v>78</v>
      </c>
      <c r="D1153" t="s">
        <v>78</v>
      </c>
      <c r="E1153" t="s">
        <v>235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1519</v>
      </c>
      <c r="B1154" t="s">
        <v>178</v>
      </c>
      <c r="C1154" t="s">
        <v>78</v>
      </c>
      <c r="D1154" t="s">
        <v>78</v>
      </c>
      <c r="E1154" t="s">
        <v>235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1519</v>
      </c>
      <c r="B1155" t="s">
        <v>180</v>
      </c>
      <c r="C1155" t="s">
        <v>78</v>
      </c>
      <c r="D1155" t="s">
        <v>78</v>
      </c>
      <c r="E1155" t="s">
        <v>286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1519</v>
      </c>
      <c r="B1156" t="s">
        <v>181</v>
      </c>
      <c r="C1156" t="s">
        <v>78</v>
      </c>
      <c r="D1156" t="s">
        <v>78</v>
      </c>
      <c r="E1156" t="s">
        <v>1534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1519</v>
      </c>
      <c r="B1157" t="s">
        <v>348</v>
      </c>
      <c r="C1157" t="s">
        <v>78</v>
      </c>
      <c r="D1157" t="s">
        <v>78</v>
      </c>
      <c r="E1157" t="s">
        <v>287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1519</v>
      </c>
      <c r="B1158" t="s">
        <v>349</v>
      </c>
      <c r="C1158" t="s">
        <v>78</v>
      </c>
      <c r="D1158" t="s">
        <v>78</v>
      </c>
      <c r="E1158" t="s">
        <v>287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1519</v>
      </c>
      <c r="B1159" t="s">
        <v>183</v>
      </c>
      <c r="C1159" t="s">
        <v>78</v>
      </c>
      <c r="D1159" t="s">
        <v>78</v>
      </c>
      <c r="E1159" t="s">
        <v>184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1537</v>
      </c>
      <c r="B1160" t="s">
        <v>1538</v>
      </c>
      <c r="C1160" t="s">
        <v>78</v>
      </c>
      <c r="D1160" t="s">
        <v>1539</v>
      </c>
      <c r="E1160" t="s">
        <v>1021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1537</v>
      </c>
      <c r="B1161" t="s">
        <v>1540</v>
      </c>
      <c r="C1161" t="s">
        <v>78</v>
      </c>
      <c r="D1161" t="s">
        <v>1541</v>
      </c>
      <c r="E1161" t="s">
        <v>953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1537</v>
      </c>
      <c r="B1162" t="s">
        <v>1542</v>
      </c>
      <c r="C1162" t="s">
        <v>78</v>
      </c>
      <c r="D1162" t="s">
        <v>1543</v>
      </c>
      <c r="E1162" t="s">
        <v>1544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1537</v>
      </c>
      <c r="B1163" t="s">
        <v>1545</v>
      </c>
      <c r="C1163" t="s">
        <v>78</v>
      </c>
      <c r="D1163" t="s">
        <v>1546</v>
      </c>
      <c r="E1163" t="s">
        <v>1077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1537</v>
      </c>
      <c r="B1164" t="s">
        <v>1547</v>
      </c>
      <c r="C1164" t="s">
        <v>78</v>
      </c>
      <c r="D1164" t="s">
        <v>1548</v>
      </c>
      <c r="E1164" t="s">
        <v>1021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1537</v>
      </c>
      <c r="B1165" t="s">
        <v>1549</v>
      </c>
      <c r="C1165" t="s">
        <v>78</v>
      </c>
      <c r="D1165" t="s">
        <v>1550</v>
      </c>
      <c r="E1165" t="s">
        <v>953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1537</v>
      </c>
      <c r="B1166" t="s">
        <v>1551</v>
      </c>
      <c r="C1166" t="s">
        <v>78</v>
      </c>
      <c r="D1166" t="s">
        <v>1552</v>
      </c>
      <c r="E1166" t="s">
        <v>1156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1537</v>
      </c>
      <c r="B1167" t="s">
        <v>1553</v>
      </c>
      <c r="C1167" t="s">
        <v>78</v>
      </c>
      <c r="D1167" t="s">
        <v>1554</v>
      </c>
      <c r="E1167" t="s">
        <v>927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1537</v>
      </c>
      <c r="B1168" t="s">
        <v>1555</v>
      </c>
      <c r="C1168" t="s">
        <v>78</v>
      </c>
      <c r="D1168" t="s">
        <v>1554</v>
      </c>
      <c r="E1168" t="s">
        <v>1556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1537</v>
      </c>
      <c r="B1169" t="s">
        <v>1557</v>
      </c>
      <c r="C1169" t="s">
        <v>78</v>
      </c>
      <c r="D1169" t="s">
        <v>1554</v>
      </c>
      <c r="E1169" t="s">
        <v>1544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1537</v>
      </c>
      <c r="B1170" t="s">
        <v>1558</v>
      </c>
      <c r="C1170" t="s">
        <v>78</v>
      </c>
      <c r="D1170" t="s">
        <v>1559</v>
      </c>
      <c r="E1170" t="s">
        <v>1560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1537</v>
      </c>
      <c r="B1171" t="s">
        <v>1561</v>
      </c>
      <c r="C1171" t="s">
        <v>78</v>
      </c>
      <c r="D1171" t="s">
        <v>1562</v>
      </c>
      <c r="E1171" t="s">
        <v>953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1537</v>
      </c>
      <c r="B1172" t="s">
        <v>1563</v>
      </c>
      <c r="C1172" t="s">
        <v>78</v>
      </c>
      <c r="D1172" t="s">
        <v>1564</v>
      </c>
      <c r="E1172" t="s">
        <v>1033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1537</v>
      </c>
      <c r="B1173" t="s">
        <v>1565</v>
      </c>
      <c r="C1173" t="s">
        <v>78</v>
      </c>
      <c r="D1173" t="s">
        <v>1566</v>
      </c>
      <c r="E1173" t="s">
        <v>1021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1537</v>
      </c>
      <c r="B1174" t="s">
        <v>1567</v>
      </c>
      <c r="C1174" t="s">
        <v>78</v>
      </c>
      <c r="D1174" t="s">
        <v>78</v>
      </c>
      <c r="E1174" t="s">
        <v>1086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1537</v>
      </c>
      <c r="B1175" t="s">
        <v>1568</v>
      </c>
      <c r="C1175" t="s">
        <v>78</v>
      </c>
      <c r="D1175" t="s">
        <v>1554</v>
      </c>
      <c r="E1175" t="s">
        <v>953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1537</v>
      </c>
      <c r="B1176" t="s">
        <v>1569</v>
      </c>
      <c r="C1176" t="s">
        <v>78</v>
      </c>
      <c r="D1176" t="s">
        <v>78</v>
      </c>
      <c r="E1176" t="s">
        <v>1570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1537</v>
      </c>
      <c r="B1177" t="s">
        <v>1571</v>
      </c>
      <c r="C1177" t="s">
        <v>78</v>
      </c>
      <c r="D1177" t="s">
        <v>78</v>
      </c>
      <c r="E1177" t="s">
        <v>1572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1537</v>
      </c>
      <c r="B1178" t="s">
        <v>1573</v>
      </c>
      <c r="C1178" t="s">
        <v>78</v>
      </c>
      <c r="D1178" t="s">
        <v>78</v>
      </c>
      <c r="E1178" t="s">
        <v>953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1537</v>
      </c>
      <c r="B1179" t="s">
        <v>1574</v>
      </c>
      <c r="C1179" t="s">
        <v>78</v>
      </c>
      <c r="D1179" t="s">
        <v>78</v>
      </c>
      <c r="E1179" t="s">
        <v>1575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1537</v>
      </c>
      <c r="B1180" t="s">
        <v>1576</v>
      </c>
      <c r="C1180" t="s">
        <v>78</v>
      </c>
      <c r="D1180" t="s">
        <v>1554</v>
      </c>
      <c r="E1180" t="s">
        <v>1024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1537</v>
      </c>
      <c r="B1181" t="s">
        <v>1577</v>
      </c>
      <c r="C1181" t="s">
        <v>78</v>
      </c>
      <c r="D1181" t="s">
        <v>78</v>
      </c>
      <c r="E1181" t="s">
        <v>1161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1537</v>
      </c>
      <c r="B1182" t="s">
        <v>1578</v>
      </c>
      <c r="C1182" t="s">
        <v>78</v>
      </c>
      <c r="D1182" t="s">
        <v>1579</v>
      </c>
      <c r="E1182" t="s">
        <v>1161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1537</v>
      </c>
      <c r="B1183" t="s">
        <v>1580</v>
      </c>
      <c r="C1183" t="s">
        <v>78</v>
      </c>
      <c r="D1183" t="s">
        <v>78</v>
      </c>
      <c r="E1183" t="s">
        <v>993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1537</v>
      </c>
      <c r="B1184" t="s">
        <v>1581</v>
      </c>
      <c r="C1184" t="s">
        <v>78</v>
      </c>
      <c r="D1184" t="s">
        <v>1582</v>
      </c>
      <c r="E1184" t="s">
        <v>1207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1537</v>
      </c>
      <c r="B1185" t="s">
        <v>1583</v>
      </c>
      <c r="C1185" t="s">
        <v>78</v>
      </c>
      <c r="D1185" t="s">
        <v>1584</v>
      </c>
      <c r="E1185" t="s">
        <v>1105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1537</v>
      </c>
      <c r="B1186" t="s">
        <v>1585</v>
      </c>
      <c r="C1186" t="s">
        <v>78</v>
      </c>
      <c r="D1186" t="s">
        <v>1586</v>
      </c>
      <c r="E1186" t="s">
        <v>1096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1537</v>
      </c>
      <c r="B1187" t="s">
        <v>1587</v>
      </c>
      <c r="C1187" t="s">
        <v>78</v>
      </c>
      <c r="D1187" t="s">
        <v>1586</v>
      </c>
      <c r="E1187" t="s">
        <v>924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1537</v>
      </c>
      <c r="B1188" t="s">
        <v>1588</v>
      </c>
      <c r="C1188" t="s">
        <v>78</v>
      </c>
      <c r="D1188" t="s">
        <v>1586</v>
      </c>
      <c r="E1188" t="s">
        <v>1036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1537</v>
      </c>
      <c r="B1189" t="s">
        <v>1589</v>
      </c>
      <c r="C1189" t="s">
        <v>78</v>
      </c>
      <c r="D1189" t="s">
        <v>1586</v>
      </c>
      <c r="E1189" t="s">
        <v>958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1537</v>
      </c>
      <c r="B1190" t="s">
        <v>1590</v>
      </c>
      <c r="C1190" t="s">
        <v>78</v>
      </c>
      <c r="D1190" t="s">
        <v>1586</v>
      </c>
      <c r="E1190" t="s">
        <v>1033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1537</v>
      </c>
      <c r="B1191" t="s">
        <v>1591</v>
      </c>
      <c r="C1191" t="s">
        <v>78</v>
      </c>
      <c r="D1191" t="s">
        <v>1586</v>
      </c>
      <c r="E1191" t="s">
        <v>1592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1537</v>
      </c>
      <c r="B1192" t="s">
        <v>1593</v>
      </c>
      <c r="C1192" t="s">
        <v>78</v>
      </c>
      <c r="D1192" t="s">
        <v>1594</v>
      </c>
      <c r="E1192" t="s">
        <v>1166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1537</v>
      </c>
      <c r="B1193" t="s">
        <v>1595</v>
      </c>
      <c r="C1193" t="s">
        <v>78</v>
      </c>
      <c r="D1193" t="s">
        <v>1554</v>
      </c>
      <c r="E1193" t="s">
        <v>1018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1537</v>
      </c>
      <c r="B1194" t="s">
        <v>1596</v>
      </c>
      <c r="C1194" t="s">
        <v>78</v>
      </c>
      <c r="D1194" t="s">
        <v>1597</v>
      </c>
      <c r="E1194" t="s">
        <v>1096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1537</v>
      </c>
      <c r="B1195" t="s">
        <v>1598</v>
      </c>
      <c r="C1195" t="s">
        <v>78</v>
      </c>
      <c r="D1195" t="s">
        <v>1599</v>
      </c>
      <c r="E1195" t="s">
        <v>1018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1537</v>
      </c>
      <c r="B1196" t="s">
        <v>1600</v>
      </c>
      <c r="C1196" t="s">
        <v>78</v>
      </c>
      <c r="D1196" t="s">
        <v>1601</v>
      </c>
      <c r="E1196" t="s">
        <v>1018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1537</v>
      </c>
      <c r="B1197" t="s">
        <v>1602</v>
      </c>
      <c r="C1197" t="s">
        <v>78</v>
      </c>
      <c r="D1197" t="s">
        <v>1594</v>
      </c>
      <c r="E1197" t="s">
        <v>924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1537</v>
      </c>
      <c r="B1198" t="s">
        <v>1603</v>
      </c>
      <c r="C1198" t="s">
        <v>78</v>
      </c>
      <c r="D1198" t="s">
        <v>1604</v>
      </c>
      <c r="E1198" t="s">
        <v>1036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1537</v>
      </c>
      <c r="B1199" t="s">
        <v>1605</v>
      </c>
      <c r="C1199" t="s">
        <v>78</v>
      </c>
      <c r="D1199" t="s">
        <v>1606</v>
      </c>
      <c r="E1199" t="s">
        <v>1096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1537</v>
      </c>
      <c r="B1200" t="s">
        <v>1607</v>
      </c>
      <c r="C1200" t="s">
        <v>78</v>
      </c>
      <c r="D1200" t="s">
        <v>1554</v>
      </c>
      <c r="E1200" t="s">
        <v>947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1537</v>
      </c>
      <c r="B1201" t="s">
        <v>1608</v>
      </c>
      <c r="C1201" t="s">
        <v>78</v>
      </c>
      <c r="D1201" t="s">
        <v>78</v>
      </c>
      <c r="E1201" t="s">
        <v>1609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1537</v>
      </c>
      <c r="B1202" t="s">
        <v>1610</v>
      </c>
      <c r="C1202" t="s">
        <v>78</v>
      </c>
      <c r="D1202" t="s">
        <v>1611</v>
      </c>
      <c r="E1202" t="s">
        <v>1137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1537</v>
      </c>
      <c r="B1203" t="s">
        <v>1612</v>
      </c>
      <c r="C1203" t="s">
        <v>78</v>
      </c>
      <c r="D1203" t="s">
        <v>1613</v>
      </c>
      <c r="E1203" t="s">
        <v>958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1537</v>
      </c>
      <c r="B1204" t="s">
        <v>1614</v>
      </c>
      <c r="C1204" t="s">
        <v>78</v>
      </c>
      <c r="D1204" t="s">
        <v>1554</v>
      </c>
      <c r="E1204" t="s">
        <v>1615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1537</v>
      </c>
      <c r="B1205" t="s">
        <v>1616</v>
      </c>
      <c r="C1205" t="s">
        <v>78</v>
      </c>
      <c r="D1205" t="s">
        <v>1554</v>
      </c>
      <c r="E1205" t="s">
        <v>1617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1537</v>
      </c>
      <c r="B1206" t="s">
        <v>1618</v>
      </c>
      <c r="C1206" t="s">
        <v>78</v>
      </c>
      <c r="D1206" t="s">
        <v>1554</v>
      </c>
      <c r="E1206" t="s">
        <v>1619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1537</v>
      </c>
      <c r="B1207" t="s">
        <v>1620</v>
      </c>
      <c r="C1207" t="s">
        <v>78</v>
      </c>
      <c r="D1207" t="s">
        <v>1554</v>
      </c>
      <c r="E1207" t="s">
        <v>1621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1537</v>
      </c>
      <c r="B1208" t="s">
        <v>1622</v>
      </c>
      <c r="C1208" t="s">
        <v>78</v>
      </c>
      <c r="D1208" t="s">
        <v>1623</v>
      </c>
      <c r="E1208" t="s">
        <v>1624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1537</v>
      </c>
      <c r="B1209" t="s">
        <v>1625</v>
      </c>
      <c r="C1209" t="s">
        <v>78</v>
      </c>
      <c r="D1209" t="s">
        <v>1554</v>
      </c>
      <c r="E1209" t="s">
        <v>1626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1537</v>
      </c>
      <c r="B1210" t="s">
        <v>1627</v>
      </c>
      <c r="C1210" t="s">
        <v>78</v>
      </c>
      <c r="D1210" t="s">
        <v>1628</v>
      </c>
      <c r="E1210" t="s">
        <v>1556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1537</v>
      </c>
      <c r="B1211" t="s">
        <v>1629</v>
      </c>
      <c r="C1211" t="s">
        <v>78</v>
      </c>
      <c r="D1211" t="s">
        <v>1630</v>
      </c>
      <c r="E1211" t="s">
        <v>1556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1537</v>
      </c>
      <c r="B1212" t="s">
        <v>1631</v>
      </c>
      <c r="C1212" t="s">
        <v>78</v>
      </c>
      <c r="D1212" t="s">
        <v>1632</v>
      </c>
      <c r="E1212" t="s">
        <v>1556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1537</v>
      </c>
      <c r="B1213" t="s">
        <v>1633</v>
      </c>
      <c r="C1213" t="s">
        <v>78</v>
      </c>
      <c r="D1213" t="s">
        <v>1634</v>
      </c>
      <c r="E1213" t="s">
        <v>1556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1537</v>
      </c>
      <c r="B1214" t="s">
        <v>1635</v>
      </c>
      <c r="C1214" t="s">
        <v>78</v>
      </c>
      <c r="D1214" t="s">
        <v>1636</v>
      </c>
      <c r="E1214" t="s">
        <v>1637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1537</v>
      </c>
      <c r="B1215" t="s">
        <v>1638</v>
      </c>
      <c r="C1215" t="s">
        <v>78</v>
      </c>
      <c r="D1215" t="s">
        <v>1639</v>
      </c>
      <c r="E1215" t="s">
        <v>1637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1537</v>
      </c>
      <c r="B1216" t="s">
        <v>1640</v>
      </c>
      <c r="C1216" t="s">
        <v>78</v>
      </c>
      <c r="D1216" t="s">
        <v>1641</v>
      </c>
      <c r="E1216" t="s">
        <v>1637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1537</v>
      </c>
      <c r="B1217" t="s">
        <v>1642</v>
      </c>
      <c r="C1217" t="s">
        <v>78</v>
      </c>
      <c r="D1217" t="s">
        <v>1643</v>
      </c>
      <c r="E1217" t="s">
        <v>1637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1537</v>
      </c>
      <c r="B1218" t="s">
        <v>1644</v>
      </c>
      <c r="C1218" t="s">
        <v>78</v>
      </c>
      <c r="D1218" t="s">
        <v>1645</v>
      </c>
      <c r="E1218" t="s">
        <v>1637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1537</v>
      </c>
      <c r="B1219" t="s">
        <v>1646</v>
      </c>
      <c r="C1219" t="s">
        <v>78</v>
      </c>
      <c r="D1219" t="s">
        <v>1647</v>
      </c>
      <c r="E1219" t="s">
        <v>1648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1537</v>
      </c>
      <c r="B1220" t="s">
        <v>1649</v>
      </c>
      <c r="C1220" t="s">
        <v>78</v>
      </c>
      <c r="D1220" t="s">
        <v>1650</v>
      </c>
      <c r="E1220" t="s">
        <v>1648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1537</v>
      </c>
      <c r="B1221" t="s">
        <v>1651</v>
      </c>
      <c r="C1221" t="s">
        <v>78</v>
      </c>
      <c r="D1221" t="s">
        <v>1652</v>
      </c>
      <c r="E1221" t="s">
        <v>1648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1537</v>
      </c>
      <c r="B1222" t="s">
        <v>1653</v>
      </c>
      <c r="C1222" t="s">
        <v>78</v>
      </c>
      <c r="D1222" t="s">
        <v>1654</v>
      </c>
      <c r="E1222" t="s">
        <v>1648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1537</v>
      </c>
      <c r="B1223" t="s">
        <v>1655</v>
      </c>
      <c r="C1223" t="s">
        <v>78</v>
      </c>
      <c r="D1223" t="s">
        <v>1656</v>
      </c>
      <c r="E1223" t="s">
        <v>1648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1537</v>
      </c>
      <c r="B1224" t="s">
        <v>1657</v>
      </c>
      <c r="C1224" t="s">
        <v>78</v>
      </c>
      <c r="D1224" t="s">
        <v>1658</v>
      </c>
      <c r="E1224" t="s">
        <v>1648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1537</v>
      </c>
      <c r="B1225" t="s">
        <v>1659</v>
      </c>
      <c r="C1225" t="s">
        <v>78</v>
      </c>
      <c r="D1225" t="s">
        <v>1660</v>
      </c>
      <c r="E1225" t="s">
        <v>1648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1537</v>
      </c>
      <c r="B1226" t="s">
        <v>1661</v>
      </c>
      <c r="C1226" t="s">
        <v>78</v>
      </c>
      <c r="D1226" t="s">
        <v>1662</v>
      </c>
      <c r="E1226" t="s">
        <v>1648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1537</v>
      </c>
      <c r="B1227" t="s">
        <v>1663</v>
      </c>
      <c r="C1227" t="s">
        <v>78</v>
      </c>
      <c r="D1227" t="s">
        <v>1664</v>
      </c>
      <c r="E1227" t="s">
        <v>1327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1537</v>
      </c>
      <c r="B1228" t="s">
        <v>1665</v>
      </c>
      <c r="C1228" t="s">
        <v>78</v>
      </c>
      <c r="D1228" t="s">
        <v>1666</v>
      </c>
      <c r="E1228" t="s">
        <v>1327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1537</v>
      </c>
      <c r="B1229" t="s">
        <v>1667</v>
      </c>
      <c r="C1229" t="s">
        <v>78</v>
      </c>
      <c r="D1229" t="s">
        <v>1668</v>
      </c>
      <c r="E1229" t="s">
        <v>1327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1537</v>
      </c>
      <c r="B1230" t="s">
        <v>1669</v>
      </c>
      <c r="C1230" t="s">
        <v>78</v>
      </c>
      <c r="D1230" t="s">
        <v>1670</v>
      </c>
      <c r="E1230" t="s">
        <v>1327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1537</v>
      </c>
      <c r="B1231" t="s">
        <v>1671</v>
      </c>
      <c r="C1231" t="s">
        <v>78</v>
      </c>
      <c r="D1231" t="s">
        <v>1672</v>
      </c>
      <c r="E1231" t="s">
        <v>1327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1537</v>
      </c>
      <c r="B1232" t="s">
        <v>1673</v>
      </c>
      <c r="C1232" t="s">
        <v>78</v>
      </c>
      <c r="D1232" t="s">
        <v>1674</v>
      </c>
      <c r="E1232" t="s">
        <v>1327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1537</v>
      </c>
      <c r="B1233" t="s">
        <v>1675</v>
      </c>
      <c r="C1233" t="s">
        <v>78</v>
      </c>
      <c r="D1233" t="s">
        <v>1676</v>
      </c>
      <c r="E1233" t="s">
        <v>1677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1537</v>
      </c>
      <c r="B1234" t="s">
        <v>1678</v>
      </c>
      <c r="C1234" t="s">
        <v>78</v>
      </c>
      <c r="D1234" t="s">
        <v>1628</v>
      </c>
      <c r="E1234" t="s">
        <v>1677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1537</v>
      </c>
      <c r="B1235" t="s">
        <v>1679</v>
      </c>
      <c r="C1235" t="s">
        <v>78</v>
      </c>
      <c r="D1235" t="s">
        <v>1630</v>
      </c>
      <c r="E1235" t="s">
        <v>1677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1537</v>
      </c>
      <c r="B1236" t="s">
        <v>1680</v>
      </c>
      <c r="C1236" t="s">
        <v>78</v>
      </c>
      <c r="D1236" t="s">
        <v>1632</v>
      </c>
      <c r="E1236" t="s">
        <v>1677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1537</v>
      </c>
      <c r="B1237" t="s">
        <v>1681</v>
      </c>
      <c r="C1237" t="s">
        <v>78</v>
      </c>
      <c r="D1237" t="s">
        <v>1634</v>
      </c>
      <c r="E1237" t="s">
        <v>1677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1537</v>
      </c>
      <c r="B1238" t="s">
        <v>1682</v>
      </c>
      <c r="C1238" t="s">
        <v>78</v>
      </c>
      <c r="D1238" t="s">
        <v>1636</v>
      </c>
      <c r="E1238" t="s">
        <v>961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1537</v>
      </c>
      <c r="B1239" t="s">
        <v>1683</v>
      </c>
      <c r="C1239" t="s">
        <v>78</v>
      </c>
      <c r="D1239" t="s">
        <v>1639</v>
      </c>
      <c r="E1239" t="s">
        <v>961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1537</v>
      </c>
      <c r="B1240" t="s">
        <v>1684</v>
      </c>
      <c r="C1240" t="s">
        <v>78</v>
      </c>
      <c r="D1240" t="s">
        <v>1641</v>
      </c>
      <c r="E1240" t="s">
        <v>961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1537</v>
      </c>
      <c r="B1241" t="s">
        <v>1685</v>
      </c>
      <c r="C1241" t="s">
        <v>78</v>
      </c>
      <c r="D1241" t="s">
        <v>1643</v>
      </c>
      <c r="E1241" t="s">
        <v>961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1537</v>
      </c>
      <c r="B1242" t="s">
        <v>1686</v>
      </c>
      <c r="C1242" t="s">
        <v>78</v>
      </c>
      <c r="D1242" t="s">
        <v>1645</v>
      </c>
      <c r="E1242" t="s">
        <v>961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1537</v>
      </c>
      <c r="B1243" t="s">
        <v>1687</v>
      </c>
      <c r="C1243" t="s">
        <v>78</v>
      </c>
      <c r="D1243" t="s">
        <v>1647</v>
      </c>
      <c r="E1243" t="s">
        <v>1688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1537</v>
      </c>
      <c r="B1244" t="s">
        <v>1689</v>
      </c>
      <c r="C1244" t="s">
        <v>78</v>
      </c>
      <c r="D1244" t="s">
        <v>1650</v>
      </c>
      <c r="E1244" t="s">
        <v>1688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1537</v>
      </c>
      <c r="B1245" t="s">
        <v>1690</v>
      </c>
      <c r="C1245" t="s">
        <v>78</v>
      </c>
      <c r="D1245" t="s">
        <v>1652</v>
      </c>
      <c r="E1245" t="s">
        <v>1688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1537</v>
      </c>
      <c r="B1246" t="s">
        <v>1691</v>
      </c>
      <c r="C1246" t="s">
        <v>78</v>
      </c>
      <c r="D1246" t="s">
        <v>1654</v>
      </c>
      <c r="E1246" t="s">
        <v>1688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1537</v>
      </c>
      <c r="B1247" t="s">
        <v>1692</v>
      </c>
      <c r="C1247" t="s">
        <v>78</v>
      </c>
      <c r="D1247" t="s">
        <v>1656</v>
      </c>
      <c r="E1247" t="s">
        <v>1688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1537</v>
      </c>
      <c r="B1248" t="s">
        <v>1693</v>
      </c>
      <c r="C1248" t="s">
        <v>78</v>
      </c>
      <c r="D1248" t="s">
        <v>1658</v>
      </c>
      <c r="E1248" t="s">
        <v>1688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1537</v>
      </c>
      <c r="B1249" t="s">
        <v>1694</v>
      </c>
      <c r="C1249" t="s">
        <v>78</v>
      </c>
      <c r="D1249" t="s">
        <v>1660</v>
      </c>
      <c r="E1249" t="s">
        <v>1688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1537</v>
      </c>
      <c r="B1250" t="s">
        <v>1695</v>
      </c>
      <c r="C1250" t="s">
        <v>78</v>
      </c>
      <c r="D1250" t="s">
        <v>1662</v>
      </c>
      <c r="E1250" t="s">
        <v>1688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1537</v>
      </c>
      <c r="B1251" t="s">
        <v>1696</v>
      </c>
      <c r="C1251" t="s">
        <v>78</v>
      </c>
      <c r="D1251" t="s">
        <v>1664</v>
      </c>
      <c r="E1251" t="s">
        <v>1697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1537</v>
      </c>
      <c r="B1252" t="s">
        <v>1698</v>
      </c>
      <c r="C1252" t="s">
        <v>78</v>
      </c>
      <c r="D1252" t="s">
        <v>1699</v>
      </c>
      <c r="E1252" t="s">
        <v>1697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1537</v>
      </c>
      <c r="B1253" t="s">
        <v>1700</v>
      </c>
      <c r="C1253" t="s">
        <v>78</v>
      </c>
      <c r="D1253" t="s">
        <v>1668</v>
      </c>
      <c r="E1253" t="s">
        <v>1697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1537</v>
      </c>
      <c r="B1254" t="s">
        <v>1701</v>
      </c>
      <c r="C1254" t="s">
        <v>78</v>
      </c>
      <c r="D1254" t="s">
        <v>1670</v>
      </c>
      <c r="E1254" t="s">
        <v>1697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1537</v>
      </c>
      <c r="B1255" t="s">
        <v>1702</v>
      </c>
      <c r="C1255" t="s">
        <v>78</v>
      </c>
      <c r="D1255" t="s">
        <v>1672</v>
      </c>
      <c r="E1255" t="s">
        <v>1697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1537</v>
      </c>
      <c r="B1256" t="s">
        <v>1703</v>
      </c>
      <c r="C1256" t="s">
        <v>78</v>
      </c>
      <c r="D1256" t="s">
        <v>1674</v>
      </c>
      <c r="E1256" t="s">
        <v>1697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1537</v>
      </c>
      <c r="B1257" t="s">
        <v>1704</v>
      </c>
      <c r="C1257" t="s">
        <v>78</v>
      </c>
      <c r="D1257" t="s">
        <v>1676</v>
      </c>
      <c r="E1257" t="s">
        <v>975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1537</v>
      </c>
      <c r="B1258" t="s">
        <v>1705</v>
      </c>
      <c r="C1258" t="s">
        <v>78</v>
      </c>
      <c r="D1258" t="s">
        <v>1628</v>
      </c>
      <c r="E1258" t="s">
        <v>975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1537</v>
      </c>
      <c r="B1259" t="s">
        <v>1706</v>
      </c>
      <c r="C1259" t="s">
        <v>78</v>
      </c>
      <c r="D1259" t="s">
        <v>1630</v>
      </c>
      <c r="E1259" t="s">
        <v>975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1537</v>
      </c>
      <c r="B1260" t="s">
        <v>1707</v>
      </c>
      <c r="C1260" t="s">
        <v>78</v>
      </c>
      <c r="D1260" t="s">
        <v>1632</v>
      </c>
      <c r="E1260" t="s">
        <v>975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1537</v>
      </c>
      <c r="B1261" t="s">
        <v>1708</v>
      </c>
      <c r="C1261" t="s">
        <v>78</v>
      </c>
      <c r="D1261" t="s">
        <v>1634</v>
      </c>
      <c r="E1261" t="s">
        <v>975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1537</v>
      </c>
      <c r="B1262" t="s">
        <v>1709</v>
      </c>
      <c r="C1262" t="s">
        <v>78</v>
      </c>
      <c r="D1262" t="s">
        <v>1636</v>
      </c>
      <c r="E1262" t="s">
        <v>978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1537</v>
      </c>
      <c r="B1263" t="s">
        <v>1710</v>
      </c>
      <c r="C1263" t="s">
        <v>78</v>
      </c>
      <c r="D1263" t="s">
        <v>1639</v>
      </c>
      <c r="E1263" t="s">
        <v>978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1537</v>
      </c>
      <c r="B1264" t="s">
        <v>1711</v>
      </c>
      <c r="C1264" t="s">
        <v>78</v>
      </c>
      <c r="D1264" t="s">
        <v>1641</v>
      </c>
      <c r="E1264" t="s">
        <v>978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1537</v>
      </c>
      <c r="B1265" t="s">
        <v>1712</v>
      </c>
      <c r="C1265" t="s">
        <v>78</v>
      </c>
      <c r="D1265" t="s">
        <v>1643</v>
      </c>
      <c r="E1265" t="s">
        <v>978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1537</v>
      </c>
      <c r="B1266" t="s">
        <v>1713</v>
      </c>
      <c r="C1266" t="s">
        <v>78</v>
      </c>
      <c r="D1266" t="s">
        <v>1645</v>
      </c>
      <c r="E1266" t="s">
        <v>978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1537</v>
      </c>
      <c r="B1267" t="s">
        <v>1714</v>
      </c>
      <c r="C1267" t="s">
        <v>78</v>
      </c>
      <c r="D1267" t="s">
        <v>1647</v>
      </c>
      <c r="E1267" t="s">
        <v>953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1537</v>
      </c>
      <c r="B1268" t="s">
        <v>1715</v>
      </c>
      <c r="C1268" t="s">
        <v>78</v>
      </c>
      <c r="D1268" t="s">
        <v>1650</v>
      </c>
      <c r="E1268" t="s">
        <v>953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1537</v>
      </c>
      <c r="B1269" t="s">
        <v>1716</v>
      </c>
      <c r="C1269" t="s">
        <v>78</v>
      </c>
      <c r="D1269" t="s">
        <v>1652</v>
      </c>
      <c r="E1269" t="s">
        <v>953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1537</v>
      </c>
      <c r="B1270" t="s">
        <v>1717</v>
      </c>
      <c r="C1270" t="s">
        <v>78</v>
      </c>
      <c r="D1270" t="s">
        <v>1654</v>
      </c>
      <c r="E1270" t="s">
        <v>953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1537</v>
      </c>
      <c r="B1271" t="s">
        <v>1718</v>
      </c>
      <c r="C1271" t="s">
        <v>78</v>
      </c>
      <c r="D1271" t="s">
        <v>1656</v>
      </c>
      <c r="E1271" t="s">
        <v>953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1537</v>
      </c>
      <c r="B1272" t="s">
        <v>1719</v>
      </c>
      <c r="C1272" t="s">
        <v>78</v>
      </c>
      <c r="D1272" t="s">
        <v>1658</v>
      </c>
      <c r="E1272" t="s">
        <v>953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1537</v>
      </c>
      <c r="B1273" t="s">
        <v>1720</v>
      </c>
      <c r="C1273" t="s">
        <v>78</v>
      </c>
      <c r="D1273" t="s">
        <v>1660</v>
      </c>
      <c r="E1273" t="s">
        <v>953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1537</v>
      </c>
      <c r="B1274" t="s">
        <v>1721</v>
      </c>
      <c r="C1274" t="s">
        <v>78</v>
      </c>
      <c r="D1274" t="s">
        <v>1662</v>
      </c>
      <c r="E1274" t="s">
        <v>953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1537</v>
      </c>
      <c r="B1275" t="s">
        <v>1722</v>
      </c>
      <c r="C1275" t="s">
        <v>78</v>
      </c>
      <c r="D1275" t="s">
        <v>1664</v>
      </c>
      <c r="E1275" t="s">
        <v>1570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1537</v>
      </c>
      <c r="B1276" t="s">
        <v>1723</v>
      </c>
      <c r="C1276" t="s">
        <v>78</v>
      </c>
      <c r="D1276" t="s">
        <v>1699</v>
      </c>
      <c r="E1276" t="s">
        <v>1570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1537</v>
      </c>
      <c r="B1277" t="s">
        <v>1724</v>
      </c>
      <c r="C1277" t="s">
        <v>78</v>
      </c>
      <c r="D1277" t="s">
        <v>1668</v>
      </c>
      <c r="E1277" t="s">
        <v>1570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1537</v>
      </c>
      <c r="B1278" t="s">
        <v>1725</v>
      </c>
      <c r="C1278" t="s">
        <v>78</v>
      </c>
      <c r="D1278" t="s">
        <v>1672</v>
      </c>
      <c r="E1278" t="s">
        <v>1570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1537</v>
      </c>
      <c r="B1279" t="s">
        <v>1726</v>
      </c>
      <c r="C1279" t="s">
        <v>78</v>
      </c>
      <c r="D1279" t="s">
        <v>1674</v>
      </c>
      <c r="E1279" t="s">
        <v>1570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1537</v>
      </c>
      <c r="B1280" t="s">
        <v>1727</v>
      </c>
      <c r="C1280" t="s">
        <v>78</v>
      </c>
      <c r="D1280" t="s">
        <v>1728</v>
      </c>
      <c r="E1280" t="s">
        <v>1105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1537</v>
      </c>
      <c r="B1281" t="s">
        <v>1729</v>
      </c>
      <c r="C1281" t="s">
        <v>78</v>
      </c>
      <c r="D1281" t="s">
        <v>1730</v>
      </c>
      <c r="E1281" t="s">
        <v>1059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1537</v>
      </c>
      <c r="B1282" t="s">
        <v>1731</v>
      </c>
      <c r="C1282" t="s">
        <v>78</v>
      </c>
      <c r="D1282" t="s">
        <v>1732</v>
      </c>
      <c r="E1282" t="s">
        <v>1086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1537</v>
      </c>
      <c r="B1283" t="s">
        <v>1733</v>
      </c>
      <c r="C1283" t="s">
        <v>78</v>
      </c>
      <c r="D1283" t="s">
        <v>1734</v>
      </c>
      <c r="E1283" t="s">
        <v>1169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1537</v>
      </c>
      <c r="B1284" t="s">
        <v>1735</v>
      </c>
      <c r="C1284" t="s">
        <v>78</v>
      </c>
      <c r="D1284" t="s">
        <v>1736</v>
      </c>
      <c r="E1284" t="s">
        <v>1105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1537</v>
      </c>
      <c r="B1285" t="s">
        <v>1737</v>
      </c>
      <c r="C1285" t="s">
        <v>78</v>
      </c>
      <c r="D1285" t="s">
        <v>1738</v>
      </c>
      <c r="E1285" t="s">
        <v>1059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1537</v>
      </c>
      <c r="B1286" t="s">
        <v>1739</v>
      </c>
      <c r="C1286" t="s">
        <v>78</v>
      </c>
      <c r="D1286" t="s">
        <v>1740</v>
      </c>
      <c r="E1286" t="s">
        <v>1059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1537</v>
      </c>
      <c r="B1287" t="s">
        <v>1741</v>
      </c>
      <c r="C1287" t="s">
        <v>78</v>
      </c>
      <c r="D1287" t="s">
        <v>1734</v>
      </c>
      <c r="E1287" t="s">
        <v>1059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1537</v>
      </c>
      <c r="B1288" t="s">
        <v>1742</v>
      </c>
      <c r="C1288" t="s">
        <v>78</v>
      </c>
      <c r="D1288" t="s">
        <v>1736</v>
      </c>
      <c r="E1288" t="s">
        <v>1086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1537</v>
      </c>
      <c r="B1289" t="s">
        <v>1743</v>
      </c>
      <c r="C1289" t="s">
        <v>78</v>
      </c>
      <c r="D1289" t="s">
        <v>1738</v>
      </c>
      <c r="E1289" t="s">
        <v>1074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1537</v>
      </c>
      <c r="B1290" t="s">
        <v>1744</v>
      </c>
      <c r="C1290" t="s">
        <v>78</v>
      </c>
      <c r="D1290" t="s">
        <v>1740</v>
      </c>
      <c r="E1290" t="s">
        <v>1074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1537</v>
      </c>
      <c r="B1291" t="s">
        <v>1745</v>
      </c>
      <c r="C1291" t="s">
        <v>78</v>
      </c>
      <c r="D1291" t="s">
        <v>1746</v>
      </c>
      <c r="E1291" t="s">
        <v>1169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1537</v>
      </c>
      <c r="B1292" t="s">
        <v>1747</v>
      </c>
      <c r="C1292" t="s">
        <v>78</v>
      </c>
      <c r="D1292" t="s">
        <v>1748</v>
      </c>
      <c r="E1292" t="s">
        <v>1169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1537</v>
      </c>
      <c r="B1293" t="s">
        <v>1749</v>
      </c>
      <c r="C1293" t="s">
        <v>78</v>
      </c>
      <c r="D1293" t="s">
        <v>1750</v>
      </c>
      <c r="E1293" t="s">
        <v>1105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1537</v>
      </c>
      <c r="B1294" t="s">
        <v>1751</v>
      </c>
      <c r="C1294" t="s">
        <v>78</v>
      </c>
      <c r="D1294" t="s">
        <v>1752</v>
      </c>
      <c r="E1294" t="s">
        <v>1105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1537</v>
      </c>
      <c r="B1295" t="s">
        <v>1753</v>
      </c>
      <c r="C1295" t="s">
        <v>78</v>
      </c>
      <c r="D1295" t="s">
        <v>1754</v>
      </c>
      <c r="E1295" t="s">
        <v>1169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1537</v>
      </c>
      <c r="B1296" t="s">
        <v>1755</v>
      </c>
      <c r="C1296" t="s">
        <v>78</v>
      </c>
      <c r="D1296" t="s">
        <v>1756</v>
      </c>
      <c r="E1296" t="s">
        <v>1105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1537</v>
      </c>
      <c r="B1297" t="s">
        <v>1757</v>
      </c>
      <c r="C1297" t="s">
        <v>78</v>
      </c>
      <c r="D1297" t="s">
        <v>1758</v>
      </c>
      <c r="E1297" t="s">
        <v>1059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1537</v>
      </c>
      <c r="B1298" t="s">
        <v>1759</v>
      </c>
      <c r="C1298" t="s">
        <v>78</v>
      </c>
      <c r="D1298" t="s">
        <v>1760</v>
      </c>
      <c r="E1298" t="s">
        <v>1059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1537</v>
      </c>
      <c r="B1299" t="s">
        <v>1761</v>
      </c>
      <c r="C1299" t="s">
        <v>78</v>
      </c>
      <c r="D1299" t="s">
        <v>1762</v>
      </c>
      <c r="E1299" t="s">
        <v>1059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1537</v>
      </c>
      <c r="B1300" t="s">
        <v>1763</v>
      </c>
      <c r="C1300" t="s">
        <v>78</v>
      </c>
      <c r="D1300" t="s">
        <v>1764</v>
      </c>
      <c r="E1300" t="s">
        <v>1219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1537</v>
      </c>
      <c r="B1301" t="s">
        <v>1765</v>
      </c>
      <c r="C1301" t="s">
        <v>78</v>
      </c>
      <c r="D1301" t="s">
        <v>1766</v>
      </c>
      <c r="E1301" t="s">
        <v>1219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1537</v>
      </c>
      <c r="B1302" t="s">
        <v>1767</v>
      </c>
      <c r="C1302" t="s">
        <v>78</v>
      </c>
      <c r="D1302" t="s">
        <v>1768</v>
      </c>
      <c r="E1302" t="s">
        <v>1219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1537</v>
      </c>
      <c r="B1303" t="s">
        <v>1769</v>
      </c>
      <c r="C1303" t="s">
        <v>78</v>
      </c>
      <c r="D1303" t="s">
        <v>1770</v>
      </c>
      <c r="E1303" t="s">
        <v>1224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1537</v>
      </c>
      <c r="B1304" t="s">
        <v>1771</v>
      </c>
      <c r="C1304" t="s">
        <v>78</v>
      </c>
      <c r="D1304" t="s">
        <v>1772</v>
      </c>
      <c r="E1304" t="s">
        <v>1224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1537</v>
      </c>
      <c r="B1305" t="s">
        <v>1773</v>
      </c>
      <c r="C1305" t="s">
        <v>78</v>
      </c>
      <c r="D1305" t="s">
        <v>1774</v>
      </c>
      <c r="E1305" t="s">
        <v>1224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1537</v>
      </c>
      <c r="B1306" t="s">
        <v>1775</v>
      </c>
      <c r="C1306" t="s">
        <v>78</v>
      </c>
      <c r="D1306" t="s">
        <v>1776</v>
      </c>
      <c r="E1306" t="s">
        <v>1161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1537</v>
      </c>
      <c r="B1307" t="s">
        <v>1777</v>
      </c>
      <c r="C1307" t="s">
        <v>78</v>
      </c>
      <c r="D1307" t="s">
        <v>1778</v>
      </c>
      <c r="E1307" t="s">
        <v>1161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1537</v>
      </c>
      <c r="B1308" t="s">
        <v>1779</v>
      </c>
      <c r="C1308" t="s">
        <v>78</v>
      </c>
      <c r="D1308" t="s">
        <v>1780</v>
      </c>
      <c r="E1308" t="s">
        <v>1161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1537</v>
      </c>
      <c r="B1309" t="s">
        <v>1781</v>
      </c>
      <c r="C1309" t="s">
        <v>78</v>
      </c>
      <c r="D1309" t="s">
        <v>1782</v>
      </c>
      <c r="E1309" t="s">
        <v>1086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1537</v>
      </c>
      <c r="B1310" t="s">
        <v>1783</v>
      </c>
      <c r="C1310" t="s">
        <v>78</v>
      </c>
      <c r="D1310" t="s">
        <v>1784</v>
      </c>
      <c r="E1310" t="s">
        <v>1086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1537</v>
      </c>
      <c r="B1311" t="s">
        <v>1785</v>
      </c>
      <c r="C1311" t="s">
        <v>78</v>
      </c>
      <c r="D1311" t="s">
        <v>1786</v>
      </c>
      <c r="E1311" t="s">
        <v>1086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1537</v>
      </c>
      <c r="B1312" t="s">
        <v>1787</v>
      </c>
      <c r="C1312" t="s">
        <v>78</v>
      </c>
      <c r="D1312" t="s">
        <v>1788</v>
      </c>
      <c r="E1312" t="s">
        <v>996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1537</v>
      </c>
      <c r="B1313" t="s">
        <v>1789</v>
      </c>
      <c r="C1313" t="s">
        <v>78</v>
      </c>
      <c r="D1313" t="s">
        <v>1790</v>
      </c>
      <c r="E1313" t="s">
        <v>996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1537</v>
      </c>
      <c r="B1314" t="s">
        <v>1791</v>
      </c>
      <c r="C1314" t="s">
        <v>78</v>
      </c>
      <c r="D1314" t="s">
        <v>1792</v>
      </c>
      <c r="E1314" t="s">
        <v>996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1537</v>
      </c>
      <c r="B1315" t="s">
        <v>1793</v>
      </c>
      <c r="C1315" t="s">
        <v>78</v>
      </c>
      <c r="D1315" t="s">
        <v>1794</v>
      </c>
      <c r="E1315" t="s">
        <v>996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1537</v>
      </c>
      <c r="B1316" t="s">
        <v>1795</v>
      </c>
      <c r="C1316" t="s">
        <v>78</v>
      </c>
      <c r="D1316" t="s">
        <v>1796</v>
      </c>
      <c r="E1316" t="s">
        <v>1108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1537</v>
      </c>
      <c r="B1317" t="s">
        <v>1797</v>
      </c>
      <c r="C1317" t="s">
        <v>78</v>
      </c>
      <c r="D1317" t="s">
        <v>1798</v>
      </c>
      <c r="E1317" t="s">
        <v>1018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1537</v>
      </c>
      <c r="B1318" t="s">
        <v>1799</v>
      </c>
      <c r="C1318" t="s">
        <v>78</v>
      </c>
      <c r="D1318" t="s">
        <v>1800</v>
      </c>
      <c r="E1318" t="s">
        <v>1018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1537</v>
      </c>
      <c r="B1319" t="s">
        <v>1801</v>
      </c>
      <c r="C1319" t="s">
        <v>78</v>
      </c>
      <c r="D1319" t="s">
        <v>1802</v>
      </c>
      <c r="E1319" t="s">
        <v>996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1537</v>
      </c>
      <c r="B1320" t="s">
        <v>1803</v>
      </c>
      <c r="C1320" t="s">
        <v>78</v>
      </c>
      <c r="D1320" t="s">
        <v>78</v>
      </c>
      <c r="E1320" t="s">
        <v>1216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1537</v>
      </c>
      <c r="B1321" t="s">
        <v>1804</v>
      </c>
      <c r="C1321" t="s">
        <v>78</v>
      </c>
      <c r="D1321" t="s">
        <v>78</v>
      </c>
      <c r="E1321" t="s">
        <v>1216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1537</v>
      </c>
      <c r="B1322" t="s">
        <v>1805</v>
      </c>
      <c r="C1322" t="s">
        <v>78</v>
      </c>
      <c r="D1322" t="s">
        <v>78</v>
      </c>
      <c r="E1322" t="s">
        <v>1210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1537</v>
      </c>
      <c r="B1323" t="s">
        <v>1806</v>
      </c>
      <c r="C1323" t="s">
        <v>78</v>
      </c>
      <c r="D1323" t="s">
        <v>78</v>
      </c>
      <c r="E1323" t="s">
        <v>1224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1537</v>
      </c>
      <c r="B1324" t="s">
        <v>1807</v>
      </c>
      <c r="C1324" t="s">
        <v>78</v>
      </c>
      <c r="D1324" t="s">
        <v>78</v>
      </c>
      <c r="E1324" t="s">
        <v>1210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1537</v>
      </c>
      <c r="B1325" t="s">
        <v>1808</v>
      </c>
      <c r="C1325" t="s">
        <v>78</v>
      </c>
      <c r="D1325" t="s">
        <v>1809</v>
      </c>
      <c r="E1325" t="s">
        <v>1203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1537</v>
      </c>
      <c r="B1326" t="s">
        <v>1810</v>
      </c>
      <c r="C1326" t="s">
        <v>78</v>
      </c>
      <c r="D1326" t="s">
        <v>78</v>
      </c>
      <c r="E1326" t="s">
        <v>1214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1537</v>
      </c>
      <c r="B1327" t="s">
        <v>1811</v>
      </c>
      <c r="C1327" t="s">
        <v>78</v>
      </c>
      <c r="D1327" t="s">
        <v>78</v>
      </c>
      <c r="E1327" t="s">
        <v>1214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1537</v>
      </c>
      <c r="B1328" t="s">
        <v>1812</v>
      </c>
      <c r="C1328" t="s">
        <v>78</v>
      </c>
      <c r="D1328" t="s">
        <v>78</v>
      </c>
      <c r="E1328" t="s">
        <v>1214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1537</v>
      </c>
      <c r="B1329" t="s">
        <v>1232</v>
      </c>
      <c r="C1329" t="s">
        <v>78</v>
      </c>
      <c r="D1329" t="s">
        <v>1813</v>
      </c>
      <c r="E1329" t="s">
        <v>1207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1537</v>
      </c>
      <c r="B1330" t="s">
        <v>1814</v>
      </c>
      <c r="C1330" t="s">
        <v>78</v>
      </c>
      <c r="D1330" t="s">
        <v>1815</v>
      </c>
      <c r="E1330" t="s">
        <v>1224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1537</v>
      </c>
      <c r="B1331" t="s">
        <v>642</v>
      </c>
      <c r="C1331" t="s">
        <v>78</v>
      </c>
      <c r="D1331" t="s">
        <v>78</v>
      </c>
      <c r="E1331" t="s">
        <v>1216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1537</v>
      </c>
      <c r="B1332" t="s">
        <v>229</v>
      </c>
      <c r="C1332" t="s">
        <v>78</v>
      </c>
      <c r="D1332" t="s">
        <v>78</v>
      </c>
      <c r="E1332" t="s">
        <v>1216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1537</v>
      </c>
      <c r="B1333" t="s">
        <v>643</v>
      </c>
      <c r="C1333" t="s">
        <v>78</v>
      </c>
      <c r="D1333" t="s">
        <v>78</v>
      </c>
      <c r="E1333" t="s">
        <v>1216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1537</v>
      </c>
      <c r="B1334" t="s">
        <v>230</v>
      </c>
      <c r="C1334" t="s">
        <v>78</v>
      </c>
      <c r="D1334" t="s">
        <v>78</v>
      </c>
      <c r="E1334" t="s">
        <v>1216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1537</v>
      </c>
      <c r="B1335" t="s">
        <v>231</v>
      </c>
      <c r="C1335" t="s">
        <v>78</v>
      </c>
      <c r="D1335" t="s">
        <v>78</v>
      </c>
      <c r="E1335" t="s">
        <v>1216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1537</v>
      </c>
      <c r="B1336" t="s">
        <v>1816</v>
      </c>
      <c r="C1336" t="s">
        <v>78</v>
      </c>
      <c r="D1336" t="s">
        <v>78</v>
      </c>
      <c r="E1336" t="s">
        <v>1216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1537</v>
      </c>
      <c r="B1337" t="s">
        <v>1817</v>
      </c>
      <c r="C1337" t="s">
        <v>78</v>
      </c>
      <c r="D1337" t="s">
        <v>78</v>
      </c>
      <c r="E1337" t="s">
        <v>1216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1537</v>
      </c>
      <c r="B1338" t="s">
        <v>1818</v>
      </c>
      <c r="C1338" t="s">
        <v>78</v>
      </c>
      <c r="D1338" t="s">
        <v>78</v>
      </c>
      <c r="E1338" t="s">
        <v>1216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1537</v>
      </c>
      <c r="B1339" t="s">
        <v>1819</v>
      </c>
      <c r="C1339" t="s">
        <v>78</v>
      </c>
      <c r="D1339" t="s">
        <v>78</v>
      </c>
      <c r="E1339" t="s">
        <v>1216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1537</v>
      </c>
      <c r="B1340" t="s">
        <v>1250</v>
      </c>
      <c r="C1340" t="s">
        <v>78</v>
      </c>
      <c r="D1340" t="s">
        <v>78</v>
      </c>
      <c r="E1340" t="s">
        <v>1216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1537</v>
      </c>
      <c r="B1341" t="s">
        <v>1249</v>
      </c>
      <c r="C1341" t="s">
        <v>78</v>
      </c>
      <c r="D1341" t="s">
        <v>78</v>
      </c>
      <c r="E1341" t="s">
        <v>1216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1537</v>
      </c>
      <c r="B1342" t="s">
        <v>1820</v>
      </c>
      <c r="C1342" t="s">
        <v>78</v>
      </c>
      <c r="D1342" t="s">
        <v>78</v>
      </c>
      <c r="E1342" t="s">
        <v>1214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1537</v>
      </c>
      <c r="B1343" t="s">
        <v>1821</v>
      </c>
      <c r="C1343" t="s">
        <v>78</v>
      </c>
      <c r="D1343" t="s">
        <v>78</v>
      </c>
      <c r="E1343" t="s">
        <v>1252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1537</v>
      </c>
      <c r="B1344" t="s">
        <v>1822</v>
      </c>
      <c r="C1344" t="s">
        <v>78</v>
      </c>
      <c r="D1344" t="s">
        <v>78</v>
      </c>
      <c r="E1344" t="s">
        <v>1263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1537</v>
      </c>
      <c r="B1345" t="s">
        <v>242</v>
      </c>
      <c r="C1345" t="s">
        <v>78</v>
      </c>
      <c r="D1345" t="s">
        <v>78</v>
      </c>
      <c r="E1345" t="s">
        <v>1219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1537</v>
      </c>
      <c r="B1346" t="s">
        <v>1264</v>
      </c>
      <c r="C1346" t="s">
        <v>78</v>
      </c>
      <c r="D1346" t="s">
        <v>78</v>
      </c>
      <c r="E1346" t="s">
        <v>1219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1537</v>
      </c>
      <c r="B1347" t="s">
        <v>1265</v>
      </c>
      <c r="C1347" t="s">
        <v>78</v>
      </c>
      <c r="D1347" t="s">
        <v>78</v>
      </c>
      <c r="E1347" t="s">
        <v>1219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1537</v>
      </c>
      <c r="B1348" t="s">
        <v>327</v>
      </c>
      <c r="C1348" t="s">
        <v>78</v>
      </c>
      <c r="D1348" t="s">
        <v>78</v>
      </c>
      <c r="E1348" t="s">
        <v>1219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1537</v>
      </c>
      <c r="B1349" t="s">
        <v>1266</v>
      </c>
      <c r="C1349" t="s">
        <v>78</v>
      </c>
      <c r="D1349" t="s">
        <v>78</v>
      </c>
      <c r="E1349" t="s">
        <v>1219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1537</v>
      </c>
      <c r="B1350" t="s">
        <v>1268</v>
      </c>
      <c r="C1350" t="s">
        <v>78</v>
      </c>
      <c r="D1350" t="s">
        <v>78</v>
      </c>
      <c r="E1350" t="s">
        <v>1219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1537</v>
      </c>
      <c r="B1351" t="s">
        <v>1267</v>
      </c>
      <c r="C1351" t="s">
        <v>78</v>
      </c>
      <c r="D1351" t="s">
        <v>78</v>
      </c>
      <c r="E1351" t="s">
        <v>1219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1537</v>
      </c>
      <c r="B1352" t="s">
        <v>1477</v>
      </c>
      <c r="C1352" t="s">
        <v>78</v>
      </c>
      <c r="D1352" t="s">
        <v>78</v>
      </c>
      <c r="E1352" t="s">
        <v>1219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1537</v>
      </c>
      <c r="B1353" t="s">
        <v>1823</v>
      </c>
      <c r="C1353" t="s">
        <v>78</v>
      </c>
      <c r="D1353" t="s">
        <v>78</v>
      </c>
      <c r="E1353" t="s">
        <v>182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1537</v>
      </c>
      <c r="B1354" t="s">
        <v>1824</v>
      </c>
      <c r="C1354" t="s">
        <v>78</v>
      </c>
      <c r="D1354" t="s">
        <v>78</v>
      </c>
      <c r="E1354" t="s">
        <v>182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1537</v>
      </c>
      <c r="B1355" t="s">
        <v>1271</v>
      </c>
      <c r="C1355" t="s">
        <v>78</v>
      </c>
      <c r="D1355" t="s">
        <v>78</v>
      </c>
      <c r="E1355" t="s">
        <v>182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1537</v>
      </c>
      <c r="B1356" t="s">
        <v>1270</v>
      </c>
      <c r="C1356" t="s">
        <v>78</v>
      </c>
      <c r="D1356" t="s">
        <v>78</v>
      </c>
      <c r="E1356" t="s">
        <v>1417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1537</v>
      </c>
      <c r="B1357" t="s">
        <v>1269</v>
      </c>
      <c r="C1357" t="s">
        <v>78</v>
      </c>
      <c r="D1357" t="s">
        <v>78</v>
      </c>
      <c r="E1357" t="s">
        <v>1417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1537</v>
      </c>
      <c r="B1358" t="s">
        <v>183</v>
      </c>
      <c r="C1358" t="s">
        <v>78</v>
      </c>
      <c r="D1358" t="s">
        <v>78</v>
      </c>
      <c r="E1358" t="s">
        <v>184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1827</v>
      </c>
      <c r="B1359" t="s">
        <v>1828</v>
      </c>
      <c r="C1359" t="s">
        <v>78</v>
      </c>
      <c r="D1359" t="s">
        <v>1829</v>
      </c>
      <c r="E1359" t="s">
        <v>202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1827</v>
      </c>
      <c r="B1360" t="s">
        <v>1830</v>
      </c>
      <c r="C1360" t="s">
        <v>78</v>
      </c>
      <c r="D1360" t="s">
        <v>1829</v>
      </c>
      <c r="E1360" t="s">
        <v>636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1827</v>
      </c>
      <c r="B1361" t="s">
        <v>1831</v>
      </c>
      <c r="C1361" t="s">
        <v>78</v>
      </c>
      <c r="D1361" t="s">
        <v>1829</v>
      </c>
      <c r="E1361" t="s">
        <v>1832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1827</v>
      </c>
      <c r="B1362" t="s">
        <v>1833</v>
      </c>
      <c r="C1362" t="s">
        <v>78</v>
      </c>
      <c r="D1362" t="s">
        <v>1829</v>
      </c>
      <c r="E1362" t="s">
        <v>401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1827</v>
      </c>
      <c r="B1363" t="s">
        <v>1834</v>
      </c>
      <c r="C1363" t="s">
        <v>78</v>
      </c>
      <c r="D1363" t="s">
        <v>1829</v>
      </c>
      <c r="E1363" t="s">
        <v>212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1827</v>
      </c>
      <c r="B1364" t="s">
        <v>1835</v>
      </c>
      <c r="C1364" t="s">
        <v>78</v>
      </c>
      <c r="D1364" t="s">
        <v>1829</v>
      </c>
      <c r="E1364" t="s">
        <v>272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1827</v>
      </c>
      <c r="B1365" t="s">
        <v>1836</v>
      </c>
      <c r="C1365" t="s">
        <v>78</v>
      </c>
      <c r="D1365" t="s">
        <v>1829</v>
      </c>
      <c r="E1365" t="s">
        <v>202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1827</v>
      </c>
      <c r="B1366" t="s">
        <v>1837</v>
      </c>
      <c r="C1366" t="s">
        <v>78</v>
      </c>
      <c r="D1366" t="s">
        <v>1829</v>
      </c>
      <c r="E1366" t="s">
        <v>636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1827</v>
      </c>
      <c r="B1367" t="s">
        <v>1838</v>
      </c>
      <c r="C1367" t="s">
        <v>78</v>
      </c>
      <c r="D1367" t="s">
        <v>1829</v>
      </c>
      <c r="E1367" t="s">
        <v>1832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1827</v>
      </c>
      <c r="B1368" t="s">
        <v>1839</v>
      </c>
      <c r="C1368" t="s">
        <v>78</v>
      </c>
      <c r="D1368" t="s">
        <v>1829</v>
      </c>
      <c r="E1368" t="s">
        <v>401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1827</v>
      </c>
      <c r="B1369" t="s">
        <v>1840</v>
      </c>
      <c r="C1369" t="s">
        <v>78</v>
      </c>
      <c r="D1369" t="s">
        <v>1829</v>
      </c>
      <c r="E1369" t="s">
        <v>1841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1827</v>
      </c>
      <c r="B1370" t="s">
        <v>1842</v>
      </c>
      <c r="C1370" t="s">
        <v>78</v>
      </c>
      <c r="D1370" t="s">
        <v>1829</v>
      </c>
      <c r="E1370" t="s">
        <v>272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1827</v>
      </c>
      <c r="B1371" t="s">
        <v>1843</v>
      </c>
      <c r="C1371" t="s">
        <v>78</v>
      </c>
      <c r="D1371" t="s">
        <v>78</v>
      </c>
      <c r="E1371" t="s">
        <v>1841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1827</v>
      </c>
      <c r="B1372" t="s">
        <v>1844</v>
      </c>
      <c r="C1372" t="s">
        <v>78</v>
      </c>
      <c r="D1372" t="s">
        <v>78</v>
      </c>
      <c r="E1372" t="s">
        <v>264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1827</v>
      </c>
      <c r="B1373" t="s">
        <v>1845</v>
      </c>
      <c r="C1373" t="s">
        <v>78</v>
      </c>
      <c r="D1373" t="s">
        <v>78</v>
      </c>
      <c r="E1373" t="s">
        <v>1846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1827</v>
      </c>
      <c r="B1374" t="s">
        <v>1847</v>
      </c>
      <c r="C1374" t="s">
        <v>78</v>
      </c>
      <c r="D1374" t="s">
        <v>78</v>
      </c>
      <c r="E1374" t="s">
        <v>1848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1827</v>
      </c>
      <c r="B1375" t="s">
        <v>1849</v>
      </c>
      <c r="C1375" t="s">
        <v>78</v>
      </c>
      <c r="D1375" t="s">
        <v>78</v>
      </c>
      <c r="E1375" t="s">
        <v>361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1827</v>
      </c>
      <c r="B1376" t="s">
        <v>916</v>
      </c>
      <c r="C1376" t="s">
        <v>78</v>
      </c>
      <c r="D1376" t="s">
        <v>78</v>
      </c>
      <c r="E1376" t="s">
        <v>456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1827</v>
      </c>
      <c r="B1377" t="s">
        <v>1850</v>
      </c>
      <c r="C1377" t="s">
        <v>78</v>
      </c>
      <c r="D1377" t="s">
        <v>78</v>
      </c>
      <c r="E1377" t="s">
        <v>272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1827</v>
      </c>
      <c r="B1378" t="s">
        <v>1851</v>
      </c>
      <c r="C1378" t="s">
        <v>78</v>
      </c>
      <c r="D1378" t="s">
        <v>78</v>
      </c>
      <c r="E1378" t="s">
        <v>254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1827</v>
      </c>
      <c r="B1379" t="s">
        <v>1852</v>
      </c>
      <c r="C1379" t="s">
        <v>78</v>
      </c>
      <c r="D1379" t="s">
        <v>78</v>
      </c>
      <c r="E1379" t="s">
        <v>1853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1827</v>
      </c>
      <c r="B1380" t="s">
        <v>1854</v>
      </c>
      <c r="C1380" t="s">
        <v>78</v>
      </c>
      <c r="D1380" t="s">
        <v>78</v>
      </c>
      <c r="E1380" t="s">
        <v>1855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1827</v>
      </c>
      <c r="B1381" t="s">
        <v>1856</v>
      </c>
      <c r="C1381" t="s">
        <v>78</v>
      </c>
      <c r="D1381" t="s">
        <v>78</v>
      </c>
      <c r="E1381" t="s">
        <v>762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1827</v>
      </c>
      <c r="B1382" t="s">
        <v>1857</v>
      </c>
      <c r="C1382" t="s">
        <v>78</v>
      </c>
      <c r="D1382" t="s">
        <v>78</v>
      </c>
      <c r="E1382" t="s">
        <v>1858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1827</v>
      </c>
      <c r="B1383" t="s">
        <v>1859</v>
      </c>
      <c r="C1383" t="s">
        <v>78</v>
      </c>
      <c r="D1383" t="s">
        <v>78</v>
      </c>
      <c r="E1383" t="s">
        <v>197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1827</v>
      </c>
      <c r="B1384" t="s">
        <v>167</v>
      </c>
      <c r="C1384" t="s">
        <v>78</v>
      </c>
      <c r="D1384" t="s">
        <v>78</v>
      </c>
      <c r="E1384" t="s">
        <v>575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1827</v>
      </c>
      <c r="B1385" t="s">
        <v>170</v>
      </c>
      <c r="C1385" t="s">
        <v>78</v>
      </c>
      <c r="D1385" t="s">
        <v>78</v>
      </c>
      <c r="E1385" t="s">
        <v>575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1827</v>
      </c>
      <c r="B1386" t="s">
        <v>172</v>
      </c>
      <c r="C1386" t="s">
        <v>78</v>
      </c>
      <c r="D1386" t="s">
        <v>78</v>
      </c>
      <c r="E1386" t="s">
        <v>575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1827</v>
      </c>
      <c r="B1387" t="s">
        <v>177</v>
      </c>
      <c r="C1387" t="s">
        <v>78</v>
      </c>
      <c r="D1387" t="s">
        <v>78</v>
      </c>
      <c r="E1387" t="s">
        <v>575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1827</v>
      </c>
      <c r="B1388" t="s">
        <v>344</v>
      </c>
      <c r="C1388" t="s">
        <v>78</v>
      </c>
      <c r="D1388" t="s">
        <v>78</v>
      </c>
      <c r="E1388" t="s">
        <v>237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1827</v>
      </c>
      <c r="B1389" t="s">
        <v>175</v>
      </c>
      <c r="C1389" t="s">
        <v>78</v>
      </c>
      <c r="D1389" t="s">
        <v>78</v>
      </c>
      <c r="E1389" t="s">
        <v>237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1827</v>
      </c>
      <c r="B1390" t="s">
        <v>1860</v>
      </c>
      <c r="C1390" t="s">
        <v>78</v>
      </c>
      <c r="D1390" t="s">
        <v>78</v>
      </c>
      <c r="E1390" t="s">
        <v>182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1827</v>
      </c>
      <c r="B1391" t="s">
        <v>234</v>
      </c>
      <c r="C1391" t="s">
        <v>78</v>
      </c>
      <c r="D1391" t="s">
        <v>78</v>
      </c>
      <c r="E1391" t="s">
        <v>279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1827</v>
      </c>
      <c r="B1392" t="s">
        <v>180</v>
      </c>
      <c r="C1392" t="s">
        <v>78</v>
      </c>
      <c r="D1392" t="s">
        <v>78</v>
      </c>
      <c r="E1392" t="s">
        <v>235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1827</v>
      </c>
      <c r="B1393" t="s">
        <v>181</v>
      </c>
      <c r="C1393" t="s">
        <v>78</v>
      </c>
      <c r="D1393" t="s">
        <v>78</v>
      </c>
      <c r="E1393" t="s">
        <v>286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1864</v>
      </c>
      <c r="B1394" t="s">
        <v>1865</v>
      </c>
      <c r="C1394" t="s">
        <v>78</v>
      </c>
      <c r="D1394" t="s">
        <v>1866</v>
      </c>
      <c r="E1394" t="s">
        <v>1867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1864</v>
      </c>
      <c r="B1395" t="s">
        <v>1868</v>
      </c>
      <c r="C1395" t="s">
        <v>78</v>
      </c>
      <c r="D1395" t="s">
        <v>1869</v>
      </c>
      <c r="E1395" t="s">
        <v>204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1864</v>
      </c>
      <c r="B1396" t="s">
        <v>122</v>
      </c>
      <c r="C1396" t="s">
        <v>78</v>
      </c>
      <c r="D1396" t="s">
        <v>1870</v>
      </c>
      <c r="E1396" t="s">
        <v>1871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1864</v>
      </c>
      <c r="B1397" t="s">
        <v>1872</v>
      </c>
      <c r="C1397" t="s">
        <v>78</v>
      </c>
      <c r="D1397" t="s">
        <v>1873</v>
      </c>
      <c r="E1397" t="s">
        <v>1867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1864</v>
      </c>
      <c r="B1398" t="s">
        <v>1874</v>
      </c>
      <c r="C1398" t="s">
        <v>78</v>
      </c>
      <c r="D1398" t="s">
        <v>1875</v>
      </c>
      <c r="E1398" t="s">
        <v>1876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1864</v>
      </c>
      <c r="B1399" t="s">
        <v>1877</v>
      </c>
      <c r="C1399" t="s">
        <v>78</v>
      </c>
      <c r="D1399" t="s">
        <v>1878</v>
      </c>
      <c r="E1399" t="s">
        <v>1879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1864</v>
      </c>
      <c r="B1400" t="s">
        <v>1880</v>
      </c>
      <c r="C1400" t="s">
        <v>78</v>
      </c>
      <c r="D1400" t="s">
        <v>1881</v>
      </c>
      <c r="E1400" t="s">
        <v>1882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1864</v>
      </c>
      <c r="B1401" t="s">
        <v>1883</v>
      </c>
      <c r="C1401" t="s">
        <v>78</v>
      </c>
      <c r="D1401" t="s">
        <v>1884</v>
      </c>
      <c r="E1401" t="s">
        <v>166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1864</v>
      </c>
      <c r="B1402" t="s">
        <v>1885</v>
      </c>
      <c r="C1402" t="s">
        <v>78</v>
      </c>
      <c r="D1402" t="s">
        <v>1886</v>
      </c>
      <c r="E1402" t="s">
        <v>1887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1864</v>
      </c>
      <c r="B1403" t="s">
        <v>1888</v>
      </c>
      <c r="C1403" t="s">
        <v>78</v>
      </c>
      <c r="D1403" t="s">
        <v>1889</v>
      </c>
      <c r="E1403" t="s">
        <v>1887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1864</v>
      </c>
      <c r="B1404" t="s">
        <v>1874</v>
      </c>
      <c r="C1404" t="s">
        <v>78</v>
      </c>
      <c r="D1404" t="s">
        <v>1875</v>
      </c>
      <c r="E1404" t="s">
        <v>1876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1864</v>
      </c>
      <c r="B1405" t="s">
        <v>1872</v>
      </c>
      <c r="C1405" t="s">
        <v>78</v>
      </c>
      <c r="D1405" t="s">
        <v>1873</v>
      </c>
      <c r="E1405" t="s">
        <v>1867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1864</v>
      </c>
      <c r="B1406" t="s">
        <v>1890</v>
      </c>
      <c r="C1406" t="s">
        <v>78</v>
      </c>
      <c r="D1406" t="s">
        <v>1891</v>
      </c>
      <c r="E1406" t="s">
        <v>166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1864</v>
      </c>
      <c r="B1407" t="s">
        <v>1892</v>
      </c>
      <c r="C1407" t="s">
        <v>78</v>
      </c>
      <c r="D1407" t="s">
        <v>1893</v>
      </c>
      <c r="E1407" t="s">
        <v>1871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1864</v>
      </c>
      <c r="B1408" t="s">
        <v>1894</v>
      </c>
      <c r="C1408" t="s">
        <v>78</v>
      </c>
      <c r="D1408" t="s">
        <v>1895</v>
      </c>
      <c r="E1408" t="s">
        <v>88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1864</v>
      </c>
      <c r="B1409" t="s">
        <v>1896</v>
      </c>
      <c r="C1409" t="s">
        <v>78</v>
      </c>
      <c r="D1409" t="s">
        <v>1897</v>
      </c>
      <c r="E1409" t="s">
        <v>1879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1864</v>
      </c>
      <c r="B1410" t="s">
        <v>1898</v>
      </c>
      <c r="C1410" t="s">
        <v>78</v>
      </c>
      <c r="D1410" t="s">
        <v>1899</v>
      </c>
      <c r="E1410" t="s">
        <v>1882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1864</v>
      </c>
      <c r="B1411" t="s">
        <v>1900</v>
      </c>
      <c r="C1411" t="s">
        <v>78</v>
      </c>
      <c r="D1411" t="s">
        <v>1901</v>
      </c>
      <c r="E1411" t="s">
        <v>1882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1864</v>
      </c>
      <c r="B1412" t="s">
        <v>1902</v>
      </c>
      <c r="C1412" t="s">
        <v>78</v>
      </c>
      <c r="D1412" t="s">
        <v>1903</v>
      </c>
      <c r="E1412" t="s">
        <v>1904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1864</v>
      </c>
      <c r="B1413" t="s">
        <v>1905</v>
      </c>
      <c r="C1413" t="s">
        <v>78</v>
      </c>
      <c r="D1413" t="s">
        <v>1906</v>
      </c>
      <c r="E1413" t="s">
        <v>1879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1864</v>
      </c>
      <c r="B1414" t="s">
        <v>1907</v>
      </c>
      <c r="C1414" t="s">
        <v>78</v>
      </c>
      <c r="D1414" t="s">
        <v>1908</v>
      </c>
      <c r="E1414" t="s">
        <v>1909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1864</v>
      </c>
      <c r="B1415" t="s">
        <v>1910</v>
      </c>
      <c r="C1415" t="s">
        <v>78</v>
      </c>
      <c r="D1415" t="s">
        <v>1911</v>
      </c>
      <c r="E1415" t="s">
        <v>1912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1864</v>
      </c>
      <c r="B1416" t="s">
        <v>1865</v>
      </c>
      <c r="C1416" t="s">
        <v>78</v>
      </c>
      <c r="D1416" t="s">
        <v>1866</v>
      </c>
      <c r="E1416" t="s">
        <v>1867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1864</v>
      </c>
      <c r="B1417" t="s">
        <v>1913</v>
      </c>
      <c r="C1417" t="s">
        <v>78</v>
      </c>
      <c r="D1417" t="s">
        <v>1914</v>
      </c>
      <c r="E1417" t="s">
        <v>1871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1864</v>
      </c>
      <c r="B1418" t="s">
        <v>1915</v>
      </c>
      <c r="C1418" t="s">
        <v>78</v>
      </c>
      <c r="D1418" t="s">
        <v>1916</v>
      </c>
      <c r="E1418" t="s">
        <v>1887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1864</v>
      </c>
      <c r="B1419" t="s">
        <v>1917</v>
      </c>
      <c r="C1419" t="s">
        <v>78</v>
      </c>
      <c r="D1419" t="s">
        <v>1918</v>
      </c>
      <c r="E1419" t="s">
        <v>155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1864</v>
      </c>
      <c r="B1420" t="s">
        <v>122</v>
      </c>
      <c r="C1420" t="s">
        <v>78</v>
      </c>
      <c r="D1420" t="s">
        <v>1870</v>
      </c>
      <c r="E1420" t="s">
        <v>1871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1864</v>
      </c>
      <c r="B1421" t="s">
        <v>1919</v>
      </c>
      <c r="C1421" t="s">
        <v>78</v>
      </c>
      <c r="D1421" t="s">
        <v>1920</v>
      </c>
      <c r="E1421" t="s">
        <v>1912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1864</v>
      </c>
      <c r="B1422" t="s">
        <v>1921</v>
      </c>
      <c r="C1422" t="s">
        <v>78</v>
      </c>
      <c r="D1422" t="s">
        <v>1922</v>
      </c>
      <c r="E1422" t="s">
        <v>1871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1864</v>
      </c>
      <c r="B1423" t="s">
        <v>1923</v>
      </c>
      <c r="C1423" t="s">
        <v>78</v>
      </c>
      <c r="D1423" t="s">
        <v>1924</v>
      </c>
      <c r="E1423" t="s">
        <v>1876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1864</v>
      </c>
      <c r="B1424" t="s">
        <v>1925</v>
      </c>
      <c r="C1424" t="s">
        <v>78</v>
      </c>
      <c r="D1424" t="s">
        <v>1926</v>
      </c>
      <c r="E1424" t="s">
        <v>1876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1864</v>
      </c>
      <c r="B1425" t="s">
        <v>1927</v>
      </c>
      <c r="C1425" t="s">
        <v>78</v>
      </c>
      <c r="D1425" t="s">
        <v>1928</v>
      </c>
      <c r="E1425" t="s">
        <v>1929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1864</v>
      </c>
      <c r="B1426" t="s">
        <v>1930</v>
      </c>
      <c r="C1426" t="s">
        <v>78</v>
      </c>
      <c r="D1426" t="s">
        <v>1931</v>
      </c>
      <c r="E1426" t="s">
        <v>1093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1864</v>
      </c>
      <c r="B1427" t="s">
        <v>1932</v>
      </c>
      <c r="C1427" t="s">
        <v>78</v>
      </c>
      <c r="D1427" t="s">
        <v>1933</v>
      </c>
      <c r="E1427" t="s">
        <v>1065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1864</v>
      </c>
      <c r="B1428" t="s">
        <v>1934</v>
      </c>
      <c r="C1428" t="s">
        <v>78</v>
      </c>
      <c r="D1428" t="s">
        <v>1935</v>
      </c>
      <c r="E1428" t="s">
        <v>1936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1864</v>
      </c>
      <c r="B1429" t="s">
        <v>1937</v>
      </c>
      <c r="C1429" t="s">
        <v>78</v>
      </c>
      <c r="D1429" t="s">
        <v>1938</v>
      </c>
      <c r="E1429" t="s">
        <v>1939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1864</v>
      </c>
      <c r="B1430" t="s">
        <v>1940</v>
      </c>
      <c r="C1430" t="s">
        <v>78</v>
      </c>
      <c r="D1430" t="s">
        <v>1941</v>
      </c>
      <c r="E1430" t="s">
        <v>1936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1864</v>
      </c>
      <c r="B1431" t="s">
        <v>1942</v>
      </c>
      <c r="C1431" t="s">
        <v>78</v>
      </c>
      <c r="D1431" t="s">
        <v>1943</v>
      </c>
      <c r="E1431" t="s">
        <v>1944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1864</v>
      </c>
      <c r="B1432" t="s">
        <v>1945</v>
      </c>
      <c r="C1432" t="s">
        <v>78</v>
      </c>
      <c r="D1432" t="s">
        <v>1946</v>
      </c>
      <c r="E1432" t="s">
        <v>1944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1864</v>
      </c>
      <c r="B1433" t="s">
        <v>142</v>
      </c>
      <c r="C1433" t="s">
        <v>78</v>
      </c>
      <c r="D1433" t="s">
        <v>1947</v>
      </c>
      <c r="E1433" t="s">
        <v>1948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1864</v>
      </c>
      <c r="B1434" t="s">
        <v>1949</v>
      </c>
      <c r="C1434" t="s">
        <v>78</v>
      </c>
      <c r="D1434" t="s">
        <v>1950</v>
      </c>
      <c r="E1434" t="s">
        <v>204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1864</v>
      </c>
      <c r="B1435" t="s">
        <v>1951</v>
      </c>
      <c r="C1435" t="s">
        <v>78</v>
      </c>
      <c r="D1435" t="s">
        <v>1952</v>
      </c>
      <c r="E1435" t="s">
        <v>1936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1864</v>
      </c>
      <c r="B1436" t="s">
        <v>1953</v>
      </c>
      <c r="C1436" t="s">
        <v>78</v>
      </c>
      <c r="D1436" t="s">
        <v>1954</v>
      </c>
      <c r="E1436" t="s">
        <v>1955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1864</v>
      </c>
      <c r="B1437" t="s">
        <v>1956</v>
      </c>
      <c r="C1437" t="s">
        <v>78</v>
      </c>
      <c r="D1437" t="s">
        <v>1957</v>
      </c>
      <c r="E1437" t="s">
        <v>1065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1864</v>
      </c>
      <c r="B1438" t="s">
        <v>1958</v>
      </c>
      <c r="C1438" t="s">
        <v>78</v>
      </c>
      <c r="D1438" t="s">
        <v>1959</v>
      </c>
      <c r="E1438" t="s">
        <v>1939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1864</v>
      </c>
      <c r="B1439" t="s">
        <v>1960</v>
      </c>
      <c r="C1439" t="s">
        <v>78</v>
      </c>
      <c r="D1439" t="s">
        <v>1961</v>
      </c>
      <c r="E1439" t="s">
        <v>1939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1864</v>
      </c>
      <c r="B1440" t="s">
        <v>1962</v>
      </c>
      <c r="C1440" t="s">
        <v>78</v>
      </c>
      <c r="D1440" t="s">
        <v>1963</v>
      </c>
      <c r="E1440" t="s">
        <v>1964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1864</v>
      </c>
      <c r="B1441" t="s">
        <v>1965</v>
      </c>
      <c r="C1441" t="s">
        <v>78</v>
      </c>
      <c r="D1441" t="s">
        <v>1966</v>
      </c>
      <c r="E1441" t="s">
        <v>1065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1864</v>
      </c>
      <c r="B1442" t="s">
        <v>1967</v>
      </c>
      <c r="C1442" t="s">
        <v>78</v>
      </c>
      <c r="D1442" t="s">
        <v>1968</v>
      </c>
      <c r="E1442" t="s">
        <v>91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1864</v>
      </c>
      <c r="B1443" t="s">
        <v>1868</v>
      </c>
      <c r="C1443" t="s">
        <v>78</v>
      </c>
      <c r="D1443" t="s">
        <v>1869</v>
      </c>
      <c r="E1443" t="s">
        <v>204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1864</v>
      </c>
      <c r="B1444" t="s">
        <v>1969</v>
      </c>
      <c r="C1444" t="s">
        <v>78</v>
      </c>
      <c r="D1444" t="s">
        <v>1970</v>
      </c>
      <c r="E1444" t="s">
        <v>1944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1864</v>
      </c>
      <c r="B1445" t="s">
        <v>1971</v>
      </c>
      <c r="C1445" t="s">
        <v>78</v>
      </c>
      <c r="D1445" t="s">
        <v>1972</v>
      </c>
      <c r="E1445" t="s">
        <v>1973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1864</v>
      </c>
      <c r="B1446" t="s">
        <v>86</v>
      </c>
      <c r="C1446" t="s">
        <v>78</v>
      </c>
      <c r="D1446" t="s">
        <v>1974</v>
      </c>
      <c r="E1446" t="s">
        <v>1093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1864</v>
      </c>
      <c r="B1447" t="s">
        <v>1975</v>
      </c>
      <c r="C1447" t="s">
        <v>78</v>
      </c>
      <c r="D1447" t="s">
        <v>1976</v>
      </c>
      <c r="E1447" t="s">
        <v>1929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1864</v>
      </c>
      <c r="B1448" t="s">
        <v>1977</v>
      </c>
      <c r="C1448" t="s">
        <v>78</v>
      </c>
      <c r="D1448" t="s">
        <v>1978</v>
      </c>
      <c r="E1448" t="s">
        <v>1948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1864</v>
      </c>
      <c r="B1449" t="s">
        <v>1979</v>
      </c>
      <c r="C1449" t="s">
        <v>78</v>
      </c>
      <c r="D1449" t="s">
        <v>1980</v>
      </c>
      <c r="E1449" t="s">
        <v>1948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1864</v>
      </c>
      <c r="B1450" t="s">
        <v>1981</v>
      </c>
      <c r="C1450" t="s">
        <v>78</v>
      </c>
      <c r="D1450" t="s">
        <v>1982</v>
      </c>
      <c r="E1450" t="s">
        <v>1929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1864</v>
      </c>
      <c r="B1451" t="s">
        <v>1983</v>
      </c>
      <c r="C1451" t="s">
        <v>78</v>
      </c>
      <c r="D1451" t="s">
        <v>1984</v>
      </c>
      <c r="E1451" t="s">
        <v>1093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1864</v>
      </c>
      <c r="B1452" t="s">
        <v>1985</v>
      </c>
      <c r="C1452" t="s">
        <v>78</v>
      </c>
      <c r="D1452" t="s">
        <v>1986</v>
      </c>
      <c r="E1452" t="s">
        <v>1929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1864</v>
      </c>
      <c r="B1453" t="s">
        <v>1987</v>
      </c>
      <c r="C1453" t="s">
        <v>78</v>
      </c>
      <c r="D1453" t="s">
        <v>1988</v>
      </c>
      <c r="E1453" t="s">
        <v>1093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1864</v>
      </c>
      <c r="B1454" t="s">
        <v>1989</v>
      </c>
      <c r="C1454" t="s">
        <v>78</v>
      </c>
      <c r="D1454" t="s">
        <v>1990</v>
      </c>
      <c r="E1454" t="s">
        <v>1955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1864</v>
      </c>
      <c r="B1455" t="s">
        <v>1991</v>
      </c>
      <c r="C1455" t="s">
        <v>78</v>
      </c>
      <c r="D1455" t="s">
        <v>1992</v>
      </c>
      <c r="E1455" t="s">
        <v>1093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1864</v>
      </c>
      <c r="B1456" t="s">
        <v>1993</v>
      </c>
      <c r="C1456" t="s">
        <v>78</v>
      </c>
      <c r="D1456" t="s">
        <v>78</v>
      </c>
      <c r="E1456" t="s">
        <v>1994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1864</v>
      </c>
      <c r="B1457" t="s">
        <v>1995</v>
      </c>
      <c r="C1457" t="s">
        <v>78</v>
      </c>
      <c r="D1457" t="s">
        <v>78</v>
      </c>
      <c r="E1457" t="s">
        <v>204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1864</v>
      </c>
      <c r="B1458" t="s">
        <v>1996</v>
      </c>
      <c r="C1458" t="s">
        <v>78</v>
      </c>
      <c r="D1458" t="s">
        <v>1997</v>
      </c>
      <c r="E1458" t="s">
        <v>1948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1864</v>
      </c>
      <c r="B1459" t="s">
        <v>578</v>
      </c>
      <c r="C1459" t="s">
        <v>78</v>
      </c>
      <c r="D1459" t="s">
        <v>78</v>
      </c>
      <c r="E1459" t="s">
        <v>1998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1864</v>
      </c>
      <c r="B1460" t="s">
        <v>583</v>
      </c>
      <c r="C1460" t="s">
        <v>78</v>
      </c>
      <c r="D1460" t="s">
        <v>1999</v>
      </c>
      <c r="E1460" t="s">
        <v>1093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1864</v>
      </c>
      <c r="B1461" t="s">
        <v>2000</v>
      </c>
      <c r="C1461" t="s">
        <v>78</v>
      </c>
      <c r="D1461" t="s">
        <v>2001</v>
      </c>
      <c r="E1461" t="s">
        <v>1948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1864</v>
      </c>
      <c r="B1462" t="s">
        <v>2002</v>
      </c>
      <c r="C1462" t="s">
        <v>78</v>
      </c>
      <c r="D1462" t="s">
        <v>2003</v>
      </c>
      <c r="E1462" t="s">
        <v>1093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1864</v>
      </c>
      <c r="B1463" t="s">
        <v>585</v>
      </c>
      <c r="C1463" t="s">
        <v>78</v>
      </c>
      <c r="D1463" t="s">
        <v>2004</v>
      </c>
      <c r="E1463" t="s">
        <v>1939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1864</v>
      </c>
      <c r="B1464" t="s">
        <v>2005</v>
      </c>
      <c r="C1464" t="s">
        <v>78</v>
      </c>
      <c r="D1464" t="s">
        <v>2006</v>
      </c>
      <c r="E1464" t="s">
        <v>1065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1864</v>
      </c>
      <c r="B1465" t="s">
        <v>2007</v>
      </c>
      <c r="C1465" t="s">
        <v>78</v>
      </c>
      <c r="D1465" t="s">
        <v>78</v>
      </c>
      <c r="E1465" t="s">
        <v>2008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1864</v>
      </c>
      <c r="B1466" t="s">
        <v>2009</v>
      </c>
      <c r="C1466" t="s">
        <v>78</v>
      </c>
      <c r="D1466" t="s">
        <v>78</v>
      </c>
      <c r="E1466" t="s">
        <v>888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1864</v>
      </c>
      <c r="B1467" t="s">
        <v>2010</v>
      </c>
      <c r="C1467" t="s">
        <v>78</v>
      </c>
      <c r="D1467" t="s">
        <v>2011</v>
      </c>
      <c r="E1467" t="s">
        <v>1929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1864</v>
      </c>
      <c r="B1468" t="s">
        <v>573</v>
      </c>
      <c r="C1468" t="s">
        <v>78</v>
      </c>
      <c r="D1468" t="s">
        <v>78</v>
      </c>
      <c r="E1468" t="s">
        <v>2012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1864</v>
      </c>
      <c r="B1469" t="s">
        <v>2013</v>
      </c>
      <c r="C1469" t="s">
        <v>78</v>
      </c>
      <c r="D1469" t="s">
        <v>78</v>
      </c>
      <c r="E1469" t="s">
        <v>2014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1864</v>
      </c>
      <c r="B1470" t="s">
        <v>2015</v>
      </c>
      <c r="C1470" t="s">
        <v>78</v>
      </c>
      <c r="D1470" t="s">
        <v>78</v>
      </c>
      <c r="E1470" t="s">
        <v>888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1864</v>
      </c>
      <c r="B1471" t="s">
        <v>2016</v>
      </c>
      <c r="C1471" t="s">
        <v>78</v>
      </c>
      <c r="D1471" t="s">
        <v>78</v>
      </c>
      <c r="E1471" t="s">
        <v>2017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1864</v>
      </c>
      <c r="B1472" t="s">
        <v>642</v>
      </c>
      <c r="C1472" t="s">
        <v>78</v>
      </c>
      <c r="D1472" t="s">
        <v>78</v>
      </c>
      <c r="E1472" t="s">
        <v>2018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1864</v>
      </c>
      <c r="B1473" t="s">
        <v>229</v>
      </c>
      <c r="C1473" t="s">
        <v>78</v>
      </c>
      <c r="D1473" t="s">
        <v>78</v>
      </c>
      <c r="E1473" t="s">
        <v>2018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1864</v>
      </c>
      <c r="B1474" t="s">
        <v>230</v>
      </c>
      <c r="C1474" t="s">
        <v>78</v>
      </c>
      <c r="D1474" t="s">
        <v>78</v>
      </c>
      <c r="E1474" t="s">
        <v>2018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1864</v>
      </c>
      <c r="B1475" t="s">
        <v>233</v>
      </c>
      <c r="C1475" t="s">
        <v>78</v>
      </c>
      <c r="D1475" t="s">
        <v>78</v>
      </c>
      <c r="E1475" t="s">
        <v>2018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1864</v>
      </c>
      <c r="B1476" t="s">
        <v>232</v>
      </c>
      <c r="C1476" t="s">
        <v>78</v>
      </c>
      <c r="D1476" t="s">
        <v>78</v>
      </c>
      <c r="E1476" t="s">
        <v>2018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1864</v>
      </c>
      <c r="B1477" t="s">
        <v>2019</v>
      </c>
      <c r="C1477" t="s">
        <v>78</v>
      </c>
      <c r="D1477" t="s">
        <v>78</v>
      </c>
      <c r="E1477" t="s">
        <v>2018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1864</v>
      </c>
      <c r="B1478" t="s">
        <v>178</v>
      </c>
      <c r="C1478" t="s">
        <v>78</v>
      </c>
      <c r="D1478" t="s">
        <v>78</v>
      </c>
      <c r="E1478" t="s">
        <v>895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1864</v>
      </c>
      <c r="B1479" t="s">
        <v>180</v>
      </c>
      <c r="C1479" t="s">
        <v>78</v>
      </c>
      <c r="D1479" t="s">
        <v>78</v>
      </c>
      <c r="E1479" t="s">
        <v>207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1864</v>
      </c>
      <c r="B1480" t="s">
        <v>2020</v>
      </c>
      <c r="C1480" t="s">
        <v>78</v>
      </c>
      <c r="D1480" t="s">
        <v>78</v>
      </c>
      <c r="E1480" t="s">
        <v>237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1864</v>
      </c>
      <c r="B1481" t="s">
        <v>344</v>
      </c>
      <c r="C1481" t="s">
        <v>78</v>
      </c>
      <c r="D1481" t="s">
        <v>78</v>
      </c>
      <c r="E1481" t="s">
        <v>269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1864</v>
      </c>
      <c r="B1482" t="s">
        <v>2021</v>
      </c>
      <c r="C1482" t="s">
        <v>78</v>
      </c>
      <c r="D1482" t="s">
        <v>78</v>
      </c>
      <c r="E1482" t="s">
        <v>241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1864</v>
      </c>
      <c r="B1483" t="s">
        <v>1273</v>
      </c>
      <c r="C1483" t="s">
        <v>78</v>
      </c>
      <c r="D1483" t="s">
        <v>78</v>
      </c>
      <c r="E1483" t="s">
        <v>241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1864</v>
      </c>
      <c r="B1484" t="s">
        <v>2022</v>
      </c>
      <c r="C1484" t="s">
        <v>78</v>
      </c>
      <c r="D1484" t="s">
        <v>78</v>
      </c>
      <c r="E1484" t="s">
        <v>241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1864</v>
      </c>
      <c r="B1485" t="s">
        <v>2023</v>
      </c>
      <c r="C1485" t="s">
        <v>78</v>
      </c>
      <c r="D1485" t="s">
        <v>78</v>
      </c>
      <c r="E1485" t="s">
        <v>241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1864</v>
      </c>
      <c r="B1486" t="s">
        <v>2024</v>
      </c>
      <c r="C1486" t="s">
        <v>78</v>
      </c>
      <c r="D1486" t="s">
        <v>78</v>
      </c>
      <c r="E1486" t="s">
        <v>286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1864</v>
      </c>
      <c r="B1487" t="s">
        <v>2025</v>
      </c>
      <c r="C1487" t="s">
        <v>78</v>
      </c>
      <c r="D1487" t="s">
        <v>78</v>
      </c>
      <c r="E1487" t="s">
        <v>281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1864</v>
      </c>
      <c r="B1488" t="s">
        <v>2026</v>
      </c>
      <c r="C1488" t="s">
        <v>78</v>
      </c>
      <c r="D1488" t="s">
        <v>78</v>
      </c>
      <c r="E1488" t="s">
        <v>241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1864</v>
      </c>
      <c r="B1489" t="s">
        <v>2027</v>
      </c>
      <c r="C1489" t="s">
        <v>78</v>
      </c>
      <c r="D1489" t="s">
        <v>78</v>
      </c>
      <c r="E1489" t="s">
        <v>241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1864</v>
      </c>
      <c r="B1490" t="s">
        <v>2028</v>
      </c>
      <c r="C1490" t="s">
        <v>78</v>
      </c>
      <c r="D1490" t="s">
        <v>78</v>
      </c>
      <c r="E1490" t="s">
        <v>241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1864</v>
      </c>
      <c r="B1491" t="s">
        <v>183</v>
      </c>
      <c r="C1491" t="s">
        <v>78</v>
      </c>
      <c r="D1491" t="s">
        <v>78</v>
      </c>
      <c r="E1491" t="s">
        <v>184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2032</v>
      </c>
      <c r="B1492" t="s">
        <v>731</v>
      </c>
      <c r="C1492" t="s">
        <v>78</v>
      </c>
      <c r="D1492" t="s">
        <v>2033</v>
      </c>
      <c r="E1492" t="s">
        <v>2034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2032</v>
      </c>
      <c r="B1493" t="s">
        <v>494</v>
      </c>
      <c r="C1493" t="s">
        <v>78</v>
      </c>
      <c r="D1493" t="s">
        <v>78</v>
      </c>
      <c r="E1493" t="s">
        <v>2035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2032</v>
      </c>
      <c r="B1494" t="s">
        <v>487</v>
      </c>
      <c r="C1494" t="s">
        <v>78</v>
      </c>
      <c r="D1494" t="s">
        <v>78</v>
      </c>
      <c r="E1494" t="s">
        <v>159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2032</v>
      </c>
      <c r="B1495" t="s">
        <v>495</v>
      </c>
      <c r="C1495" t="s">
        <v>78</v>
      </c>
      <c r="D1495" t="s">
        <v>2036</v>
      </c>
      <c r="E1495" t="s">
        <v>2037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2032</v>
      </c>
      <c r="B1496" t="s">
        <v>2038</v>
      </c>
      <c r="C1496" t="s">
        <v>78</v>
      </c>
      <c r="D1496" t="s">
        <v>78</v>
      </c>
      <c r="E1496" t="s">
        <v>2039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2032</v>
      </c>
      <c r="B1497" t="s">
        <v>2040</v>
      </c>
      <c r="C1497" t="s">
        <v>78</v>
      </c>
      <c r="D1497" t="s">
        <v>78</v>
      </c>
      <c r="E1497" t="s">
        <v>2041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2032</v>
      </c>
      <c r="B1498" t="s">
        <v>2042</v>
      </c>
      <c r="C1498" t="s">
        <v>78</v>
      </c>
      <c r="D1498" t="s">
        <v>78</v>
      </c>
      <c r="E1498" t="s">
        <v>2043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2032</v>
      </c>
      <c r="B1499" t="s">
        <v>2044</v>
      </c>
      <c r="C1499" t="s">
        <v>78</v>
      </c>
      <c r="D1499" t="s">
        <v>78</v>
      </c>
      <c r="E1499" t="s">
        <v>2045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2032</v>
      </c>
      <c r="B1500" t="s">
        <v>2046</v>
      </c>
      <c r="C1500" t="s">
        <v>78</v>
      </c>
      <c r="D1500" t="s">
        <v>78</v>
      </c>
      <c r="E1500" t="s">
        <v>2047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2032</v>
      </c>
      <c r="B1501" t="s">
        <v>2048</v>
      </c>
      <c r="C1501" t="s">
        <v>78</v>
      </c>
      <c r="D1501" t="s">
        <v>78</v>
      </c>
      <c r="E1501" t="s">
        <v>2041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2032</v>
      </c>
      <c r="B1502" t="s">
        <v>2049</v>
      </c>
      <c r="C1502" t="s">
        <v>78</v>
      </c>
      <c r="D1502" t="s">
        <v>78</v>
      </c>
      <c r="E1502" t="s">
        <v>2050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2032</v>
      </c>
      <c r="B1503" t="s">
        <v>2051</v>
      </c>
      <c r="C1503" t="s">
        <v>78</v>
      </c>
      <c r="D1503" t="s">
        <v>78</v>
      </c>
      <c r="E1503" t="s">
        <v>2052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2032</v>
      </c>
      <c r="B1504" t="s">
        <v>2053</v>
      </c>
      <c r="C1504" t="s">
        <v>78</v>
      </c>
      <c r="D1504" t="s">
        <v>78</v>
      </c>
      <c r="E1504" t="s">
        <v>2045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2032</v>
      </c>
      <c r="B1505" t="s">
        <v>2054</v>
      </c>
      <c r="C1505" t="s">
        <v>78</v>
      </c>
      <c r="D1505" t="s">
        <v>78</v>
      </c>
      <c r="E1505" t="s">
        <v>2052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2032</v>
      </c>
      <c r="B1506" t="s">
        <v>2055</v>
      </c>
      <c r="C1506" t="s">
        <v>78</v>
      </c>
      <c r="D1506" t="s">
        <v>78</v>
      </c>
      <c r="E1506" t="s">
        <v>2052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2032</v>
      </c>
      <c r="B1507" t="s">
        <v>2056</v>
      </c>
      <c r="C1507" t="s">
        <v>78</v>
      </c>
      <c r="D1507" t="s">
        <v>78</v>
      </c>
      <c r="E1507" t="s">
        <v>2043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2032</v>
      </c>
      <c r="B1508" t="s">
        <v>2057</v>
      </c>
      <c r="C1508" t="s">
        <v>78</v>
      </c>
      <c r="D1508" t="s">
        <v>78</v>
      </c>
      <c r="E1508" t="s">
        <v>2043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2032</v>
      </c>
      <c r="B1509" t="s">
        <v>2058</v>
      </c>
      <c r="C1509" t="s">
        <v>78</v>
      </c>
      <c r="D1509" t="s">
        <v>78</v>
      </c>
      <c r="E1509" t="s">
        <v>2047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2032</v>
      </c>
      <c r="B1510" t="s">
        <v>2059</v>
      </c>
      <c r="C1510" t="s">
        <v>78</v>
      </c>
      <c r="D1510" t="s">
        <v>78</v>
      </c>
      <c r="E1510" t="s">
        <v>2037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2032</v>
      </c>
      <c r="B1511" t="s">
        <v>2060</v>
      </c>
      <c r="C1511" t="s">
        <v>78</v>
      </c>
      <c r="D1511" t="s">
        <v>78</v>
      </c>
      <c r="E1511" t="s">
        <v>2061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2032</v>
      </c>
      <c r="B1512" t="s">
        <v>2062</v>
      </c>
      <c r="C1512" t="s">
        <v>78</v>
      </c>
      <c r="D1512" t="s">
        <v>78</v>
      </c>
      <c r="E1512" t="s">
        <v>2061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2032</v>
      </c>
      <c r="B1513" t="s">
        <v>2063</v>
      </c>
      <c r="C1513" t="s">
        <v>78</v>
      </c>
      <c r="D1513" t="s">
        <v>78</v>
      </c>
      <c r="E1513" t="s">
        <v>2061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2032</v>
      </c>
      <c r="B1514" t="s">
        <v>2064</v>
      </c>
      <c r="C1514" t="s">
        <v>78</v>
      </c>
      <c r="D1514" t="s">
        <v>78</v>
      </c>
      <c r="E1514" t="s">
        <v>2061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2032</v>
      </c>
      <c r="B1515" t="s">
        <v>2065</v>
      </c>
      <c r="C1515" t="s">
        <v>78</v>
      </c>
      <c r="D1515" t="s">
        <v>78</v>
      </c>
      <c r="E1515" t="s">
        <v>159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2032</v>
      </c>
      <c r="B1516" t="s">
        <v>487</v>
      </c>
      <c r="C1516" t="s">
        <v>78</v>
      </c>
      <c r="D1516" t="s">
        <v>78</v>
      </c>
      <c r="E1516" t="s">
        <v>159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2032</v>
      </c>
      <c r="B1517" t="s">
        <v>2066</v>
      </c>
      <c r="C1517" t="s">
        <v>78</v>
      </c>
      <c r="D1517" t="s">
        <v>78</v>
      </c>
      <c r="E1517" t="s">
        <v>161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2032</v>
      </c>
      <c r="B1518" t="s">
        <v>2067</v>
      </c>
      <c r="C1518" t="s">
        <v>78</v>
      </c>
      <c r="D1518" t="s">
        <v>78</v>
      </c>
      <c r="E1518" t="s">
        <v>159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2032</v>
      </c>
      <c r="B1519" t="s">
        <v>2068</v>
      </c>
      <c r="C1519" t="s">
        <v>78</v>
      </c>
      <c r="D1519" t="s">
        <v>78</v>
      </c>
      <c r="E1519" t="s">
        <v>159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2032</v>
      </c>
      <c r="B1520" t="s">
        <v>494</v>
      </c>
      <c r="C1520" t="s">
        <v>78</v>
      </c>
      <c r="D1520" t="s">
        <v>78</v>
      </c>
      <c r="E1520" t="s">
        <v>2035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2032</v>
      </c>
      <c r="B1521" t="s">
        <v>2069</v>
      </c>
      <c r="C1521" t="s">
        <v>78</v>
      </c>
      <c r="D1521" t="s">
        <v>78</v>
      </c>
      <c r="E1521" t="s">
        <v>2035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2032</v>
      </c>
      <c r="B1522" t="s">
        <v>2070</v>
      </c>
      <c r="C1522" t="s">
        <v>78</v>
      </c>
      <c r="D1522" t="s">
        <v>78</v>
      </c>
      <c r="E1522" t="s">
        <v>2035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2032</v>
      </c>
      <c r="B1523" t="s">
        <v>2071</v>
      </c>
      <c r="C1523" t="s">
        <v>78</v>
      </c>
      <c r="D1523" t="s">
        <v>78</v>
      </c>
      <c r="E1523" t="s">
        <v>2035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2032</v>
      </c>
      <c r="B1524" t="s">
        <v>2072</v>
      </c>
      <c r="C1524" t="s">
        <v>78</v>
      </c>
      <c r="D1524" t="s">
        <v>78</v>
      </c>
      <c r="E1524" t="s">
        <v>2035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2032</v>
      </c>
      <c r="B1525" t="s">
        <v>2073</v>
      </c>
      <c r="C1525" t="s">
        <v>78</v>
      </c>
      <c r="D1525" t="s">
        <v>78</v>
      </c>
      <c r="E1525" t="s">
        <v>2047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2032</v>
      </c>
      <c r="B1526" t="s">
        <v>2074</v>
      </c>
      <c r="C1526" t="s">
        <v>78</v>
      </c>
      <c r="D1526" t="s">
        <v>78</v>
      </c>
      <c r="E1526" t="s">
        <v>161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2032</v>
      </c>
      <c r="B1527" t="s">
        <v>2075</v>
      </c>
      <c r="C1527" t="s">
        <v>78</v>
      </c>
      <c r="D1527" t="s">
        <v>78</v>
      </c>
      <c r="E1527" t="s">
        <v>2047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2032</v>
      </c>
      <c r="B1528" t="s">
        <v>493</v>
      </c>
      <c r="C1528" t="s">
        <v>78</v>
      </c>
      <c r="D1528" t="s">
        <v>78</v>
      </c>
      <c r="E1528" t="s">
        <v>2045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2032</v>
      </c>
      <c r="B1529" t="s">
        <v>492</v>
      </c>
      <c r="C1529" t="s">
        <v>78</v>
      </c>
      <c r="D1529" t="s">
        <v>78</v>
      </c>
      <c r="E1529" t="s">
        <v>2045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2032</v>
      </c>
      <c r="B1530" t="s">
        <v>2076</v>
      </c>
      <c r="C1530" t="s">
        <v>78</v>
      </c>
      <c r="D1530" t="s">
        <v>78</v>
      </c>
      <c r="E1530" t="s">
        <v>2047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2032</v>
      </c>
      <c r="B1531" t="s">
        <v>2077</v>
      </c>
      <c r="C1531" t="s">
        <v>78</v>
      </c>
      <c r="D1531" t="s">
        <v>78</v>
      </c>
      <c r="E1531" t="s">
        <v>2078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2032</v>
      </c>
      <c r="B1532" t="s">
        <v>2079</v>
      </c>
      <c r="C1532" t="s">
        <v>78</v>
      </c>
      <c r="D1532" t="s">
        <v>78</v>
      </c>
      <c r="E1532" t="s">
        <v>2078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2032</v>
      </c>
      <c r="B1533" t="s">
        <v>497</v>
      </c>
      <c r="C1533" t="s">
        <v>78</v>
      </c>
      <c r="D1533" t="s">
        <v>2080</v>
      </c>
      <c r="E1533" t="s">
        <v>2052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2032</v>
      </c>
      <c r="B1534" t="s">
        <v>499</v>
      </c>
      <c r="C1534" t="s">
        <v>78</v>
      </c>
      <c r="D1534" t="s">
        <v>2080</v>
      </c>
      <c r="E1534" t="s">
        <v>2045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2032</v>
      </c>
      <c r="B1535" t="s">
        <v>1431</v>
      </c>
      <c r="C1535" t="s">
        <v>78</v>
      </c>
      <c r="D1535" t="s">
        <v>2080</v>
      </c>
      <c r="E1535" t="s">
        <v>2047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2032</v>
      </c>
      <c r="B1536" t="s">
        <v>495</v>
      </c>
      <c r="C1536" t="s">
        <v>78</v>
      </c>
      <c r="D1536" t="s">
        <v>2036</v>
      </c>
      <c r="E1536" t="s">
        <v>2037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2032</v>
      </c>
      <c r="B1537" t="s">
        <v>500</v>
      </c>
      <c r="C1537" t="s">
        <v>78</v>
      </c>
      <c r="D1537" t="s">
        <v>2080</v>
      </c>
      <c r="E1537" t="s">
        <v>2045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2032</v>
      </c>
      <c r="B1538" t="s">
        <v>2081</v>
      </c>
      <c r="C1538" t="s">
        <v>78</v>
      </c>
      <c r="D1538" t="s">
        <v>2033</v>
      </c>
      <c r="E1538" t="s">
        <v>2034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2032</v>
      </c>
      <c r="B1539" t="s">
        <v>2082</v>
      </c>
      <c r="C1539" t="s">
        <v>78</v>
      </c>
      <c r="D1539" t="s">
        <v>2033</v>
      </c>
      <c r="E1539" t="s">
        <v>2034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2032</v>
      </c>
      <c r="B1540" t="s">
        <v>731</v>
      </c>
      <c r="C1540" t="s">
        <v>78</v>
      </c>
      <c r="D1540" t="s">
        <v>2033</v>
      </c>
      <c r="E1540" t="s">
        <v>2034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2032</v>
      </c>
      <c r="B1541" t="s">
        <v>2083</v>
      </c>
      <c r="C1541" t="s">
        <v>78</v>
      </c>
      <c r="D1541" t="s">
        <v>2033</v>
      </c>
      <c r="E1541" t="s">
        <v>2034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2032</v>
      </c>
      <c r="B1542" t="s">
        <v>2084</v>
      </c>
      <c r="C1542" t="s">
        <v>78</v>
      </c>
      <c r="D1542" t="s">
        <v>2033</v>
      </c>
      <c r="E1542" t="s">
        <v>2085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2032</v>
      </c>
      <c r="B1543" t="s">
        <v>780</v>
      </c>
      <c r="C1543" t="s">
        <v>78</v>
      </c>
      <c r="D1543" t="s">
        <v>2033</v>
      </c>
      <c r="E1543" t="s">
        <v>2034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2032</v>
      </c>
      <c r="B1544" t="s">
        <v>782</v>
      </c>
      <c r="C1544" t="s">
        <v>78</v>
      </c>
      <c r="D1544" t="s">
        <v>2033</v>
      </c>
      <c r="E1544" t="s">
        <v>2086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2032</v>
      </c>
      <c r="B1545" t="s">
        <v>2087</v>
      </c>
      <c r="C1545" t="s">
        <v>78</v>
      </c>
      <c r="D1545" t="s">
        <v>78</v>
      </c>
      <c r="E1545" t="s">
        <v>2041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2032</v>
      </c>
      <c r="B1546" t="s">
        <v>2088</v>
      </c>
      <c r="C1546" t="s">
        <v>78</v>
      </c>
      <c r="D1546" t="s">
        <v>78</v>
      </c>
      <c r="E1546" t="s">
        <v>2041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2032</v>
      </c>
      <c r="B1547" t="s">
        <v>2089</v>
      </c>
      <c r="C1547" t="s">
        <v>78</v>
      </c>
      <c r="D1547" t="s">
        <v>78</v>
      </c>
      <c r="E1547" t="s">
        <v>2085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2032</v>
      </c>
      <c r="B1548" t="s">
        <v>2038</v>
      </c>
      <c r="C1548" t="s">
        <v>78</v>
      </c>
      <c r="D1548" t="s">
        <v>78</v>
      </c>
      <c r="E1548" t="s">
        <v>2039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2032</v>
      </c>
      <c r="B1549" t="s">
        <v>2090</v>
      </c>
      <c r="C1549" t="s">
        <v>78</v>
      </c>
      <c r="D1549" t="s">
        <v>78</v>
      </c>
      <c r="E1549" t="s">
        <v>2041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2032</v>
      </c>
      <c r="B1550" t="s">
        <v>2091</v>
      </c>
      <c r="C1550" t="s">
        <v>78</v>
      </c>
      <c r="D1550" t="s">
        <v>78</v>
      </c>
      <c r="E1550" t="s">
        <v>2085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2032</v>
      </c>
      <c r="B1551" t="s">
        <v>2092</v>
      </c>
      <c r="C1551" t="s">
        <v>78</v>
      </c>
      <c r="D1551" t="s">
        <v>78</v>
      </c>
      <c r="E1551" t="s">
        <v>2041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2032</v>
      </c>
      <c r="B1552" t="s">
        <v>2093</v>
      </c>
      <c r="C1552" t="s">
        <v>78</v>
      </c>
      <c r="D1552" t="s">
        <v>78</v>
      </c>
      <c r="E1552" t="s">
        <v>2085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2032</v>
      </c>
      <c r="B1553" t="s">
        <v>2094</v>
      </c>
      <c r="C1553" t="s">
        <v>78</v>
      </c>
      <c r="D1553" t="s">
        <v>2095</v>
      </c>
      <c r="E1553" t="s">
        <v>2086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2032</v>
      </c>
      <c r="B1554" t="s">
        <v>2096</v>
      </c>
      <c r="C1554" t="s">
        <v>78</v>
      </c>
      <c r="D1554" t="s">
        <v>2097</v>
      </c>
      <c r="E1554" t="s">
        <v>2078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2032</v>
      </c>
      <c r="B1555" t="s">
        <v>2098</v>
      </c>
      <c r="C1555" t="s">
        <v>78</v>
      </c>
      <c r="D1555" t="s">
        <v>2099</v>
      </c>
      <c r="E1555" t="s">
        <v>2078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2032</v>
      </c>
      <c r="B1556" t="s">
        <v>2100</v>
      </c>
      <c r="C1556" t="s">
        <v>78</v>
      </c>
      <c r="D1556" t="s">
        <v>2101</v>
      </c>
      <c r="E1556" t="s">
        <v>2050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2032</v>
      </c>
      <c r="B1557" t="s">
        <v>2102</v>
      </c>
      <c r="C1557" t="s">
        <v>78</v>
      </c>
      <c r="D1557" t="s">
        <v>2103</v>
      </c>
      <c r="E1557" t="s">
        <v>2045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2032</v>
      </c>
      <c r="B1558" t="s">
        <v>2104</v>
      </c>
      <c r="C1558" t="s">
        <v>78</v>
      </c>
      <c r="D1558" t="s">
        <v>2105</v>
      </c>
      <c r="E1558" t="s">
        <v>2045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2032</v>
      </c>
      <c r="B1559" t="s">
        <v>229</v>
      </c>
      <c r="C1559" t="s">
        <v>78</v>
      </c>
      <c r="D1559" t="s">
        <v>78</v>
      </c>
      <c r="E1559" t="s">
        <v>197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2032</v>
      </c>
      <c r="B1560" t="s">
        <v>230</v>
      </c>
      <c r="C1560" t="s">
        <v>78</v>
      </c>
      <c r="D1560" t="s">
        <v>78</v>
      </c>
      <c r="E1560" t="s">
        <v>197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2032</v>
      </c>
      <c r="B1561" t="s">
        <v>231</v>
      </c>
      <c r="C1561" t="s">
        <v>78</v>
      </c>
      <c r="D1561" t="s">
        <v>78</v>
      </c>
      <c r="E1561" t="s">
        <v>197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2032</v>
      </c>
      <c r="B1562" t="s">
        <v>233</v>
      </c>
      <c r="C1562" t="s">
        <v>78</v>
      </c>
      <c r="D1562" t="s">
        <v>78</v>
      </c>
      <c r="E1562" t="s">
        <v>197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2032</v>
      </c>
      <c r="B1563" t="s">
        <v>232</v>
      </c>
      <c r="C1563" t="s">
        <v>78</v>
      </c>
      <c r="D1563" t="s">
        <v>78</v>
      </c>
      <c r="E1563" t="s">
        <v>197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2032</v>
      </c>
      <c r="B1564" t="s">
        <v>325</v>
      </c>
      <c r="C1564" t="s">
        <v>78</v>
      </c>
      <c r="D1564" t="s">
        <v>78</v>
      </c>
      <c r="E1564" t="s">
        <v>252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2032</v>
      </c>
      <c r="B1565" t="s">
        <v>178</v>
      </c>
      <c r="C1565" t="s">
        <v>78</v>
      </c>
      <c r="D1565" t="s">
        <v>78</v>
      </c>
      <c r="E1565" t="s">
        <v>575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2032</v>
      </c>
      <c r="B1566" t="s">
        <v>234</v>
      </c>
      <c r="C1566" t="s">
        <v>78</v>
      </c>
      <c r="D1566" t="s">
        <v>78</v>
      </c>
      <c r="E1566" t="s">
        <v>207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2032</v>
      </c>
      <c r="B1567" t="s">
        <v>343</v>
      </c>
      <c r="C1567" t="s">
        <v>78</v>
      </c>
      <c r="D1567" t="s">
        <v>78</v>
      </c>
      <c r="E1567" t="s">
        <v>253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2032</v>
      </c>
      <c r="B1568" t="s">
        <v>242</v>
      </c>
      <c r="C1568" t="s">
        <v>78</v>
      </c>
      <c r="D1568" t="s">
        <v>78</v>
      </c>
      <c r="E1568" t="s">
        <v>287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2032</v>
      </c>
      <c r="B1569" t="s">
        <v>183</v>
      </c>
      <c r="C1569" t="s">
        <v>78</v>
      </c>
      <c r="D1569" t="s">
        <v>78</v>
      </c>
      <c r="E1569" t="s">
        <v>184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2109</v>
      </c>
      <c r="B1570" t="s">
        <v>672</v>
      </c>
      <c r="C1570" t="s">
        <v>78</v>
      </c>
      <c r="D1570" t="s">
        <v>2110</v>
      </c>
      <c r="E1570" t="s">
        <v>656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2109</v>
      </c>
      <c r="B1571" t="s">
        <v>908</v>
      </c>
      <c r="C1571" t="s">
        <v>78</v>
      </c>
      <c r="D1571" t="s">
        <v>2110</v>
      </c>
      <c r="E1571" t="s">
        <v>582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2109</v>
      </c>
      <c r="B1572" t="s">
        <v>912</v>
      </c>
      <c r="C1572" t="s">
        <v>78</v>
      </c>
      <c r="D1572" t="s">
        <v>2110</v>
      </c>
      <c r="E1572" t="s">
        <v>442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2109</v>
      </c>
      <c r="B1573" t="s">
        <v>2111</v>
      </c>
      <c r="C1573" t="s">
        <v>78</v>
      </c>
      <c r="D1573" t="s">
        <v>2112</v>
      </c>
      <c r="E1573" t="s">
        <v>308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2109</v>
      </c>
      <c r="B1574" t="s">
        <v>905</v>
      </c>
      <c r="C1574" t="s">
        <v>78</v>
      </c>
      <c r="D1574" t="s">
        <v>2110</v>
      </c>
      <c r="E1574" t="s">
        <v>418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2109</v>
      </c>
      <c r="B1575" t="s">
        <v>2113</v>
      </c>
      <c r="C1575" t="s">
        <v>78</v>
      </c>
      <c r="D1575" t="s">
        <v>2114</v>
      </c>
      <c r="E1575" t="s">
        <v>218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2109</v>
      </c>
      <c r="B1576" t="s">
        <v>2115</v>
      </c>
      <c r="C1576" t="s">
        <v>78</v>
      </c>
      <c r="D1576" t="s">
        <v>2116</v>
      </c>
      <c r="E1576" t="s">
        <v>461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2109</v>
      </c>
      <c r="B1577" t="s">
        <v>2117</v>
      </c>
      <c r="C1577" t="s">
        <v>78</v>
      </c>
      <c r="D1577" t="s">
        <v>2118</v>
      </c>
      <c r="E1577" t="s">
        <v>539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2109</v>
      </c>
      <c r="B1578" t="s">
        <v>2119</v>
      </c>
      <c r="C1578" t="s">
        <v>78</v>
      </c>
      <c r="D1578" t="s">
        <v>2120</v>
      </c>
      <c r="E1578" t="s">
        <v>1848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2109</v>
      </c>
      <c r="B1579" t="s">
        <v>2111</v>
      </c>
      <c r="C1579" t="s">
        <v>78</v>
      </c>
      <c r="D1579" t="s">
        <v>2112</v>
      </c>
      <c r="E1579" t="s">
        <v>308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2109</v>
      </c>
      <c r="B1580" t="s">
        <v>2121</v>
      </c>
      <c r="C1580" t="s">
        <v>78</v>
      </c>
      <c r="D1580" t="s">
        <v>2122</v>
      </c>
      <c r="E1580" t="s">
        <v>2123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2109</v>
      </c>
      <c r="B1581" t="s">
        <v>2124</v>
      </c>
      <c r="C1581" t="s">
        <v>78</v>
      </c>
      <c r="D1581" t="s">
        <v>2125</v>
      </c>
      <c r="E1581" t="s">
        <v>2126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2109</v>
      </c>
      <c r="B1582" t="s">
        <v>2127</v>
      </c>
      <c r="C1582" t="s">
        <v>78</v>
      </c>
      <c r="D1582" t="s">
        <v>2128</v>
      </c>
      <c r="E1582" t="s">
        <v>2129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2109</v>
      </c>
      <c r="B1583" t="s">
        <v>2130</v>
      </c>
      <c r="C1583" t="s">
        <v>78</v>
      </c>
      <c r="D1583" t="s">
        <v>2131</v>
      </c>
      <c r="E1583" t="s">
        <v>539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2109</v>
      </c>
      <c r="B1584" t="s">
        <v>2132</v>
      </c>
      <c r="C1584" t="s">
        <v>78</v>
      </c>
      <c r="D1584" t="s">
        <v>2133</v>
      </c>
      <c r="E1584" t="s">
        <v>2134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2109</v>
      </c>
      <c r="B1585" t="s">
        <v>2135</v>
      </c>
      <c r="C1585" t="s">
        <v>78</v>
      </c>
      <c r="D1585" t="s">
        <v>2136</v>
      </c>
      <c r="E1585" t="s">
        <v>539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2109</v>
      </c>
      <c r="B1586" t="s">
        <v>2137</v>
      </c>
      <c r="C1586" t="s">
        <v>78</v>
      </c>
      <c r="D1586" t="s">
        <v>2138</v>
      </c>
      <c r="E1586" t="s">
        <v>2139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2109</v>
      </c>
      <c r="B1587" t="s">
        <v>2140</v>
      </c>
      <c r="C1587" t="s">
        <v>78</v>
      </c>
      <c r="D1587" t="s">
        <v>2141</v>
      </c>
      <c r="E1587" t="s">
        <v>425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2109</v>
      </c>
      <c r="B1588" t="s">
        <v>2142</v>
      </c>
      <c r="C1588" t="s">
        <v>78</v>
      </c>
      <c r="D1588" t="s">
        <v>2143</v>
      </c>
      <c r="E1588" t="s">
        <v>401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2109</v>
      </c>
      <c r="B1589" t="s">
        <v>2144</v>
      </c>
      <c r="C1589" t="s">
        <v>78</v>
      </c>
      <c r="D1589" t="s">
        <v>2145</v>
      </c>
      <c r="E1589" t="s">
        <v>554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2109</v>
      </c>
      <c r="B1590" t="s">
        <v>2146</v>
      </c>
      <c r="C1590" t="s">
        <v>78</v>
      </c>
      <c r="D1590" t="s">
        <v>2147</v>
      </c>
      <c r="E1590" t="s">
        <v>479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2109</v>
      </c>
      <c r="B1591" t="s">
        <v>2148</v>
      </c>
      <c r="C1591" t="s">
        <v>78</v>
      </c>
      <c r="D1591" t="s">
        <v>2149</v>
      </c>
      <c r="E1591" t="s">
        <v>456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2109</v>
      </c>
      <c r="B1592" t="s">
        <v>2150</v>
      </c>
      <c r="C1592" t="s">
        <v>78</v>
      </c>
      <c r="D1592" t="s">
        <v>2151</v>
      </c>
      <c r="E1592" t="s">
        <v>258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2109</v>
      </c>
      <c r="B1593" t="s">
        <v>2152</v>
      </c>
      <c r="C1593" t="s">
        <v>78</v>
      </c>
      <c r="D1593" t="s">
        <v>2153</v>
      </c>
      <c r="E1593" t="s">
        <v>437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2109</v>
      </c>
      <c r="B1594" t="s">
        <v>2154</v>
      </c>
      <c r="C1594" t="s">
        <v>78</v>
      </c>
      <c r="D1594" t="s">
        <v>2155</v>
      </c>
      <c r="E1594" t="s">
        <v>582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2109</v>
      </c>
      <c r="B1595" t="s">
        <v>2156</v>
      </c>
      <c r="C1595" t="s">
        <v>78</v>
      </c>
      <c r="D1595" t="s">
        <v>2157</v>
      </c>
      <c r="E1595" t="s">
        <v>258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2109</v>
      </c>
      <c r="B1596" t="s">
        <v>912</v>
      </c>
      <c r="C1596" t="s">
        <v>78</v>
      </c>
      <c r="D1596" t="s">
        <v>2110</v>
      </c>
      <c r="E1596" t="s">
        <v>442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2109</v>
      </c>
      <c r="B1597" t="s">
        <v>905</v>
      </c>
      <c r="C1597" t="s">
        <v>78</v>
      </c>
      <c r="D1597" t="s">
        <v>2110</v>
      </c>
      <c r="E1597" t="s">
        <v>418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2109</v>
      </c>
      <c r="B1598" t="s">
        <v>914</v>
      </c>
      <c r="C1598" t="s">
        <v>78</v>
      </c>
      <c r="D1598" t="s">
        <v>2158</v>
      </c>
      <c r="E1598" t="s">
        <v>212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2109</v>
      </c>
      <c r="B1599" t="s">
        <v>916</v>
      </c>
      <c r="C1599" t="s">
        <v>78</v>
      </c>
      <c r="D1599" t="s">
        <v>2159</v>
      </c>
      <c r="E1599" t="s">
        <v>456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2109</v>
      </c>
      <c r="B1600" t="s">
        <v>672</v>
      </c>
      <c r="C1600" t="s">
        <v>78</v>
      </c>
      <c r="D1600" t="s">
        <v>2110</v>
      </c>
      <c r="E1600" t="s">
        <v>656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2109</v>
      </c>
      <c r="B1601" t="s">
        <v>908</v>
      </c>
      <c r="C1601" t="s">
        <v>78</v>
      </c>
      <c r="D1601" t="s">
        <v>2110</v>
      </c>
      <c r="E1601" t="s">
        <v>582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2109</v>
      </c>
      <c r="B1602" t="s">
        <v>674</v>
      </c>
      <c r="C1602" t="s">
        <v>78</v>
      </c>
      <c r="D1602" t="s">
        <v>2158</v>
      </c>
      <c r="E1602" t="s">
        <v>469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2109</v>
      </c>
      <c r="B1603" t="s">
        <v>676</v>
      </c>
      <c r="C1603" t="s">
        <v>78</v>
      </c>
      <c r="D1603" t="s">
        <v>2159</v>
      </c>
      <c r="E1603" t="s">
        <v>466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2109</v>
      </c>
      <c r="B1604" t="s">
        <v>2160</v>
      </c>
      <c r="C1604" t="s">
        <v>78</v>
      </c>
      <c r="D1604" t="s">
        <v>2110</v>
      </c>
      <c r="E1604" t="s">
        <v>582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2109</v>
      </c>
      <c r="B1605" t="s">
        <v>2161</v>
      </c>
      <c r="C1605" t="s">
        <v>78</v>
      </c>
      <c r="D1605" t="s">
        <v>2110</v>
      </c>
      <c r="E1605" t="s">
        <v>425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2109</v>
      </c>
      <c r="B1606" t="s">
        <v>2162</v>
      </c>
      <c r="C1606" t="s">
        <v>78</v>
      </c>
      <c r="D1606" t="s">
        <v>2163</v>
      </c>
      <c r="E1606" t="s">
        <v>287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2109</v>
      </c>
      <c r="B1607" t="s">
        <v>2164</v>
      </c>
      <c r="C1607" t="s">
        <v>78</v>
      </c>
      <c r="D1607" t="s">
        <v>2110</v>
      </c>
      <c r="E1607" t="s">
        <v>442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2109</v>
      </c>
      <c r="B1608" t="s">
        <v>573</v>
      </c>
      <c r="C1608" t="s">
        <v>78</v>
      </c>
      <c r="D1608" t="s">
        <v>78</v>
      </c>
      <c r="E1608" t="s">
        <v>268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2109</v>
      </c>
      <c r="B1609" t="s">
        <v>632</v>
      </c>
      <c r="C1609" t="s">
        <v>78</v>
      </c>
      <c r="D1609" t="s">
        <v>78</v>
      </c>
      <c r="E1609" t="s">
        <v>252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2109</v>
      </c>
      <c r="B1610" t="s">
        <v>2015</v>
      </c>
      <c r="C1610" t="s">
        <v>78</v>
      </c>
      <c r="D1610" t="s">
        <v>78</v>
      </c>
      <c r="E1610" t="s">
        <v>287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2109</v>
      </c>
      <c r="B1611" t="s">
        <v>2165</v>
      </c>
      <c r="C1611" t="s">
        <v>78</v>
      </c>
      <c r="D1611" t="s">
        <v>78</v>
      </c>
      <c r="E1611" t="s">
        <v>287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2109</v>
      </c>
      <c r="B1612" t="s">
        <v>229</v>
      </c>
      <c r="C1612" t="s">
        <v>78</v>
      </c>
      <c r="D1612" t="s">
        <v>78</v>
      </c>
      <c r="E1612" t="s">
        <v>252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2109</v>
      </c>
      <c r="B1613" t="s">
        <v>643</v>
      </c>
      <c r="C1613" t="s">
        <v>78</v>
      </c>
      <c r="D1613" t="s">
        <v>78</v>
      </c>
      <c r="E1613" t="s">
        <v>252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2109</v>
      </c>
      <c r="B1614" t="s">
        <v>876</v>
      </c>
      <c r="C1614" t="s">
        <v>78</v>
      </c>
      <c r="D1614" t="s">
        <v>78</v>
      </c>
      <c r="E1614" t="s">
        <v>252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2109</v>
      </c>
      <c r="B1615" t="s">
        <v>230</v>
      </c>
      <c r="C1615" t="s">
        <v>78</v>
      </c>
      <c r="D1615" t="s">
        <v>78</v>
      </c>
      <c r="E1615" t="s">
        <v>252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2109</v>
      </c>
      <c r="B1616" t="s">
        <v>231</v>
      </c>
      <c r="C1616" t="s">
        <v>78</v>
      </c>
      <c r="D1616" t="s">
        <v>78</v>
      </c>
      <c r="E1616" t="s">
        <v>252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2109</v>
      </c>
      <c r="B1617" t="s">
        <v>233</v>
      </c>
      <c r="C1617" t="s">
        <v>78</v>
      </c>
      <c r="D1617" t="s">
        <v>78</v>
      </c>
      <c r="E1617" t="s">
        <v>252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2109</v>
      </c>
      <c r="B1618" t="s">
        <v>232</v>
      </c>
      <c r="C1618" t="s">
        <v>78</v>
      </c>
      <c r="D1618" t="s">
        <v>78</v>
      </c>
      <c r="E1618" t="s">
        <v>252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2109</v>
      </c>
      <c r="B1619" t="s">
        <v>167</v>
      </c>
      <c r="C1619" t="s">
        <v>78</v>
      </c>
      <c r="D1619" t="s">
        <v>78</v>
      </c>
      <c r="E1619" t="s">
        <v>252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2109</v>
      </c>
      <c r="B1620" t="s">
        <v>168</v>
      </c>
      <c r="C1620" t="s">
        <v>78</v>
      </c>
      <c r="D1620" t="s">
        <v>78</v>
      </c>
      <c r="E1620" t="s">
        <v>252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2109</v>
      </c>
      <c r="B1621" t="s">
        <v>169</v>
      </c>
      <c r="C1621" t="s">
        <v>78</v>
      </c>
      <c r="D1621" t="s">
        <v>78</v>
      </c>
      <c r="E1621" t="s">
        <v>252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2109</v>
      </c>
      <c r="B1622" t="s">
        <v>170</v>
      </c>
      <c r="C1622" t="s">
        <v>78</v>
      </c>
      <c r="D1622" t="s">
        <v>78</v>
      </c>
      <c r="E1622" t="s">
        <v>252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2109</v>
      </c>
      <c r="B1623" t="s">
        <v>171</v>
      </c>
      <c r="C1623" t="s">
        <v>78</v>
      </c>
      <c r="D1623" t="s">
        <v>78</v>
      </c>
      <c r="E1623" t="s">
        <v>252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2109</v>
      </c>
      <c r="B1624" t="s">
        <v>896</v>
      </c>
      <c r="C1624" t="s">
        <v>78</v>
      </c>
      <c r="D1624" t="s">
        <v>78</v>
      </c>
      <c r="E1624" t="s">
        <v>252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2109</v>
      </c>
      <c r="B1625" t="s">
        <v>172</v>
      </c>
      <c r="C1625" t="s">
        <v>78</v>
      </c>
      <c r="D1625" t="s">
        <v>78</v>
      </c>
      <c r="E1625" t="s">
        <v>252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2109</v>
      </c>
      <c r="B1626" t="s">
        <v>2166</v>
      </c>
      <c r="C1626" t="s">
        <v>78</v>
      </c>
      <c r="D1626" t="s">
        <v>78</v>
      </c>
      <c r="E1626" t="s">
        <v>252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2109</v>
      </c>
      <c r="B1627" t="s">
        <v>175</v>
      </c>
      <c r="C1627" t="s">
        <v>78</v>
      </c>
      <c r="D1627" t="s">
        <v>78</v>
      </c>
      <c r="E1627" t="s">
        <v>279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2109</v>
      </c>
      <c r="B1628" t="s">
        <v>178</v>
      </c>
      <c r="C1628" t="s">
        <v>78</v>
      </c>
      <c r="D1628" t="s">
        <v>78</v>
      </c>
      <c r="E1628" t="s">
        <v>235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2109</v>
      </c>
      <c r="B1629" t="s">
        <v>708</v>
      </c>
      <c r="C1629" t="s">
        <v>78</v>
      </c>
      <c r="D1629" t="s">
        <v>78</v>
      </c>
      <c r="E1629" t="s">
        <v>279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2109</v>
      </c>
      <c r="B1630" t="s">
        <v>180</v>
      </c>
      <c r="C1630" t="s">
        <v>78</v>
      </c>
      <c r="D1630" t="s">
        <v>78</v>
      </c>
      <c r="E1630" t="s">
        <v>235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2109</v>
      </c>
      <c r="B1631" t="s">
        <v>181</v>
      </c>
      <c r="C1631" t="s">
        <v>78</v>
      </c>
      <c r="D1631" t="s">
        <v>78</v>
      </c>
      <c r="E1631" t="s">
        <v>286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2109</v>
      </c>
      <c r="B1632" t="s">
        <v>242</v>
      </c>
      <c r="C1632" t="s">
        <v>78</v>
      </c>
      <c r="D1632" t="s">
        <v>78</v>
      </c>
      <c r="E1632" t="s">
        <v>287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2109</v>
      </c>
      <c r="B1633" t="s">
        <v>1264</v>
      </c>
      <c r="C1633" t="s">
        <v>78</v>
      </c>
      <c r="D1633" t="s">
        <v>78</v>
      </c>
      <c r="E1633" t="s">
        <v>287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2109</v>
      </c>
      <c r="B1634" t="s">
        <v>2167</v>
      </c>
      <c r="C1634" t="s">
        <v>78</v>
      </c>
      <c r="D1634" t="s">
        <v>78</v>
      </c>
      <c r="E1634" t="s">
        <v>287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2109</v>
      </c>
      <c r="B1635" t="s">
        <v>327</v>
      </c>
      <c r="C1635" t="s">
        <v>78</v>
      </c>
      <c r="D1635" t="s">
        <v>78</v>
      </c>
      <c r="E1635" t="s">
        <v>287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2109</v>
      </c>
      <c r="B1636" t="s">
        <v>345</v>
      </c>
      <c r="C1636" t="s">
        <v>78</v>
      </c>
      <c r="D1636" t="s">
        <v>78</v>
      </c>
      <c r="E1636" t="s">
        <v>287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2109</v>
      </c>
      <c r="B1637" t="s">
        <v>2168</v>
      </c>
      <c r="C1637" t="s">
        <v>78</v>
      </c>
      <c r="D1637" t="s">
        <v>78</v>
      </c>
      <c r="E1637" t="s">
        <v>287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2109</v>
      </c>
      <c r="B1638" t="s">
        <v>599</v>
      </c>
      <c r="C1638" t="s">
        <v>78</v>
      </c>
      <c r="D1638" t="s">
        <v>78</v>
      </c>
      <c r="E1638" t="s">
        <v>287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2109</v>
      </c>
      <c r="B1639" t="s">
        <v>346</v>
      </c>
      <c r="C1639" t="s">
        <v>78</v>
      </c>
      <c r="D1639" t="s">
        <v>78</v>
      </c>
      <c r="E1639" t="s">
        <v>287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2109</v>
      </c>
      <c r="B1640" t="s">
        <v>183</v>
      </c>
      <c r="C1640" t="s">
        <v>78</v>
      </c>
      <c r="D1640" t="s">
        <v>78</v>
      </c>
      <c r="E1640" t="s">
        <v>184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2171</v>
      </c>
      <c r="B1641" t="s">
        <v>607</v>
      </c>
      <c r="C1641" t="s">
        <v>78</v>
      </c>
      <c r="D1641" t="s">
        <v>2172</v>
      </c>
      <c r="E1641" t="s">
        <v>159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2171</v>
      </c>
      <c r="B1642" t="s">
        <v>2173</v>
      </c>
      <c r="C1642" t="s">
        <v>78</v>
      </c>
      <c r="D1642" t="s">
        <v>2174</v>
      </c>
      <c r="E1642" t="s">
        <v>2175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2171</v>
      </c>
      <c r="B1643" t="s">
        <v>605</v>
      </c>
      <c r="C1643" t="s">
        <v>78</v>
      </c>
      <c r="D1643" t="s">
        <v>2176</v>
      </c>
      <c r="E1643" t="s">
        <v>2177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2171</v>
      </c>
      <c r="B1644" t="s">
        <v>688</v>
      </c>
      <c r="C1644" t="s">
        <v>78</v>
      </c>
      <c r="D1644" t="s">
        <v>78</v>
      </c>
      <c r="E1644" t="s">
        <v>161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2171</v>
      </c>
      <c r="B1645" t="s">
        <v>619</v>
      </c>
      <c r="C1645" t="s">
        <v>78</v>
      </c>
      <c r="D1645" t="s">
        <v>2178</v>
      </c>
      <c r="E1645" t="s">
        <v>2179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2171</v>
      </c>
      <c r="B1646" t="s">
        <v>2180</v>
      </c>
      <c r="C1646" t="s">
        <v>78</v>
      </c>
      <c r="D1646" t="s">
        <v>2181</v>
      </c>
      <c r="E1646" t="s">
        <v>2041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2171</v>
      </c>
      <c r="B1647" t="s">
        <v>2182</v>
      </c>
      <c r="C1647" t="s">
        <v>78</v>
      </c>
      <c r="D1647" t="s">
        <v>2181</v>
      </c>
      <c r="E1647" t="s">
        <v>2041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2171</v>
      </c>
      <c r="B1648" t="s">
        <v>2183</v>
      </c>
      <c r="C1648" t="s">
        <v>78</v>
      </c>
      <c r="D1648" t="s">
        <v>2181</v>
      </c>
      <c r="E1648" t="s">
        <v>2041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2171</v>
      </c>
      <c r="B1649" t="s">
        <v>2184</v>
      </c>
      <c r="C1649" t="s">
        <v>78</v>
      </c>
      <c r="D1649" t="s">
        <v>2181</v>
      </c>
      <c r="E1649" t="s">
        <v>2041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2171</v>
      </c>
      <c r="B1650" t="s">
        <v>2185</v>
      </c>
      <c r="C1650" t="s">
        <v>78</v>
      </c>
      <c r="D1650" t="s">
        <v>2181</v>
      </c>
      <c r="E1650" t="s">
        <v>161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2171</v>
      </c>
      <c r="B1651" t="s">
        <v>2186</v>
      </c>
      <c r="C1651" t="s">
        <v>78</v>
      </c>
      <c r="D1651" t="s">
        <v>2181</v>
      </c>
      <c r="E1651" t="s">
        <v>2045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2171</v>
      </c>
      <c r="B1652" t="s">
        <v>610</v>
      </c>
      <c r="C1652" t="s">
        <v>78</v>
      </c>
      <c r="D1652" t="s">
        <v>2187</v>
      </c>
      <c r="E1652" t="s">
        <v>2177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2171</v>
      </c>
      <c r="B1653" t="s">
        <v>2188</v>
      </c>
      <c r="C1653" t="s">
        <v>78</v>
      </c>
      <c r="D1653" t="s">
        <v>2187</v>
      </c>
      <c r="E1653" t="s">
        <v>2061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2171</v>
      </c>
      <c r="B1654" t="s">
        <v>2189</v>
      </c>
      <c r="C1654" t="s">
        <v>78</v>
      </c>
      <c r="D1654" t="s">
        <v>2187</v>
      </c>
      <c r="E1654" t="s">
        <v>287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2171</v>
      </c>
      <c r="B1655" t="s">
        <v>2173</v>
      </c>
      <c r="C1655" t="s">
        <v>78</v>
      </c>
      <c r="D1655" t="s">
        <v>2174</v>
      </c>
      <c r="E1655" t="s">
        <v>2175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2171</v>
      </c>
      <c r="B1656" t="s">
        <v>2190</v>
      </c>
      <c r="C1656" t="s">
        <v>78</v>
      </c>
      <c r="D1656" t="s">
        <v>2174</v>
      </c>
      <c r="E1656" t="s">
        <v>2041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2171</v>
      </c>
      <c r="B1657" t="s">
        <v>605</v>
      </c>
      <c r="C1657" t="s">
        <v>78</v>
      </c>
      <c r="D1657" t="s">
        <v>2176</v>
      </c>
      <c r="E1657" t="s">
        <v>2177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2171</v>
      </c>
      <c r="B1658" t="s">
        <v>611</v>
      </c>
      <c r="C1658" t="s">
        <v>78</v>
      </c>
      <c r="D1658" t="s">
        <v>2191</v>
      </c>
      <c r="E1658" t="s">
        <v>2047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2171</v>
      </c>
      <c r="B1659" t="s">
        <v>1528</v>
      </c>
      <c r="C1659" t="s">
        <v>78</v>
      </c>
      <c r="D1659" t="s">
        <v>2191</v>
      </c>
      <c r="E1659" t="s">
        <v>2050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2171</v>
      </c>
      <c r="B1660" t="s">
        <v>614</v>
      </c>
      <c r="C1660" t="s">
        <v>78</v>
      </c>
      <c r="D1660" t="s">
        <v>2191</v>
      </c>
      <c r="E1660" t="s">
        <v>161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2171</v>
      </c>
      <c r="B1661" t="s">
        <v>615</v>
      </c>
      <c r="C1661" t="s">
        <v>78</v>
      </c>
      <c r="D1661" t="s">
        <v>2191</v>
      </c>
      <c r="E1661" t="s">
        <v>2085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2171</v>
      </c>
      <c r="B1662" t="s">
        <v>1529</v>
      </c>
      <c r="C1662" t="s">
        <v>78</v>
      </c>
      <c r="D1662" t="s">
        <v>2191</v>
      </c>
      <c r="E1662" t="s">
        <v>2192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2171</v>
      </c>
      <c r="B1663" t="s">
        <v>617</v>
      </c>
      <c r="C1663" t="s">
        <v>78</v>
      </c>
      <c r="D1663" t="s">
        <v>2193</v>
      </c>
      <c r="E1663" t="s">
        <v>2192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2171</v>
      </c>
      <c r="B1664" t="s">
        <v>2194</v>
      </c>
      <c r="C1664" t="s">
        <v>78</v>
      </c>
      <c r="D1664" t="s">
        <v>2191</v>
      </c>
      <c r="E1664" t="s">
        <v>2195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2171</v>
      </c>
      <c r="B1665" t="s">
        <v>2196</v>
      </c>
      <c r="C1665" t="s">
        <v>78</v>
      </c>
      <c r="D1665" t="s">
        <v>2191</v>
      </c>
      <c r="E1665" t="s">
        <v>2050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2171</v>
      </c>
      <c r="B1666" t="s">
        <v>2197</v>
      </c>
      <c r="C1666" t="s">
        <v>78</v>
      </c>
      <c r="D1666" t="s">
        <v>2191</v>
      </c>
      <c r="E1666" t="s">
        <v>2195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2171</v>
      </c>
      <c r="B1667" t="s">
        <v>2198</v>
      </c>
      <c r="C1667" t="s">
        <v>78</v>
      </c>
      <c r="D1667" t="s">
        <v>2199</v>
      </c>
      <c r="E1667" t="s">
        <v>662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2171</v>
      </c>
      <c r="B1668" t="s">
        <v>2200</v>
      </c>
      <c r="C1668" t="s">
        <v>78</v>
      </c>
      <c r="D1668" t="s">
        <v>2201</v>
      </c>
      <c r="E1668" t="s">
        <v>461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2171</v>
      </c>
      <c r="B1669" t="s">
        <v>2202</v>
      </c>
      <c r="C1669" t="s">
        <v>78</v>
      </c>
      <c r="D1669" t="s">
        <v>2203</v>
      </c>
      <c r="E1669" t="s">
        <v>762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2171</v>
      </c>
      <c r="B1670" t="s">
        <v>619</v>
      </c>
      <c r="C1670" t="s">
        <v>78</v>
      </c>
      <c r="D1670" t="s">
        <v>2178</v>
      </c>
      <c r="E1670" t="s">
        <v>2179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2171</v>
      </c>
      <c r="B1671" t="s">
        <v>625</v>
      </c>
      <c r="C1671" t="s">
        <v>78</v>
      </c>
      <c r="D1671" t="s">
        <v>2178</v>
      </c>
      <c r="E1671" t="s">
        <v>2179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2171</v>
      </c>
      <c r="B1672" t="s">
        <v>667</v>
      </c>
      <c r="C1672" t="s">
        <v>78</v>
      </c>
      <c r="D1672" t="s">
        <v>2178</v>
      </c>
      <c r="E1672" t="s">
        <v>2179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2171</v>
      </c>
      <c r="B1673" t="s">
        <v>1525</v>
      </c>
      <c r="C1673" t="s">
        <v>78</v>
      </c>
      <c r="D1673" t="s">
        <v>2178</v>
      </c>
      <c r="E1673" t="s">
        <v>2179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2171</v>
      </c>
      <c r="B1674" t="s">
        <v>627</v>
      </c>
      <c r="C1674" t="s">
        <v>78</v>
      </c>
      <c r="D1674" t="s">
        <v>2178</v>
      </c>
      <c r="E1674" t="s">
        <v>2192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2171</v>
      </c>
      <c r="B1675" t="s">
        <v>626</v>
      </c>
      <c r="C1675" t="s">
        <v>78</v>
      </c>
      <c r="D1675" t="s">
        <v>2178</v>
      </c>
      <c r="E1675" t="s">
        <v>2041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2171</v>
      </c>
      <c r="B1676" t="s">
        <v>629</v>
      </c>
      <c r="C1676" t="s">
        <v>78</v>
      </c>
      <c r="D1676" t="s">
        <v>2204</v>
      </c>
      <c r="E1676" t="s">
        <v>2205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2171</v>
      </c>
      <c r="B1677" t="s">
        <v>2206</v>
      </c>
      <c r="C1677" t="s">
        <v>78</v>
      </c>
      <c r="D1677" t="s">
        <v>2207</v>
      </c>
      <c r="E1677" t="s">
        <v>100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2171</v>
      </c>
      <c r="B1678" t="s">
        <v>2208</v>
      </c>
      <c r="C1678" t="s">
        <v>78</v>
      </c>
      <c r="D1678" t="s">
        <v>2207</v>
      </c>
      <c r="E1678" t="s">
        <v>1912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2171</v>
      </c>
      <c r="B1679" t="s">
        <v>2209</v>
      </c>
      <c r="C1679" t="s">
        <v>78</v>
      </c>
      <c r="D1679" t="s">
        <v>2199</v>
      </c>
      <c r="E1679" t="s">
        <v>1882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2171</v>
      </c>
      <c r="B1680" t="s">
        <v>2210</v>
      </c>
      <c r="C1680" t="s">
        <v>78</v>
      </c>
      <c r="D1680" t="s">
        <v>2199</v>
      </c>
      <c r="E1680" t="s">
        <v>1882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2171</v>
      </c>
      <c r="B1681" t="s">
        <v>2211</v>
      </c>
      <c r="C1681" t="s">
        <v>78</v>
      </c>
      <c r="D1681" t="s">
        <v>2199</v>
      </c>
      <c r="E1681" t="s">
        <v>1882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2171</v>
      </c>
      <c r="B1682" t="s">
        <v>607</v>
      </c>
      <c r="C1682" t="s">
        <v>78</v>
      </c>
      <c r="D1682" t="s">
        <v>2172</v>
      </c>
      <c r="E1682" t="s">
        <v>159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2171</v>
      </c>
      <c r="B1683" t="s">
        <v>2212</v>
      </c>
      <c r="C1683" t="s">
        <v>78</v>
      </c>
      <c r="D1683" t="s">
        <v>2172</v>
      </c>
      <c r="E1683" t="s">
        <v>161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2171</v>
      </c>
      <c r="B1684" t="s">
        <v>609</v>
      </c>
      <c r="C1684" t="s">
        <v>78</v>
      </c>
      <c r="D1684" t="s">
        <v>2172</v>
      </c>
      <c r="E1684" t="s">
        <v>2175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2171</v>
      </c>
      <c r="B1685" t="s">
        <v>637</v>
      </c>
      <c r="C1685" t="s">
        <v>78</v>
      </c>
      <c r="D1685" t="s">
        <v>2172</v>
      </c>
      <c r="E1685" t="s">
        <v>161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2171</v>
      </c>
      <c r="B1686" t="s">
        <v>2213</v>
      </c>
      <c r="C1686" t="s">
        <v>78</v>
      </c>
      <c r="D1686" t="s">
        <v>2172</v>
      </c>
      <c r="E1686" t="s">
        <v>161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2171</v>
      </c>
      <c r="B1687" t="s">
        <v>2214</v>
      </c>
      <c r="C1687" t="s">
        <v>78</v>
      </c>
      <c r="D1687" t="s">
        <v>2172</v>
      </c>
      <c r="E1687" t="s">
        <v>2041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2171</v>
      </c>
      <c r="B1688" t="s">
        <v>2215</v>
      </c>
      <c r="C1688" t="s">
        <v>78</v>
      </c>
      <c r="D1688" t="s">
        <v>2172</v>
      </c>
      <c r="E1688" t="s">
        <v>2085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2171</v>
      </c>
      <c r="B1689" t="s">
        <v>2216</v>
      </c>
      <c r="C1689" t="s">
        <v>78</v>
      </c>
      <c r="D1689" t="s">
        <v>2172</v>
      </c>
      <c r="E1689" t="s">
        <v>2085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2171</v>
      </c>
      <c r="B1690" t="s">
        <v>2217</v>
      </c>
      <c r="C1690" t="s">
        <v>78</v>
      </c>
      <c r="D1690" t="s">
        <v>2172</v>
      </c>
      <c r="E1690" t="s">
        <v>2047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2171</v>
      </c>
      <c r="B1691" t="s">
        <v>2100</v>
      </c>
      <c r="C1691" t="s">
        <v>78</v>
      </c>
      <c r="D1691" t="s">
        <v>78</v>
      </c>
      <c r="E1691" t="s">
        <v>2218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2171</v>
      </c>
      <c r="B1692" t="s">
        <v>2219</v>
      </c>
      <c r="C1692" t="s">
        <v>78</v>
      </c>
      <c r="D1692" t="s">
        <v>78</v>
      </c>
      <c r="E1692" t="s">
        <v>2177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2171</v>
      </c>
      <c r="B1693" t="s">
        <v>2220</v>
      </c>
      <c r="C1693" t="s">
        <v>78</v>
      </c>
      <c r="D1693" t="s">
        <v>78</v>
      </c>
      <c r="E1693" t="s">
        <v>2177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2171</v>
      </c>
      <c r="B1694" t="s">
        <v>2221</v>
      </c>
      <c r="C1694" t="s">
        <v>78</v>
      </c>
      <c r="D1694" t="s">
        <v>78</v>
      </c>
      <c r="E1694" t="s">
        <v>176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2171</v>
      </c>
      <c r="B1695" t="s">
        <v>2222</v>
      </c>
      <c r="C1695" t="s">
        <v>78</v>
      </c>
      <c r="D1695" t="s">
        <v>78</v>
      </c>
      <c r="E1695" t="s">
        <v>138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2171</v>
      </c>
      <c r="B1696" t="s">
        <v>688</v>
      </c>
      <c r="C1696" t="s">
        <v>78</v>
      </c>
      <c r="D1696" t="s">
        <v>78</v>
      </c>
      <c r="E1696" t="s">
        <v>161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2171</v>
      </c>
      <c r="B1697" t="s">
        <v>2223</v>
      </c>
      <c r="C1697" t="s">
        <v>78</v>
      </c>
      <c r="D1697" t="s">
        <v>78</v>
      </c>
      <c r="E1697" t="s">
        <v>161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2171</v>
      </c>
      <c r="B1698" t="s">
        <v>2224</v>
      </c>
      <c r="C1698" t="s">
        <v>78</v>
      </c>
      <c r="D1698" t="s">
        <v>78</v>
      </c>
      <c r="E1698" t="s">
        <v>161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2171</v>
      </c>
      <c r="B1699" t="s">
        <v>229</v>
      </c>
      <c r="C1699" t="s">
        <v>78</v>
      </c>
      <c r="D1699" t="s">
        <v>78</v>
      </c>
      <c r="E1699" t="s">
        <v>2225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2171</v>
      </c>
      <c r="B1700" t="s">
        <v>643</v>
      </c>
      <c r="C1700" t="s">
        <v>78</v>
      </c>
      <c r="D1700" t="s">
        <v>78</v>
      </c>
      <c r="E1700" t="s">
        <v>2225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2171</v>
      </c>
      <c r="B1701" t="s">
        <v>876</v>
      </c>
      <c r="C1701" t="s">
        <v>78</v>
      </c>
      <c r="D1701" t="s">
        <v>78</v>
      </c>
      <c r="E1701" t="s">
        <v>2225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2171</v>
      </c>
      <c r="B1702" t="s">
        <v>230</v>
      </c>
      <c r="C1702" t="s">
        <v>78</v>
      </c>
      <c r="D1702" t="s">
        <v>78</v>
      </c>
      <c r="E1702" t="s">
        <v>2225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2171</v>
      </c>
      <c r="B1703" t="s">
        <v>231</v>
      </c>
      <c r="C1703" t="s">
        <v>78</v>
      </c>
      <c r="D1703" t="s">
        <v>78</v>
      </c>
      <c r="E1703" t="s">
        <v>2225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2171</v>
      </c>
      <c r="B1704" t="s">
        <v>1816</v>
      </c>
      <c r="C1704" t="s">
        <v>78</v>
      </c>
      <c r="D1704" t="s">
        <v>78</v>
      </c>
      <c r="E1704" t="s">
        <v>2225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2171</v>
      </c>
      <c r="B1705" t="s">
        <v>2166</v>
      </c>
      <c r="C1705" t="s">
        <v>78</v>
      </c>
      <c r="D1705" t="s">
        <v>78</v>
      </c>
      <c r="E1705" t="s">
        <v>2225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2171</v>
      </c>
      <c r="B1706" t="s">
        <v>173</v>
      </c>
      <c r="C1706" t="s">
        <v>78</v>
      </c>
      <c r="D1706" t="s">
        <v>78</v>
      </c>
      <c r="E1706" t="s">
        <v>2226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2171</v>
      </c>
      <c r="B1707" t="s">
        <v>325</v>
      </c>
      <c r="C1707" t="s">
        <v>78</v>
      </c>
      <c r="D1707" t="s">
        <v>78</v>
      </c>
      <c r="E1707" t="s">
        <v>174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2171</v>
      </c>
      <c r="B1708" t="s">
        <v>2227</v>
      </c>
      <c r="C1708" t="s">
        <v>78</v>
      </c>
      <c r="D1708" t="s">
        <v>78</v>
      </c>
      <c r="E1708" t="s">
        <v>174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2171</v>
      </c>
      <c r="B1709" t="s">
        <v>708</v>
      </c>
      <c r="C1709" t="s">
        <v>78</v>
      </c>
      <c r="D1709" t="s">
        <v>78</v>
      </c>
      <c r="E1709" t="s">
        <v>2226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2171</v>
      </c>
      <c r="B1710" t="s">
        <v>180</v>
      </c>
      <c r="C1710" t="s">
        <v>78</v>
      </c>
      <c r="D1710" t="s">
        <v>78</v>
      </c>
      <c r="E1710" t="s">
        <v>2228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2171</v>
      </c>
      <c r="B1711" t="s">
        <v>181</v>
      </c>
      <c r="C1711" t="s">
        <v>78</v>
      </c>
      <c r="D1711" t="s">
        <v>78</v>
      </c>
      <c r="E1711" t="s">
        <v>2228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2171</v>
      </c>
      <c r="B1712" t="s">
        <v>242</v>
      </c>
      <c r="C1712" t="s">
        <v>78</v>
      </c>
      <c r="D1712" t="s">
        <v>78</v>
      </c>
      <c r="E1712" t="s">
        <v>2175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2171</v>
      </c>
      <c r="B1713" t="s">
        <v>327</v>
      </c>
      <c r="C1713" t="s">
        <v>78</v>
      </c>
      <c r="D1713" t="s">
        <v>78</v>
      </c>
      <c r="E1713" t="s">
        <v>2175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2171</v>
      </c>
      <c r="B1714" t="s">
        <v>2229</v>
      </c>
      <c r="C1714" t="s">
        <v>78</v>
      </c>
      <c r="D1714" t="s">
        <v>78</v>
      </c>
      <c r="E1714" t="s">
        <v>2226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2171</v>
      </c>
      <c r="B1715" t="s">
        <v>2230</v>
      </c>
      <c r="C1715" t="s">
        <v>78</v>
      </c>
      <c r="D1715" t="s">
        <v>2178</v>
      </c>
      <c r="E1715" t="s">
        <v>218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2171</v>
      </c>
      <c r="B1716" t="s">
        <v>2231</v>
      </c>
      <c r="C1716" t="s">
        <v>78</v>
      </c>
      <c r="D1716" t="s">
        <v>2178</v>
      </c>
      <c r="E1716" t="s">
        <v>801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2171</v>
      </c>
      <c r="B1717" t="s">
        <v>388</v>
      </c>
      <c r="C1717" t="s">
        <v>78</v>
      </c>
      <c r="D1717" t="s">
        <v>2178</v>
      </c>
      <c r="E1717" t="s">
        <v>2139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2171</v>
      </c>
      <c r="B1718" t="s">
        <v>2232</v>
      </c>
      <c r="C1718" t="s">
        <v>78</v>
      </c>
      <c r="D1718" t="s">
        <v>2178</v>
      </c>
      <c r="E1718" t="s">
        <v>277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2171</v>
      </c>
      <c r="B1719" t="s">
        <v>183</v>
      </c>
      <c r="C1719" t="s">
        <v>78</v>
      </c>
      <c r="D1719" t="s">
        <v>78</v>
      </c>
      <c r="E1719" t="s">
        <v>184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2235</v>
      </c>
      <c r="B1720" t="s">
        <v>2236</v>
      </c>
      <c r="C1720" t="s">
        <v>78</v>
      </c>
      <c r="D1720" t="s">
        <v>2237</v>
      </c>
      <c r="E1720" t="s">
        <v>582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2235</v>
      </c>
      <c r="B1721" t="s">
        <v>2238</v>
      </c>
      <c r="C1721" t="s">
        <v>78</v>
      </c>
      <c r="D1721" t="s">
        <v>2239</v>
      </c>
      <c r="E1721" t="s">
        <v>2240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2235</v>
      </c>
      <c r="B1722" t="s">
        <v>2241</v>
      </c>
      <c r="C1722" t="s">
        <v>78</v>
      </c>
      <c r="D1722" t="s">
        <v>2242</v>
      </c>
      <c r="E1722" t="s">
        <v>505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2235</v>
      </c>
      <c r="B1723" t="s">
        <v>2243</v>
      </c>
      <c r="C1723" t="s">
        <v>78</v>
      </c>
      <c r="D1723" t="s">
        <v>2244</v>
      </c>
      <c r="E1723" t="s">
        <v>1912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2235</v>
      </c>
      <c r="B1724" t="s">
        <v>2245</v>
      </c>
      <c r="C1724" t="s">
        <v>78</v>
      </c>
      <c r="D1724" t="s">
        <v>2246</v>
      </c>
      <c r="E1724" t="s">
        <v>103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2235</v>
      </c>
      <c r="B1725" t="s">
        <v>2247</v>
      </c>
      <c r="C1725" t="s">
        <v>78</v>
      </c>
      <c r="D1725" t="s">
        <v>2248</v>
      </c>
      <c r="E1725" t="s">
        <v>103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2235</v>
      </c>
      <c r="B1726" t="s">
        <v>2249</v>
      </c>
      <c r="C1726" t="s">
        <v>78</v>
      </c>
      <c r="D1726" t="s">
        <v>2250</v>
      </c>
      <c r="E1726" t="s">
        <v>2205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2235</v>
      </c>
      <c r="B1727" t="s">
        <v>2243</v>
      </c>
      <c r="C1727" t="s">
        <v>78</v>
      </c>
      <c r="D1727" t="s">
        <v>2244</v>
      </c>
      <c r="E1727" t="s">
        <v>1912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2235</v>
      </c>
      <c r="B1728" t="s">
        <v>2245</v>
      </c>
      <c r="C1728" t="s">
        <v>78</v>
      </c>
      <c r="D1728" t="s">
        <v>2246</v>
      </c>
      <c r="E1728" t="s">
        <v>103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2235</v>
      </c>
      <c r="B1729" t="s">
        <v>2251</v>
      </c>
      <c r="C1729" t="s">
        <v>78</v>
      </c>
      <c r="D1729" t="s">
        <v>2252</v>
      </c>
      <c r="E1729" t="s">
        <v>85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2235</v>
      </c>
      <c r="B1730" t="s">
        <v>2253</v>
      </c>
      <c r="C1730" t="s">
        <v>78</v>
      </c>
      <c r="D1730" t="s">
        <v>2254</v>
      </c>
      <c r="E1730" t="s">
        <v>2255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2235</v>
      </c>
      <c r="B1731" t="s">
        <v>2256</v>
      </c>
      <c r="C1731" t="s">
        <v>78</v>
      </c>
      <c r="D1731" t="s">
        <v>2257</v>
      </c>
      <c r="E1731" t="s">
        <v>1912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2235</v>
      </c>
      <c r="B1732" t="s">
        <v>2258</v>
      </c>
      <c r="C1732" t="s">
        <v>78</v>
      </c>
      <c r="D1732" t="s">
        <v>2259</v>
      </c>
      <c r="E1732" t="s">
        <v>1912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2235</v>
      </c>
      <c r="B1733" t="s">
        <v>2241</v>
      </c>
      <c r="C1733" t="s">
        <v>78</v>
      </c>
      <c r="D1733" t="s">
        <v>2242</v>
      </c>
      <c r="E1733" t="s">
        <v>505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2235</v>
      </c>
      <c r="B1734" t="s">
        <v>2260</v>
      </c>
      <c r="C1734" t="s">
        <v>78</v>
      </c>
      <c r="D1734" t="s">
        <v>2261</v>
      </c>
      <c r="E1734" t="s">
        <v>2086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2235</v>
      </c>
      <c r="B1735" t="s">
        <v>2262</v>
      </c>
      <c r="C1735" t="s">
        <v>78</v>
      </c>
      <c r="D1735" t="s">
        <v>2263</v>
      </c>
      <c r="E1735" t="s">
        <v>2086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2235</v>
      </c>
      <c r="B1736" t="s">
        <v>2264</v>
      </c>
      <c r="C1736" t="s">
        <v>78</v>
      </c>
      <c r="D1736" t="s">
        <v>2265</v>
      </c>
      <c r="E1736" t="s">
        <v>1879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2235</v>
      </c>
      <c r="B1737" t="s">
        <v>2266</v>
      </c>
      <c r="C1737" t="s">
        <v>78</v>
      </c>
      <c r="D1737" t="s">
        <v>2267</v>
      </c>
      <c r="E1737" t="s">
        <v>1912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2235</v>
      </c>
      <c r="B1738" t="s">
        <v>2268</v>
      </c>
      <c r="C1738" t="s">
        <v>78</v>
      </c>
      <c r="D1738" t="s">
        <v>2269</v>
      </c>
      <c r="E1738" t="s">
        <v>2179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2235</v>
      </c>
      <c r="B1739" t="s">
        <v>2270</v>
      </c>
      <c r="C1739" t="s">
        <v>78</v>
      </c>
      <c r="D1739" t="s">
        <v>2271</v>
      </c>
      <c r="E1739" t="s">
        <v>130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2235</v>
      </c>
      <c r="B1740" t="s">
        <v>2272</v>
      </c>
      <c r="C1740" t="s">
        <v>78</v>
      </c>
      <c r="D1740" t="s">
        <v>2271</v>
      </c>
      <c r="E1740" t="s">
        <v>2273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2235</v>
      </c>
      <c r="B1741" t="s">
        <v>2274</v>
      </c>
      <c r="C1741" t="s">
        <v>78</v>
      </c>
      <c r="D1741" t="s">
        <v>2239</v>
      </c>
      <c r="E1741" t="s">
        <v>2085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2235</v>
      </c>
      <c r="B1742" t="s">
        <v>2275</v>
      </c>
      <c r="C1742" t="s">
        <v>78</v>
      </c>
      <c r="D1742" t="s">
        <v>2239</v>
      </c>
      <c r="E1742" t="s">
        <v>401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2235</v>
      </c>
      <c r="B1743" t="s">
        <v>2276</v>
      </c>
      <c r="C1743" t="s">
        <v>78</v>
      </c>
      <c r="D1743" t="s">
        <v>2239</v>
      </c>
      <c r="E1743" t="s">
        <v>1912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2235</v>
      </c>
      <c r="B1744" t="s">
        <v>2277</v>
      </c>
      <c r="C1744" t="s">
        <v>78</v>
      </c>
      <c r="D1744" t="s">
        <v>2239</v>
      </c>
      <c r="E1744" t="s">
        <v>212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2235</v>
      </c>
      <c r="B1745" t="s">
        <v>2278</v>
      </c>
      <c r="C1745" t="s">
        <v>78</v>
      </c>
      <c r="D1745" t="s">
        <v>2239</v>
      </c>
      <c r="E1745" t="s">
        <v>256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2235</v>
      </c>
      <c r="B1746" t="s">
        <v>2279</v>
      </c>
      <c r="C1746" t="s">
        <v>78</v>
      </c>
      <c r="D1746" t="s">
        <v>2239</v>
      </c>
      <c r="E1746" t="s">
        <v>636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2235</v>
      </c>
      <c r="B1747" t="s">
        <v>2280</v>
      </c>
      <c r="C1747" t="s">
        <v>78</v>
      </c>
      <c r="D1747" t="s">
        <v>2239</v>
      </c>
      <c r="E1747" t="s">
        <v>112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2235</v>
      </c>
      <c r="B1748" t="s">
        <v>2281</v>
      </c>
      <c r="C1748" t="s">
        <v>78</v>
      </c>
      <c r="D1748" t="s">
        <v>2239</v>
      </c>
      <c r="E1748" t="s">
        <v>1882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2235</v>
      </c>
      <c r="B1749" t="s">
        <v>799</v>
      </c>
      <c r="C1749" t="s">
        <v>78</v>
      </c>
      <c r="D1749" t="s">
        <v>2239</v>
      </c>
      <c r="E1749" t="s">
        <v>1882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2235</v>
      </c>
      <c r="B1750" t="s">
        <v>2282</v>
      </c>
      <c r="C1750" t="s">
        <v>78</v>
      </c>
      <c r="D1750" t="s">
        <v>2283</v>
      </c>
      <c r="E1750" t="s">
        <v>2085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2235</v>
      </c>
      <c r="B1751" t="s">
        <v>2284</v>
      </c>
      <c r="C1751" t="s">
        <v>78</v>
      </c>
      <c r="D1751" t="s">
        <v>2283</v>
      </c>
      <c r="E1751" t="s">
        <v>103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2235</v>
      </c>
      <c r="B1752" t="s">
        <v>2285</v>
      </c>
      <c r="C1752" t="s">
        <v>78</v>
      </c>
      <c r="D1752" t="s">
        <v>2283</v>
      </c>
      <c r="E1752" t="s">
        <v>1841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2235</v>
      </c>
      <c r="B1753" t="s">
        <v>2286</v>
      </c>
      <c r="C1753" t="s">
        <v>78</v>
      </c>
      <c r="D1753" t="s">
        <v>2283</v>
      </c>
      <c r="E1753" t="s">
        <v>2287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2235</v>
      </c>
      <c r="B1754" t="s">
        <v>2288</v>
      </c>
      <c r="C1754" t="s">
        <v>78</v>
      </c>
      <c r="D1754" t="s">
        <v>2289</v>
      </c>
      <c r="E1754" t="s">
        <v>2047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2235</v>
      </c>
      <c r="B1755" t="s">
        <v>2290</v>
      </c>
      <c r="C1755" t="s">
        <v>78</v>
      </c>
      <c r="D1755" t="s">
        <v>2237</v>
      </c>
      <c r="E1755" t="s">
        <v>582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2235</v>
      </c>
      <c r="B1756" t="s">
        <v>2291</v>
      </c>
      <c r="C1756" t="s">
        <v>78</v>
      </c>
      <c r="D1756" t="s">
        <v>2237</v>
      </c>
      <c r="E1756" t="s">
        <v>418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2235</v>
      </c>
      <c r="B1757" t="s">
        <v>2236</v>
      </c>
      <c r="C1757" t="s">
        <v>78</v>
      </c>
      <c r="D1757" t="s">
        <v>2237</v>
      </c>
      <c r="E1757" t="s">
        <v>582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2235</v>
      </c>
      <c r="B1758" t="s">
        <v>2292</v>
      </c>
      <c r="C1758" t="s">
        <v>78</v>
      </c>
      <c r="D1758" t="s">
        <v>2237</v>
      </c>
      <c r="E1758" t="s">
        <v>442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2235</v>
      </c>
      <c r="B1759" t="s">
        <v>2293</v>
      </c>
      <c r="C1759" t="s">
        <v>78</v>
      </c>
      <c r="D1759" t="s">
        <v>2237</v>
      </c>
      <c r="E1759" t="s">
        <v>1841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2235</v>
      </c>
      <c r="B1760" t="s">
        <v>2294</v>
      </c>
      <c r="C1760" t="s">
        <v>78</v>
      </c>
      <c r="D1760" t="s">
        <v>2237</v>
      </c>
      <c r="E1760" t="s">
        <v>418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2235</v>
      </c>
      <c r="B1761" t="s">
        <v>2295</v>
      </c>
      <c r="C1761" t="s">
        <v>78</v>
      </c>
      <c r="D1761" t="s">
        <v>2237</v>
      </c>
      <c r="E1761" t="s">
        <v>418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2235</v>
      </c>
      <c r="B1762" t="s">
        <v>2296</v>
      </c>
      <c r="C1762" t="s">
        <v>78</v>
      </c>
      <c r="D1762" t="s">
        <v>2237</v>
      </c>
      <c r="E1762" t="s">
        <v>418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2235</v>
      </c>
      <c r="B1763" t="s">
        <v>2297</v>
      </c>
      <c r="C1763" t="s">
        <v>78</v>
      </c>
      <c r="D1763" t="s">
        <v>2237</v>
      </c>
      <c r="E1763" t="s">
        <v>401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2235</v>
      </c>
      <c r="B1764" t="s">
        <v>2298</v>
      </c>
      <c r="C1764" t="s">
        <v>78</v>
      </c>
      <c r="D1764" t="s">
        <v>2237</v>
      </c>
      <c r="E1764" t="s">
        <v>469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2235</v>
      </c>
      <c r="B1765" t="s">
        <v>2299</v>
      </c>
      <c r="C1765" t="s">
        <v>78</v>
      </c>
      <c r="D1765" t="s">
        <v>2237</v>
      </c>
      <c r="E1765" t="s">
        <v>1841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2235</v>
      </c>
      <c r="B1766" t="s">
        <v>2300</v>
      </c>
      <c r="C1766" t="s">
        <v>78</v>
      </c>
      <c r="D1766" t="s">
        <v>2237</v>
      </c>
      <c r="E1766" t="s">
        <v>1841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2235</v>
      </c>
      <c r="B1767" t="s">
        <v>2301</v>
      </c>
      <c r="C1767" t="s">
        <v>78</v>
      </c>
      <c r="D1767" t="s">
        <v>2239</v>
      </c>
      <c r="E1767" t="s">
        <v>2287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2235</v>
      </c>
      <c r="B1768" t="s">
        <v>2302</v>
      </c>
      <c r="C1768" t="s">
        <v>78</v>
      </c>
      <c r="D1768" t="s">
        <v>2239</v>
      </c>
      <c r="E1768" t="s">
        <v>2287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2235</v>
      </c>
      <c r="B1769" t="s">
        <v>2303</v>
      </c>
      <c r="C1769" t="s">
        <v>78</v>
      </c>
      <c r="D1769" t="s">
        <v>2239</v>
      </c>
      <c r="E1769" t="s">
        <v>2304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2235</v>
      </c>
      <c r="B1770" t="s">
        <v>2305</v>
      </c>
      <c r="C1770" t="s">
        <v>78</v>
      </c>
      <c r="D1770" t="s">
        <v>2239</v>
      </c>
      <c r="E1770" t="s">
        <v>2304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2235</v>
      </c>
      <c r="B1771" t="s">
        <v>2238</v>
      </c>
      <c r="C1771" t="s">
        <v>78</v>
      </c>
      <c r="D1771" t="s">
        <v>2239</v>
      </c>
      <c r="E1771" t="s">
        <v>2240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2235</v>
      </c>
      <c r="B1772" t="s">
        <v>573</v>
      </c>
      <c r="C1772" t="s">
        <v>78</v>
      </c>
      <c r="D1772" t="s">
        <v>78</v>
      </c>
      <c r="E1772" t="s">
        <v>202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2235</v>
      </c>
      <c r="B1773" t="s">
        <v>2306</v>
      </c>
      <c r="C1773" t="s">
        <v>78</v>
      </c>
      <c r="D1773" t="s">
        <v>2307</v>
      </c>
      <c r="E1773" t="s">
        <v>214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2235</v>
      </c>
      <c r="B1774" t="s">
        <v>2308</v>
      </c>
      <c r="C1774" t="s">
        <v>78</v>
      </c>
      <c r="D1774" t="s">
        <v>78</v>
      </c>
      <c r="E1774" t="s">
        <v>401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2235</v>
      </c>
      <c r="B1775" t="s">
        <v>2309</v>
      </c>
      <c r="C1775" t="s">
        <v>78</v>
      </c>
      <c r="D1775" t="s">
        <v>2310</v>
      </c>
      <c r="E1775" t="s">
        <v>212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2235</v>
      </c>
      <c r="B1776" t="s">
        <v>2102</v>
      </c>
      <c r="C1776" t="s">
        <v>78</v>
      </c>
      <c r="D1776" t="s">
        <v>78</v>
      </c>
      <c r="E1776" t="s">
        <v>202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2235</v>
      </c>
      <c r="B1777" t="s">
        <v>2311</v>
      </c>
      <c r="C1777" t="s">
        <v>78</v>
      </c>
      <c r="D1777" t="s">
        <v>78</v>
      </c>
      <c r="E1777" t="s">
        <v>279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2235</v>
      </c>
      <c r="B1778" t="s">
        <v>229</v>
      </c>
      <c r="C1778" t="s">
        <v>78</v>
      </c>
      <c r="D1778" t="s">
        <v>78</v>
      </c>
      <c r="E1778" t="s">
        <v>207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2235</v>
      </c>
      <c r="B1779" t="s">
        <v>876</v>
      </c>
      <c r="C1779" t="s">
        <v>78</v>
      </c>
      <c r="D1779" t="s">
        <v>78</v>
      </c>
      <c r="E1779" t="s">
        <v>207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2235</v>
      </c>
      <c r="B1780" t="s">
        <v>230</v>
      </c>
      <c r="C1780" t="s">
        <v>78</v>
      </c>
      <c r="D1780" t="s">
        <v>78</v>
      </c>
      <c r="E1780" t="s">
        <v>207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2235</v>
      </c>
      <c r="B1781" t="s">
        <v>233</v>
      </c>
      <c r="C1781" t="s">
        <v>78</v>
      </c>
      <c r="D1781" t="s">
        <v>78</v>
      </c>
      <c r="E1781" t="s">
        <v>207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2235</v>
      </c>
      <c r="B1782" t="s">
        <v>232</v>
      </c>
      <c r="C1782" t="s">
        <v>78</v>
      </c>
      <c r="D1782" t="s">
        <v>78</v>
      </c>
      <c r="E1782" t="s">
        <v>207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2235</v>
      </c>
      <c r="B1783" t="s">
        <v>234</v>
      </c>
      <c r="C1783" t="s">
        <v>78</v>
      </c>
      <c r="D1783" t="s">
        <v>78</v>
      </c>
      <c r="E1783" t="s">
        <v>207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2235</v>
      </c>
      <c r="B1784" t="s">
        <v>325</v>
      </c>
      <c r="C1784" t="s">
        <v>78</v>
      </c>
      <c r="D1784" t="s">
        <v>78</v>
      </c>
      <c r="E1784" t="s">
        <v>207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2235</v>
      </c>
      <c r="B1785" t="s">
        <v>179</v>
      </c>
      <c r="C1785" t="s">
        <v>78</v>
      </c>
      <c r="D1785" t="s">
        <v>78</v>
      </c>
      <c r="E1785" t="s">
        <v>207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2235</v>
      </c>
      <c r="B1786" t="s">
        <v>180</v>
      </c>
      <c r="C1786" t="s">
        <v>78</v>
      </c>
      <c r="D1786" t="s">
        <v>78</v>
      </c>
      <c r="E1786" t="s">
        <v>207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2235</v>
      </c>
      <c r="B1787" t="s">
        <v>181</v>
      </c>
      <c r="C1787" t="s">
        <v>78</v>
      </c>
      <c r="D1787" t="s">
        <v>78</v>
      </c>
      <c r="E1787" t="s">
        <v>286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2235</v>
      </c>
      <c r="B1788" t="s">
        <v>183</v>
      </c>
      <c r="C1788" t="s">
        <v>78</v>
      </c>
      <c r="D1788" t="s">
        <v>78</v>
      </c>
      <c r="E1788" t="s">
        <v>184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2314</v>
      </c>
      <c r="B1789" t="s">
        <v>126</v>
      </c>
      <c r="C1789" t="s">
        <v>78</v>
      </c>
      <c r="D1789" t="s">
        <v>127</v>
      </c>
      <c r="E1789" t="s">
        <v>2315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2314</v>
      </c>
      <c r="B1790" t="s">
        <v>122</v>
      </c>
      <c r="C1790" t="s">
        <v>78</v>
      </c>
      <c r="D1790" t="s">
        <v>1870</v>
      </c>
      <c r="E1790" t="s">
        <v>212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2314</v>
      </c>
      <c r="B1791" t="s">
        <v>2316</v>
      </c>
      <c r="C1791" t="s">
        <v>78</v>
      </c>
      <c r="D1791" t="s">
        <v>2317</v>
      </c>
      <c r="E1791" t="s">
        <v>214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2314</v>
      </c>
      <c r="B1792" t="s">
        <v>86</v>
      </c>
      <c r="C1792" t="s">
        <v>78</v>
      </c>
      <c r="D1792" t="s">
        <v>2318</v>
      </c>
      <c r="E1792" t="s">
        <v>2319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2314</v>
      </c>
      <c r="B1793" t="s">
        <v>142</v>
      </c>
      <c r="C1793" t="s">
        <v>78</v>
      </c>
      <c r="D1793" t="s">
        <v>2320</v>
      </c>
      <c r="E1793" t="s">
        <v>466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2314</v>
      </c>
      <c r="B1794" t="s">
        <v>2321</v>
      </c>
      <c r="C1794" t="s">
        <v>78</v>
      </c>
      <c r="D1794" t="s">
        <v>2322</v>
      </c>
      <c r="E1794" t="s">
        <v>2323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2314</v>
      </c>
      <c r="B1795" t="s">
        <v>2324</v>
      </c>
      <c r="C1795" t="s">
        <v>78</v>
      </c>
      <c r="D1795" t="s">
        <v>2325</v>
      </c>
      <c r="E1795" t="s">
        <v>2326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2314</v>
      </c>
      <c r="B1796" t="s">
        <v>126</v>
      </c>
      <c r="C1796" t="s">
        <v>78</v>
      </c>
      <c r="D1796" t="s">
        <v>127</v>
      </c>
      <c r="E1796" t="s">
        <v>2315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2314</v>
      </c>
      <c r="B1797" t="s">
        <v>122</v>
      </c>
      <c r="C1797" t="s">
        <v>78</v>
      </c>
      <c r="D1797" t="s">
        <v>1870</v>
      </c>
      <c r="E1797" t="s">
        <v>212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2314</v>
      </c>
      <c r="B1798" t="s">
        <v>2327</v>
      </c>
      <c r="C1798" t="s">
        <v>78</v>
      </c>
      <c r="D1798" t="s">
        <v>2328</v>
      </c>
      <c r="E1798" t="s">
        <v>2329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2314</v>
      </c>
      <c r="B1799" t="s">
        <v>2316</v>
      </c>
      <c r="C1799" t="s">
        <v>78</v>
      </c>
      <c r="D1799" t="s">
        <v>2317</v>
      </c>
      <c r="E1799" t="s">
        <v>214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2314</v>
      </c>
      <c r="B1800" t="s">
        <v>2330</v>
      </c>
      <c r="C1800" t="s">
        <v>78</v>
      </c>
      <c r="D1800" t="s">
        <v>2331</v>
      </c>
      <c r="E1800" t="s">
        <v>2332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2314</v>
      </c>
      <c r="B1801" t="s">
        <v>1930</v>
      </c>
      <c r="C1801" t="s">
        <v>78</v>
      </c>
      <c r="D1801" t="s">
        <v>2333</v>
      </c>
      <c r="E1801" t="s">
        <v>212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2314</v>
      </c>
      <c r="B1802" t="s">
        <v>2334</v>
      </c>
      <c r="C1802" t="s">
        <v>78</v>
      </c>
      <c r="D1802" t="s">
        <v>2335</v>
      </c>
      <c r="E1802" t="s">
        <v>2336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2314</v>
      </c>
      <c r="B1803" t="s">
        <v>2337</v>
      </c>
      <c r="C1803" t="s">
        <v>78</v>
      </c>
      <c r="D1803" t="s">
        <v>2338</v>
      </c>
      <c r="E1803" t="s">
        <v>2339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2314</v>
      </c>
      <c r="B1804" t="s">
        <v>2340</v>
      </c>
      <c r="C1804" t="s">
        <v>78</v>
      </c>
      <c r="D1804" t="s">
        <v>2341</v>
      </c>
      <c r="E1804" t="s">
        <v>2342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2314</v>
      </c>
      <c r="B1805" t="s">
        <v>2343</v>
      </c>
      <c r="C1805" t="s">
        <v>78</v>
      </c>
      <c r="D1805" t="s">
        <v>2344</v>
      </c>
      <c r="E1805" t="s">
        <v>1929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2314</v>
      </c>
      <c r="B1806" t="s">
        <v>2345</v>
      </c>
      <c r="C1806" t="s">
        <v>78</v>
      </c>
      <c r="D1806" t="s">
        <v>2346</v>
      </c>
      <c r="E1806" t="s">
        <v>1929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2314</v>
      </c>
      <c r="B1807" t="s">
        <v>2347</v>
      </c>
      <c r="C1807" t="s">
        <v>78</v>
      </c>
      <c r="D1807" t="s">
        <v>2348</v>
      </c>
      <c r="E1807" t="s">
        <v>1929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2314</v>
      </c>
      <c r="B1808" t="s">
        <v>2349</v>
      </c>
      <c r="C1808" t="s">
        <v>78</v>
      </c>
      <c r="D1808" t="s">
        <v>2350</v>
      </c>
      <c r="E1808" t="s">
        <v>479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2314</v>
      </c>
      <c r="B1809" t="s">
        <v>86</v>
      </c>
      <c r="C1809" t="s">
        <v>78</v>
      </c>
      <c r="D1809" t="s">
        <v>2318</v>
      </c>
      <c r="E1809" t="s">
        <v>2319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2314</v>
      </c>
      <c r="B1810" t="s">
        <v>146</v>
      </c>
      <c r="C1810" t="s">
        <v>78</v>
      </c>
      <c r="D1810" t="s">
        <v>2351</v>
      </c>
      <c r="E1810" t="s">
        <v>466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2314</v>
      </c>
      <c r="B1811" t="s">
        <v>2352</v>
      </c>
      <c r="C1811" t="s">
        <v>78</v>
      </c>
      <c r="D1811" t="s">
        <v>2353</v>
      </c>
      <c r="E1811" t="s">
        <v>2315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2314</v>
      </c>
      <c r="B1812" t="s">
        <v>2354</v>
      </c>
      <c r="C1812" t="s">
        <v>78</v>
      </c>
      <c r="D1812" t="s">
        <v>2355</v>
      </c>
      <c r="E1812" t="s">
        <v>212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2314</v>
      </c>
      <c r="B1813" t="s">
        <v>142</v>
      </c>
      <c r="C1813" t="s">
        <v>78</v>
      </c>
      <c r="D1813" t="s">
        <v>2320</v>
      </c>
      <c r="E1813" t="s">
        <v>466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2314</v>
      </c>
      <c r="B1814" t="s">
        <v>2356</v>
      </c>
      <c r="C1814" t="s">
        <v>78</v>
      </c>
      <c r="D1814" t="s">
        <v>2357</v>
      </c>
      <c r="E1814" t="s">
        <v>2358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2314</v>
      </c>
      <c r="B1815" t="s">
        <v>2359</v>
      </c>
      <c r="C1815" t="s">
        <v>78</v>
      </c>
      <c r="D1815" t="s">
        <v>2360</v>
      </c>
      <c r="E1815" t="s">
        <v>204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2314</v>
      </c>
      <c r="B1816" t="s">
        <v>2361</v>
      </c>
      <c r="C1816" t="s">
        <v>78</v>
      </c>
      <c r="D1816" t="s">
        <v>78</v>
      </c>
      <c r="E1816" t="s">
        <v>2362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2314</v>
      </c>
      <c r="B1817" t="s">
        <v>2363</v>
      </c>
      <c r="C1817" t="s">
        <v>78</v>
      </c>
      <c r="D1817" t="s">
        <v>78</v>
      </c>
      <c r="E1817" t="s">
        <v>2012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2314</v>
      </c>
      <c r="B1818" t="s">
        <v>2364</v>
      </c>
      <c r="C1818" t="s">
        <v>78</v>
      </c>
      <c r="D1818" t="s">
        <v>78</v>
      </c>
      <c r="E1818" t="s">
        <v>1427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2314</v>
      </c>
      <c r="B1819" t="s">
        <v>2165</v>
      </c>
      <c r="C1819" t="s">
        <v>78</v>
      </c>
      <c r="D1819" t="s">
        <v>78</v>
      </c>
      <c r="E1819" t="s">
        <v>202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2314</v>
      </c>
      <c r="B1820" t="s">
        <v>2365</v>
      </c>
      <c r="C1820" t="s">
        <v>78</v>
      </c>
      <c r="D1820" t="s">
        <v>78</v>
      </c>
      <c r="E1820" t="s">
        <v>2362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2314</v>
      </c>
      <c r="B1821" t="s">
        <v>2366</v>
      </c>
      <c r="C1821" t="s">
        <v>78</v>
      </c>
      <c r="D1821" t="s">
        <v>78</v>
      </c>
      <c r="E1821" t="s">
        <v>2367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2314</v>
      </c>
      <c r="B1822" t="s">
        <v>2368</v>
      </c>
      <c r="C1822" t="s">
        <v>78</v>
      </c>
      <c r="D1822" t="s">
        <v>78</v>
      </c>
      <c r="E1822" t="s">
        <v>2012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2314</v>
      </c>
      <c r="B1823" t="s">
        <v>2369</v>
      </c>
      <c r="C1823" t="s">
        <v>78</v>
      </c>
      <c r="D1823" t="s">
        <v>78</v>
      </c>
      <c r="E1823" t="s">
        <v>235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2314</v>
      </c>
      <c r="B1824" t="s">
        <v>2370</v>
      </c>
      <c r="C1824" t="s">
        <v>78</v>
      </c>
      <c r="D1824" t="s">
        <v>78</v>
      </c>
      <c r="E1824" t="s">
        <v>235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2314</v>
      </c>
      <c r="B1825" t="s">
        <v>556</v>
      </c>
      <c r="C1825" t="s">
        <v>78</v>
      </c>
      <c r="D1825" t="s">
        <v>78</v>
      </c>
      <c r="E1825" t="s">
        <v>220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2314</v>
      </c>
      <c r="B1826" t="s">
        <v>1271</v>
      </c>
      <c r="C1826" t="s">
        <v>78</v>
      </c>
      <c r="D1826" t="s">
        <v>78</v>
      </c>
      <c r="E1826" t="s">
        <v>220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2314</v>
      </c>
      <c r="B1827" t="s">
        <v>1272</v>
      </c>
      <c r="C1827" t="s">
        <v>78</v>
      </c>
      <c r="D1827" t="s">
        <v>78</v>
      </c>
      <c r="E1827" t="s">
        <v>220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2314</v>
      </c>
      <c r="B1828" t="s">
        <v>2371</v>
      </c>
      <c r="C1828" t="s">
        <v>78</v>
      </c>
      <c r="D1828" t="s">
        <v>78</v>
      </c>
      <c r="E1828" t="s">
        <v>220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2314</v>
      </c>
      <c r="B1829" t="s">
        <v>1270</v>
      </c>
      <c r="C1829" t="s">
        <v>78</v>
      </c>
      <c r="D1829" t="s">
        <v>78</v>
      </c>
      <c r="E1829" t="s">
        <v>241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2314</v>
      </c>
      <c r="B1830" t="s">
        <v>1269</v>
      </c>
      <c r="C1830" t="s">
        <v>78</v>
      </c>
      <c r="D1830" t="s">
        <v>78</v>
      </c>
      <c r="E1830" t="s">
        <v>241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2314</v>
      </c>
      <c r="B1831" t="s">
        <v>229</v>
      </c>
      <c r="C1831" t="s">
        <v>78</v>
      </c>
      <c r="D1831" t="s">
        <v>78</v>
      </c>
      <c r="E1831" t="s">
        <v>252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2314</v>
      </c>
      <c r="B1832" t="s">
        <v>876</v>
      </c>
      <c r="C1832" t="s">
        <v>78</v>
      </c>
      <c r="D1832" t="s">
        <v>78</v>
      </c>
      <c r="E1832" t="s">
        <v>194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2314</v>
      </c>
      <c r="B1833" t="s">
        <v>230</v>
      </c>
      <c r="C1833" t="s">
        <v>78</v>
      </c>
      <c r="D1833" t="s">
        <v>78</v>
      </c>
      <c r="E1833" t="s">
        <v>194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2314</v>
      </c>
      <c r="B1834" t="s">
        <v>2372</v>
      </c>
      <c r="C1834" t="s">
        <v>78</v>
      </c>
      <c r="D1834" t="s">
        <v>78</v>
      </c>
      <c r="E1834" t="s">
        <v>237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2314</v>
      </c>
      <c r="B1835" t="s">
        <v>233</v>
      </c>
      <c r="C1835" t="s">
        <v>78</v>
      </c>
      <c r="D1835" t="s">
        <v>78</v>
      </c>
      <c r="E1835" t="s">
        <v>194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2314</v>
      </c>
      <c r="B1836" t="s">
        <v>232</v>
      </c>
      <c r="C1836" t="s">
        <v>78</v>
      </c>
      <c r="D1836" t="s">
        <v>78</v>
      </c>
      <c r="E1836" t="s">
        <v>194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2314</v>
      </c>
      <c r="B1837" t="s">
        <v>2373</v>
      </c>
      <c r="C1837" t="s">
        <v>78</v>
      </c>
      <c r="D1837" t="s">
        <v>78</v>
      </c>
      <c r="E1837" t="s">
        <v>237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2314</v>
      </c>
      <c r="B1838" t="s">
        <v>238</v>
      </c>
      <c r="C1838" t="s">
        <v>78</v>
      </c>
      <c r="D1838" t="s">
        <v>78</v>
      </c>
      <c r="E1838" t="s">
        <v>2374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2314</v>
      </c>
      <c r="B1839" t="s">
        <v>181</v>
      </c>
      <c r="C1839" t="s">
        <v>78</v>
      </c>
      <c r="D1839" t="s">
        <v>78</v>
      </c>
      <c r="E1839" t="s">
        <v>239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2314</v>
      </c>
      <c r="B1840" t="s">
        <v>183</v>
      </c>
      <c r="C1840" t="s">
        <v>78</v>
      </c>
      <c r="D1840" t="s">
        <v>78</v>
      </c>
      <c r="E1840" t="s">
        <v>184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2378</v>
      </c>
      <c r="B1841" t="s">
        <v>672</v>
      </c>
      <c r="C1841" t="s">
        <v>78</v>
      </c>
      <c r="D1841" t="s">
        <v>2379</v>
      </c>
      <c r="E1841" t="s">
        <v>2380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2378</v>
      </c>
      <c r="B1842" t="s">
        <v>908</v>
      </c>
      <c r="C1842" t="s">
        <v>78</v>
      </c>
      <c r="D1842" t="s">
        <v>2381</v>
      </c>
      <c r="E1842" t="s">
        <v>2012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2378</v>
      </c>
      <c r="B1843" t="s">
        <v>912</v>
      </c>
      <c r="C1843" t="s">
        <v>78</v>
      </c>
      <c r="D1843" t="s">
        <v>2379</v>
      </c>
      <c r="E1843" t="s">
        <v>2382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2378</v>
      </c>
      <c r="B1844" t="s">
        <v>678</v>
      </c>
      <c r="C1844" t="s">
        <v>78</v>
      </c>
      <c r="D1844" t="s">
        <v>2379</v>
      </c>
      <c r="E1844" t="s">
        <v>302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2378</v>
      </c>
      <c r="B1845" t="s">
        <v>674</v>
      </c>
      <c r="C1845" t="s">
        <v>78</v>
      </c>
      <c r="D1845" t="s">
        <v>2383</v>
      </c>
      <c r="E1845" t="s">
        <v>261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2378</v>
      </c>
      <c r="B1846" t="s">
        <v>672</v>
      </c>
      <c r="C1846" t="s">
        <v>78</v>
      </c>
      <c r="D1846" t="s">
        <v>2379</v>
      </c>
      <c r="E1846" t="s">
        <v>2380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2378</v>
      </c>
      <c r="B1847" t="s">
        <v>2384</v>
      </c>
      <c r="C1847" t="s">
        <v>78</v>
      </c>
      <c r="D1847" t="s">
        <v>2385</v>
      </c>
      <c r="E1847" t="s">
        <v>425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2378</v>
      </c>
      <c r="B1848" t="s">
        <v>674</v>
      </c>
      <c r="C1848" t="s">
        <v>78</v>
      </c>
      <c r="D1848" t="s">
        <v>2383</v>
      </c>
      <c r="E1848" t="s">
        <v>261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2378</v>
      </c>
      <c r="B1849" t="s">
        <v>911</v>
      </c>
      <c r="C1849" t="s">
        <v>78</v>
      </c>
      <c r="D1849" t="s">
        <v>2386</v>
      </c>
      <c r="E1849" t="s">
        <v>2367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2378</v>
      </c>
      <c r="B1850" t="s">
        <v>908</v>
      </c>
      <c r="C1850" t="s">
        <v>78</v>
      </c>
      <c r="D1850" t="s">
        <v>2381</v>
      </c>
      <c r="E1850" t="s">
        <v>2012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2378</v>
      </c>
      <c r="B1851" t="s">
        <v>912</v>
      </c>
      <c r="C1851" t="s">
        <v>78</v>
      </c>
      <c r="D1851" t="s">
        <v>2379</v>
      </c>
      <c r="E1851" t="s">
        <v>2382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2378</v>
      </c>
      <c r="B1852" t="s">
        <v>2387</v>
      </c>
      <c r="C1852" t="s">
        <v>78</v>
      </c>
      <c r="D1852" t="s">
        <v>2385</v>
      </c>
      <c r="E1852" t="s">
        <v>212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2378</v>
      </c>
      <c r="B1853" t="s">
        <v>905</v>
      </c>
      <c r="C1853" t="s">
        <v>78</v>
      </c>
      <c r="D1853" t="s">
        <v>2388</v>
      </c>
      <c r="E1853" t="s">
        <v>582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2378</v>
      </c>
      <c r="B1854" t="s">
        <v>918</v>
      </c>
      <c r="C1854" t="s">
        <v>78</v>
      </c>
      <c r="D1854" t="s">
        <v>2386</v>
      </c>
      <c r="E1854" t="s">
        <v>2362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2378</v>
      </c>
      <c r="B1855" t="s">
        <v>914</v>
      </c>
      <c r="C1855" t="s">
        <v>78</v>
      </c>
      <c r="D1855" t="s">
        <v>2389</v>
      </c>
      <c r="E1855" t="s">
        <v>2319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2378</v>
      </c>
      <c r="B1856" t="s">
        <v>678</v>
      </c>
      <c r="C1856" t="s">
        <v>78</v>
      </c>
      <c r="D1856" t="s">
        <v>2379</v>
      </c>
      <c r="E1856" t="s">
        <v>302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2378</v>
      </c>
      <c r="B1857" t="s">
        <v>667</v>
      </c>
      <c r="C1857" t="s">
        <v>78</v>
      </c>
      <c r="D1857" t="s">
        <v>2390</v>
      </c>
      <c r="E1857" t="s">
        <v>2362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2378</v>
      </c>
      <c r="B1858" t="s">
        <v>2391</v>
      </c>
      <c r="C1858" t="s">
        <v>78</v>
      </c>
      <c r="D1858" t="s">
        <v>2392</v>
      </c>
      <c r="E1858" t="s">
        <v>2393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2378</v>
      </c>
      <c r="B1859" t="s">
        <v>2394</v>
      </c>
      <c r="C1859" t="s">
        <v>78</v>
      </c>
      <c r="D1859" t="s">
        <v>2395</v>
      </c>
      <c r="E1859" t="s">
        <v>425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2378</v>
      </c>
      <c r="B1860" t="s">
        <v>167</v>
      </c>
      <c r="C1860" t="s">
        <v>78</v>
      </c>
      <c r="D1860" t="s">
        <v>78</v>
      </c>
      <c r="E1860" t="s">
        <v>207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2378</v>
      </c>
      <c r="B1861" t="s">
        <v>170</v>
      </c>
      <c r="C1861" t="s">
        <v>78</v>
      </c>
      <c r="D1861" t="s">
        <v>78</v>
      </c>
      <c r="E1861" t="s">
        <v>207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2378</v>
      </c>
      <c r="B1862" t="s">
        <v>230</v>
      </c>
      <c r="C1862" t="s">
        <v>78</v>
      </c>
      <c r="D1862" t="s">
        <v>78</v>
      </c>
      <c r="E1862" t="s">
        <v>207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2378</v>
      </c>
      <c r="B1863" t="s">
        <v>172</v>
      </c>
      <c r="C1863" t="s">
        <v>78</v>
      </c>
      <c r="D1863" t="s">
        <v>78</v>
      </c>
      <c r="E1863" t="s">
        <v>207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2378</v>
      </c>
      <c r="B1864" t="s">
        <v>175</v>
      </c>
      <c r="C1864" t="s">
        <v>78</v>
      </c>
      <c r="D1864" t="s">
        <v>78</v>
      </c>
      <c r="E1864" t="s">
        <v>237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2378</v>
      </c>
      <c r="B1865" t="s">
        <v>178</v>
      </c>
      <c r="C1865" t="s">
        <v>78</v>
      </c>
      <c r="D1865" t="s">
        <v>78</v>
      </c>
      <c r="E1865" t="s">
        <v>2374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2378</v>
      </c>
      <c r="B1866" t="s">
        <v>238</v>
      </c>
      <c r="C1866" t="s">
        <v>78</v>
      </c>
      <c r="D1866" t="s">
        <v>78</v>
      </c>
      <c r="E1866" t="s">
        <v>235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2378</v>
      </c>
      <c r="B1867" t="s">
        <v>180</v>
      </c>
      <c r="C1867" t="s">
        <v>78</v>
      </c>
      <c r="D1867" t="s">
        <v>78</v>
      </c>
      <c r="E1867" t="s">
        <v>235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2378</v>
      </c>
      <c r="B1868" t="s">
        <v>181</v>
      </c>
      <c r="C1868" t="s">
        <v>78</v>
      </c>
      <c r="D1868" t="s">
        <v>78</v>
      </c>
      <c r="E1868" t="s">
        <v>220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2378</v>
      </c>
      <c r="B1869" t="s">
        <v>345</v>
      </c>
      <c r="C1869" t="s">
        <v>78</v>
      </c>
      <c r="D1869" t="s">
        <v>78</v>
      </c>
      <c r="E1869" t="s">
        <v>243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2378</v>
      </c>
      <c r="B1870" t="s">
        <v>346</v>
      </c>
      <c r="C1870" t="s">
        <v>78</v>
      </c>
      <c r="D1870" t="s">
        <v>78</v>
      </c>
      <c r="E1870" t="s">
        <v>243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2378</v>
      </c>
      <c r="B1871" t="s">
        <v>348</v>
      </c>
      <c r="C1871" t="s">
        <v>78</v>
      </c>
      <c r="D1871" t="s">
        <v>78</v>
      </c>
      <c r="E1871" t="s">
        <v>209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2378</v>
      </c>
      <c r="B1872" t="s">
        <v>183</v>
      </c>
      <c r="C1872" t="s">
        <v>78</v>
      </c>
      <c r="D1872" t="s">
        <v>78</v>
      </c>
      <c r="E1872" t="s">
        <v>184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2398</v>
      </c>
      <c r="B1873" t="s">
        <v>2399</v>
      </c>
      <c r="C1873" t="s">
        <v>78</v>
      </c>
      <c r="D1873" t="s">
        <v>2400</v>
      </c>
      <c r="E1873" t="s">
        <v>202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2406</v>
      </c>
      <c r="B1874" t="s">
        <v>142</v>
      </c>
      <c r="C1874" t="s">
        <v>78</v>
      </c>
      <c r="D1874" t="s">
        <v>2407</v>
      </c>
      <c r="E1874" t="s">
        <v>212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2406</v>
      </c>
      <c r="B1875" t="s">
        <v>1159</v>
      </c>
      <c r="C1875" t="s">
        <v>78</v>
      </c>
      <c r="D1875" t="s">
        <v>2408</v>
      </c>
      <c r="E1875" t="s">
        <v>401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2406</v>
      </c>
      <c r="B1876" t="s">
        <v>2409</v>
      </c>
      <c r="C1876" t="s">
        <v>78</v>
      </c>
      <c r="D1876" t="s">
        <v>2410</v>
      </c>
      <c r="E1876" t="s">
        <v>425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2406</v>
      </c>
      <c r="B1877" t="s">
        <v>2411</v>
      </c>
      <c r="C1877" t="s">
        <v>78</v>
      </c>
      <c r="D1877" t="s">
        <v>78</v>
      </c>
      <c r="E1877" t="s">
        <v>287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2406</v>
      </c>
      <c r="B1878" t="s">
        <v>2412</v>
      </c>
      <c r="C1878" t="s">
        <v>78</v>
      </c>
      <c r="D1878" t="s">
        <v>2408</v>
      </c>
      <c r="E1878" t="s">
        <v>437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2406</v>
      </c>
      <c r="B1879" t="s">
        <v>2413</v>
      </c>
      <c r="C1879" t="s">
        <v>78</v>
      </c>
      <c r="D1879" t="s">
        <v>2414</v>
      </c>
      <c r="E1879" t="s">
        <v>2315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2406</v>
      </c>
      <c r="B1880" t="s">
        <v>2409</v>
      </c>
      <c r="C1880" t="s">
        <v>78</v>
      </c>
      <c r="D1880" t="s">
        <v>2410</v>
      </c>
      <c r="E1880" t="s">
        <v>212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2406</v>
      </c>
      <c r="B1881" t="s">
        <v>2415</v>
      </c>
      <c r="C1881" t="s">
        <v>78</v>
      </c>
      <c r="D1881" t="s">
        <v>2408</v>
      </c>
      <c r="E1881" t="s">
        <v>442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2406</v>
      </c>
      <c r="B1882" t="s">
        <v>2412</v>
      </c>
      <c r="C1882" t="s">
        <v>78</v>
      </c>
      <c r="D1882" t="s">
        <v>2408</v>
      </c>
      <c r="E1882" t="s">
        <v>437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2406</v>
      </c>
      <c r="B1883" t="s">
        <v>142</v>
      </c>
      <c r="C1883" t="s">
        <v>78</v>
      </c>
      <c r="D1883" t="s">
        <v>2407</v>
      </c>
      <c r="E1883" t="s">
        <v>212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2406</v>
      </c>
      <c r="B1884" t="s">
        <v>2416</v>
      </c>
      <c r="C1884" t="s">
        <v>78</v>
      </c>
      <c r="D1884" t="s">
        <v>2408</v>
      </c>
      <c r="E1884" t="s">
        <v>479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2406</v>
      </c>
      <c r="B1885" t="s">
        <v>139</v>
      </c>
      <c r="C1885" t="s">
        <v>78</v>
      </c>
      <c r="D1885" t="s">
        <v>2408</v>
      </c>
      <c r="E1885" t="s">
        <v>212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2406</v>
      </c>
      <c r="B1886" t="s">
        <v>1159</v>
      </c>
      <c r="C1886" t="s">
        <v>78</v>
      </c>
      <c r="D1886" t="s">
        <v>2408</v>
      </c>
      <c r="E1886" t="s">
        <v>401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2406</v>
      </c>
      <c r="B1887" t="s">
        <v>2417</v>
      </c>
      <c r="C1887" t="s">
        <v>78</v>
      </c>
      <c r="D1887" t="s">
        <v>2408</v>
      </c>
      <c r="E1887" t="s">
        <v>554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2406</v>
      </c>
      <c r="B1888" t="s">
        <v>2418</v>
      </c>
      <c r="C1888" t="s">
        <v>78</v>
      </c>
      <c r="D1888" t="s">
        <v>2408</v>
      </c>
      <c r="E1888" t="s">
        <v>466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2406</v>
      </c>
      <c r="B1889" t="s">
        <v>2411</v>
      </c>
      <c r="C1889" t="s">
        <v>78</v>
      </c>
      <c r="D1889" t="s">
        <v>78</v>
      </c>
      <c r="E1889" t="s">
        <v>287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2406</v>
      </c>
      <c r="B1890" t="s">
        <v>642</v>
      </c>
      <c r="C1890" t="s">
        <v>78</v>
      </c>
      <c r="D1890" t="s">
        <v>78</v>
      </c>
      <c r="E1890" t="s">
        <v>252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2406</v>
      </c>
      <c r="B1891" t="s">
        <v>229</v>
      </c>
      <c r="C1891" t="s">
        <v>78</v>
      </c>
      <c r="D1891" t="s">
        <v>78</v>
      </c>
      <c r="E1891" t="s">
        <v>252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2406</v>
      </c>
      <c r="B1892" t="s">
        <v>876</v>
      </c>
      <c r="C1892" t="s">
        <v>78</v>
      </c>
      <c r="D1892" t="s">
        <v>78</v>
      </c>
      <c r="E1892" t="s">
        <v>252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2406</v>
      </c>
      <c r="B1893" t="s">
        <v>230</v>
      </c>
      <c r="C1893" t="s">
        <v>78</v>
      </c>
      <c r="D1893" t="s">
        <v>78</v>
      </c>
      <c r="E1893" t="s">
        <v>252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2406</v>
      </c>
      <c r="B1894" t="s">
        <v>232</v>
      </c>
      <c r="C1894" t="s">
        <v>78</v>
      </c>
      <c r="D1894" t="s">
        <v>78</v>
      </c>
      <c r="E1894" t="s">
        <v>252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2406</v>
      </c>
      <c r="B1895" t="s">
        <v>234</v>
      </c>
      <c r="C1895" t="s">
        <v>78</v>
      </c>
      <c r="D1895" t="s">
        <v>78</v>
      </c>
      <c r="E1895" t="s">
        <v>575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2406</v>
      </c>
      <c r="B1896" t="s">
        <v>238</v>
      </c>
      <c r="C1896" t="s">
        <v>78</v>
      </c>
      <c r="D1896" t="s">
        <v>78</v>
      </c>
      <c r="E1896" t="s">
        <v>575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2406</v>
      </c>
      <c r="B1897" t="s">
        <v>180</v>
      </c>
      <c r="C1897" t="s">
        <v>78</v>
      </c>
      <c r="D1897" t="s">
        <v>78</v>
      </c>
      <c r="E1897" t="s">
        <v>235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2406</v>
      </c>
      <c r="B1898" t="s">
        <v>181</v>
      </c>
      <c r="C1898" t="s">
        <v>78</v>
      </c>
      <c r="D1898" t="s">
        <v>78</v>
      </c>
      <c r="E1898" t="s">
        <v>235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2406</v>
      </c>
      <c r="B1899" t="s">
        <v>183</v>
      </c>
      <c r="C1899" t="s">
        <v>78</v>
      </c>
      <c r="D1899" t="s">
        <v>78</v>
      </c>
      <c r="E1899" t="s">
        <v>184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2421</v>
      </c>
      <c r="B1900" t="s">
        <v>2422</v>
      </c>
      <c r="C1900" t="s">
        <v>78</v>
      </c>
      <c r="D1900" t="s">
        <v>78</v>
      </c>
      <c r="E1900" t="s">
        <v>2423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2421</v>
      </c>
      <c r="B1901" t="s">
        <v>2424</v>
      </c>
      <c r="C1901" t="s">
        <v>78</v>
      </c>
      <c r="D1901" t="s">
        <v>2425</v>
      </c>
      <c r="E1901" t="s">
        <v>2426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2421</v>
      </c>
      <c r="B1902" t="s">
        <v>629</v>
      </c>
      <c r="C1902" t="s">
        <v>78</v>
      </c>
      <c r="D1902" t="s">
        <v>2427</v>
      </c>
      <c r="E1902" t="s">
        <v>2428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2421</v>
      </c>
      <c r="B1903" t="s">
        <v>619</v>
      </c>
      <c r="C1903" t="s">
        <v>78</v>
      </c>
      <c r="D1903" t="s">
        <v>2429</v>
      </c>
      <c r="E1903" t="s">
        <v>2430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2421</v>
      </c>
      <c r="B1904" t="s">
        <v>2431</v>
      </c>
      <c r="C1904" t="s">
        <v>78</v>
      </c>
      <c r="D1904" t="s">
        <v>2432</v>
      </c>
      <c r="E1904" t="s">
        <v>2433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2421</v>
      </c>
      <c r="B1905" t="s">
        <v>2431</v>
      </c>
      <c r="C1905" t="s">
        <v>78</v>
      </c>
      <c r="D1905" t="s">
        <v>2432</v>
      </c>
      <c r="E1905" t="s">
        <v>2433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2421</v>
      </c>
      <c r="B1906" t="s">
        <v>2434</v>
      </c>
      <c r="C1906" t="s">
        <v>78</v>
      </c>
      <c r="D1906" t="s">
        <v>2435</v>
      </c>
      <c r="E1906" t="s">
        <v>2436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2421</v>
      </c>
      <c r="B1907" t="s">
        <v>2437</v>
      </c>
      <c r="C1907" t="s">
        <v>78</v>
      </c>
      <c r="D1907" t="s">
        <v>2438</v>
      </c>
      <c r="E1907" t="s">
        <v>1853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2421</v>
      </c>
      <c r="B1908" t="s">
        <v>2439</v>
      </c>
      <c r="C1908" t="s">
        <v>78</v>
      </c>
      <c r="D1908" t="s">
        <v>2440</v>
      </c>
      <c r="E1908" t="s">
        <v>2441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2421</v>
      </c>
      <c r="B1909" t="s">
        <v>2442</v>
      </c>
      <c r="C1909" t="s">
        <v>78</v>
      </c>
      <c r="D1909" t="s">
        <v>2443</v>
      </c>
      <c r="E1909" t="s">
        <v>2441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2421</v>
      </c>
      <c r="B1910" t="s">
        <v>619</v>
      </c>
      <c r="C1910" t="s">
        <v>78</v>
      </c>
      <c r="D1910" t="s">
        <v>2429</v>
      </c>
      <c r="E1910" t="s">
        <v>2430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2421</v>
      </c>
      <c r="B1911" t="s">
        <v>2444</v>
      </c>
      <c r="C1911" t="s">
        <v>78</v>
      </c>
      <c r="D1911" t="s">
        <v>2445</v>
      </c>
      <c r="E1911" t="s">
        <v>2428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2421</v>
      </c>
      <c r="B1912" t="s">
        <v>2446</v>
      </c>
      <c r="C1912" t="s">
        <v>78</v>
      </c>
      <c r="D1912" t="s">
        <v>2447</v>
      </c>
      <c r="E1912" t="s">
        <v>2430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2421</v>
      </c>
      <c r="B1913" t="s">
        <v>2448</v>
      </c>
      <c r="C1913" t="s">
        <v>78</v>
      </c>
      <c r="D1913" t="s">
        <v>2447</v>
      </c>
      <c r="E1913" t="s">
        <v>1955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2421</v>
      </c>
      <c r="B1914" t="s">
        <v>625</v>
      </c>
      <c r="C1914" t="s">
        <v>78</v>
      </c>
      <c r="D1914" t="s">
        <v>2429</v>
      </c>
      <c r="E1914" t="s">
        <v>2430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2421</v>
      </c>
      <c r="B1915" t="s">
        <v>667</v>
      </c>
      <c r="C1915" t="s">
        <v>78</v>
      </c>
      <c r="D1915" t="s">
        <v>2429</v>
      </c>
      <c r="E1915" t="s">
        <v>2430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2421</v>
      </c>
      <c r="B1916" t="s">
        <v>629</v>
      </c>
      <c r="C1916" t="s">
        <v>78</v>
      </c>
      <c r="D1916" t="s">
        <v>2427</v>
      </c>
      <c r="E1916" t="s">
        <v>2428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2421</v>
      </c>
      <c r="B1917" t="s">
        <v>2449</v>
      </c>
      <c r="C1917" t="s">
        <v>78</v>
      </c>
      <c r="D1917" t="s">
        <v>2445</v>
      </c>
      <c r="E1917" t="s">
        <v>1955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2421</v>
      </c>
      <c r="B1918" t="s">
        <v>1525</v>
      </c>
      <c r="C1918" t="s">
        <v>78</v>
      </c>
      <c r="D1918" t="s">
        <v>2429</v>
      </c>
      <c r="E1918" t="s">
        <v>1955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2421</v>
      </c>
      <c r="B1919" t="s">
        <v>2450</v>
      </c>
      <c r="C1919" t="s">
        <v>78</v>
      </c>
      <c r="D1919" t="s">
        <v>2429</v>
      </c>
      <c r="E1919" t="s">
        <v>2428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2421</v>
      </c>
      <c r="B1920" t="s">
        <v>627</v>
      </c>
      <c r="C1920" t="s">
        <v>78</v>
      </c>
      <c r="D1920" t="s">
        <v>2429</v>
      </c>
      <c r="E1920" t="s">
        <v>2430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2421</v>
      </c>
      <c r="B1921" t="s">
        <v>1526</v>
      </c>
      <c r="C1921" t="s">
        <v>78</v>
      </c>
      <c r="D1921" t="s">
        <v>2429</v>
      </c>
      <c r="E1921" t="s">
        <v>2430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2421</v>
      </c>
      <c r="B1922" t="s">
        <v>626</v>
      </c>
      <c r="C1922" t="s">
        <v>78</v>
      </c>
      <c r="D1922" t="s">
        <v>2429</v>
      </c>
      <c r="E1922" t="s">
        <v>2430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2421</v>
      </c>
      <c r="B1923" t="s">
        <v>609</v>
      </c>
      <c r="C1923" t="s">
        <v>78</v>
      </c>
      <c r="D1923" t="s">
        <v>2451</v>
      </c>
      <c r="E1923" t="s">
        <v>2441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2421</v>
      </c>
      <c r="B1924" t="s">
        <v>2212</v>
      </c>
      <c r="C1924" t="s">
        <v>78</v>
      </c>
      <c r="D1924" t="s">
        <v>2451</v>
      </c>
      <c r="E1924" t="s">
        <v>1998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2421</v>
      </c>
      <c r="B1925" t="s">
        <v>637</v>
      </c>
      <c r="C1925" t="s">
        <v>78</v>
      </c>
      <c r="D1925" t="s">
        <v>2451</v>
      </c>
      <c r="E1925" t="s">
        <v>2441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2421</v>
      </c>
      <c r="B1926" t="s">
        <v>2213</v>
      </c>
      <c r="C1926" t="s">
        <v>78</v>
      </c>
      <c r="D1926" t="s">
        <v>2451</v>
      </c>
      <c r="E1926" t="s">
        <v>2441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2421</v>
      </c>
      <c r="B1927" t="s">
        <v>2452</v>
      </c>
      <c r="C1927" t="s">
        <v>78</v>
      </c>
      <c r="D1927" t="s">
        <v>78</v>
      </c>
      <c r="E1927" t="s">
        <v>2453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2421</v>
      </c>
      <c r="B1928" t="s">
        <v>2422</v>
      </c>
      <c r="C1928" t="s">
        <v>78</v>
      </c>
      <c r="D1928" t="s">
        <v>78</v>
      </c>
      <c r="E1928" t="s">
        <v>2423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2421</v>
      </c>
      <c r="B1929" t="s">
        <v>2454</v>
      </c>
      <c r="C1929" t="s">
        <v>78</v>
      </c>
      <c r="D1929" t="s">
        <v>78</v>
      </c>
      <c r="E1929" t="s">
        <v>2455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2421</v>
      </c>
      <c r="B1930" t="s">
        <v>642</v>
      </c>
      <c r="C1930" t="s">
        <v>78</v>
      </c>
      <c r="D1930" t="s">
        <v>78</v>
      </c>
      <c r="E1930" t="s">
        <v>252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2421</v>
      </c>
      <c r="B1931" t="s">
        <v>229</v>
      </c>
      <c r="C1931" t="s">
        <v>78</v>
      </c>
      <c r="D1931" t="s">
        <v>78</v>
      </c>
      <c r="E1931" t="s">
        <v>252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2421</v>
      </c>
      <c r="B1932" t="s">
        <v>643</v>
      </c>
      <c r="C1932" t="s">
        <v>78</v>
      </c>
      <c r="D1932" t="s">
        <v>78</v>
      </c>
      <c r="E1932" t="s">
        <v>252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2421</v>
      </c>
      <c r="B1933" t="s">
        <v>230</v>
      </c>
      <c r="C1933" t="s">
        <v>78</v>
      </c>
      <c r="D1933" t="s">
        <v>78</v>
      </c>
      <c r="E1933" t="s">
        <v>252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2421</v>
      </c>
      <c r="B1934" t="s">
        <v>231</v>
      </c>
      <c r="C1934" t="s">
        <v>78</v>
      </c>
      <c r="D1934" t="s">
        <v>78</v>
      </c>
      <c r="E1934" t="s">
        <v>252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2421</v>
      </c>
      <c r="B1935" t="s">
        <v>706</v>
      </c>
      <c r="C1935" t="s">
        <v>78</v>
      </c>
      <c r="D1935" t="s">
        <v>78</v>
      </c>
      <c r="E1935" t="s">
        <v>174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2421</v>
      </c>
      <c r="B1936" t="s">
        <v>2456</v>
      </c>
      <c r="C1936" t="s">
        <v>78</v>
      </c>
      <c r="D1936" t="s">
        <v>78</v>
      </c>
      <c r="E1936" t="s">
        <v>174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2421</v>
      </c>
      <c r="B1937" t="s">
        <v>2457</v>
      </c>
      <c r="C1937" t="s">
        <v>78</v>
      </c>
      <c r="D1937" t="s">
        <v>78</v>
      </c>
      <c r="E1937" t="s">
        <v>174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2421</v>
      </c>
      <c r="B1938" t="s">
        <v>707</v>
      </c>
      <c r="C1938" t="s">
        <v>78</v>
      </c>
      <c r="D1938" t="s">
        <v>78</v>
      </c>
      <c r="E1938" t="s">
        <v>174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2421</v>
      </c>
      <c r="B1939" t="s">
        <v>2372</v>
      </c>
      <c r="C1939" t="s">
        <v>78</v>
      </c>
      <c r="D1939" t="s">
        <v>78</v>
      </c>
      <c r="E1939" t="s">
        <v>182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2421</v>
      </c>
      <c r="B1940" t="s">
        <v>238</v>
      </c>
      <c r="C1940" t="s">
        <v>78</v>
      </c>
      <c r="D1940" t="s">
        <v>78</v>
      </c>
      <c r="E1940" t="s">
        <v>2423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2421</v>
      </c>
      <c r="B1941" t="s">
        <v>179</v>
      </c>
      <c r="C1941" t="s">
        <v>78</v>
      </c>
      <c r="D1941" t="s">
        <v>78</v>
      </c>
      <c r="E1941" t="s">
        <v>2458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2421</v>
      </c>
      <c r="B1942" t="s">
        <v>180</v>
      </c>
      <c r="C1942" t="s">
        <v>78</v>
      </c>
      <c r="D1942" t="s">
        <v>78</v>
      </c>
      <c r="E1942" t="s">
        <v>2423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2421</v>
      </c>
      <c r="B1943" t="s">
        <v>181</v>
      </c>
      <c r="C1943" t="s">
        <v>78</v>
      </c>
      <c r="D1943" t="s">
        <v>78</v>
      </c>
      <c r="E1943" t="s">
        <v>2459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2421</v>
      </c>
      <c r="B1944" t="s">
        <v>242</v>
      </c>
      <c r="C1944" t="s">
        <v>78</v>
      </c>
      <c r="D1944" t="s">
        <v>78</v>
      </c>
      <c r="E1944" t="s">
        <v>209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2421</v>
      </c>
      <c r="B1945" t="s">
        <v>327</v>
      </c>
      <c r="C1945" t="s">
        <v>78</v>
      </c>
      <c r="D1945" t="s">
        <v>78</v>
      </c>
      <c r="E1945" t="s">
        <v>209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2421</v>
      </c>
      <c r="B1946" t="s">
        <v>1266</v>
      </c>
      <c r="C1946" t="s">
        <v>78</v>
      </c>
      <c r="D1946" t="s">
        <v>78</v>
      </c>
      <c r="E1946" t="s">
        <v>209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2421</v>
      </c>
      <c r="B1947" t="s">
        <v>691</v>
      </c>
      <c r="C1947" t="s">
        <v>78</v>
      </c>
      <c r="D1947" t="s">
        <v>78</v>
      </c>
      <c r="E1947" t="s">
        <v>269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2421</v>
      </c>
      <c r="B1948" t="s">
        <v>2460</v>
      </c>
      <c r="C1948" t="s">
        <v>78</v>
      </c>
      <c r="D1948" t="s">
        <v>2461</v>
      </c>
      <c r="E1948" t="s">
        <v>1855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2421</v>
      </c>
      <c r="B1949" t="s">
        <v>2424</v>
      </c>
      <c r="C1949" t="s">
        <v>78</v>
      </c>
      <c r="D1949" t="s">
        <v>2425</v>
      </c>
      <c r="E1949" t="s">
        <v>2426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2421</v>
      </c>
      <c r="B1950" t="s">
        <v>2462</v>
      </c>
      <c r="C1950" t="s">
        <v>78</v>
      </c>
      <c r="D1950" t="s">
        <v>2463</v>
      </c>
      <c r="E1950" t="s">
        <v>964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2421</v>
      </c>
      <c r="B1951" t="s">
        <v>2464</v>
      </c>
      <c r="C1951" t="s">
        <v>78</v>
      </c>
      <c r="D1951" t="s">
        <v>2465</v>
      </c>
      <c r="E1951" t="s">
        <v>2428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2421</v>
      </c>
      <c r="B1952" t="s">
        <v>2466</v>
      </c>
      <c r="C1952" t="s">
        <v>78</v>
      </c>
      <c r="D1952" t="s">
        <v>2463</v>
      </c>
      <c r="E1952" t="s">
        <v>2426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2421</v>
      </c>
      <c r="B1953" t="s">
        <v>2467</v>
      </c>
      <c r="C1953" t="s">
        <v>78</v>
      </c>
      <c r="D1953" t="s">
        <v>2463</v>
      </c>
      <c r="E1953" t="s">
        <v>2426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2421</v>
      </c>
      <c r="B1954" t="s">
        <v>2468</v>
      </c>
      <c r="C1954" t="s">
        <v>78</v>
      </c>
      <c r="D1954" t="s">
        <v>2469</v>
      </c>
      <c r="E1954" t="s">
        <v>2428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2421</v>
      </c>
      <c r="B1955" t="s">
        <v>183</v>
      </c>
      <c r="C1955" t="s">
        <v>78</v>
      </c>
      <c r="D1955" t="s">
        <v>78</v>
      </c>
      <c r="E1955" t="s">
        <v>184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2472</v>
      </c>
      <c r="B1956" t="s">
        <v>2473</v>
      </c>
      <c r="C1956" t="s">
        <v>78</v>
      </c>
      <c r="D1956" t="s">
        <v>2474</v>
      </c>
      <c r="E1956" t="s">
        <v>256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2472</v>
      </c>
      <c r="B1957" t="s">
        <v>2475</v>
      </c>
      <c r="C1957" t="s">
        <v>78</v>
      </c>
      <c r="D1957" t="s">
        <v>2476</v>
      </c>
      <c r="E1957" t="s">
        <v>425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2472</v>
      </c>
      <c r="B1958" t="s">
        <v>2477</v>
      </c>
      <c r="C1958" t="s">
        <v>78</v>
      </c>
      <c r="D1958" t="s">
        <v>2478</v>
      </c>
      <c r="E1958" t="s">
        <v>258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2472</v>
      </c>
      <c r="B1959" t="s">
        <v>2479</v>
      </c>
      <c r="C1959" t="s">
        <v>78</v>
      </c>
      <c r="D1959" t="s">
        <v>2474</v>
      </c>
      <c r="E1959" t="s">
        <v>212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2472</v>
      </c>
      <c r="B1960" t="s">
        <v>2480</v>
      </c>
      <c r="C1960" t="s">
        <v>78</v>
      </c>
      <c r="D1960" t="s">
        <v>2481</v>
      </c>
      <c r="E1960" t="s">
        <v>1846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2472</v>
      </c>
      <c r="B1961" t="s">
        <v>126</v>
      </c>
      <c r="C1961" t="s">
        <v>78</v>
      </c>
      <c r="D1961" t="s">
        <v>2482</v>
      </c>
      <c r="E1961" t="s">
        <v>428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2472</v>
      </c>
      <c r="B1962" t="s">
        <v>2483</v>
      </c>
      <c r="C1962" t="s">
        <v>78</v>
      </c>
      <c r="D1962" t="s">
        <v>2484</v>
      </c>
      <c r="E1962" t="s">
        <v>801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2472</v>
      </c>
      <c r="B1963" t="s">
        <v>2485</v>
      </c>
      <c r="C1963" t="s">
        <v>78</v>
      </c>
      <c r="D1963" t="s">
        <v>2486</v>
      </c>
      <c r="E1963" t="s">
        <v>437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2472</v>
      </c>
      <c r="B1964" t="s">
        <v>2487</v>
      </c>
      <c r="C1964" t="s">
        <v>78</v>
      </c>
      <c r="D1964" t="s">
        <v>2488</v>
      </c>
      <c r="E1964" t="s">
        <v>1832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2472</v>
      </c>
      <c r="B1965" t="s">
        <v>2489</v>
      </c>
      <c r="C1965" t="s">
        <v>78</v>
      </c>
      <c r="D1965" t="s">
        <v>2490</v>
      </c>
      <c r="E1965" t="s">
        <v>425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2472</v>
      </c>
      <c r="B1966" t="s">
        <v>2491</v>
      </c>
      <c r="C1966" t="s">
        <v>78</v>
      </c>
      <c r="D1966" t="s">
        <v>2492</v>
      </c>
      <c r="E1966" t="s">
        <v>418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2472</v>
      </c>
      <c r="B1967" t="s">
        <v>2493</v>
      </c>
      <c r="C1967" t="s">
        <v>78</v>
      </c>
      <c r="D1967" t="s">
        <v>2494</v>
      </c>
      <c r="E1967" t="s">
        <v>401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2472</v>
      </c>
      <c r="B1968" t="s">
        <v>2475</v>
      </c>
      <c r="C1968" t="s">
        <v>78</v>
      </c>
      <c r="D1968" t="s">
        <v>2476</v>
      </c>
      <c r="E1968" t="s">
        <v>425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2472</v>
      </c>
      <c r="B1969" t="s">
        <v>2495</v>
      </c>
      <c r="C1969" t="s">
        <v>78</v>
      </c>
      <c r="D1969" t="s">
        <v>2496</v>
      </c>
      <c r="E1969" t="s">
        <v>437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2472</v>
      </c>
      <c r="B1970" t="s">
        <v>2497</v>
      </c>
      <c r="C1970" t="s">
        <v>78</v>
      </c>
      <c r="D1970" t="s">
        <v>2498</v>
      </c>
      <c r="E1970" t="s">
        <v>437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2472</v>
      </c>
      <c r="B1971" t="s">
        <v>2499</v>
      </c>
      <c r="C1971" t="s">
        <v>78</v>
      </c>
      <c r="D1971" t="s">
        <v>2500</v>
      </c>
      <c r="E1971" t="s">
        <v>401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2472</v>
      </c>
      <c r="B1972" t="s">
        <v>2501</v>
      </c>
      <c r="C1972" t="s">
        <v>78</v>
      </c>
      <c r="D1972" t="s">
        <v>2502</v>
      </c>
      <c r="E1972" t="s">
        <v>636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2472</v>
      </c>
      <c r="B1973" t="s">
        <v>2503</v>
      </c>
      <c r="C1973" t="s">
        <v>78</v>
      </c>
      <c r="D1973" t="s">
        <v>2504</v>
      </c>
      <c r="E1973" t="s">
        <v>372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2472</v>
      </c>
      <c r="B1974" t="s">
        <v>2505</v>
      </c>
      <c r="C1974" t="s">
        <v>78</v>
      </c>
      <c r="D1974" t="s">
        <v>2506</v>
      </c>
      <c r="E1974" t="s">
        <v>212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2472</v>
      </c>
      <c r="B1975" t="s">
        <v>2507</v>
      </c>
      <c r="C1975" t="s">
        <v>78</v>
      </c>
      <c r="D1975" t="s">
        <v>2508</v>
      </c>
      <c r="E1975" t="s">
        <v>456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2472</v>
      </c>
      <c r="B1976" t="s">
        <v>474</v>
      </c>
      <c r="C1976" t="s">
        <v>78</v>
      </c>
      <c r="D1976" t="s">
        <v>2509</v>
      </c>
      <c r="E1976" t="s">
        <v>437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2472</v>
      </c>
      <c r="B1977" t="s">
        <v>2510</v>
      </c>
      <c r="C1977" t="s">
        <v>78</v>
      </c>
      <c r="D1977" t="s">
        <v>2511</v>
      </c>
      <c r="E1977" t="s">
        <v>2512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2472</v>
      </c>
      <c r="B1978" t="s">
        <v>2513</v>
      </c>
      <c r="C1978" t="s">
        <v>78</v>
      </c>
      <c r="D1978" t="s">
        <v>2514</v>
      </c>
      <c r="E1978" t="s">
        <v>372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2472</v>
      </c>
      <c r="B1979" t="s">
        <v>2515</v>
      </c>
      <c r="C1979" t="s">
        <v>78</v>
      </c>
      <c r="D1979" t="s">
        <v>2516</v>
      </c>
      <c r="E1979" t="s">
        <v>451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2472</v>
      </c>
      <c r="B1980" t="s">
        <v>2517</v>
      </c>
      <c r="C1980" t="s">
        <v>78</v>
      </c>
      <c r="D1980" t="s">
        <v>2518</v>
      </c>
      <c r="E1980" t="s">
        <v>401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2472</v>
      </c>
      <c r="B1981" t="s">
        <v>2519</v>
      </c>
      <c r="C1981" t="s">
        <v>78</v>
      </c>
      <c r="D1981" t="s">
        <v>2520</v>
      </c>
      <c r="E1981" t="s">
        <v>456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2472</v>
      </c>
      <c r="B1982" t="s">
        <v>2521</v>
      </c>
      <c r="C1982" t="s">
        <v>78</v>
      </c>
      <c r="D1982" t="s">
        <v>2522</v>
      </c>
      <c r="E1982" t="s">
        <v>258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2472</v>
      </c>
      <c r="B1983" t="s">
        <v>2480</v>
      </c>
      <c r="C1983" t="s">
        <v>78</v>
      </c>
      <c r="D1983" t="s">
        <v>2481</v>
      </c>
      <c r="E1983" t="s">
        <v>1846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2472</v>
      </c>
      <c r="B1984" t="s">
        <v>2523</v>
      </c>
      <c r="C1984" t="s">
        <v>78</v>
      </c>
      <c r="D1984" t="s">
        <v>2524</v>
      </c>
      <c r="E1984" t="s">
        <v>2525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2472</v>
      </c>
      <c r="B1985" t="s">
        <v>2526</v>
      </c>
      <c r="C1985" t="s">
        <v>78</v>
      </c>
      <c r="D1985" t="s">
        <v>2527</v>
      </c>
      <c r="E1985" t="s">
        <v>466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2472</v>
      </c>
      <c r="B1986" t="s">
        <v>2528</v>
      </c>
      <c r="C1986" t="s">
        <v>78</v>
      </c>
      <c r="D1986" t="s">
        <v>2529</v>
      </c>
      <c r="E1986" t="s">
        <v>258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2472</v>
      </c>
      <c r="B1987" t="s">
        <v>2530</v>
      </c>
      <c r="C1987" t="s">
        <v>78</v>
      </c>
      <c r="D1987" t="s">
        <v>2531</v>
      </c>
      <c r="E1987" t="s">
        <v>418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2472</v>
      </c>
      <c r="B1988" t="s">
        <v>2532</v>
      </c>
      <c r="C1988" t="s">
        <v>78</v>
      </c>
      <c r="D1988" t="s">
        <v>2533</v>
      </c>
      <c r="E1988" t="s">
        <v>418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2472</v>
      </c>
      <c r="B1989" t="s">
        <v>2534</v>
      </c>
      <c r="C1989" t="s">
        <v>78</v>
      </c>
      <c r="D1989" t="s">
        <v>2535</v>
      </c>
      <c r="E1989" t="s">
        <v>505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2472</v>
      </c>
      <c r="B1990" t="s">
        <v>2536</v>
      </c>
      <c r="C1990" t="s">
        <v>78</v>
      </c>
      <c r="D1990" t="s">
        <v>2537</v>
      </c>
      <c r="E1990" t="s">
        <v>1841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2472</v>
      </c>
      <c r="B1991" t="s">
        <v>2538</v>
      </c>
      <c r="C1991" t="s">
        <v>78</v>
      </c>
      <c r="D1991" t="s">
        <v>2539</v>
      </c>
      <c r="E1991" t="s">
        <v>466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2472</v>
      </c>
      <c r="B1992" t="s">
        <v>2540</v>
      </c>
      <c r="C1992" t="s">
        <v>78</v>
      </c>
      <c r="D1992" t="s">
        <v>2541</v>
      </c>
      <c r="E1992" t="s">
        <v>212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2472</v>
      </c>
      <c r="B1993" t="s">
        <v>2542</v>
      </c>
      <c r="C1993" t="s">
        <v>78</v>
      </c>
      <c r="D1993" t="s">
        <v>2543</v>
      </c>
      <c r="E1993" t="s">
        <v>418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2472</v>
      </c>
      <c r="B1994" t="s">
        <v>2544</v>
      </c>
      <c r="C1994" t="s">
        <v>78</v>
      </c>
      <c r="D1994" t="s">
        <v>2545</v>
      </c>
      <c r="E1994" t="s">
        <v>418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2472</v>
      </c>
      <c r="B1995" t="s">
        <v>2546</v>
      </c>
      <c r="C1995" t="s">
        <v>78</v>
      </c>
      <c r="D1995" t="s">
        <v>2547</v>
      </c>
      <c r="E1995" t="s">
        <v>437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2472</v>
      </c>
      <c r="B1996" t="s">
        <v>2548</v>
      </c>
      <c r="C1996" t="s">
        <v>78</v>
      </c>
      <c r="D1996" t="s">
        <v>2474</v>
      </c>
      <c r="E1996" t="s">
        <v>418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2472</v>
      </c>
      <c r="B1997" t="s">
        <v>2549</v>
      </c>
      <c r="C1997" t="s">
        <v>78</v>
      </c>
      <c r="D1997" t="s">
        <v>2550</v>
      </c>
      <c r="E1997" t="s">
        <v>212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2472</v>
      </c>
      <c r="B1998" t="s">
        <v>2551</v>
      </c>
      <c r="C1998" t="s">
        <v>78</v>
      </c>
      <c r="D1998" t="s">
        <v>2552</v>
      </c>
      <c r="E1998" t="s">
        <v>582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2472</v>
      </c>
      <c r="B1999" t="s">
        <v>2553</v>
      </c>
      <c r="C1999" t="s">
        <v>78</v>
      </c>
      <c r="D1999" t="s">
        <v>2554</v>
      </c>
      <c r="E1999" t="s">
        <v>1846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2472</v>
      </c>
      <c r="B2000" t="s">
        <v>2555</v>
      </c>
      <c r="C2000" t="s">
        <v>78</v>
      </c>
      <c r="D2000" t="s">
        <v>2556</v>
      </c>
      <c r="E2000" t="s">
        <v>418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2472</v>
      </c>
      <c r="B2001" t="s">
        <v>2557</v>
      </c>
      <c r="C2001" t="s">
        <v>78</v>
      </c>
      <c r="D2001" t="s">
        <v>2558</v>
      </c>
      <c r="E2001" t="s">
        <v>212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2472</v>
      </c>
      <c r="B2002" t="s">
        <v>2559</v>
      </c>
      <c r="C2002" t="s">
        <v>78</v>
      </c>
      <c r="D2002" t="s">
        <v>2560</v>
      </c>
      <c r="E2002" t="s">
        <v>437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2472</v>
      </c>
      <c r="B2003" t="s">
        <v>2561</v>
      </c>
      <c r="C2003" t="s">
        <v>78</v>
      </c>
      <c r="D2003" t="s">
        <v>2562</v>
      </c>
      <c r="E2003" t="s">
        <v>418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2472</v>
      </c>
      <c r="B2004" t="s">
        <v>2563</v>
      </c>
      <c r="C2004" t="s">
        <v>78</v>
      </c>
      <c r="D2004" t="s">
        <v>2564</v>
      </c>
      <c r="E2004" t="s">
        <v>425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2472</v>
      </c>
      <c r="B2005" t="s">
        <v>2565</v>
      </c>
      <c r="C2005" t="s">
        <v>78</v>
      </c>
      <c r="D2005" t="s">
        <v>2566</v>
      </c>
      <c r="E2005" t="s">
        <v>1841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2472</v>
      </c>
      <c r="B2006" t="s">
        <v>2567</v>
      </c>
      <c r="C2006" t="s">
        <v>78</v>
      </c>
      <c r="D2006" t="s">
        <v>2568</v>
      </c>
      <c r="E2006" t="s">
        <v>418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2472</v>
      </c>
      <c r="B2007" t="s">
        <v>2569</v>
      </c>
      <c r="C2007" t="s">
        <v>78</v>
      </c>
      <c r="D2007" t="s">
        <v>2533</v>
      </c>
      <c r="E2007" t="s">
        <v>212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2472</v>
      </c>
      <c r="B2008" t="s">
        <v>2570</v>
      </c>
      <c r="C2008" t="s">
        <v>78</v>
      </c>
      <c r="D2008" t="s">
        <v>2535</v>
      </c>
      <c r="E2008" t="s">
        <v>256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2472</v>
      </c>
      <c r="B2009" t="s">
        <v>2571</v>
      </c>
      <c r="C2009" t="s">
        <v>78</v>
      </c>
      <c r="D2009" t="s">
        <v>2537</v>
      </c>
      <c r="E2009" t="s">
        <v>256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2472</v>
      </c>
      <c r="B2010" t="s">
        <v>2572</v>
      </c>
      <c r="C2010" t="s">
        <v>78</v>
      </c>
      <c r="D2010" t="s">
        <v>2539</v>
      </c>
      <c r="E2010" t="s">
        <v>456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2472</v>
      </c>
      <c r="B2011" t="s">
        <v>2573</v>
      </c>
      <c r="C2011" t="s">
        <v>78</v>
      </c>
      <c r="D2011" t="s">
        <v>2541</v>
      </c>
      <c r="E2011" t="s">
        <v>256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2472</v>
      </c>
      <c r="B2012" t="s">
        <v>2574</v>
      </c>
      <c r="C2012" t="s">
        <v>78</v>
      </c>
      <c r="D2012" t="s">
        <v>2531</v>
      </c>
      <c r="E2012" t="s">
        <v>212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2472</v>
      </c>
      <c r="B2013" t="s">
        <v>2575</v>
      </c>
      <c r="C2013" t="s">
        <v>78</v>
      </c>
      <c r="D2013" t="s">
        <v>2543</v>
      </c>
      <c r="E2013" t="s">
        <v>212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2472</v>
      </c>
      <c r="B2014" t="s">
        <v>2576</v>
      </c>
      <c r="C2014" t="s">
        <v>78</v>
      </c>
      <c r="D2014" t="s">
        <v>2545</v>
      </c>
      <c r="E2014" t="s">
        <v>212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2472</v>
      </c>
      <c r="B2015" t="s">
        <v>2577</v>
      </c>
      <c r="C2015" t="s">
        <v>78</v>
      </c>
      <c r="D2015" t="s">
        <v>2547</v>
      </c>
      <c r="E2015" t="s">
        <v>212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2472</v>
      </c>
      <c r="B2016" t="s">
        <v>2479</v>
      </c>
      <c r="C2016" t="s">
        <v>78</v>
      </c>
      <c r="D2016" t="s">
        <v>2474</v>
      </c>
      <c r="E2016" t="s">
        <v>212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2472</v>
      </c>
      <c r="B2017" t="s">
        <v>2578</v>
      </c>
      <c r="C2017" t="s">
        <v>78</v>
      </c>
      <c r="D2017" t="s">
        <v>2550</v>
      </c>
      <c r="E2017" t="s">
        <v>256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2472</v>
      </c>
      <c r="B2018" t="s">
        <v>2579</v>
      </c>
      <c r="C2018" t="s">
        <v>78</v>
      </c>
      <c r="D2018" t="s">
        <v>2552</v>
      </c>
      <c r="E2018" t="s">
        <v>418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2472</v>
      </c>
      <c r="B2019" t="s">
        <v>2580</v>
      </c>
      <c r="C2019" t="s">
        <v>78</v>
      </c>
      <c r="D2019" t="s">
        <v>2554</v>
      </c>
      <c r="E2019" t="s">
        <v>2287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2472</v>
      </c>
      <c r="B2020" t="s">
        <v>2581</v>
      </c>
      <c r="C2020" t="s">
        <v>78</v>
      </c>
      <c r="D2020" t="s">
        <v>2556</v>
      </c>
      <c r="E2020" t="s">
        <v>212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2472</v>
      </c>
      <c r="B2021" t="s">
        <v>2582</v>
      </c>
      <c r="C2021" t="s">
        <v>78</v>
      </c>
      <c r="D2021" t="s">
        <v>2558</v>
      </c>
      <c r="E2021" t="s">
        <v>256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2472</v>
      </c>
      <c r="B2022" t="s">
        <v>2583</v>
      </c>
      <c r="C2022" t="s">
        <v>78</v>
      </c>
      <c r="D2022" t="s">
        <v>2560</v>
      </c>
      <c r="E2022" t="s">
        <v>505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2472</v>
      </c>
      <c r="B2023" t="s">
        <v>2584</v>
      </c>
      <c r="C2023" t="s">
        <v>78</v>
      </c>
      <c r="D2023" t="s">
        <v>2562</v>
      </c>
      <c r="E2023" t="s">
        <v>212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2472</v>
      </c>
      <c r="B2024" t="s">
        <v>2585</v>
      </c>
      <c r="C2024" t="s">
        <v>78</v>
      </c>
      <c r="D2024" t="s">
        <v>2564</v>
      </c>
      <c r="E2024" t="s">
        <v>212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2472</v>
      </c>
      <c r="B2025" t="s">
        <v>2586</v>
      </c>
      <c r="C2025" t="s">
        <v>78</v>
      </c>
      <c r="D2025" t="s">
        <v>2566</v>
      </c>
      <c r="E2025" t="s">
        <v>256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2472</v>
      </c>
      <c r="B2026" t="s">
        <v>2587</v>
      </c>
      <c r="C2026" t="s">
        <v>78</v>
      </c>
      <c r="D2026" t="s">
        <v>2568</v>
      </c>
      <c r="E2026" t="s">
        <v>212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2472</v>
      </c>
      <c r="B2027" t="s">
        <v>2588</v>
      </c>
      <c r="C2027" t="s">
        <v>78</v>
      </c>
      <c r="D2027" t="s">
        <v>2531</v>
      </c>
      <c r="E2027" t="s">
        <v>256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2472</v>
      </c>
      <c r="B2028" t="s">
        <v>2589</v>
      </c>
      <c r="C2028" t="s">
        <v>78</v>
      </c>
      <c r="D2028" t="s">
        <v>2533</v>
      </c>
      <c r="E2028" t="s">
        <v>256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2472</v>
      </c>
      <c r="B2029" t="s">
        <v>2590</v>
      </c>
      <c r="C2029" t="s">
        <v>78</v>
      </c>
      <c r="D2029" t="s">
        <v>2535</v>
      </c>
      <c r="E2029" t="s">
        <v>2591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2472</v>
      </c>
      <c r="B2030" t="s">
        <v>2592</v>
      </c>
      <c r="C2030" t="s">
        <v>78</v>
      </c>
      <c r="D2030" t="s">
        <v>2537</v>
      </c>
      <c r="E2030" t="s">
        <v>2591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2472</v>
      </c>
      <c r="B2031" t="s">
        <v>2593</v>
      </c>
      <c r="C2031" t="s">
        <v>78</v>
      </c>
      <c r="D2031" t="s">
        <v>2539</v>
      </c>
      <c r="E2031" t="s">
        <v>1846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2472</v>
      </c>
      <c r="B2032" t="s">
        <v>2594</v>
      </c>
      <c r="C2032" t="s">
        <v>78</v>
      </c>
      <c r="D2032" t="s">
        <v>2541</v>
      </c>
      <c r="E2032" t="s">
        <v>2591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2472</v>
      </c>
      <c r="B2033" t="s">
        <v>2595</v>
      </c>
      <c r="C2033" t="s">
        <v>78</v>
      </c>
      <c r="D2033" t="s">
        <v>2543</v>
      </c>
      <c r="E2033" t="s">
        <v>256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2472</v>
      </c>
      <c r="B2034" t="s">
        <v>2596</v>
      </c>
      <c r="C2034" t="s">
        <v>78</v>
      </c>
      <c r="D2034" t="s">
        <v>2545</v>
      </c>
      <c r="E2034" t="s">
        <v>256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2472</v>
      </c>
      <c r="B2035" t="s">
        <v>2597</v>
      </c>
      <c r="C2035" t="s">
        <v>78</v>
      </c>
      <c r="D2035" t="s">
        <v>2547</v>
      </c>
      <c r="E2035" t="s">
        <v>264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2472</v>
      </c>
      <c r="B2036" t="s">
        <v>2473</v>
      </c>
      <c r="C2036" t="s">
        <v>78</v>
      </c>
      <c r="D2036" t="s">
        <v>2474</v>
      </c>
      <c r="E2036" t="s">
        <v>256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2472</v>
      </c>
      <c r="B2037" t="s">
        <v>2598</v>
      </c>
      <c r="C2037" t="s">
        <v>78</v>
      </c>
      <c r="D2037" t="s">
        <v>2550</v>
      </c>
      <c r="E2037" t="s">
        <v>2591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2472</v>
      </c>
      <c r="B2038" t="s">
        <v>2599</v>
      </c>
      <c r="C2038" t="s">
        <v>78</v>
      </c>
      <c r="D2038" t="s">
        <v>2552</v>
      </c>
      <c r="E2038" t="s">
        <v>505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2472</v>
      </c>
      <c r="B2039" t="s">
        <v>2600</v>
      </c>
      <c r="C2039" t="s">
        <v>78</v>
      </c>
      <c r="D2039" t="s">
        <v>2554</v>
      </c>
      <c r="E2039" t="s">
        <v>461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2472</v>
      </c>
      <c r="B2040" t="s">
        <v>2601</v>
      </c>
      <c r="C2040" t="s">
        <v>78</v>
      </c>
      <c r="D2040" t="s">
        <v>2556</v>
      </c>
      <c r="E2040" t="s">
        <v>256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2472</v>
      </c>
      <c r="B2041" t="s">
        <v>2602</v>
      </c>
      <c r="C2041" t="s">
        <v>78</v>
      </c>
      <c r="D2041" t="s">
        <v>2558</v>
      </c>
      <c r="E2041" t="s">
        <v>2591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2472</v>
      </c>
      <c r="B2042" t="s">
        <v>2603</v>
      </c>
      <c r="C2042" t="s">
        <v>78</v>
      </c>
      <c r="D2042" t="s">
        <v>2560</v>
      </c>
      <c r="E2042" t="s">
        <v>264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2472</v>
      </c>
      <c r="B2043" t="s">
        <v>2604</v>
      </c>
      <c r="C2043" t="s">
        <v>78</v>
      </c>
      <c r="D2043" t="s">
        <v>2562</v>
      </c>
      <c r="E2043" t="s">
        <v>256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2472</v>
      </c>
      <c r="B2044" t="s">
        <v>2605</v>
      </c>
      <c r="C2044" t="s">
        <v>78</v>
      </c>
      <c r="D2044" t="s">
        <v>2564</v>
      </c>
      <c r="E2044" t="s">
        <v>256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2472</v>
      </c>
      <c r="B2045" t="s">
        <v>2606</v>
      </c>
      <c r="C2045" t="s">
        <v>78</v>
      </c>
      <c r="D2045" t="s">
        <v>2566</v>
      </c>
      <c r="E2045" t="s">
        <v>2591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2472</v>
      </c>
      <c r="B2046" t="s">
        <v>2607</v>
      </c>
      <c r="C2046" t="s">
        <v>78</v>
      </c>
      <c r="D2046" t="s">
        <v>2568</v>
      </c>
      <c r="E2046" t="s">
        <v>256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2472</v>
      </c>
      <c r="B2047" t="s">
        <v>1159</v>
      </c>
      <c r="C2047" t="s">
        <v>78</v>
      </c>
      <c r="D2047" t="s">
        <v>2608</v>
      </c>
      <c r="E2047" t="s">
        <v>269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2472</v>
      </c>
      <c r="B2048" t="s">
        <v>1133</v>
      </c>
      <c r="C2048" t="s">
        <v>78</v>
      </c>
      <c r="D2048" t="s">
        <v>2609</v>
      </c>
      <c r="E2048" t="s">
        <v>258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2472</v>
      </c>
      <c r="B2049" t="s">
        <v>142</v>
      </c>
      <c r="C2049" t="s">
        <v>78</v>
      </c>
      <c r="D2049" t="s">
        <v>2609</v>
      </c>
      <c r="E2049" t="s">
        <v>554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2472</v>
      </c>
      <c r="B2050" t="s">
        <v>153</v>
      </c>
      <c r="C2050" t="s">
        <v>78</v>
      </c>
      <c r="D2050" t="s">
        <v>2608</v>
      </c>
      <c r="E2050" t="s">
        <v>636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2472</v>
      </c>
      <c r="B2051" t="s">
        <v>2610</v>
      </c>
      <c r="C2051" t="s">
        <v>78</v>
      </c>
      <c r="D2051" t="s">
        <v>2608</v>
      </c>
      <c r="E2051" t="s">
        <v>269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2472</v>
      </c>
      <c r="B2052" t="s">
        <v>2611</v>
      </c>
      <c r="C2052" t="s">
        <v>78</v>
      </c>
      <c r="D2052" t="s">
        <v>2612</v>
      </c>
      <c r="E2052" t="s">
        <v>466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2472</v>
      </c>
      <c r="B2053" t="s">
        <v>2613</v>
      </c>
      <c r="C2053" t="s">
        <v>78</v>
      </c>
      <c r="D2053" t="s">
        <v>2614</v>
      </c>
      <c r="E2053" t="s">
        <v>466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2472</v>
      </c>
      <c r="B2054" t="s">
        <v>2615</v>
      </c>
      <c r="C2054" t="s">
        <v>78</v>
      </c>
      <c r="D2054" t="s">
        <v>2614</v>
      </c>
      <c r="E2054" t="s">
        <v>505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2472</v>
      </c>
      <c r="B2055" t="s">
        <v>2616</v>
      </c>
      <c r="C2055" t="s">
        <v>78</v>
      </c>
      <c r="D2055" t="s">
        <v>2614</v>
      </c>
      <c r="E2055" t="s">
        <v>466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2472</v>
      </c>
      <c r="B2056" t="s">
        <v>2617</v>
      </c>
      <c r="C2056" t="s">
        <v>78</v>
      </c>
      <c r="D2056" t="s">
        <v>2614</v>
      </c>
      <c r="E2056" t="s">
        <v>505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2472</v>
      </c>
      <c r="B2057" t="s">
        <v>2618</v>
      </c>
      <c r="C2057" t="s">
        <v>78</v>
      </c>
      <c r="D2057" t="s">
        <v>2614</v>
      </c>
      <c r="E2057" t="s">
        <v>505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2472</v>
      </c>
      <c r="B2058" t="s">
        <v>2619</v>
      </c>
      <c r="C2058" t="s">
        <v>78</v>
      </c>
      <c r="D2058" t="s">
        <v>78</v>
      </c>
      <c r="E2058" t="s">
        <v>437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2472</v>
      </c>
      <c r="B2059" t="s">
        <v>2620</v>
      </c>
      <c r="C2059" t="s">
        <v>78</v>
      </c>
      <c r="D2059" t="s">
        <v>78</v>
      </c>
      <c r="E2059" t="s">
        <v>469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2472</v>
      </c>
      <c r="B2060" t="s">
        <v>2621</v>
      </c>
      <c r="C2060" t="s">
        <v>78</v>
      </c>
      <c r="D2060" t="s">
        <v>78</v>
      </c>
      <c r="E2060" t="s">
        <v>425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2472</v>
      </c>
      <c r="B2061" t="s">
        <v>2089</v>
      </c>
      <c r="C2061" t="s">
        <v>78</v>
      </c>
      <c r="D2061" t="s">
        <v>78</v>
      </c>
      <c r="E2061" t="s">
        <v>437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2472</v>
      </c>
      <c r="B2062" t="s">
        <v>2090</v>
      </c>
      <c r="C2062" t="s">
        <v>78</v>
      </c>
      <c r="D2062" t="s">
        <v>78</v>
      </c>
      <c r="E2062" t="s">
        <v>202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2472</v>
      </c>
      <c r="B2063" t="s">
        <v>2622</v>
      </c>
      <c r="C2063" t="s">
        <v>78</v>
      </c>
      <c r="D2063" t="s">
        <v>2623</v>
      </c>
      <c r="E2063" t="s">
        <v>437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2472</v>
      </c>
      <c r="B2064" t="s">
        <v>2624</v>
      </c>
      <c r="C2064" t="s">
        <v>78</v>
      </c>
      <c r="D2064" t="s">
        <v>2625</v>
      </c>
      <c r="E2064" t="s">
        <v>636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2472</v>
      </c>
      <c r="B2065" t="s">
        <v>2626</v>
      </c>
      <c r="C2065" t="s">
        <v>78</v>
      </c>
      <c r="D2065" t="s">
        <v>2627</v>
      </c>
      <c r="E2065" t="s">
        <v>418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2472</v>
      </c>
      <c r="B2066" t="s">
        <v>2628</v>
      </c>
      <c r="C2066" t="s">
        <v>78</v>
      </c>
      <c r="D2066" t="s">
        <v>78</v>
      </c>
      <c r="E2066" t="s">
        <v>256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2472</v>
      </c>
      <c r="B2067" t="s">
        <v>2629</v>
      </c>
      <c r="C2067" t="s">
        <v>78</v>
      </c>
      <c r="D2067" t="s">
        <v>78</v>
      </c>
      <c r="E2067" t="s">
        <v>256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2472</v>
      </c>
      <c r="B2068" t="s">
        <v>2630</v>
      </c>
      <c r="C2068" t="s">
        <v>78</v>
      </c>
      <c r="D2068" t="s">
        <v>2631</v>
      </c>
      <c r="E2068" t="s">
        <v>401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2472</v>
      </c>
      <c r="B2069" t="s">
        <v>2632</v>
      </c>
      <c r="C2069" t="s">
        <v>78</v>
      </c>
      <c r="D2069" t="s">
        <v>78</v>
      </c>
      <c r="E2069" t="s">
        <v>554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2472</v>
      </c>
      <c r="B2070" t="s">
        <v>2633</v>
      </c>
      <c r="C2070" t="s">
        <v>78</v>
      </c>
      <c r="D2070" t="s">
        <v>2634</v>
      </c>
      <c r="E2070" t="s">
        <v>425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2472</v>
      </c>
      <c r="B2071" t="s">
        <v>2635</v>
      </c>
      <c r="C2071" t="s">
        <v>78</v>
      </c>
      <c r="D2071" t="s">
        <v>2636</v>
      </c>
      <c r="E2071" t="s">
        <v>425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2472</v>
      </c>
      <c r="B2072" t="s">
        <v>2477</v>
      </c>
      <c r="C2072" t="s">
        <v>78</v>
      </c>
      <c r="D2072" t="s">
        <v>2478</v>
      </c>
      <c r="E2072" t="s">
        <v>258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2472</v>
      </c>
      <c r="B2073" t="s">
        <v>2637</v>
      </c>
      <c r="C2073" t="s">
        <v>78</v>
      </c>
      <c r="D2073" t="s">
        <v>2638</v>
      </c>
      <c r="E2073" t="s">
        <v>554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2472</v>
      </c>
      <c r="B2074" t="s">
        <v>2639</v>
      </c>
      <c r="C2074" t="s">
        <v>78</v>
      </c>
      <c r="D2074" t="s">
        <v>78</v>
      </c>
      <c r="E2074" t="s">
        <v>286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2472</v>
      </c>
      <c r="B2075" t="s">
        <v>2640</v>
      </c>
      <c r="C2075" t="s">
        <v>78</v>
      </c>
      <c r="D2075" t="s">
        <v>78</v>
      </c>
      <c r="E2075" t="s">
        <v>253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2472</v>
      </c>
      <c r="B2076" t="s">
        <v>576</v>
      </c>
      <c r="C2076" t="s">
        <v>78</v>
      </c>
      <c r="D2076" t="s">
        <v>78</v>
      </c>
      <c r="E2076" t="s">
        <v>241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2472</v>
      </c>
      <c r="B2077" t="s">
        <v>577</v>
      </c>
      <c r="C2077" t="s">
        <v>78</v>
      </c>
      <c r="D2077" t="s">
        <v>78</v>
      </c>
      <c r="E2077" t="s">
        <v>286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2472</v>
      </c>
      <c r="B2078" t="s">
        <v>2641</v>
      </c>
      <c r="C2078" t="s">
        <v>78</v>
      </c>
      <c r="D2078" t="s">
        <v>2474</v>
      </c>
      <c r="E2078" t="s">
        <v>207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2472</v>
      </c>
      <c r="B2079" t="s">
        <v>1410</v>
      </c>
      <c r="C2079" t="s">
        <v>78</v>
      </c>
      <c r="D2079" t="s">
        <v>78</v>
      </c>
      <c r="E2079" t="s">
        <v>287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2472</v>
      </c>
      <c r="B2080" t="s">
        <v>573</v>
      </c>
      <c r="C2080" t="s">
        <v>78</v>
      </c>
      <c r="D2080" t="s">
        <v>78</v>
      </c>
      <c r="E2080" t="s">
        <v>287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2472</v>
      </c>
      <c r="B2081" t="s">
        <v>572</v>
      </c>
      <c r="C2081" t="s">
        <v>78</v>
      </c>
      <c r="D2081" t="s">
        <v>78</v>
      </c>
      <c r="E2081" t="s">
        <v>406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2472</v>
      </c>
      <c r="B2082" t="s">
        <v>2642</v>
      </c>
      <c r="C2082" t="s">
        <v>78</v>
      </c>
      <c r="D2082" t="s">
        <v>78</v>
      </c>
      <c r="E2082" t="s">
        <v>253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2472</v>
      </c>
      <c r="B2083" t="s">
        <v>578</v>
      </c>
      <c r="C2083" t="s">
        <v>78</v>
      </c>
      <c r="D2083" t="s">
        <v>2643</v>
      </c>
      <c r="E2083" t="s">
        <v>636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2472</v>
      </c>
      <c r="B2084" t="s">
        <v>585</v>
      </c>
      <c r="C2084" t="s">
        <v>78</v>
      </c>
      <c r="D2084" t="s">
        <v>1405</v>
      </c>
      <c r="E2084" t="s">
        <v>258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2472</v>
      </c>
      <c r="B2085" t="s">
        <v>2102</v>
      </c>
      <c r="C2085" t="s">
        <v>78</v>
      </c>
      <c r="D2085" t="s">
        <v>2644</v>
      </c>
      <c r="E2085" t="s">
        <v>253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2472</v>
      </c>
      <c r="B2086" t="s">
        <v>2100</v>
      </c>
      <c r="C2086" t="s">
        <v>78</v>
      </c>
      <c r="D2086" t="s">
        <v>78</v>
      </c>
      <c r="E2086" t="s">
        <v>253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2472</v>
      </c>
      <c r="B2087" t="s">
        <v>2645</v>
      </c>
      <c r="C2087" t="s">
        <v>78</v>
      </c>
      <c r="D2087" t="s">
        <v>78</v>
      </c>
      <c r="E2087" t="s">
        <v>253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2472</v>
      </c>
      <c r="B2088" t="s">
        <v>2646</v>
      </c>
      <c r="C2088" t="s">
        <v>78</v>
      </c>
      <c r="D2088" t="s">
        <v>78</v>
      </c>
      <c r="E2088" t="s">
        <v>554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2472</v>
      </c>
      <c r="B2089" t="s">
        <v>2647</v>
      </c>
      <c r="C2089" t="s">
        <v>78</v>
      </c>
      <c r="D2089" t="s">
        <v>2648</v>
      </c>
      <c r="E2089" t="s">
        <v>258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2472</v>
      </c>
      <c r="B2090" t="s">
        <v>1232</v>
      </c>
      <c r="C2090" t="s">
        <v>78</v>
      </c>
      <c r="D2090" t="s">
        <v>78</v>
      </c>
      <c r="E2090" t="s">
        <v>554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2472</v>
      </c>
      <c r="B2091" t="s">
        <v>224</v>
      </c>
      <c r="C2091" t="s">
        <v>78</v>
      </c>
      <c r="D2091" t="s">
        <v>78</v>
      </c>
      <c r="E2091" t="s">
        <v>442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2472</v>
      </c>
      <c r="B2092" t="s">
        <v>228</v>
      </c>
      <c r="C2092" t="s">
        <v>78</v>
      </c>
      <c r="D2092" t="s">
        <v>78</v>
      </c>
      <c r="E2092" t="s">
        <v>442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2472</v>
      </c>
      <c r="B2093" t="s">
        <v>227</v>
      </c>
      <c r="C2093" t="s">
        <v>78</v>
      </c>
      <c r="D2093" t="s">
        <v>78</v>
      </c>
      <c r="E2093" t="s">
        <v>437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2472</v>
      </c>
      <c r="B2094" t="s">
        <v>2649</v>
      </c>
      <c r="C2094" t="s">
        <v>78</v>
      </c>
      <c r="D2094" t="s">
        <v>78</v>
      </c>
      <c r="E2094" t="s">
        <v>582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2472</v>
      </c>
      <c r="B2095" t="s">
        <v>2650</v>
      </c>
      <c r="C2095" t="s">
        <v>78</v>
      </c>
      <c r="D2095" t="s">
        <v>78</v>
      </c>
      <c r="E2095" t="s">
        <v>582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2472</v>
      </c>
      <c r="B2096" t="s">
        <v>2651</v>
      </c>
      <c r="C2096" t="s">
        <v>78</v>
      </c>
      <c r="D2096" t="s">
        <v>78</v>
      </c>
      <c r="E2096" t="s">
        <v>582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2472</v>
      </c>
      <c r="B2097" t="s">
        <v>2652</v>
      </c>
      <c r="C2097" t="s">
        <v>78</v>
      </c>
      <c r="D2097" t="s">
        <v>78</v>
      </c>
      <c r="E2097" t="s">
        <v>466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2472</v>
      </c>
      <c r="B2098" t="s">
        <v>2653</v>
      </c>
      <c r="C2098" t="s">
        <v>78</v>
      </c>
      <c r="D2098" t="s">
        <v>78</v>
      </c>
      <c r="E2098" t="s">
        <v>582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2472</v>
      </c>
      <c r="B2099" t="s">
        <v>2654</v>
      </c>
      <c r="C2099" t="s">
        <v>78</v>
      </c>
      <c r="D2099" t="s">
        <v>78</v>
      </c>
      <c r="E2099" t="s">
        <v>1832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2472</v>
      </c>
      <c r="B2100" t="s">
        <v>2655</v>
      </c>
      <c r="C2100" t="s">
        <v>78</v>
      </c>
      <c r="D2100" t="s">
        <v>78</v>
      </c>
      <c r="E2100" t="s">
        <v>442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2472</v>
      </c>
      <c r="B2101" t="s">
        <v>2656</v>
      </c>
      <c r="C2101" t="s">
        <v>78</v>
      </c>
      <c r="D2101" t="s">
        <v>78</v>
      </c>
      <c r="E2101" t="s">
        <v>425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2472</v>
      </c>
      <c r="B2102" t="s">
        <v>2657</v>
      </c>
      <c r="C2102" t="s">
        <v>78</v>
      </c>
      <c r="D2102" t="s">
        <v>78</v>
      </c>
      <c r="E2102" t="s">
        <v>442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2472</v>
      </c>
      <c r="B2103" t="s">
        <v>225</v>
      </c>
      <c r="C2103" t="s">
        <v>78</v>
      </c>
      <c r="D2103" t="s">
        <v>78</v>
      </c>
      <c r="E2103" t="s">
        <v>1832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2472</v>
      </c>
      <c r="B2104" t="s">
        <v>2658</v>
      </c>
      <c r="C2104" t="s">
        <v>78</v>
      </c>
      <c r="D2104" t="s">
        <v>78</v>
      </c>
      <c r="E2104" t="s">
        <v>442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2472</v>
      </c>
      <c r="B2105" t="s">
        <v>226</v>
      </c>
      <c r="C2105" t="s">
        <v>78</v>
      </c>
      <c r="D2105" t="s">
        <v>78</v>
      </c>
      <c r="E2105" t="s">
        <v>442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2472</v>
      </c>
      <c r="B2106" t="s">
        <v>2659</v>
      </c>
      <c r="C2106" t="s">
        <v>78</v>
      </c>
      <c r="D2106" t="s">
        <v>78</v>
      </c>
      <c r="E2106" t="s">
        <v>1832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2472</v>
      </c>
      <c r="B2107" t="s">
        <v>642</v>
      </c>
      <c r="C2107" t="s">
        <v>78</v>
      </c>
      <c r="D2107" t="s">
        <v>78</v>
      </c>
      <c r="E2107" t="s">
        <v>243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2472</v>
      </c>
      <c r="B2108" t="s">
        <v>229</v>
      </c>
      <c r="C2108" t="s">
        <v>78</v>
      </c>
      <c r="D2108" t="s">
        <v>78</v>
      </c>
      <c r="E2108" t="s">
        <v>243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2472</v>
      </c>
      <c r="B2109" t="s">
        <v>706</v>
      </c>
      <c r="C2109" t="s">
        <v>78</v>
      </c>
      <c r="D2109" t="s">
        <v>78</v>
      </c>
      <c r="E2109" t="s">
        <v>252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2472</v>
      </c>
      <c r="B2110" t="s">
        <v>643</v>
      </c>
      <c r="C2110" t="s">
        <v>78</v>
      </c>
      <c r="D2110" t="s">
        <v>78</v>
      </c>
      <c r="E2110" t="s">
        <v>243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2472</v>
      </c>
      <c r="B2111" t="s">
        <v>230</v>
      </c>
      <c r="C2111" t="s">
        <v>78</v>
      </c>
      <c r="D2111" t="s">
        <v>78</v>
      </c>
      <c r="E2111" t="s">
        <v>243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2472</v>
      </c>
      <c r="B2112" t="s">
        <v>231</v>
      </c>
      <c r="C2112" t="s">
        <v>78</v>
      </c>
      <c r="D2112" t="s">
        <v>78</v>
      </c>
      <c r="E2112" t="s">
        <v>243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2472</v>
      </c>
      <c r="B2113" t="s">
        <v>233</v>
      </c>
      <c r="C2113" t="s">
        <v>78</v>
      </c>
      <c r="D2113" t="s">
        <v>78</v>
      </c>
      <c r="E2113" t="s">
        <v>243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2472</v>
      </c>
      <c r="B2114" t="s">
        <v>232</v>
      </c>
      <c r="C2114" t="s">
        <v>78</v>
      </c>
      <c r="D2114" t="s">
        <v>78</v>
      </c>
      <c r="E2114" t="s">
        <v>243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2472</v>
      </c>
      <c r="B2115" t="s">
        <v>178</v>
      </c>
      <c r="C2115" t="s">
        <v>78</v>
      </c>
      <c r="D2115" t="s">
        <v>78</v>
      </c>
      <c r="E2115" t="s">
        <v>279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2472</v>
      </c>
      <c r="B2116" t="s">
        <v>238</v>
      </c>
      <c r="C2116" t="s">
        <v>78</v>
      </c>
      <c r="D2116" t="s">
        <v>78</v>
      </c>
      <c r="E2116" t="s">
        <v>235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2472</v>
      </c>
      <c r="B2117" t="s">
        <v>179</v>
      </c>
      <c r="C2117" t="s">
        <v>78</v>
      </c>
      <c r="D2117" t="s">
        <v>78</v>
      </c>
      <c r="E2117" t="s">
        <v>237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2472</v>
      </c>
      <c r="B2118" t="s">
        <v>180</v>
      </c>
      <c r="C2118" t="s">
        <v>78</v>
      </c>
      <c r="D2118" t="s">
        <v>78</v>
      </c>
      <c r="E2118" t="s">
        <v>237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2472</v>
      </c>
      <c r="B2119" t="s">
        <v>242</v>
      </c>
      <c r="C2119" t="s">
        <v>78</v>
      </c>
      <c r="D2119" t="s">
        <v>78</v>
      </c>
      <c r="E2119" t="s">
        <v>197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2472</v>
      </c>
      <c r="B2120" t="s">
        <v>327</v>
      </c>
      <c r="C2120" t="s">
        <v>78</v>
      </c>
      <c r="D2120" t="s">
        <v>78</v>
      </c>
      <c r="E2120" t="s">
        <v>197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2472</v>
      </c>
      <c r="B2121" t="s">
        <v>691</v>
      </c>
      <c r="C2121" t="s">
        <v>78</v>
      </c>
      <c r="D2121" t="s">
        <v>78</v>
      </c>
      <c r="E2121" t="s">
        <v>253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2472</v>
      </c>
      <c r="B2122" t="s">
        <v>693</v>
      </c>
      <c r="C2122" t="s">
        <v>78</v>
      </c>
      <c r="D2122" t="s">
        <v>78</v>
      </c>
      <c r="E2122" t="s">
        <v>253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2472</v>
      </c>
      <c r="B2123" t="s">
        <v>1270</v>
      </c>
      <c r="C2123" t="s">
        <v>78</v>
      </c>
      <c r="D2123" t="s">
        <v>78</v>
      </c>
      <c r="E2123" t="s">
        <v>2660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2472</v>
      </c>
      <c r="B2124" t="s">
        <v>1269</v>
      </c>
      <c r="C2124" t="s">
        <v>78</v>
      </c>
      <c r="D2124" t="s">
        <v>78</v>
      </c>
      <c r="E2124" t="s">
        <v>2660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2472</v>
      </c>
      <c r="B2125" t="s">
        <v>1272</v>
      </c>
      <c r="C2125" t="s">
        <v>78</v>
      </c>
      <c r="D2125" t="s">
        <v>78</v>
      </c>
      <c r="E2125" t="s">
        <v>286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2472</v>
      </c>
      <c r="B2126" t="s">
        <v>2661</v>
      </c>
      <c r="C2126" t="s">
        <v>78</v>
      </c>
      <c r="D2126" t="s">
        <v>78</v>
      </c>
      <c r="E2126" t="s">
        <v>286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2472</v>
      </c>
      <c r="B2127" t="s">
        <v>556</v>
      </c>
      <c r="C2127" t="s">
        <v>78</v>
      </c>
      <c r="D2127" t="s">
        <v>78</v>
      </c>
      <c r="E2127" t="s">
        <v>286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2472</v>
      </c>
      <c r="B2128" t="s">
        <v>1271</v>
      </c>
      <c r="C2128" t="s">
        <v>78</v>
      </c>
      <c r="D2128" t="s">
        <v>78</v>
      </c>
      <c r="E2128" t="s">
        <v>286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2472</v>
      </c>
      <c r="B2129" t="s">
        <v>1273</v>
      </c>
      <c r="C2129" t="s">
        <v>78</v>
      </c>
      <c r="D2129" t="s">
        <v>78</v>
      </c>
      <c r="E2129" t="s">
        <v>286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2472</v>
      </c>
      <c r="B2130" t="s">
        <v>557</v>
      </c>
      <c r="C2130" t="s">
        <v>78</v>
      </c>
      <c r="D2130" t="s">
        <v>78</v>
      </c>
      <c r="E2130" t="s">
        <v>2660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2472</v>
      </c>
      <c r="B2131" t="s">
        <v>183</v>
      </c>
      <c r="C2131" t="s">
        <v>78</v>
      </c>
      <c r="D2131" t="s">
        <v>78</v>
      </c>
      <c r="E2131" t="s">
        <v>184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2664</v>
      </c>
      <c r="B2132" t="s">
        <v>2665</v>
      </c>
      <c r="C2132" t="s">
        <v>78</v>
      </c>
      <c r="D2132" t="s">
        <v>2666</v>
      </c>
      <c r="E2132" t="s">
        <v>401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2664</v>
      </c>
      <c r="B2133" t="s">
        <v>2667</v>
      </c>
      <c r="C2133" t="s">
        <v>78</v>
      </c>
      <c r="D2133" t="s">
        <v>2666</v>
      </c>
      <c r="E2133" t="s">
        <v>256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2664</v>
      </c>
      <c r="B2134" t="s">
        <v>2668</v>
      </c>
      <c r="C2134" t="s">
        <v>78</v>
      </c>
      <c r="D2134" t="s">
        <v>2669</v>
      </c>
      <c r="E2134" t="s">
        <v>256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2664</v>
      </c>
      <c r="B2135" t="s">
        <v>1159</v>
      </c>
      <c r="C2135" t="s">
        <v>78</v>
      </c>
      <c r="D2135" t="s">
        <v>2670</v>
      </c>
      <c r="E2135" t="s">
        <v>253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2664</v>
      </c>
      <c r="B2136" t="s">
        <v>449</v>
      </c>
      <c r="C2136" t="s">
        <v>78</v>
      </c>
      <c r="D2136" t="s">
        <v>2671</v>
      </c>
      <c r="E2136" t="s">
        <v>308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2664</v>
      </c>
      <c r="B2137" t="s">
        <v>449</v>
      </c>
      <c r="C2137" t="s">
        <v>78</v>
      </c>
      <c r="D2137" t="s">
        <v>2671</v>
      </c>
      <c r="E2137" t="s">
        <v>308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2664</v>
      </c>
      <c r="B2138" t="s">
        <v>2672</v>
      </c>
      <c r="C2138" t="s">
        <v>78</v>
      </c>
      <c r="D2138" t="s">
        <v>2673</v>
      </c>
      <c r="E2138" t="s">
        <v>366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2664</v>
      </c>
      <c r="B2139" t="s">
        <v>2674</v>
      </c>
      <c r="C2139" t="s">
        <v>78</v>
      </c>
      <c r="D2139" t="s">
        <v>2675</v>
      </c>
      <c r="E2139" t="s">
        <v>366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2664</v>
      </c>
      <c r="B2140" t="s">
        <v>2676</v>
      </c>
      <c r="C2140" t="s">
        <v>78</v>
      </c>
      <c r="D2140" t="s">
        <v>2677</v>
      </c>
      <c r="E2140" t="s">
        <v>214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2664</v>
      </c>
      <c r="B2141" t="s">
        <v>2678</v>
      </c>
      <c r="C2141" t="s">
        <v>78</v>
      </c>
      <c r="D2141" t="s">
        <v>2679</v>
      </c>
      <c r="E2141" t="s">
        <v>964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2664</v>
      </c>
      <c r="B2142" t="s">
        <v>2668</v>
      </c>
      <c r="C2142" t="s">
        <v>78</v>
      </c>
      <c r="D2142" t="s">
        <v>2669</v>
      </c>
      <c r="E2142" t="s">
        <v>256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2664</v>
      </c>
      <c r="B2143" t="s">
        <v>474</v>
      </c>
      <c r="C2143" t="s">
        <v>78</v>
      </c>
      <c r="D2143" t="s">
        <v>2509</v>
      </c>
      <c r="E2143" t="s">
        <v>437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2664</v>
      </c>
      <c r="B2144" t="s">
        <v>126</v>
      </c>
      <c r="C2144" t="s">
        <v>78</v>
      </c>
      <c r="D2144" t="s">
        <v>2680</v>
      </c>
      <c r="E2144" t="s">
        <v>401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2664</v>
      </c>
      <c r="B2145" t="s">
        <v>2681</v>
      </c>
      <c r="C2145" t="s">
        <v>78</v>
      </c>
      <c r="D2145" t="s">
        <v>2682</v>
      </c>
      <c r="E2145" t="s">
        <v>258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2664</v>
      </c>
      <c r="B2146" t="s">
        <v>2549</v>
      </c>
      <c r="C2146" t="s">
        <v>78</v>
      </c>
      <c r="D2146" t="s">
        <v>2683</v>
      </c>
      <c r="E2146" t="s">
        <v>212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2664</v>
      </c>
      <c r="B2147" t="s">
        <v>2684</v>
      </c>
      <c r="C2147" t="s">
        <v>78</v>
      </c>
      <c r="D2147" t="s">
        <v>2685</v>
      </c>
      <c r="E2147" t="s">
        <v>258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2664</v>
      </c>
      <c r="B2148" t="s">
        <v>2686</v>
      </c>
      <c r="C2148" t="s">
        <v>78</v>
      </c>
      <c r="D2148" t="s">
        <v>2687</v>
      </c>
      <c r="E2148" t="s">
        <v>258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2664</v>
      </c>
      <c r="B2149" t="s">
        <v>2688</v>
      </c>
      <c r="C2149" t="s">
        <v>78</v>
      </c>
      <c r="D2149" t="s">
        <v>2689</v>
      </c>
      <c r="E2149" t="s">
        <v>258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2664</v>
      </c>
      <c r="B2150" t="s">
        <v>2690</v>
      </c>
      <c r="C2150" t="s">
        <v>78</v>
      </c>
      <c r="D2150" t="s">
        <v>2666</v>
      </c>
      <c r="E2150" t="s">
        <v>258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2664</v>
      </c>
      <c r="B2151" t="s">
        <v>2691</v>
      </c>
      <c r="C2151" t="s">
        <v>78</v>
      </c>
      <c r="D2151" t="s">
        <v>2692</v>
      </c>
      <c r="E2151" t="s">
        <v>258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2664</v>
      </c>
      <c r="B2152" t="s">
        <v>2693</v>
      </c>
      <c r="C2152" t="s">
        <v>78</v>
      </c>
      <c r="D2152" t="s">
        <v>2694</v>
      </c>
      <c r="E2152" t="s">
        <v>258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2664</v>
      </c>
      <c r="B2153" t="s">
        <v>2695</v>
      </c>
      <c r="C2153" t="s">
        <v>78</v>
      </c>
      <c r="D2153" t="s">
        <v>2696</v>
      </c>
      <c r="E2153" t="s">
        <v>258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2664</v>
      </c>
      <c r="B2154" t="s">
        <v>2697</v>
      </c>
      <c r="C2154" t="s">
        <v>78</v>
      </c>
      <c r="D2154" t="s">
        <v>2682</v>
      </c>
      <c r="E2154" t="s">
        <v>212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2664</v>
      </c>
      <c r="B2155" t="s">
        <v>2578</v>
      </c>
      <c r="C2155" t="s">
        <v>78</v>
      </c>
      <c r="D2155" t="s">
        <v>2683</v>
      </c>
      <c r="E2155" t="s">
        <v>256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2664</v>
      </c>
      <c r="B2156" t="s">
        <v>2698</v>
      </c>
      <c r="C2156" t="s">
        <v>78</v>
      </c>
      <c r="D2156" t="s">
        <v>2699</v>
      </c>
      <c r="E2156" t="s">
        <v>256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2664</v>
      </c>
      <c r="B2157" t="s">
        <v>2700</v>
      </c>
      <c r="C2157" t="s">
        <v>78</v>
      </c>
      <c r="D2157" t="s">
        <v>2685</v>
      </c>
      <c r="E2157" t="s">
        <v>212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2664</v>
      </c>
      <c r="B2158" t="s">
        <v>2701</v>
      </c>
      <c r="C2158" t="s">
        <v>78</v>
      </c>
      <c r="D2158" t="s">
        <v>2687</v>
      </c>
      <c r="E2158" t="s">
        <v>418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2664</v>
      </c>
      <c r="B2159" t="s">
        <v>2702</v>
      </c>
      <c r="C2159" t="s">
        <v>78</v>
      </c>
      <c r="D2159" t="s">
        <v>2689</v>
      </c>
      <c r="E2159" t="s">
        <v>418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2664</v>
      </c>
      <c r="B2160" t="s">
        <v>2665</v>
      </c>
      <c r="C2160" t="s">
        <v>78</v>
      </c>
      <c r="D2160" t="s">
        <v>2666</v>
      </c>
      <c r="E2160" t="s">
        <v>401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2664</v>
      </c>
      <c r="B2161" t="s">
        <v>2703</v>
      </c>
      <c r="C2161" t="s">
        <v>78</v>
      </c>
      <c r="D2161" t="s">
        <v>2692</v>
      </c>
      <c r="E2161" t="s">
        <v>418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2664</v>
      </c>
      <c r="B2162" t="s">
        <v>2704</v>
      </c>
      <c r="C2162" t="s">
        <v>78</v>
      </c>
      <c r="D2162" t="s">
        <v>2694</v>
      </c>
      <c r="E2162" t="s">
        <v>418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2664</v>
      </c>
      <c r="B2163" t="s">
        <v>2705</v>
      </c>
      <c r="C2163" t="s">
        <v>78</v>
      </c>
      <c r="D2163" t="s">
        <v>2696</v>
      </c>
      <c r="E2163" t="s">
        <v>418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2664</v>
      </c>
      <c r="B2164" t="s">
        <v>2706</v>
      </c>
      <c r="C2164" t="s">
        <v>78</v>
      </c>
      <c r="D2164" t="s">
        <v>2682</v>
      </c>
      <c r="E2164" t="s">
        <v>272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2664</v>
      </c>
      <c r="B2165" t="s">
        <v>2598</v>
      </c>
      <c r="C2165" t="s">
        <v>78</v>
      </c>
      <c r="D2165" t="s">
        <v>2699</v>
      </c>
      <c r="E2165" t="s">
        <v>272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2664</v>
      </c>
      <c r="B2166" t="s">
        <v>2707</v>
      </c>
      <c r="C2166" t="s">
        <v>78</v>
      </c>
      <c r="D2166" t="s">
        <v>2685</v>
      </c>
      <c r="E2166" t="s">
        <v>272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2664</v>
      </c>
      <c r="B2167" t="s">
        <v>2708</v>
      </c>
      <c r="C2167" t="s">
        <v>78</v>
      </c>
      <c r="D2167" t="s">
        <v>2687</v>
      </c>
      <c r="E2167" t="s">
        <v>256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2664</v>
      </c>
      <c r="B2168" t="s">
        <v>2709</v>
      </c>
      <c r="C2168" t="s">
        <v>78</v>
      </c>
      <c r="D2168" t="s">
        <v>2689</v>
      </c>
      <c r="E2168" t="s">
        <v>256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2664</v>
      </c>
      <c r="B2169" t="s">
        <v>2667</v>
      </c>
      <c r="C2169" t="s">
        <v>78</v>
      </c>
      <c r="D2169" t="s">
        <v>2666</v>
      </c>
      <c r="E2169" t="s">
        <v>256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2664</v>
      </c>
      <c r="B2170" t="s">
        <v>2710</v>
      </c>
      <c r="C2170" t="s">
        <v>78</v>
      </c>
      <c r="D2170" t="s">
        <v>2692</v>
      </c>
      <c r="E2170" t="s">
        <v>256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2664</v>
      </c>
      <c r="B2171" t="s">
        <v>2711</v>
      </c>
      <c r="C2171" t="s">
        <v>78</v>
      </c>
      <c r="D2171" t="s">
        <v>2694</v>
      </c>
      <c r="E2171" t="s">
        <v>256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2664</v>
      </c>
      <c r="B2172" t="s">
        <v>2712</v>
      </c>
      <c r="C2172" t="s">
        <v>78</v>
      </c>
      <c r="D2172" t="s">
        <v>2696</v>
      </c>
      <c r="E2172" t="s">
        <v>256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2664</v>
      </c>
      <c r="B2173" t="s">
        <v>2713</v>
      </c>
      <c r="C2173" t="s">
        <v>78</v>
      </c>
      <c r="D2173" t="s">
        <v>2682</v>
      </c>
      <c r="E2173" t="s">
        <v>218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2664</v>
      </c>
      <c r="B2174" t="s">
        <v>2714</v>
      </c>
      <c r="C2174" t="s">
        <v>78</v>
      </c>
      <c r="D2174" t="s">
        <v>2699</v>
      </c>
      <c r="E2174" t="s">
        <v>267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2664</v>
      </c>
      <c r="B2175" t="s">
        <v>2715</v>
      </c>
      <c r="C2175" t="s">
        <v>78</v>
      </c>
      <c r="D2175" t="s">
        <v>2685</v>
      </c>
      <c r="E2175" t="s">
        <v>218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2664</v>
      </c>
      <c r="B2176" t="s">
        <v>2716</v>
      </c>
      <c r="C2176" t="s">
        <v>78</v>
      </c>
      <c r="D2176" t="s">
        <v>2687</v>
      </c>
      <c r="E2176" t="s">
        <v>218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2664</v>
      </c>
      <c r="B2177" t="s">
        <v>2717</v>
      </c>
      <c r="C2177" t="s">
        <v>78</v>
      </c>
      <c r="D2177" t="s">
        <v>2689</v>
      </c>
      <c r="E2177" t="s">
        <v>366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2664</v>
      </c>
      <c r="B2178" t="s">
        <v>2718</v>
      </c>
      <c r="C2178" t="s">
        <v>78</v>
      </c>
      <c r="D2178" t="s">
        <v>2666</v>
      </c>
      <c r="E2178" t="s">
        <v>366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2664</v>
      </c>
      <c r="B2179" t="s">
        <v>2719</v>
      </c>
      <c r="C2179" t="s">
        <v>78</v>
      </c>
      <c r="D2179" t="s">
        <v>2692</v>
      </c>
      <c r="E2179" t="s">
        <v>366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2664</v>
      </c>
      <c r="B2180" t="s">
        <v>2720</v>
      </c>
      <c r="C2180" t="s">
        <v>78</v>
      </c>
      <c r="D2180" t="s">
        <v>2694</v>
      </c>
      <c r="E2180" t="s">
        <v>366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2664</v>
      </c>
      <c r="B2181" t="s">
        <v>2721</v>
      </c>
      <c r="C2181" t="s">
        <v>78</v>
      </c>
      <c r="D2181" t="s">
        <v>2696</v>
      </c>
      <c r="E2181" t="s">
        <v>366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2664</v>
      </c>
      <c r="B2182" t="s">
        <v>142</v>
      </c>
      <c r="C2182" t="s">
        <v>78</v>
      </c>
      <c r="D2182" t="s">
        <v>2722</v>
      </c>
      <c r="E2182" t="s">
        <v>888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2664</v>
      </c>
      <c r="B2183" t="s">
        <v>1159</v>
      </c>
      <c r="C2183" t="s">
        <v>78</v>
      </c>
      <c r="D2183" t="s">
        <v>2670</v>
      </c>
      <c r="E2183" t="s">
        <v>253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2664</v>
      </c>
      <c r="B2184" t="s">
        <v>667</v>
      </c>
      <c r="C2184" t="s">
        <v>78</v>
      </c>
      <c r="D2184" t="s">
        <v>2723</v>
      </c>
      <c r="E2184" t="s">
        <v>437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2664</v>
      </c>
      <c r="B2185" t="s">
        <v>714</v>
      </c>
      <c r="C2185" t="s">
        <v>78</v>
      </c>
      <c r="D2185" t="s">
        <v>2724</v>
      </c>
      <c r="E2185" t="s">
        <v>269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2664</v>
      </c>
      <c r="B2186" t="s">
        <v>2725</v>
      </c>
      <c r="C2186" t="s">
        <v>78</v>
      </c>
      <c r="D2186" t="s">
        <v>2726</v>
      </c>
      <c r="E2186" t="s">
        <v>253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2664</v>
      </c>
      <c r="B2187" t="s">
        <v>2727</v>
      </c>
      <c r="C2187" t="s">
        <v>78</v>
      </c>
      <c r="D2187" t="s">
        <v>2726</v>
      </c>
      <c r="E2187" t="s">
        <v>253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2664</v>
      </c>
      <c r="B2188" t="s">
        <v>573</v>
      </c>
      <c r="C2188" t="s">
        <v>78</v>
      </c>
      <c r="D2188" t="s">
        <v>78</v>
      </c>
      <c r="E2188" t="s">
        <v>287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2664</v>
      </c>
      <c r="B2189" t="s">
        <v>2728</v>
      </c>
      <c r="C2189" t="s">
        <v>78</v>
      </c>
      <c r="D2189" t="s">
        <v>2726</v>
      </c>
      <c r="E2189" t="s">
        <v>269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2664</v>
      </c>
      <c r="B2190" t="s">
        <v>2729</v>
      </c>
      <c r="C2190" t="s">
        <v>78</v>
      </c>
      <c r="D2190" t="s">
        <v>2726</v>
      </c>
      <c r="E2190" t="s">
        <v>269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2664</v>
      </c>
      <c r="B2191" t="s">
        <v>2730</v>
      </c>
      <c r="C2191" t="s">
        <v>78</v>
      </c>
      <c r="D2191" t="s">
        <v>2731</v>
      </c>
      <c r="E2191" t="s">
        <v>401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2664</v>
      </c>
      <c r="B2192" t="s">
        <v>642</v>
      </c>
      <c r="C2192" t="s">
        <v>78</v>
      </c>
      <c r="D2192" t="s">
        <v>78</v>
      </c>
      <c r="E2192" t="s">
        <v>252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2664</v>
      </c>
      <c r="B2193" t="s">
        <v>229</v>
      </c>
      <c r="C2193" t="s">
        <v>78</v>
      </c>
      <c r="D2193" t="s">
        <v>78</v>
      </c>
      <c r="E2193" t="s">
        <v>252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2664</v>
      </c>
      <c r="B2194" t="s">
        <v>643</v>
      </c>
      <c r="C2194" t="s">
        <v>78</v>
      </c>
      <c r="D2194" t="s">
        <v>78</v>
      </c>
      <c r="E2194" t="s">
        <v>252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2664</v>
      </c>
      <c r="B2195" t="s">
        <v>706</v>
      </c>
      <c r="C2195" t="s">
        <v>78</v>
      </c>
      <c r="D2195" t="s">
        <v>78</v>
      </c>
      <c r="E2195" t="s">
        <v>207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2664</v>
      </c>
      <c r="B2196" t="s">
        <v>230</v>
      </c>
      <c r="C2196" t="s">
        <v>78</v>
      </c>
      <c r="D2196" t="s">
        <v>78</v>
      </c>
      <c r="E2196" t="s">
        <v>252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2664</v>
      </c>
      <c r="B2197" t="s">
        <v>231</v>
      </c>
      <c r="C2197" t="s">
        <v>78</v>
      </c>
      <c r="D2197" t="s">
        <v>78</v>
      </c>
      <c r="E2197" t="s">
        <v>252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2664</v>
      </c>
      <c r="B2198" t="s">
        <v>238</v>
      </c>
      <c r="C2198" t="s">
        <v>78</v>
      </c>
      <c r="D2198" t="s">
        <v>78</v>
      </c>
      <c r="E2198" t="s">
        <v>235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2664</v>
      </c>
      <c r="B2199" t="s">
        <v>181</v>
      </c>
      <c r="C2199" t="s">
        <v>78</v>
      </c>
      <c r="D2199" t="s">
        <v>78</v>
      </c>
      <c r="E2199" t="s">
        <v>286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2664</v>
      </c>
      <c r="B2200" t="s">
        <v>242</v>
      </c>
      <c r="C2200" t="s">
        <v>78</v>
      </c>
      <c r="D2200" t="s">
        <v>78</v>
      </c>
      <c r="E2200" t="s">
        <v>197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2664</v>
      </c>
      <c r="B2201" t="s">
        <v>183</v>
      </c>
      <c r="C2201" t="s">
        <v>78</v>
      </c>
      <c r="D2201" t="s">
        <v>78</v>
      </c>
      <c r="E2201" t="s">
        <v>184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2735</v>
      </c>
      <c r="B2202" t="s">
        <v>2736</v>
      </c>
      <c r="C2202" t="s">
        <v>78</v>
      </c>
      <c r="D2202" t="s">
        <v>2737</v>
      </c>
      <c r="E2202" t="s">
        <v>268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2735</v>
      </c>
      <c r="B2203" t="s">
        <v>192</v>
      </c>
      <c r="C2203" t="s">
        <v>78</v>
      </c>
      <c r="D2203" t="s">
        <v>2738</v>
      </c>
      <c r="E2203" t="s">
        <v>252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2735</v>
      </c>
      <c r="B2204" t="s">
        <v>2739</v>
      </c>
      <c r="C2204" t="s">
        <v>78</v>
      </c>
      <c r="D2204" t="s">
        <v>2740</v>
      </c>
      <c r="E2204" t="s">
        <v>253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2735</v>
      </c>
      <c r="B2205" t="s">
        <v>402</v>
      </c>
      <c r="C2205" t="s">
        <v>78</v>
      </c>
      <c r="D2205" t="s">
        <v>2741</v>
      </c>
      <c r="E2205" t="s">
        <v>202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2735</v>
      </c>
      <c r="B2206" t="s">
        <v>1459</v>
      </c>
      <c r="C2206" t="s">
        <v>78</v>
      </c>
      <c r="D2206" t="s">
        <v>2742</v>
      </c>
      <c r="E2206" t="s">
        <v>888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2735</v>
      </c>
      <c r="B2207" t="s">
        <v>1461</v>
      </c>
      <c r="C2207" t="s">
        <v>78</v>
      </c>
      <c r="D2207" t="s">
        <v>2743</v>
      </c>
      <c r="E2207" t="s">
        <v>401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2735</v>
      </c>
      <c r="B2208" t="s">
        <v>198</v>
      </c>
      <c r="C2208" t="s">
        <v>78</v>
      </c>
      <c r="D2208" t="s">
        <v>2744</v>
      </c>
      <c r="E2208" t="s">
        <v>212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2735</v>
      </c>
      <c r="B2209" t="s">
        <v>1449</v>
      </c>
      <c r="C2209" t="s">
        <v>78</v>
      </c>
      <c r="D2209" t="s">
        <v>2745</v>
      </c>
      <c r="E2209" t="s">
        <v>256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2735</v>
      </c>
      <c r="B2210" t="s">
        <v>1465</v>
      </c>
      <c r="C2210" t="s">
        <v>78</v>
      </c>
      <c r="D2210" t="s">
        <v>2746</v>
      </c>
      <c r="E2210" t="s">
        <v>272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2735</v>
      </c>
      <c r="B2211" t="s">
        <v>314</v>
      </c>
      <c r="C2211" t="s">
        <v>78</v>
      </c>
      <c r="D2211" t="s">
        <v>2747</v>
      </c>
      <c r="E2211" t="s">
        <v>254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2735</v>
      </c>
      <c r="B2212" t="s">
        <v>1516</v>
      </c>
      <c r="C2212" t="s">
        <v>78</v>
      </c>
      <c r="D2212" t="s">
        <v>78</v>
      </c>
      <c r="E2212" t="s">
        <v>256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2735</v>
      </c>
      <c r="B2213" t="s">
        <v>2748</v>
      </c>
      <c r="C2213" t="s">
        <v>78</v>
      </c>
      <c r="D2213" t="s">
        <v>78</v>
      </c>
      <c r="E2213" t="s">
        <v>241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2735</v>
      </c>
      <c r="B2214" t="s">
        <v>2749</v>
      </c>
      <c r="C2214" t="s">
        <v>78</v>
      </c>
      <c r="D2214" t="s">
        <v>78</v>
      </c>
      <c r="E2214" t="s">
        <v>286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2735</v>
      </c>
      <c r="B2215" t="s">
        <v>2750</v>
      </c>
      <c r="C2215" t="s">
        <v>78</v>
      </c>
      <c r="D2215" t="s">
        <v>78</v>
      </c>
      <c r="E2215" t="s">
        <v>235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2735</v>
      </c>
      <c r="B2216" t="s">
        <v>2751</v>
      </c>
      <c r="C2216" t="s">
        <v>78</v>
      </c>
      <c r="D2216" t="s">
        <v>78</v>
      </c>
      <c r="E2216" t="s">
        <v>252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2735</v>
      </c>
      <c r="B2217" t="s">
        <v>2752</v>
      </c>
      <c r="C2217" t="s">
        <v>78</v>
      </c>
      <c r="D2217" t="s">
        <v>2753</v>
      </c>
      <c r="E2217" t="s">
        <v>235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2735</v>
      </c>
      <c r="B2218" t="s">
        <v>2754</v>
      </c>
      <c r="C2218" t="s">
        <v>78</v>
      </c>
      <c r="D2218" t="s">
        <v>2753</v>
      </c>
      <c r="E2218" t="s">
        <v>235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2735</v>
      </c>
      <c r="B2219" t="s">
        <v>2755</v>
      </c>
      <c r="C2219" t="s">
        <v>78</v>
      </c>
      <c r="D2219" t="s">
        <v>2753</v>
      </c>
      <c r="E2219" t="s">
        <v>235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2735</v>
      </c>
      <c r="B2220" t="s">
        <v>2756</v>
      </c>
      <c r="C2220" t="s">
        <v>78</v>
      </c>
      <c r="D2220" t="s">
        <v>2753</v>
      </c>
      <c r="E2220" t="s">
        <v>235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2735</v>
      </c>
      <c r="B2221" t="s">
        <v>2757</v>
      </c>
      <c r="C2221" t="s">
        <v>78</v>
      </c>
      <c r="D2221" t="s">
        <v>2753</v>
      </c>
      <c r="E2221" t="s">
        <v>235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2735</v>
      </c>
      <c r="B2222" t="s">
        <v>2758</v>
      </c>
      <c r="C2222" t="s">
        <v>78</v>
      </c>
      <c r="D2222" t="s">
        <v>2753</v>
      </c>
      <c r="E2222" t="s">
        <v>235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2735</v>
      </c>
      <c r="B2223" t="s">
        <v>2759</v>
      </c>
      <c r="C2223" t="s">
        <v>78</v>
      </c>
      <c r="D2223" t="s">
        <v>2753</v>
      </c>
      <c r="E2223" t="s">
        <v>235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2735</v>
      </c>
      <c r="B2224" t="s">
        <v>2760</v>
      </c>
      <c r="C2224" t="s">
        <v>78</v>
      </c>
      <c r="D2224" t="s">
        <v>2761</v>
      </c>
      <c r="E2224" t="s">
        <v>214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2735</v>
      </c>
      <c r="B2225" t="s">
        <v>2762</v>
      </c>
      <c r="C2225" t="s">
        <v>78</v>
      </c>
      <c r="D2225" t="s">
        <v>2761</v>
      </c>
      <c r="E2225" t="s">
        <v>272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2735</v>
      </c>
      <c r="B2226" t="s">
        <v>2763</v>
      </c>
      <c r="C2226" t="s">
        <v>78</v>
      </c>
      <c r="D2226" t="s">
        <v>2761</v>
      </c>
      <c r="E2226" t="s">
        <v>256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2735</v>
      </c>
      <c r="B2227" t="s">
        <v>2764</v>
      </c>
      <c r="C2227" t="s">
        <v>78</v>
      </c>
      <c r="D2227" t="s">
        <v>2761</v>
      </c>
      <c r="E2227" t="s">
        <v>212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2735</v>
      </c>
      <c r="B2228" t="s">
        <v>2765</v>
      </c>
      <c r="C2228" t="s">
        <v>78</v>
      </c>
      <c r="D2228" t="s">
        <v>2761</v>
      </c>
      <c r="E2228" t="s">
        <v>401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2735</v>
      </c>
      <c r="B2229" t="s">
        <v>2766</v>
      </c>
      <c r="C2229" t="s">
        <v>78</v>
      </c>
      <c r="D2229" t="s">
        <v>2761</v>
      </c>
      <c r="E2229" t="s">
        <v>258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2735</v>
      </c>
      <c r="B2230" t="s">
        <v>2767</v>
      </c>
      <c r="C2230" t="s">
        <v>78</v>
      </c>
      <c r="D2230" t="s">
        <v>2761</v>
      </c>
      <c r="E2230" t="s">
        <v>636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2735</v>
      </c>
      <c r="B2231" t="s">
        <v>2768</v>
      </c>
      <c r="C2231" t="s">
        <v>78</v>
      </c>
      <c r="D2231" t="s">
        <v>2761</v>
      </c>
      <c r="E2231" t="s">
        <v>202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2735</v>
      </c>
      <c r="B2232" t="s">
        <v>2769</v>
      </c>
      <c r="C2232" t="s">
        <v>78</v>
      </c>
      <c r="D2232" t="s">
        <v>78</v>
      </c>
      <c r="E2232" t="s">
        <v>197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2735</v>
      </c>
      <c r="B2233" t="s">
        <v>2770</v>
      </c>
      <c r="C2233" t="s">
        <v>78</v>
      </c>
      <c r="D2233" t="s">
        <v>2771</v>
      </c>
      <c r="E2233" t="s">
        <v>214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2735</v>
      </c>
      <c r="B2234" t="s">
        <v>2772</v>
      </c>
      <c r="C2234" t="s">
        <v>78</v>
      </c>
      <c r="D2234" t="s">
        <v>2771</v>
      </c>
      <c r="E2234" t="s">
        <v>401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2735</v>
      </c>
      <c r="B2235" t="s">
        <v>167</v>
      </c>
      <c r="C2235" t="s">
        <v>78</v>
      </c>
      <c r="D2235" t="s">
        <v>78</v>
      </c>
      <c r="E2235" t="s">
        <v>575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2735</v>
      </c>
      <c r="B2236" t="s">
        <v>170</v>
      </c>
      <c r="C2236" t="s">
        <v>78</v>
      </c>
      <c r="D2236" t="s">
        <v>78</v>
      </c>
      <c r="E2236" t="s">
        <v>575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2735</v>
      </c>
      <c r="B2237" t="s">
        <v>325</v>
      </c>
      <c r="C2237" t="s">
        <v>78</v>
      </c>
      <c r="D2237" t="s">
        <v>78</v>
      </c>
      <c r="E2237" t="s">
        <v>235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2735</v>
      </c>
      <c r="B2238" t="s">
        <v>178</v>
      </c>
      <c r="C2238" t="s">
        <v>78</v>
      </c>
      <c r="D2238" t="s">
        <v>78</v>
      </c>
      <c r="E2238" t="s">
        <v>182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2735</v>
      </c>
      <c r="B2239" t="s">
        <v>238</v>
      </c>
      <c r="C2239" t="s">
        <v>78</v>
      </c>
      <c r="D2239" t="s">
        <v>78</v>
      </c>
      <c r="E2239" t="s">
        <v>286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2735</v>
      </c>
      <c r="B2240" t="s">
        <v>179</v>
      </c>
      <c r="C2240" t="s">
        <v>78</v>
      </c>
      <c r="D2240" t="s">
        <v>78</v>
      </c>
      <c r="E2240" t="s">
        <v>235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2735</v>
      </c>
      <c r="B2241" t="s">
        <v>180</v>
      </c>
      <c r="C2241" t="s">
        <v>78</v>
      </c>
      <c r="D2241" t="s">
        <v>78</v>
      </c>
      <c r="E2241" t="s">
        <v>286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2735</v>
      </c>
      <c r="B2242" t="s">
        <v>181</v>
      </c>
      <c r="C2242" t="s">
        <v>78</v>
      </c>
      <c r="D2242" t="s">
        <v>78</v>
      </c>
      <c r="E2242" t="s">
        <v>241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2735</v>
      </c>
      <c r="B2243" t="s">
        <v>2773</v>
      </c>
      <c r="C2243" t="s">
        <v>78</v>
      </c>
      <c r="D2243" t="s">
        <v>78</v>
      </c>
      <c r="E2243" t="s">
        <v>214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2735</v>
      </c>
      <c r="B2244" t="s">
        <v>183</v>
      </c>
      <c r="C2244" t="s">
        <v>78</v>
      </c>
      <c r="D2244" t="s">
        <v>78</v>
      </c>
      <c r="E2244" t="s">
        <v>184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2776</v>
      </c>
      <c r="B2245" t="s">
        <v>672</v>
      </c>
      <c r="C2245" t="s">
        <v>78</v>
      </c>
      <c r="D2245" t="s">
        <v>2777</v>
      </c>
      <c r="E2245" t="s">
        <v>202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2776</v>
      </c>
      <c r="B2246" t="s">
        <v>912</v>
      </c>
      <c r="C2246" t="s">
        <v>78</v>
      </c>
      <c r="D2246" t="s">
        <v>2778</v>
      </c>
      <c r="E2246" t="s">
        <v>258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2776</v>
      </c>
      <c r="B2247" t="s">
        <v>2779</v>
      </c>
      <c r="C2247" t="s">
        <v>78</v>
      </c>
      <c r="D2247" t="s">
        <v>2777</v>
      </c>
      <c r="E2247" t="s">
        <v>442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2776</v>
      </c>
      <c r="B2248" t="s">
        <v>908</v>
      </c>
      <c r="C2248" t="s">
        <v>78</v>
      </c>
      <c r="D2248" t="s">
        <v>2777</v>
      </c>
      <c r="E2248" t="s">
        <v>636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2776</v>
      </c>
      <c r="B2249" t="s">
        <v>2780</v>
      </c>
      <c r="C2249" t="s">
        <v>78</v>
      </c>
      <c r="D2249" t="s">
        <v>2781</v>
      </c>
      <c r="E2249" t="s">
        <v>2017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2776</v>
      </c>
      <c r="B2250" t="s">
        <v>2782</v>
      </c>
      <c r="C2250" t="s">
        <v>78</v>
      </c>
      <c r="D2250" t="s">
        <v>2783</v>
      </c>
      <c r="E2250" t="s">
        <v>2784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2776</v>
      </c>
      <c r="B2251" t="s">
        <v>2780</v>
      </c>
      <c r="C2251" t="s">
        <v>78</v>
      </c>
      <c r="D2251" t="s">
        <v>2781</v>
      </c>
      <c r="E2251" t="s">
        <v>582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2776</v>
      </c>
      <c r="B2252" t="s">
        <v>474</v>
      </c>
      <c r="C2252" t="s">
        <v>78</v>
      </c>
      <c r="D2252" t="s">
        <v>2785</v>
      </c>
      <c r="E2252" t="s">
        <v>401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2776</v>
      </c>
      <c r="B2253" t="s">
        <v>472</v>
      </c>
      <c r="C2253" t="s">
        <v>78</v>
      </c>
      <c r="D2253" t="s">
        <v>2786</v>
      </c>
      <c r="E2253" t="s">
        <v>437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2776</v>
      </c>
      <c r="B2254" t="s">
        <v>619</v>
      </c>
      <c r="C2254" t="s">
        <v>78</v>
      </c>
      <c r="D2254" t="s">
        <v>2787</v>
      </c>
      <c r="E2254" t="s">
        <v>456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2776</v>
      </c>
      <c r="B2255" t="s">
        <v>2788</v>
      </c>
      <c r="C2255" t="s">
        <v>78</v>
      </c>
      <c r="D2255" t="s">
        <v>2787</v>
      </c>
      <c r="E2255" t="s">
        <v>272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2776</v>
      </c>
      <c r="B2256" t="s">
        <v>625</v>
      </c>
      <c r="C2256" t="s">
        <v>78</v>
      </c>
      <c r="D2256" t="s">
        <v>2787</v>
      </c>
      <c r="E2256" t="s">
        <v>466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2776</v>
      </c>
      <c r="B2257" t="s">
        <v>627</v>
      </c>
      <c r="C2257" t="s">
        <v>78</v>
      </c>
      <c r="D2257" t="s">
        <v>2787</v>
      </c>
      <c r="E2257" t="s">
        <v>212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2776</v>
      </c>
      <c r="B2258" t="s">
        <v>2789</v>
      </c>
      <c r="C2258" t="s">
        <v>78</v>
      </c>
      <c r="D2258" t="s">
        <v>2787</v>
      </c>
      <c r="E2258" t="s">
        <v>272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2776</v>
      </c>
      <c r="B2259" t="s">
        <v>2200</v>
      </c>
      <c r="C2259" t="s">
        <v>78</v>
      </c>
      <c r="D2259" t="s">
        <v>2790</v>
      </c>
      <c r="E2259" t="s">
        <v>254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2776</v>
      </c>
      <c r="B2260" t="s">
        <v>624</v>
      </c>
      <c r="C2260" t="s">
        <v>78</v>
      </c>
      <c r="D2260" t="s">
        <v>2787</v>
      </c>
      <c r="E2260" t="s">
        <v>272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2776</v>
      </c>
      <c r="B2261" t="s">
        <v>626</v>
      </c>
      <c r="C2261" t="s">
        <v>78</v>
      </c>
      <c r="D2261" t="s">
        <v>2787</v>
      </c>
      <c r="E2261" t="s">
        <v>505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2776</v>
      </c>
      <c r="B2262" t="s">
        <v>667</v>
      </c>
      <c r="C2262" t="s">
        <v>78</v>
      </c>
      <c r="D2262" t="s">
        <v>2787</v>
      </c>
      <c r="E2262" t="s">
        <v>1841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2776</v>
      </c>
      <c r="B2263" t="s">
        <v>2791</v>
      </c>
      <c r="C2263" t="s">
        <v>78</v>
      </c>
      <c r="D2263" t="s">
        <v>2778</v>
      </c>
      <c r="E2263" t="s">
        <v>437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2776</v>
      </c>
      <c r="B2264" t="s">
        <v>918</v>
      </c>
      <c r="C2264" t="s">
        <v>78</v>
      </c>
      <c r="D2264" t="s">
        <v>78</v>
      </c>
      <c r="E2264" t="s">
        <v>212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2776</v>
      </c>
      <c r="B2265" t="s">
        <v>916</v>
      </c>
      <c r="C2265" t="s">
        <v>78</v>
      </c>
      <c r="D2265" t="s">
        <v>78</v>
      </c>
      <c r="E2265" t="s">
        <v>456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2776</v>
      </c>
      <c r="B2266" t="s">
        <v>912</v>
      </c>
      <c r="C2266" t="s">
        <v>78</v>
      </c>
      <c r="D2266" t="s">
        <v>2778</v>
      </c>
      <c r="E2266" t="s">
        <v>258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2776</v>
      </c>
      <c r="B2267" t="s">
        <v>914</v>
      </c>
      <c r="C2267" t="s">
        <v>78</v>
      </c>
      <c r="D2267" t="s">
        <v>78</v>
      </c>
      <c r="E2267" t="s">
        <v>212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2776</v>
      </c>
      <c r="B2268" t="s">
        <v>2779</v>
      </c>
      <c r="C2268" t="s">
        <v>78</v>
      </c>
      <c r="D2268" t="s">
        <v>2777</v>
      </c>
      <c r="E2268" t="s">
        <v>442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2776</v>
      </c>
      <c r="B2269" t="s">
        <v>911</v>
      </c>
      <c r="C2269" t="s">
        <v>78</v>
      </c>
      <c r="D2269" t="s">
        <v>78</v>
      </c>
      <c r="E2269" t="s">
        <v>401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2776</v>
      </c>
      <c r="B2270" t="s">
        <v>908</v>
      </c>
      <c r="C2270" t="s">
        <v>78</v>
      </c>
      <c r="D2270" t="s">
        <v>2777</v>
      </c>
      <c r="E2270" t="s">
        <v>636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2776</v>
      </c>
      <c r="B2271" t="s">
        <v>674</v>
      </c>
      <c r="C2271" t="s">
        <v>78</v>
      </c>
      <c r="D2271" t="s">
        <v>78</v>
      </c>
      <c r="E2271" t="s">
        <v>401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2776</v>
      </c>
      <c r="B2272" t="s">
        <v>676</v>
      </c>
      <c r="C2272" t="s">
        <v>78</v>
      </c>
      <c r="D2272" t="s">
        <v>78</v>
      </c>
      <c r="E2272" t="s">
        <v>505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2776</v>
      </c>
      <c r="B2273" t="s">
        <v>672</v>
      </c>
      <c r="C2273" t="s">
        <v>78</v>
      </c>
      <c r="D2273" t="s">
        <v>2777</v>
      </c>
      <c r="E2273" t="s">
        <v>202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2776</v>
      </c>
      <c r="B2274" t="s">
        <v>637</v>
      </c>
      <c r="C2274" t="s">
        <v>78</v>
      </c>
      <c r="D2274" t="s">
        <v>2792</v>
      </c>
      <c r="E2274" t="s">
        <v>202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2776</v>
      </c>
      <c r="B2275" t="s">
        <v>607</v>
      </c>
      <c r="C2275" t="s">
        <v>78</v>
      </c>
      <c r="D2275" t="s">
        <v>2792</v>
      </c>
      <c r="E2275" t="s">
        <v>582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2776</v>
      </c>
      <c r="B2276" t="s">
        <v>2793</v>
      </c>
      <c r="C2276" t="s">
        <v>78</v>
      </c>
      <c r="D2276" t="s">
        <v>2792</v>
      </c>
      <c r="E2276" t="s">
        <v>258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2776</v>
      </c>
      <c r="B2277" t="s">
        <v>609</v>
      </c>
      <c r="C2277" t="s">
        <v>78</v>
      </c>
      <c r="D2277" t="s">
        <v>2792</v>
      </c>
      <c r="E2277" t="s">
        <v>636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2776</v>
      </c>
      <c r="B2278" t="s">
        <v>2794</v>
      </c>
      <c r="C2278" t="s">
        <v>78</v>
      </c>
      <c r="D2278" t="s">
        <v>2795</v>
      </c>
      <c r="E2278" t="s">
        <v>202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2776</v>
      </c>
      <c r="B2279" t="s">
        <v>2412</v>
      </c>
      <c r="C2279" t="s">
        <v>78</v>
      </c>
      <c r="D2279" t="s">
        <v>2795</v>
      </c>
      <c r="E2279" t="s">
        <v>253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2776</v>
      </c>
      <c r="B2280" t="s">
        <v>2796</v>
      </c>
      <c r="C2280" t="s">
        <v>78</v>
      </c>
      <c r="D2280" t="s">
        <v>2795</v>
      </c>
      <c r="E2280" t="s">
        <v>636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2776</v>
      </c>
      <c r="B2281" t="s">
        <v>2797</v>
      </c>
      <c r="C2281" t="s">
        <v>78</v>
      </c>
      <c r="D2281" t="s">
        <v>78</v>
      </c>
      <c r="E2281" t="s">
        <v>254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2776</v>
      </c>
      <c r="B2282" t="s">
        <v>229</v>
      </c>
      <c r="C2282" t="s">
        <v>78</v>
      </c>
      <c r="D2282" t="s">
        <v>78</v>
      </c>
      <c r="E2282" t="s">
        <v>268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2776</v>
      </c>
      <c r="B2283" t="s">
        <v>230</v>
      </c>
      <c r="C2283" t="s">
        <v>78</v>
      </c>
      <c r="D2283" t="s">
        <v>78</v>
      </c>
      <c r="E2283" t="s">
        <v>268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2776</v>
      </c>
      <c r="B2284" t="s">
        <v>894</v>
      </c>
      <c r="C2284" t="s">
        <v>78</v>
      </c>
      <c r="D2284" t="s">
        <v>78</v>
      </c>
      <c r="E2284" t="s">
        <v>207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2776</v>
      </c>
      <c r="B2285" t="s">
        <v>167</v>
      </c>
      <c r="C2285" t="s">
        <v>78</v>
      </c>
      <c r="D2285" t="s">
        <v>78</v>
      </c>
      <c r="E2285" t="s">
        <v>207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2776</v>
      </c>
      <c r="B2286" t="s">
        <v>170</v>
      </c>
      <c r="C2286" t="s">
        <v>78</v>
      </c>
      <c r="D2286" t="s">
        <v>78</v>
      </c>
      <c r="E2286" t="s">
        <v>252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2776</v>
      </c>
      <c r="B2287" t="s">
        <v>2798</v>
      </c>
      <c r="C2287" t="s">
        <v>78</v>
      </c>
      <c r="D2287" t="s">
        <v>78</v>
      </c>
      <c r="E2287" t="s">
        <v>207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2776</v>
      </c>
      <c r="B2288" t="s">
        <v>234</v>
      </c>
      <c r="C2288" t="s">
        <v>78</v>
      </c>
      <c r="D2288" t="s">
        <v>78</v>
      </c>
      <c r="E2288" t="s">
        <v>279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2776</v>
      </c>
      <c r="B2289" t="s">
        <v>325</v>
      </c>
      <c r="C2289" t="s">
        <v>78</v>
      </c>
      <c r="D2289" t="s">
        <v>78</v>
      </c>
      <c r="E2289" t="s">
        <v>575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2776</v>
      </c>
      <c r="B2290" t="s">
        <v>178</v>
      </c>
      <c r="C2290" t="s">
        <v>78</v>
      </c>
      <c r="D2290" t="s">
        <v>78</v>
      </c>
      <c r="E2290" t="s">
        <v>575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2776</v>
      </c>
      <c r="B2291" t="s">
        <v>238</v>
      </c>
      <c r="C2291" t="s">
        <v>78</v>
      </c>
      <c r="D2291" t="s">
        <v>78</v>
      </c>
      <c r="E2291" t="s">
        <v>235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2776</v>
      </c>
      <c r="B2292" t="s">
        <v>180</v>
      </c>
      <c r="C2292" t="s">
        <v>78</v>
      </c>
      <c r="D2292" t="s">
        <v>78</v>
      </c>
      <c r="E2292" t="s">
        <v>279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2776</v>
      </c>
      <c r="B2293" t="s">
        <v>242</v>
      </c>
      <c r="C2293" t="s">
        <v>78</v>
      </c>
      <c r="D2293" t="s">
        <v>78</v>
      </c>
      <c r="E2293" t="s">
        <v>287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2776</v>
      </c>
      <c r="B2294" t="s">
        <v>2799</v>
      </c>
      <c r="C2294" t="s">
        <v>78</v>
      </c>
      <c r="D2294" t="s">
        <v>78</v>
      </c>
      <c r="E2294" t="s">
        <v>202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2776</v>
      </c>
      <c r="B2295" t="s">
        <v>183</v>
      </c>
      <c r="C2295" t="s">
        <v>78</v>
      </c>
      <c r="D2295" t="s">
        <v>78</v>
      </c>
      <c r="E2295" t="s">
        <v>184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2803</v>
      </c>
      <c r="B2296" t="s">
        <v>605</v>
      </c>
      <c r="C2296" t="s">
        <v>78</v>
      </c>
      <c r="D2296" t="s">
        <v>2804</v>
      </c>
      <c r="E2296" t="s">
        <v>197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2803</v>
      </c>
      <c r="B2297" t="s">
        <v>607</v>
      </c>
      <c r="C2297" t="s">
        <v>78</v>
      </c>
      <c r="D2297" t="s">
        <v>2805</v>
      </c>
      <c r="E2297" t="s">
        <v>554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2803</v>
      </c>
      <c r="B2298" t="s">
        <v>672</v>
      </c>
      <c r="C2298" t="s">
        <v>78</v>
      </c>
      <c r="D2298" t="s">
        <v>2805</v>
      </c>
      <c r="E2298" t="s">
        <v>253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2803</v>
      </c>
      <c r="B2299" t="s">
        <v>912</v>
      </c>
      <c r="C2299" t="s">
        <v>78</v>
      </c>
      <c r="D2299" t="s">
        <v>2805</v>
      </c>
      <c r="E2299" t="s">
        <v>582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2803</v>
      </c>
      <c r="B2300" t="s">
        <v>916</v>
      </c>
      <c r="C2300" t="s">
        <v>78</v>
      </c>
      <c r="D2300" t="s">
        <v>2806</v>
      </c>
      <c r="E2300" t="s">
        <v>264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2803</v>
      </c>
      <c r="B2301" t="s">
        <v>2807</v>
      </c>
      <c r="C2301" t="s">
        <v>78</v>
      </c>
      <c r="D2301" t="s">
        <v>2808</v>
      </c>
      <c r="E2301" t="s">
        <v>442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2803</v>
      </c>
      <c r="B2302" t="s">
        <v>627</v>
      </c>
      <c r="C2302" t="s">
        <v>78</v>
      </c>
      <c r="D2302" t="s">
        <v>2809</v>
      </c>
      <c r="E2302" t="s">
        <v>401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2803</v>
      </c>
      <c r="B2303" t="s">
        <v>619</v>
      </c>
      <c r="C2303" t="s">
        <v>78</v>
      </c>
      <c r="D2303" t="s">
        <v>2810</v>
      </c>
      <c r="E2303" t="s">
        <v>456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2803</v>
      </c>
      <c r="B2304" t="s">
        <v>626</v>
      </c>
      <c r="C2304" t="s">
        <v>78</v>
      </c>
      <c r="D2304" t="s">
        <v>2809</v>
      </c>
      <c r="E2304" t="s">
        <v>425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2803</v>
      </c>
      <c r="B2305" t="s">
        <v>667</v>
      </c>
      <c r="C2305" t="s">
        <v>78</v>
      </c>
      <c r="D2305" t="s">
        <v>2809</v>
      </c>
      <c r="E2305" t="s">
        <v>456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2803</v>
      </c>
      <c r="B2306" t="s">
        <v>2811</v>
      </c>
      <c r="C2306" t="s">
        <v>78</v>
      </c>
      <c r="D2306" t="s">
        <v>78</v>
      </c>
      <c r="E2306" t="s">
        <v>214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2803</v>
      </c>
      <c r="B2307" t="s">
        <v>912</v>
      </c>
      <c r="C2307" t="s">
        <v>78</v>
      </c>
      <c r="D2307" t="s">
        <v>2805</v>
      </c>
      <c r="E2307" t="s">
        <v>582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2803</v>
      </c>
      <c r="B2308" t="s">
        <v>916</v>
      </c>
      <c r="C2308" t="s">
        <v>78</v>
      </c>
      <c r="D2308" t="s">
        <v>2806</v>
      </c>
      <c r="E2308" t="s">
        <v>264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2803</v>
      </c>
      <c r="B2309" t="s">
        <v>918</v>
      </c>
      <c r="C2309" t="s">
        <v>78</v>
      </c>
      <c r="D2309" t="s">
        <v>2812</v>
      </c>
      <c r="E2309" t="s">
        <v>456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2803</v>
      </c>
      <c r="B2310" t="s">
        <v>672</v>
      </c>
      <c r="C2310" t="s">
        <v>78</v>
      </c>
      <c r="D2310" t="s">
        <v>2805</v>
      </c>
      <c r="E2310" t="s">
        <v>253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2803</v>
      </c>
      <c r="B2311" t="s">
        <v>911</v>
      </c>
      <c r="C2311" t="s">
        <v>78</v>
      </c>
      <c r="D2311" t="s">
        <v>2812</v>
      </c>
      <c r="E2311" t="s">
        <v>437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2803</v>
      </c>
      <c r="B2312" t="s">
        <v>613</v>
      </c>
      <c r="C2312" t="s">
        <v>78</v>
      </c>
      <c r="D2312" t="s">
        <v>2804</v>
      </c>
      <c r="E2312" t="s">
        <v>258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2803</v>
      </c>
      <c r="B2313" t="s">
        <v>605</v>
      </c>
      <c r="C2313" t="s">
        <v>78</v>
      </c>
      <c r="D2313" t="s">
        <v>2804</v>
      </c>
      <c r="E2313" t="s">
        <v>197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2803</v>
      </c>
      <c r="B2314" t="s">
        <v>611</v>
      </c>
      <c r="C2314" t="s">
        <v>78</v>
      </c>
      <c r="D2314" t="s">
        <v>2813</v>
      </c>
      <c r="E2314" t="s">
        <v>582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2803</v>
      </c>
      <c r="B2315" t="s">
        <v>653</v>
      </c>
      <c r="C2315" t="s">
        <v>78</v>
      </c>
      <c r="D2315" t="s">
        <v>2814</v>
      </c>
      <c r="E2315" t="s">
        <v>256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2803</v>
      </c>
      <c r="B2316" t="s">
        <v>714</v>
      </c>
      <c r="C2316" t="s">
        <v>78</v>
      </c>
      <c r="D2316" t="s">
        <v>2805</v>
      </c>
      <c r="E2316" t="s">
        <v>554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2803</v>
      </c>
      <c r="B2317" t="s">
        <v>607</v>
      </c>
      <c r="C2317" t="s">
        <v>78</v>
      </c>
      <c r="D2317" t="s">
        <v>2805</v>
      </c>
      <c r="E2317" t="s">
        <v>554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2803</v>
      </c>
      <c r="B2318" t="s">
        <v>2815</v>
      </c>
      <c r="C2318" t="s">
        <v>78</v>
      </c>
      <c r="D2318" t="s">
        <v>78</v>
      </c>
      <c r="E2318" t="s">
        <v>256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2803</v>
      </c>
      <c r="B2319" t="s">
        <v>2816</v>
      </c>
      <c r="C2319" t="s">
        <v>78</v>
      </c>
      <c r="D2319" t="s">
        <v>78</v>
      </c>
      <c r="E2319" t="s">
        <v>401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2803</v>
      </c>
      <c r="B2320" t="s">
        <v>2817</v>
      </c>
      <c r="C2320" t="s">
        <v>78</v>
      </c>
      <c r="D2320" t="s">
        <v>78</v>
      </c>
      <c r="E2320" t="s">
        <v>258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2803</v>
      </c>
      <c r="B2321" t="s">
        <v>632</v>
      </c>
      <c r="C2321" t="s">
        <v>78</v>
      </c>
      <c r="D2321" t="s">
        <v>78</v>
      </c>
      <c r="E2321" t="s">
        <v>268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2803</v>
      </c>
      <c r="B2322" t="s">
        <v>229</v>
      </c>
      <c r="C2322" t="s">
        <v>78</v>
      </c>
      <c r="D2322" t="s">
        <v>78</v>
      </c>
      <c r="E2322" t="s">
        <v>268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2803</v>
      </c>
      <c r="B2323" t="s">
        <v>230</v>
      </c>
      <c r="C2323" t="s">
        <v>78</v>
      </c>
      <c r="D2323" t="s">
        <v>78</v>
      </c>
      <c r="E2323" t="s">
        <v>268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2803</v>
      </c>
      <c r="B2324" t="s">
        <v>233</v>
      </c>
      <c r="C2324" t="s">
        <v>78</v>
      </c>
      <c r="D2324" t="s">
        <v>78</v>
      </c>
      <c r="E2324" t="s">
        <v>268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2803</v>
      </c>
      <c r="B2325" t="s">
        <v>234</v>
      </c>
      <c r="C2325" t="s">
        <v>78</v>
      </c>
      <c r="D2325" t="s">
        <v>78</v>
      </c>
      <c r="E2325" t="s">
        <v>207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2803</v>
      </c>
      <c r="B2326" t="s">
        <v>175</v>
      </c>
      <c r="C2326" t="s">
        <v>78</v>
      </c>
      <c r="D2326" t="s">
        <v>78</v>
      </c>
      <c r="E2326" t="s">
        <v>207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2803</v>
      </c>
      <c r="B2327" t="s">
        <v>238</v>
      </c>
      <c r="C2327" t="s">
        <v>78</v>
      </c>
      <c r="D2327" t="s">
        <v>78</v>
      </c>
      <c r="E2327" t="s">
        <v>286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2803</v>
      </c>
      <c r="B2328" t="s">
        <v>708</v>
      </c>
      <c r="C2328" t="s">
        <v>78</v>
      </c>
      <c r="D2328" t="s">
        <v>78</v>
      </c>
      <c r="E2328" t="s">
        <v>575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2803</v>
      </c>
      <c r="B2329" t="s">
        <v>180</v>
      </c>
      <c r="C2329" t="s">
        <v>78</v>
      </c>
      <c r="D2329" t="s">
        <v>78</v>
      </c>
      <c r="E2329" t="s">
        <v>235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2803</v>
      </c>
      <c r="B2330" t="s">
        <v>181</v>
      </c>
      <c r="C2330" t="s">
        <v>78</v>
      </c>
      <c r="D2330" t="s">
        <v>78</v>
      </c>
      <c r="E2330" t="s">
        <v>286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2803</v>
      </c>
      <c r="B2331" t="s">
        <v>183</v>
      </c>
      <c r="C2331" t="s">
        <v>78</v>
      </c>
      <c r="D2331" t="s">
        <v>78</v>
      </c>
      <c r="E2331" t="s">
        <v>184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2820</v>
      </c>
      <c r="B2332" t="s">
        <v>607</v>
      </c>
      <c r="C2332" t="s">
        <v>78</v>
      </c>
      <c r="D2332" t="s">
        <v>2821</v>
      </c>
      <c r="E2332" t="s">
        <v>636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2820</v>
      </c>
      <c r="B2333" t="s">
        <v>609</v>
      </c>
      <c r="C2333" t="s">
        <v>78</v>
      </c>
      <c r="D2333" t="s">
        <v>2821</v>
      </c>
      <c r="E2333" t="s">
        <v>656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2820</v>
      </c>
      <c r="B2334" t="s">
        <v>619</v>
      </c>
      <c r="C2334" t="s">
        <v>78</v>
      </c>
      <c r="D2334" t="s">
        <v>2822</v>
      </c>
      <c r="E2334" t="s">
        <v>456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2820</v>
      </c>
      <c r="B2335" t="s">
        <v>2823</v>
      </c>
      <c r="C2335" t="s">
        <v>78</v>
      </c>
      <c r="D2335" t="s">
        <v>2821</v>
      </c>
      <c r="E2335" t="s">
        <v>466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2820</v>
      </c>
      <c r="B2336" t="s">
        <v>635</v>
      </c>
      <c r="C2336" t="s">
        <v>78</v>
      </c>
      <c r="D2336" t="s">
        <v>2821</v>
      </c>
      <c r="E2336" t="s">
        <v>636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2820</v>
      </c>
      <c r="B2337" t="s">
        <v>619</v>
      </c>
      <c r="C2337" t="s">
        <v>78</v>
      </c>
      <c r="D2337" t="s">
        <v>2822</v>
      </c>
      <c r="E2337" t="s">
        <v>456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2820</v>
      </c>
      <c r="B2338" t="s">
        <v>625</v>
      </c>
      <c r="C2338" t="s">
        <v>78</v>
      </c>
      <c r="D2338" t="s">
        <v>2822</v>
      </c>
      <c r="E2338" t="s">
        <v>456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2820</v>
      </c>
      <c r="B2339" t="s">
        <v>626</v>
      </c>
      <c r="C2339" t="s">
        <v>78</v>
      </c>
      <c r="D2339" t="s">
        <v>2822</v>
      </c>
      <c r="E2339" t="s">
        <v>401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2820</v>
      </c>
      <c r="B2340" t="s">
        <v>624</v>
      </c>
      <c r="C2340" t="s">
        <v>78</v>
      </c>
      <c r="D2340" t="s">
        <v>2822</v>
      </c>
      <c r="E2340" t="s">
        <v>456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2820</v>
      </c>
      <c r="B2341" t="s">
        <v>635</v>
      </c>
      <c r="C2341" t="s">
        <v>78</v>
      </c>
      <c r="D2341" t="s">
        <v>2821</v>
      </c>
      <c r="E2341" t="s">
        <v>636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2820</v>
      </c>
      <c r="B2342" t="s">
        <v>609</v>
      </c>
      <c r="C2342" t="s">
        <v>78</v>
      </c>
      <c r="D2342" t="s">
        <v>2821</v>
      </c>
      <c r="E2342" t="s">
        <v>656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2820</v>
      </c>
      <c r="B2343" t="s">
        <v>637</v>
      </c>
      <c r="C2343" t="s">
        <v>78</v>
      </c>
      <c r="D2343" t="s">
        <v>2821</v>
      </c>
      <c r="E2343" t="s">
        <v>636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2820</v>
      </c>
      <c r="B2344" t="s">
        <v>607</v>
      </c>
      <c r="C2344" t="s">
        <v>78</v>
      </c>
      <c r="D2344" t="s">
        <v>2821</v>
      </c>
      <c r="E2344" t="s">
        <v>636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2820</v>
      </c>
      <c r="B2345" t="s">
        <v>2823</v>
      </c>
      <c r="C2345" t="s">
        <v>78</v>
      </c>
      <c r="D2345" t="s">
        <v>2821</v>
      </c>
      <c r="E2345" t="s">
        <v>466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2820</v>
      </c>
      <c r="B2346" t="s">
        <v>229</v>
      </c>
      <c r="C2346" t="s">
        <v>78</v>
      </c>
      <c r="D2346" t="s">
        <v>78</v>
      </c>
      <c r="E2346" t="s">
        <v>252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2820</v>
      </c>
      <c r="B2347" t="s">
        <v>230</v>
      </c>
      <c r="C2347" t="s">
        <v>78</v>
      </c>
      <c r="D2347" t="s">
        <v>78</v>
      </c>
      <c r="E2347" t="s">
        <v>252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2820</v>
      </c>
      <c r="B2348" t="s">
        <v>325</v>
      </c>
      <c r="C2348" t="s">
        <v>78</v>
      </c>
      <c r="D2348" t="s">
        <v>78</v>
      </c>
      <c r="E2348" t="s">
        <v>279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2820</v>
      </c>
      <c r="B2349" t="s">
        <v>238</v>
      </c>
      <c r="C2349" t="s">
        <v>78</v>
      </c>
      <c r="D2349" t="s">
        <v>78</v>
      </c>
      <c r="E2349" t="s">
        <v>286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2820</v>
      </c>
      <c r="B2350" t="s">
        <v>181</v>
      </c>
      <c r="C2350" t="s">
        <v>78</v>
      </c>
      <c r="D2350" t="s">
        <v>78</v>
      </c>
      <c r="E2350" t="s">
        <v>286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2820</v>
      </c>
      <c r="B2351" t="s">
        <v>183</v>
      </c>
      <c r="C2351" t="s">
        <v>78</v>
      </c>
      <c r="D2351" t="s">
        <v>78</v>
      </c>
      <c r="E2351" t="s">
        <v>184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2826</v>
      </c>
      <c r="B2352" t="s">
        <v>625</v>
      </c>
      <c r="C2352" t="s">
        <v>78</v>
      </c>
      <c r="D2352" t="s">
        <v>2827</v>
      </c>
      <c r="E2352" t="s">
        <v>1846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2826</v>
      </c>
      <c r="B2353" t="s">
        <v>626</v>
      </c>
      <c r="C2353" t="s">
        <v>78</v>
      </c>
      <c r="D2353" t="s">
        <v>2827</v>
      </c>
      <c r="E2353" t="s">
        <v>505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2826</v>
      </c>
      <c r="B2354" t="s">
        <v>2828</v>
      </c>
      <c r="C2354" t="s">
        <v>78</v>
      </c>
      <c r="D2354" t="s">
        <v>2827</v>
      </c>
      <c r="E2354" t="s">
        <v>1846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2826</v>
      </c>
      <c r="B2355" t="s">
        <v>619</v>
      </c>
      <c r="C2355" t="s">
        <v>78</v>
      </c>
      <c r="D2355" t="s">
        <v>2827</v>
      </c>
      <c r="E2355" t="s">
        <v>264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2826</v>
      </c>
      <c r="B2356" t="s">
        <v>609</v>
      </c>
      <c r="C2356" t="s">
        <v>78</v>
      </c>
      <c r="D2356" t="s">
        <v>2821</v>
      </c>
      <c r="E2356" t="s">
        <v>269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2826</v>
      </c>
      <c r="B2357" t="s">
        <v>2829</v>
      </c>
      <c r="C2357" t="s">
        <v>78</v>
      </c>
      <c r="D2357" t="s">
        <v>2821</v>
      </c>
      <c r="E2357" t="s">
        <v>582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2826</v>
      </c>
      <c r="B2358" t="s">
        <v>698</v>
      </c>
      <c r="C2358" t="s">
        <v>78</v>
      </c>
      <c r="D2358" t="s">
        <v>2821</v>
      </c>
      <c r="E2358" t="s">
        <v>554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2826</v>
      </c>
      <c r="B2359" t="s">
        <v>637</v>
      </c>
      <c r="C2359" t="s">
        <v>78</v>
      </c>
      <c r="D2359" t="s">
        <v>2821</v>
      </c>
      <c r="E2359" t="s">
        <v>582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2826</v>
      </c>
      <c r="B2360" t="s">
        <v>229</v>
      </c>
      <c r="C2360" t="s">
        <v>78</v>
      </c>
      <c r="D2360" t="s">
        <v>78</v>
      </c>
      <c r="E2360" t="s">
        <v>207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2826</v>
      </c>
      <c r="B2361" t="s">
        <v>230</v>
      </c>
      <c r="C2361" t="s">
        <v>78</v>
      </c>
      <c r="D2361" t="s">
        <v>78</v>
      </c>
      <c r="E2361" t="s">
        <v>207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2826</v>
      </c>
      <c r="B2362" t="s">
        <v>167</v>
      </c>
      <c r="C2362" t="s">
        <v>78</v>
      </c>
      <c r="D2362" t="s">
        <v>78</v>
      </c>
      <c r="E2362" t="s">
        <v>207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2826</v>
      </c>
      <c r="B2363" t="s">
        <v>170</v>
      </c>
      <c r="C2363" t="s">
        <v>78</v>
      </c>
      <c r="D2363" t="s">
        <v>78</v>
      </c>
      <c r="E2363" t="s">
        <v>207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2826</v>
      </c>
      <c r="B2364" t="s">
        <v>325</v>
      </c>
      <c r="C2364" t="s">
        <v>78</v>
      </c>
      <c r="D2364" t="s">
        <v>78</v>
      </c>
      <c r="E2364" t="s">
        <v>575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2826</v>
      </c>
      <c r="B2365" t="s">
        <v>173</v>
      </c>
      <c r="C2365" t="s">
        <v>78</v>
      </c>
      <c r="D2365" t="s">
        <v>78</v>
      </c>
      <c r="E2365" t="s">
        <v>575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2826</v>
      </c>
      <c r="B2366" t="s">
        <v>181</v>
      </c>
      <c r="C2366" t="s">
        <v>78</v>
      </c>
      <c r="D2366" t="s">
        <v>78</v>
      </c>
      <c r="E2366" t="s">
        <v>286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2826</v>
      </c>
      <c r="B2367" t="s">
        <v>183</v>
      </c>
      <c r="C2367" t="s">
        <v>78</v>
      </c>
      <c r="D2367" t="s">
        <v>78</v>
      </c>
      <c r="E2367" t="s">
        <v>184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2833</v>
      </c>
      <c r="B2368" t="s">
        <v>666</v>
      </c>
      <c r="C2368" t="s">
        <v>78</v>
      </c>
      <c r="D2368" t="s">
        <v>2834</v>
      </c>
      <c r="E2368" t="s">
        <v>428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2833</v>
      </c>
      <c r="B2369" t="s">
        <v>626</v>
      </c>
      <c r="C2369" t="s">
        <v>78</v>
      </c>
      <c r="D2369" t="s">
        <v>2834</v>
      </c>
      <c r="E2369" t="s">
        <v>1841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2833</v>
      </c>
      <c r="B2370" t="s">
        <v>619</v>
      </c>
      <c r="C2370" t="s">
        <v>78</v>
      </c>
      <c r="D2370" t="s">
        <v>2834</v>
      </c>
      <c r="E2370" t="s">
        <v>456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2833</v>
      </c>
      <c r="B2371" t="s">
        <v>619</v>
      </c>
      <c r="C2371" t="s">
        <v>78</v>
      </c>
      <c r="D2371" t="s">
        <v>2834</v>
      </c>
      <c r="E2371" t="s">
        <v>456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2833</v>
      </c>
      <c r="B2372" t="s">
        <v>623</v>
      </c>
      <c r="C2372" t="s">
        <v>78</v>
      </c>
      <c r="D2372" t="s">
        <v>2834</v>
      </c>
      <c r="E2372" t="s">
        <v>456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2833</v>
      </c>
      <c r="B2373" t="s">
        <v>2789</v>
      </c>
      <c r="C2373" t="s">
        <v>78</v>
      </c>
      <c r="D2373" t="s">
        <v>2834</v>
      </c>
      <c r="E2373" t="s">
        <v>456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2833</v>
      </c>
      <c r="B2374" t="s">
        <v>625</v>
      </c>
      <c r="C2374" t="s">
        <v>78</v>
      </c>
      <c r="D2374" t="s">
        <v>2834</v>
      </c>
      <c r="E2374" t="s">
        <v>264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2833</v>
      </c>
      <c r="B2375" t="s">
        <v>666</v>
      </c>
      <c r="C2375" t="s">
        <v>78</v>
      </c>
      <c r="D2375" t="s">
        <v>2834</v>
      </c>
      <c r="E2375" t="s">
        <v>428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2833</v>
      </c>
      <c r="B2376" t="s">
        <v>2835</v>
      </c>
      <c r="C2376" t="s">
        <v>78</v>
      </c>
      <c r="D2376" t="s">
        <v>2834</v>
      </c>
      <c r="E2376" t="s">
        <v>264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2833</v>
      </c>
      <c r="B2377" t="s">
        <v>2836</v>
      </c>
      <c r="C2377" t="s">
        <v>78</v>
      </c>
      <c r="D2377" t="s">
        <v>2834</v>
      </c>
      <c r="E2377" t="s">
        <v>428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2833</v>
      </c>
      <c r="B2378" t="s">
        <v>627</v>
      </c>
      <c r="C2378" t="s">
        <v>78</v>
      </c>
      <c r="D2378" t="s">
        <v>2834</v>
      </c>
      <c r="E2378" t="s">
        <v>264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2833</v>
      </c>
      <c r="B2379" t="s">
        <v>626</v>
      </c>
      <c r="C2379" t="s">
        <v>78</v>
      </c>
      <c r="D2379" t="s">
        <v>2834</v>
      </c>
      <c r="E2379" t="s">
        <v>1841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2833</v>
      </c>
      <c r="B2380" t="s">
        <v>2837</v>
      </c>
      <c r="C2380" t="s">
        <v>78</v>
      </c>
      <c r="D2380" t="s">
        <v>2821</v>
      </c>
      <c r="E2380" t="s">
        <v>418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2833</v>
      </c>
      <c r="B2381" t="s">
        <v>2838</v>
      </c>
      <c r="C2381" t="s">
        <v>78</v>
      </c>
      <c r="D2381" t="s">
        <v>2821</v>
      </c>
      <c r="E2381" t="s">
        <v>425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2833</v>
      </c>
      <c r="B2382" t="s">
        <v>2839</v>
      </c>
      <c r="C2382" t="s">
        <v>78</v>
      </c>
      <c r="D2382" t="s">
        <v>2821</v>
      </c>
      <c r="E2382" t="s">
        <v>437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2833</v>
      </c>
      <c r="B2383" t="s">
        <v>2840</v>
      </c>
      <c r="C2383" t="s">
        <v>78</v>
      </c>
      <c r="D2383" t="s">
        <v>2821</v>
      </c>
      <c r="E2383" t="s">
        <v>258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2833</v>
      </c>
      <c r="B2384" t="s">
        <v>167</v>
      </c>
      <c r="C2384" t="s">
        <v>78</v>
      </c>
      <c r="D2384" t="s">
        <v>78</v>
      </c>
      <c r="E2384" t="s">
        <v>895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2833</v>
      </c>
      <c r="B2385" t="s">
        <v>170</v>
      </c>
      <c r="C2385" t="s">
        <v>78</v>
      </c>
      <c r="D2385" t="s">
        <v>78</v>
      </c>
      <c r="E2385" t="s">
        <v>895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2833</v>
      </c>
      <c r="B2386" t="s">
        <v>175</v>
      </c>
      <c r="C2386" t="s">
        <v>78</v>
      </c>
      <c r="D2386" t="s">
        <v>78</v>
      </c>
      <c r="E2386" t="s">
        <v>575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2833</v>
      </c>
      <c r="B2387" t="s">
        <v>173</v>
      </c>
      <c r="C2387" t="s">
        <v>78</v>
      </c>
      <c r="D2387" t="s">
        <v>78</v>
      </c>
      <c r="E2387" t="s">
        <v>575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2833</v>
      </c>
      <c r="B2388" t="s">
        <v>645</v>
      </c>
      <c r="C2388" t="s">
        <v>78</v>
      </c>
      <c r="D2388" t="s">
        <v>78</v>
      </c>
      <c r="E2388" t="s">
        <v>235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2833</v>
      </c>
      <c r="B2389" t="s">
        <v>181</v>
      </c>
      <c r="C2389" t="s">
        <v>78</v>
      </c>
      <c r="D2389" t="s">
        <v>78</v>
      </c>
      <c r="E2389" t="s">
        <v>286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2833</v>
      </c>
      <c r="B2390" t="s">
        <v>183</v>
      </c>
      <c r="C2390" t="s">
        <v>78</v>
      </c>
      <c r="D2390" t="s">
        <v>78</v>
      </c>
      <c r="E2390" t="s">
        <v>184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2843</v>
      </c>
      <c r="B2391" t="s">
        <v>619</v>
      </c>
      <c r="C2391" t="s">
        <v>78</v>
      </c>
      <c r="D2391" t="s">
        <v>2844</v>
      </c>
      <c r="E2391" t="s">
        <v>212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2843</v>
      </c>
      <c r="B2392" t="s">
        <v>626</v>
      </c>
      <c r="C2392" t="s">
        <v>78</v>
      </c>
      <c r="D2392" t="s">
        <v>2845</v>
      </c>
      <c r="E2392" t="s">
        <v>505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2843</v>
      </c>
      <c r="B2393" t="s">
        <v>625</v>
      </c>
      <c r="C2393" t="s">
        <v>78</v>
      </c>
      <c r="D2393" t="s">
        <v>2845</v>
      </c>
      <c r="E2393" t="s">
        <v>456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2843</v>
      </c>
      <c r="B2394" t="s">
        <v>666</v>
      </c>
      <c r="C2394" t="s">
        <v>78</v>
      </c>
      <c r="D2394" t="s">
        <v>2845</v>
      </c>
      <c r="E2394" t="s">
        <v>456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2843</v>
      </c>
      <c r="B2395" t="s">
        <v>2846</v>
      </c>
      <c r="C2395" t="s">
        <v>78</v>
      </c>
      <c r="D2395" t="s">
        <v>2845</v>
      </c>
      <c r="E2395" t="s">
        <v>212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2843</v>
      </c>
      <c r="B2396" t="s">
        <v>2847</v>
      </c>
      <c r="C2396" t="s">
        <v>78</v>
      </c>
      <c r="D2396" t="s">
        <v>206</v>
      </c>
      <c r="E2396" t="s">
        <v>269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2843</v>
      </c>
      <c r="B2397" t="s">
        <v>607</v>
      </c>
      <c r="C2397" t="s">
        <v>78</v>
      </c>
      <c r="D2397" t="s">
        <v>2848</v>
      </c>
      <c r="E2397" t="s">
        <v>202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2843</v>
      </c>
      <c r="B2398" t="s">
        <v>637</v>
      </c>
      <c r="C2398" t="s">
        <v>78</v>
      </c>
      <c r="D2398" t="s">
        <v>206</v>
      </c>
      <c r="E2398" t="s">
        <v>554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2843</v>
      </c>
      <c r="B2399" t="s">
        <v>677</v>
      </c>
      <c r="C2399" t="s">
        <v>78</v>
      </c>
      <c r="D2399" t="s">
        <v>206</v>
      </c>
      <c r="E2399" t="s">
        <v>636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2843</v>
      </c>
      <c r="B2400" t="s">
        <v>229</v>
      </c>
      <c r="C2400" t="s">
        <v>78</v>
      </c>
      <c r="D2400" t="s">
        <v>78</v>
      </c>
      <c r="E2400" t="s">
        <v>207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2843</v>
      </c>
      <c r="B2401" t="s">
        <v>230</v>
      </c>
      <c r="C2401" t="s">
        <v>78</v>
      </c>
      <c r="D2401" t="s">
        <v>78</v>
      </c>
      <c r="E2401" t="s">
        <v>207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2843</v>
      </c>
      <c r="B2402" t="s">
        <v>706</v>
      </c>
      <c r="C2402" t="s">
        <v>78</v>
      </c>
      <c r="D2402" t="s">
        <v>326</v>
      </c>
      <c r="E2402" t="s">
        <v>575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2843</v>
      </c>
      <c r="B2403" t="s">
        <v>707</v>
      </c>
      <c r="C2403" t="s">
        <v>78</v>
      </c>
      <c r="D2403" t="s">
        <v>326</v>
      </c>
      <c r="E2403" t="s">
        <v>575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2843</v>
      </c>
      <c r="B2404" t="s">
        <v>325</v>
      </c>
      <c r="C2404" t="s">
        <v>78</v>
      </c>
      <c r="D2404" t="s">
        <v>78</v>
      </c>
      <c r="E2404" t="s">
        <v>575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2843</v>
      </c>
      <c r="B2405" t="s">
        <v>597</v>
      </c>
      <c r="C2405" t="s">
        <v>78</v>
      </c>
      <c r="D2405" t="s">
        <v>326</v>
      </c>
      <c r="E2405" t="s">
        <v>279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2843</v>
      </c>
      <c r="B2406" t="s">
        <v>280</v>
      </c>
      <c r="C2406" t="s">
        <v>78</v>
      </c>
      <c r="D2406" t="s">
        <v>78</v>
      </c>
      <c r="E2406" t="s">
        <v>286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2843</v>
      </c>
      <c r="B2407" t="s">
        <v>234</v>
      </c>
      <c r="C2407" t="s">
        <v>78</v>
      </c>
      <c r="D2407" t="s">
        <v>78</v>
      </c>
      <c r="E2407" t="s">
        <v>575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2843</v>
      </c>
      <c r="B2408" t="s">
        <v>181</v>
      </c>
      <c r="C2408" t="s">
        <v>78</v>
      </c>
      <c r="D2408" t="s">
        <v>78</v>
      </c>
      <c r="E2408" t="s">
        <v>286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2843</v>
      </c>
      <c r="B2409" t="s">
        <v>183</v>
      </c>
      <c r="C2409" t="s">
        <v>78</v>
      </c>
      <c r="D2409" t="s">
        <v>78</v>
      </c>
      <c r="E2409" t="s">
        <v>184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2852</v>
      </c>
      <c r="B2410" t="s">
        <v>2853</v>
      </c>
      <c r="C2410" t="s">
        <v>78</v>
      </c>
      <c r="D2410" t="s">
        <v>2854</v>
      </c>
      <c r="E2410" t="s">
        <v>197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2852</v>
      </c>
      <c r="B2411" t="s">
        <v>2173</v>
      </c>
      <c r="C2411" t="s">
        <v>78</v>
      </c>
      <c r="D2411" t="s">
        <v>2854</v>
      </c>
      <c r="E2411" t="s">
        <v>287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2852</v>
      </c>
      <c r="B2412" t="s">
        <v>607</v>
      </c>
      <c r="C2412" t="s">
        <v>78</v>
      </c>
      <c r="D2412" t="s">
        <v>2855</v>
      </c>
      <c r="E2412" t="s">
        <v>202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2852</v>
      </c>
      <c r="B2413" t="s">
        <v>619</v>
      </c>
      <c r="C2413" t="s">
        <v>78</v>
      </c>
      <c r="D2413" t="s">
        <v>2856</v>
      </c>
      <c r="E2413" t="s">
        <v>2512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2852</v>
      </c>
      <c r="B2414" t="s">
        <v>609</v>
      </c>
      <c r="C2414" t="s">
        <v>78</v>
      </c>
      <c r="D2414" t="s">
        <v>2855</v>
      </c>
      <c r="E2414" t="s">
        <v>269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2852</v>
      </c>
      <c r="B2415" t="s">
        <v>619</v>
      </c>
      <c r="C2415" t="s">
        <v>78</v>
      </c>
      <c r="D2415" t="s">
        <v>2856</v>
      </c>
      <c r="E2415" t="s">
        <v>2512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2852</v>
      </c>
      <c r="B2416" t="s">
        <v>625</v>
      </c>
      <c r="C2416" t="s">
        <v>78</v>
      </c>
      <c r="D2416" t="s">
        <v>2856</v>
      </c>
      <c r="E2416" t="s">
        <v>264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2852</v>
      </c>
      <c r="B2417" t="s">
        <v>626</v>
      </c>
      <c r="C2417" t="s">
        <v>78</v>
      </c>
      <c r="D2417" t="s">
        <v>2856</v>
      </c>
      <c r="E2417" t="s">
        <v>401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2852</v>
      </c>
      <c r="B2418" t="s">
        <v>624</v>
      </c>
      <c r="C2418" t="s">
        <v>78</v>
      </c>
      <c r="D2418" t="s">
        <v>2856</v>
      </c>
      <c r="E2418" t="s">
        <v>256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2852</v>
      </c>
      <c r="B2419" t="s">
        <v>667</v>
      </c>
      <c r="C2419" t="s">
        <v>78</v>
      </c>
      <c r="D2419" t="s">
        <v>2856</v>
      </c>
      <c r="E2419" t="s">
        <v>2512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2852</v>
      </c>
      <c r="B2420" t="s">
        <v>609</v>
      </c>
      <c r="C2420" t="s">
        <v>78</v>
      </c>
      <c r="D2420" t="s">
        <v>2855</v>
      </c>
      <c r="E2420" t="s">
        <v>269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2852</v>
      </c>
      <c r="B2421" t="s">
        <v>635</v>
      </c>
      <c r="C2421" t="s">
        <v>78</v>
      </c>
      <c r="D2421" t="s">
        <v>2855</v>
      </c>
      <c r="E2421" t="s">
        <v>636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2852</v>
      </c>
      <c r="B2422" t="s">
        <v>607</v>
      </c>
      <c r="C2422" t="s">
        <v>78</v>
      </c>
      <c r="D2422" t="s">
        <v>2855</v>
      </c>
      <c r="E2422" t="s">
        <v>202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2852</v>
      </c>
      <c r="B2423" t="s">
        <v>716</v>
      </c>
      <c r="C2423" t="s">
        <v>78</v>
      </c>
      <c r="D2423" t="s">
        <v>2855</v>
      </c>
      <c r="E2423" t="s">
        <v>636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2852</v>
      </c>
      <c r="B2424" t="s">
        <v>2857</v>
      </c>
      <c r="C2424" t="s">
        <v>78</v>
      </c>
      <c r="D2424" t="s">
        <v>2854</v>
      </c>
      <c r="E2424" t="s">
        <v>258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2852</v>
      </c>
      <c r="B2425" t="s">
        <v>2173</v>
      </c>
      <c r="C2425" t="s">
        <v>78</v>
      </c>
      <c r="D2425" t="s">
        <v>2854</v>
      </c>
      <c r="E2425" t="s">
        <v>287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2852</v>
      </c>
      <c r="B2426" t="s">
        <v>2853</v>
      </c>
      <c r="C2426" t="s">
        <v>78</v>
      </c>
      <c r="D2426" t="s">
        <v>2854</v>
      </c>
      <c r="E2426" t="s">
        <v>197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2852</v>
      </c>
      <c r="B2427" t="s">
        <v>617</v>
      </c>
      <c r="C2427" t="s">
        <v>78</v>
      </c>
      <c r="D2427" t="s">
        <v>2854</v>
      </c>
      <c r="E2427" t="s">
        <v>425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2852</v>
      </c>
      <c r="B2428" t="s">
        <v>614</v>
      </c>
      <c r="C2428" t="s">
        <v>78</v>
      </c>
      <c r="D2428" t="s">
        <v>2854</v>
      </c>
      <c r="E2428" t="s">
        <v>554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2852</v>
      </c>
      <c r="B2429" t="s">
        <v>615</v>
      </c>
      <c r="C2429" t="s">
        <v>78</v>
      </c>
      <c r="D2429" t="s">
        <v>2854</v>
      </c>
      <c r="E2429" t="s">
        <v>425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2852</v>
      </c>
      <c r="B2430" t="s">
        <v>611</v>
      </c>
      <c r="C2430" t="s">
        <v>78</v>
      </c>
      <c r="D2430" t="s">
        <v>2854</v>
      </c>
      <c r="E2430" t="s">
        <v>554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2852</v>
      </c>
      <c r="B2431" t="s">
        <v>1530</v>
      </c>
      <c r="C2431" t="s">
        <v>78</v>
      </c>
      <c r="D2431" t="s">
        <v>2854</v>
      </c>
      <c r="E2431" t="s">
        <v>582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2852</v>
      </c>
      <c r="B2432" t="s">
        <v>2858</v>
      </c>
      <c r="C2432" t="s">
        <v>78</v>
      </c>
      <c r="D2432" t="s">
        <v>2859</v>
      </c>
      <c r="E2432" t="s">
        <v>268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2852</v>
      </c>
      <c r="B2433" t="s">
        <v>714</v>
      </c>
      <c r="C2433" t="s">
        <v>78</v>
      </c>
      <c r="D2433" t="s">
        <v>2855</v>
      </c>
      <c r="E2433" t="s">
        <v>202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2852</v>
      </c>
      <c r="B2434" t="s">
        <v>229</v>
      </c>
      <c r="C2434" t="s">
        <v>78</v>
      </c>
      <c r="D2434" t="s">
        <v>78</v>
      </c>
      <c r="E2434" t="s">
        <v>252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2852</v>
      </c>
      <c r="B2435" t="s">
        <v>876</v>
      </c>
      <c r="C2435" t="s">
        <v>78</v>
      </c>
      <c r="D2435" t="s">
        <v>78</v>
      </c>
      <c r="E2435" t="s">
        <v>252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2852</v>
      </c>
      <c r="B2436" t="s">
        <v>230</v>
      </c>
      <c r="C2436" t="s">
        <v>78</v>
      </c>
      <c r="D2436" t="s">
        <v>78</v>
      </c>
      <c r="E2436" t="s">
        <v>252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2852</v>
      </c>
      <c r="B2437" t="s">
        <v>233</v>
      </c>
      <c r="C2437" t="s">
        <v>78</v>
      </c>
      <c r="D2437" t="s">
        <v>78</v>
      </c>
      <c r="E2437" t="s">
        <v>252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2852</v>
      </c>
      <c r="B2438" t="s">
        <v>232</v>
      </c>
      <c r="C2438" t="s">
        <v>78</v>
      </c>
      <c r="D2438" t="s">
        <v>78</v>
      </c>
      <c r="E2438" t="s">
        <v>252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2852</v>
      </c>
      <c r="B2439" t="s">
        <v>175</v>
      </c>
      <c r="C2439" t="s">
        <v>78</v>
      </c>
      <c r="D2439" t="s">
        <v>78</v>
      </c>
      <c r="E2439" t="s">
        <v>575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2852</v>
      </c>
      <c r="B2440" t="s">
        <v>167</v>
      </c>
      <c r="C2440" t="s">
        <v>78</v>
      </c>
      <c r="D2440" t="s">
        <v>78</v>
      </c>
      <c r="E2440" t="s">
        <v>252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2852</v>
      </c>
      <c r="B2441" t="s">
        <v>170</v>
      </c>
      <c r="C2441" t="s">
        <v>78</v>
      </c>
      <c r="D2441" t="s">
        <v>78</v>
      </c>
      <c r="E2441" t="s">
        <v>252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2852</v>
      </c>
      <c r="B2442" t="s">
        <v>171</v>
      </c>
      <c r="C2442" t="s">
        <v>78</v>
      </c>
      <c r="D2442" t="s">
        <v>78</v>
      </c>
      <c r="E2442" t="s">
        <v>252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2852</v>
      </c>
      <c r="B2443" t="s">
        <v>238</v>
      </c>
      <c r="C2443" t="s">
        <v>78</v>
      </c>
      <c r="D2443" t="s">
        <v>78</v>
      </c>
      <c r="E2443" t="s">
        <v>286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2852</v>
      </c>
      <c r="B2444" t="s">
        <v>180</v>
      </c>
      <c r="C2444" t="s">
        <v>78</v>
      </c>
      <c r="D2444" t="s">
        <v>78</v>
      </c>
      <c r="E2444" t="s">
        <v>235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2852</v>
      </c>
      <c r="B2445" t="s">
        <v>181</v>
      </c>
      <c r="C2445" t="s">
        <v>78</v>
      </c>
      <c r="D2445" t="s">
        <v>78</v>
      </c>
      <c r="E2445" t="s">
        <v>286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2852</v>
      </c>
      <c r="B2446" t="s">
        <v>242</v>
      </c>
      <c r="C2446" t="s">
        <v>78</v>
      </c>
      <c r="D2446" t="s">
        <v>78</v>
      </c>
      <c r="E2446" t="s">
        <v>287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2852</v>
      </c>
      <c r="B2447" t="s">
        <v>327</v>
      </c>
      <c r="C2447" t="s">
        <v>78</v>
      </c>
      <c r="D2447" t="s">
        <v>78</v>
      </c>
      <c r="E2447" t="s">
        <v>287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2852</v>
      </c>
      <c r="B2448" t="s">
        <v>345</v>
      </c>
      <c r="C2448" t="s">
        <v>78</v>
      </c>
      <c r="D2448" t="s">
        <v>78</v>
      </c>
      <c r="E2448" t="s">
        <v>287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2852</v>
      </c>
      <c r="B2449" t="s">
        <v>346</v>
      </c>
      <c r="C2449" t="s">
        <v>78</v>
      </c>
      <c r="D2449" t="s">
        <v>78</v>
      </c>
      <c r="E2449" t="s">
        <v>287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2852</v>
      </c>
      <c r="B2450" t="s">
        <v>183</v>
      </c>
      <c r="C2450" t="s">
        <v>78</v>
      </c>
      <c r="D2450" t="s">
        <v>78</v>
      </c>
      <c r="E2450" t="s">
        <v>184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2862</v>
      </c>
      <c r="B2451" t="s">
        <v>2863</v>
      </c>
      <c r="C2451" t="s">
        <v>78</v>
      </c>
      <c r="D2451" t="s">
        <v>2864</v>
      </c>
      <c r="E2451" t="s">
        <v>418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2862</v>
      </c>
      <c r="B2452" t="s">
        <v>2865</v>
      </c>
      <c r="C2452" t="s">
        <v>78</v>
      </c>
      <c r="D2452" t="s">
        <v>2866</v>
      </c>
      <c r="E2452" t="s">
        <v>1291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2862</v>
      </c>
      <c r="B2453" t="s">
        <v>300</v>
      </c>
      <c r="C2453" t="s">
        <v>78</v>
      </c>
      <c r="D2453" t="s">
        <v>301</v>
      </c>
      <c r="E2453" t="s">
        <v>636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2862</v>
      </c>
      <c r="B2454" t="s">
        <v>2867</v>
      </c>
      <c r="C2454" t="s">
        <v>78</v>
      </c>
      <c r="D2454" t="s">
        <v>2868</v>
      </c>
      <c r="E2454" t="s">
        <v>1846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2862</v>
      </c>
      <c r="B2455" t="s">
        <v>2869</v>
      </c>
      <c r="C2455" t="s">
        <v>78</v>
      </c>
      <c r="D2455" t="s">
        <v>2870</v>
      </c>
      <c r="E2455" t="s">
        <v>2871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2862</v>
      </c>
      <c r="B2456" t="s">
        <v>2872</v>
      </c>
      <c r="C2456" t="s">
        <v>78</v>
      </c>
      <c r="D2456" t="s">
        <v>2873</v>
      </c>
      <c r="E2456" t="s">
        <v>456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2862</v>
      </c>
      <c r="B2457" t="s">
        <v>2874</v>
      </c>
      <c r="C2457" t="s">
        <v>78</v>
      </c>
      <c r="D2457" t="s">
        <v>2875</v>
      </c>
      <c r="E2457" t="s">
        <v>1093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2862</v>
      </c>
      <c r="B2458" t="s">
        <v>343</v>
      </c>
      <c r="C2458" t="s">
        <v>78</v>
      </c>
      <c r="D2458" t="s">
        <v>78</v>
      </c>
      <c r="E2458" t="s">
        <v>287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2862</v>
      </c>
      <c r="B2459" t="s">
        <v>2876</v>
      </c>
      <c r="C2459" t="s">
        <v>78</v>
      </c>
      <c r="D2459" t="s">
        <v>78</v>
      </c>
      <c r="E2459" t="s">
        <v>287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2862</v>
      </c>
      <c r="B2460" t="s">
        <v>2877</v>
      </c>
      <c r="C2460" t="s">
        <v>78</v>
      </c>
      <c r="D2460" t="s">
        <v>78</v>
      </c>
      <c r="E2460" t="s">
        <v>2362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2862</v>
      </c>
      <c r="B2461" t="s">
        <v>2878</v>
      </c>
      <c r="C2461" t="s">
        <v>78</v>
      </c>
      <c r="D2461" t="s">
        <v>2879</v>
      </c>
      <c r="E2461" t="s">
        <v>2880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2862</v>
      </c>
      <c r="B2462" t="s">
        <v>2881</v>
      </c>
      <c r="C2462" t="s">
        <v>78</v>
      </c>
      <c r="D2462" t="s">
        <v>2882</v>
      </c>
      <c r="E2462" t="s">
        <v>258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2862</v>
      </c>
      <c r="B2463" t="s">
        <v>2883</v>
      </c>
      <c r="C2463" t="s">
        <v>78</v>
      </c>
      <c r="D2463" t="s">
        <v>2884</v>
      </c>
      <c r="E2463" t="s">
        <v>437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2862</v>
      </c>
      <c r="B2464" t="s">
        <v>2885</v>
      </c>
      <c r="C2464" t="s">
        <v>78</v>
      </c>
      <c r="D2464" t="s">
        <v>2886</v>
      </c>
      <c r="E2464" t="s">
        <v>1062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2862</v>
      </c>
      <c r="B2465" t="s">
        <v>2887</v>
      </c>
      <c r="C2465" t="s">
        <v>78</v>
      </c>
      <c r="D2465" t="s">
        <v>2888</v>
      </c>
      <c r="E2465" t="s">
        <v>1939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2862</v>
      </c>
      <c r="B2466" t="s">
        <v>2889</v>
      </c>
      <c r="C2466" t="s">
        <v>78</v>
      </c>
      <c r="D2466" t="s">
        <v>2890</v>
      </c>
      <c r="E2466" t="s">
        <v>2891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2862</v>
      </c>
      <c r="B2467" t="s">
        <v>2892</v>
      </c>
      <c r="C2467" t="s">
        <v>78</v>
      </c>
      <c r="D2467" t="s">
        <v>2893</v>
      </c>
      <c r="E2467" t="s">
        <v>258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2862</v>
      </c>
      <c r="B2468" t="s">
        <v>2894</v>
      </c>
      <c r="C2468" t="s">
        <v>78</v>
      </c>
      <c r="D2468" t="s">
        <v>2895</v>
      </c>
      <c r="E2468" t="s">
        <v>692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2862</v>
      </c>
      <c r="B2469" t="s">
        <v>2896</v>
      </c>
      <c r="C2469" t="s">
        <v>78</v>
      </c>
      <c r="D2469" t="s">
        <v>2897</v>
      </c>
      <c r="E2469" t="s">
        <v>2012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2862</v>
      </c>
      <c r="B2470" t="s">
        <v>2898</v>
      </c>
      <c r="C2470" t="s">
        <v>78</v>
      </c>
      <c r="D2470" t="s">
        <v>2899</v>
      </c>
      <c r="E2470" t="s">
        <v>1425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2862</v>
      </c>
      <c r="B2471" t="s">
        <v>2900</v>
      </c>
      <c r="C2471" t="s">
        <v>78</v>
      </c>
      <c r="D2471" t="s">
        <v>2901</v>
      </c>
      <c r="E2471" t="s">
        <v>2362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2862</v>
      </c>
      <c r="B2472" t="s">
        <v>2902</v>
      </c>
      <c r="C2472" t="s">
        <v>78</v>
      </c>
      <c r="D2472" t="s">
        <v>2903</v>
      </c>
      <c r="E2472" t="s">
        <v>2008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2862</v>
      </c>
      <c r="B2473" t="s">
        <v>2904</v>
      </c>
      <c r="C2473" t="s">
        <v>78</v>
      </c>
      <c r="D2473" t="s">
        <v>2905</v>
      </c>
      <c r="E2473" t="s">
        <v>418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2862</v>
      </c>
      <c r="B2474" t="s">
        <v>2906</v>
      </c>
      <c r="C2474" t="s">
        <v>78</v>
      </c>
      <c r="D2474" t="s">
        <v>2907</v>
      </c>
      <c r="E2474" t="s">
        <v>2362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2862</v>
      </c>
      <c r="B2475" t="s">
        <v>2908</v>
      </c>
      <c r="C2475" t="s">
        <v>78</v>
      </c>
      <c r="D2475" t="s">
        <v>2909</v>
      </c>
      <c r="E2475" t="s">
        <v>2910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2862</v>
      </c>
      <c r="B2476" t="s">
        <v>2911</v>
      </c>
      <c r="C2476" t="s">
        <v>78</v>
      </c>
      <c r="D2476" t="s">
        <v>2912</v>
      </c>
      <c r="E2476" t="s">
        <v>442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2862</v>
      </c>
      <c r="B2477" t="s">
        <v>2913</v>
      </c>
      <c r="C2477" t="s">
        <v>78</v>
      </c>
      <c r="D2477" t="s">
        <v>2914</v>
      </c>
      <c r="E2477" t="s">
        <v>2915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2862</v>
      </c>
      <c r="B2478" t="s">
        <v>402</v>
      </c>
      <c r="C2478" t="s">
        <v>78</v>
      </c>
      <c r="D2478" t="s">
        <v>2916</v>
      </c>
      <c r="E2478" t="s">
        <v>888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2862</v>
      </c>
      <c r="B2479" t="s">
        <v>1461</v>
      </c>
      <c r="C2479" t="s">
        <v>78</v>
      </c>
      <c r="D2479" t="s">
        <v>2917</v>
      </c>
      <c r="E2479" t="s">
        <v>456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2862</v>
      </c>
      <c r="B2480" t="s">
        <v>1449</v>
      </c>
      <c r="C2480" t="s">
        <v>78</v>
      </c>
      <c r="D2480" t="s">
        <v>2914</v>
      </c>
      <c r="E2480" t="s">
        <v>2915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2862</v>
      </c>
      <c r="B2481" t="s">
        <v>1465</v>
      </c>
      <c r="C2481" t="s">
        <v>78</v>
      </c>
      <c r="D2481" t="s">
        <v>2918</v>
      </c>
      <c r="E2481" t="s">
        <v>2919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2862</v>
      </c>
      <c r="B2482" t="s">
        <v>314</v>
      </c>
      <c r="C2482" t="s">
        <v>78</v>
      </c>
      <c r="D2482" t="s">
        <v>2920</v>
      </c>
      <c r="E2482" t="s">
        <v>1994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2862</v>
      </c>
      <c r="B2483" t="s">
        <v>192</v>
      </c>
      <c r="C2483" t="s">
        <v>78</v>
      </c>
      <c r="D2483" t="s">
        <v>2921</v>
      </c>
      <c r="E2483" t="s">
        <v>1238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2862</v>
      </c>
      <c r="B2484" t="s">
        <v>2922</v>
      </c>
      <c r="C2484" t="s">
        <v>78</v>
      </c>
      <c r="D2484" t="s">
        <v>2923</v>
      </c>
      <c r="E2484" t="s">
        <v>253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2862</v>
      </c>
      <c r="B2485" t="s">
        <v>2924</v>
      </c>
      <c r="C2485" t="s">
        <v>78</v>
      </c>
      <c r="D2485" t="s">
        <v>2925</v>
      </c>
      <c r="E2485" t="s">
        <v>554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2862</v>
      </c>
      <c r="B2486" t="s">
        <v>2926</v>
      </c>
      <c r="C2486" t="s">
        <v>78</v>
      </c>
      <c r="D2486" t="s">
        <v>2927</v>
      </c>
      <c r="E2486" t="s">
        <v>582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2862</v>
      </c>
      <c r="B2487" t="s">
        <v>2928</v>
      </c>
      <c r="C2487" t="s">
        <v>78</v>
      </c>
      <c r="D2487" t="s">
        <v>2929</v>
      </c>
      <c r="E2487" t="s">
        <v>1427</v>
      </c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2862</v>
      </c>
      <c r="B2488" t="s">
        <v>2930</v>
      </c>
      <c r="C2488" t="s">
        <v>78</v>
      </c>
      <c r="D2488" t="s">
        <v>2931</v>
      </c>
      <c r="E2488" t="s">
        <v>554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2862</v>
      </c>
      <c r="B2489" t="s">
        <v>294</v>
      </c>
      <c r="C2489" t="s">
        <v>78</v>
      </c>
      <c r="D2489" t="s">
        <v>2932</v>
      </c>
      <c r="E2489" t="s">
        <v>692</v>
      </c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2862</v>
      </c>
      <c r="B2490" t="s">
        <v>2933</v>
      </c>
      <c r="C2490" t="s">
        <v>78</v>
      </c>
      <c r="D2490" t="s">
        <v>2934</v>
      </c>
      <c r="E2490" t="s">
        <v>2017</v>
      </c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2862</v>
      </c>
      <c r="B2491" t="s">
        <v>2935</v>
      </c>
      <c r="C2491" t="s">
        <v>78</v>
      </c>
      <c r="D2491" t="s">
        <v>78</v>
      </c>
      <c r="E2491" t="s">
        <v>1212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2862</v>
      </c>
      <c r="B2492" t="s">
        <v>2936</v>
      </c>
      <c r="C2492" t="s">
        <v>78</v>
      </c>
      <c r="D2492" t="s">
        <v>78</v>
      </c>
      <c r="E2492" t="s">
        <v>1257</v>
      </c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2862</v>
      </c>
      <c r="B2493" t="s">
        <v>2937</v>
      </c>
      <c r="C2493" t="s">
        <v>78</v>
      </c>
      <c r="D2493" t="s">
        <v>78</v>
      </c>
      <c r="E2493" t="s">
        <v>1425</v>
      </c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2862</v>
      </c>
      <c r="B2494" t="s">
        <v>2938</v>
      </c>
      <c r="C2494" t="s">
        <v>78</v>
      </c>
      <c r="D2494" t="s">
        <v>78</v>
      </c>
      <c r="E2494" t="s">
        <v>1425</v>
      </c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2862</v>
      </c>
      <c r="B2495" t="s">
        <v>2939</v>
      </c>
      <c r="C2495" t="s">
        <v>78</v>
      </c>
      <c r="D2495" t="s">
        <v>78</v>
      </c>
      <c r="E2495" t="s">
        <v>2017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2862</v>
      </c>
      <c r="B2496" t="s">
        <v>2940</v>
      </c>
      <c r="C2496" t="s">
        <v>78</v>
      </c>
      <c r="D2496" t="s">
        <v>78</v>
      </c>
      <c r="E2496" t="s">
        <v>2880</v>
      </c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2862</v>
      </c>
      <c r="B2497" t="s">
        <v>2941</v>
      </c>
      <c r="C2497" t="s">
        <v>78</v>
      </c>
      <c r="D2497" t="s">
        <v>78</v>
      </c>
      <c r="E2497" t="s">
        <v>2880</v>
      </c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2862</v>
      </c>
      <c r="B2498" t="s">
        <v>2942</v>
      </c>
      <c r="C2498" t="s">
        <v>78</v>
      </c>
      <c r="D2498" t="s">
        <v>78</v>
      </c>
      <c r="E2498" t="s">
        <v>269</v>
      </c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2862</v>
      </c>
      <c r="B2499" t="s">
        <v>2943</v>
      </c>
      <c r="C2499" t="s">
        <v>78</v>
      </c>
      <c r="D2499" t="s">
        <v>78</v>
      </c>
      <c r="E2499" t="s">
        <v>656</v>
      </c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2862</v>
      </c>
      <c r="B2500" t="s">
        <v>2944</v>
      </c>
      <c r="C2500" t="s">
        <v>78</v>
      </c>
      <c r="D2500" t="s">
        <v>78</v>
      </c>
      <c r="E2500" t="s">
        <v>692</v>
      </c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2862</v>
      </c>
      <c r="B2501" t="s">
        <v>2945</v>
      </c>
      <c r="C2501" t="s">
        <v>78</v>
      </c>
      <c r="D2501" t="s">
        <v>78</v>
      </c>
      <c r="E2501" t="s">
        <v>692</v>
      </c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2862</v>
      </c>
      <c r="B2502" t="s">
        <v>2946</v>
      </c>
      <c r="C2502" t="s">
        <v>78</v>
      </c>
      <c r="D2502" t="s">
        <v>78</v>
      </c>
      <c r="E2502" t="s">
        <v>692</v>
      </c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2862</v>
      </c>
      <c r="B2503" t="s">
        <v>2947</v>
      </c>
      <c r="C2503" t="s">
        <v>78</v>
      </c>
      <c r="D2503" t="s">
        <v>78</v>
      </c>
      <c r="E2503" t="s">
        <v>286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2862</v>
      </c>
      <c r="B2504" t="s">
        <v>2948</v>
      </c>
      <c r="C2504" t="s">
        <v>78</v>
      </c>
      <c r="D2504" t="s">
        <v>78</v>
      </c>
      <c r="E2504" t="s">
        <v>241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2862</v>
      </c>
      <c r="B2505" t="s">
        <v>2949</v>
      </c>
      <c r="C2505" t="s">
        <v>78</v>
      </c>
      <c r="D2505" t="s">
        <v>78</v>
      </c>
      <c r="E2505" t="s">
        <v>241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2862</v>
      </c>
      <c r="B2506" t="s">
        <v>2950</v>
      </c>
      <c r="C2506" t="s">
        <v>78</v>
      </c>
      <c r="D2506" t="s">
        <v>78</v>
      </c>
      <c r="E2506" t="s">
        <v>286</v>
      </c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2862</v>
      </c>
      <c r="B2507" t="s">
        <v>2951</v>
      </c>
      <c r="C2507" t="s">
        <v>78</v>
      </c>
      <c r="D2507" t="s">
        <v>78</v>
      </c>
      <c r="E2507" t="s">
        <v>286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2862</v>
      </c>
      <c r="B2508" t="s">
        <v>2952</v>
      </c>
      <c r="C2508" t="s">
        <v>78</v>
      </c>
      <c r="D2508" t="s">
        <v>78</v>
      </c>
      <c r="E2508" t="s">
        <v>243</v>
      </c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2862</v>
      </c>
      <c r="B2509" t="s">
        <v>2953</v>
      </c>
      <c r="C2509" t="s">
        <v>78</v>
      </c>
      <c r="D2509" t="s">
        <v>78</v>
      </c>
      <c r="E2509" t="s">
        <v>575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2862</v>
      </c>
      <c r="B2510" t="s">
        <v>2954</v>
      </c>
      <c r="C2510" t="s">
        <v>78</v>
      </c>
      <c r="D2510" t="s">
        <v>78</v>
      </c>
      <c r="E2510" t="s">
        <v>281</v>
      </c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2862</v>
      </c>
      <c r="B2511" t="s">
        <v>2955</v>
      </c>
      <c r="C2511" t="s">
        <v>78</v>
      </c>
      <c r="D2511" t="s">
        <v>78</v>
      </c>
      <c r="E2511" t="s">
        <v>575</v>
      </c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2862</v>
      </c>
      <c r="B2512" t="s">
        <v>2956</v>
      </c>
      <c r="C2512" t="s">
        <v>78</v>
      </c>
      <c r="D2512" t="s">
        <v>78</v>
      </c>
      <c r="E2512" t="s">
        <v>281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2862</v>
      </c>
      <c r="B2513" t="s">
        <v>2957</v>
      </c>
      <c r="C2513" t="s">
        <v>78</v>
      </c>
      <c r="D2513" t="s">
        <v>78</v>
      </c>
      <c r="E2513" t="s">
        <v>281</v>
      </c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2862</v>
      </c>
      <c r="B2514" t="s">
        <v>2958</v>
      </c>
      <c r="C2514" t="s">
        <v>78</v>
      </c>
      <c r="D2514" t="s">
        <v>78</v>
      </c>
      <c r="E2514" t="s">
        <v>281</v>
      </c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2862</v>
      </c>
      <c r="B2515" t="s">
        <v>2959</v>
      </c>
      <c r="C2515" t="s">
        <v>78</v>
      </c>
      <c r="D2515" t="s">
        <v>78</v>
      </c>
      <c r="E2515" t="s">
        <v>281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2862</v>
      </c>
      <c r="B2516" t="s">
        <v>229</v>
      </c>
      <c r="C2516" t="s">
        <v>78</v>
      </c>
      <c r="D2516" t="s">
        <v>78</v>
      </c>
      <c r="E2516" t="s">
        <v>895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2862</v>
      </c>
      <c r="B2517" t="s">
        <v>2960</v>
      </c>
      <c r="C2517" t="s">
        <v>78</v>
      </c>
      <c r="D2517" t="s">
        <v>78</v>
      </c>
      <c r="E2517" t="s">
        <v>279</v>
      </c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2862</v>
      </c>
      <c r="B2518" t="s">
        <v>2961</v>
      </c>
      <c r="C2518" t="s">
        <v>78</v>
      </c>
      <c r="D2518" t="s">
        <v>78</v>
      </c>
      <c r="E2518" t="s">
        <v>235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2862</v>
      </c>
      <c r="B2519" t="s">
        <v>2962</v>
      </c>
      <c r="C2519" t="s">
        <v>78</v>
      </c>
      <c r="D2519" t="s">
        <v>78</v>
      </c>
      <c r="E2519" t="s">
        <v>182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2862</v>
      </c>
      <c r="B2520" t="s">
        <v>2963</v>
      </c>
      <c r="C2520" t="s">
        <v>78</v>
      </c>
      <c r="D2520" t="s">
        <v>78</v>
      </c>
      <c r="E2520" t="s">
        <v>182</v>
      </c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2862</v>
      </c>
      <c r="B2521" t="s">
        <v>2964</v>
      </c>
      <c r="C2521" t="s">
        <v>78</v>
      </c>
      <c r="D2521" t="s">
        <v>78</v>
      </c>
      <c r="E2521" t="s">
        <v>895</v>
      </c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2862</v>
      </c>
      <c r="B2522" t="s">
        <v>180</v>
      </c>
      <c r="C2522" t="s">
        <v>78</v>
      </c>
      <c r="D2522" t="s">
        <v>78</v>
      </c>
      <c r="E2522" t="s">
        <v>182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2862</v>
      </c>
      <c r="B2523" t="s">
        <v>181</v>
      </c>
      <c r="C2523" t="s">
        <v>78</v>
      </c>
      <c r="D2523" t="s">
        <v>78</v>
      </c>
      <c r="E2523" t="s">
        <v>286</v>
      </c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2862</v>
      </c>
      <c r="B2524" t="s">
        <v>2965</v>
      </c>
      <c r="C2524" t="s">
        <v>78</v>
      </c>
      <c r="D2524" t="s">
        <v>78</v>
      </c>
      <c r="E2524" t="s">
        <v>406</v>
      </c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2862</v>
      </c>
      <c r="B2525" t="s">
        <v>2966</v>
      </c>
      <c r="C2525" t="s">
        <v>78</v>
      </c>
      <c r="D2525" t="s">
        <v>78</v>
      </c>
      <c r="E2525" t="s">
        <v>1832</v>
      </c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2862</v>
      </c>
      <c r="B2526" t="s">
        <v>183</v>
      </c>
      <c r="C2526" t="s">
        <v>78</v>
      </c>
      <c r="D2526" t="s">
        <v>78</v>
      </c>
      <c r="E2526" t="s">
        <v>184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2969</v>
      </c>
      <c r="B2527" t="s">
        <v>2865</v>
      </c>
      <c r="C2527" t="s">
        <v>78</v>
      </c>
      <c r="D2527" t="s">
        <v>2866</v>
      </c>
      <c r="E2527" t="s">
        <v>1291</v>
      </c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2969</v>
      </c>
      <c r="B2528" t="s">
        <v>300</v>
      </c>
      <c r="C2528" t="s">
        <v>78</v>
      </c>
      <c r="D2528" t="s">
        <v>301</v>
      </c>
      <c r="E2528" t="s">
        <v>636</v>
      </c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2969</v>
      </c>
      <c r="B2529" t="s">
        <v>2867</v>
      </c>
      <c r="C2529" t="s">
        <v>78</v>
      </c>
      <c r="D2529" t="s">
        <v>2868</v>
      </c>
      <c r="E2529" t="s">
        <v>1846</v>
      </c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2969</v>
      </c>
      <c r="B2530" t="s">
        <v>2869</v>
      </c>
      <c r="C2530" t="s">
        <v>78</v>
      </c>
      <c r="D2530" t="s">
        <v>2870</v>
      </c>
      <c r="E2530" t="s">
        <v>2871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2969</v>
      </c>
      <c r="B2531" t="s">
        <v>2872</v>
      </c>
      <c r="C2531" t="s">
        <v>78</v>
      </c>
      <c r="D2531" t="s">
        <v>2873</v>
      </c>
      <c r="E2531" t="s">
        <v>456</v>
      </c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2969</v>
      </c>
      <c r="B2532" t="s">
        <v>2874</v>
      </c>
      <c r="C2532" t="s">
        <v>78</v>
      </c>
      <c r="D2532" t="s">
        <v>2875</v>
      </c>
      <c r="E2532" t="s">
        <v>1093</v>
      </c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2969</v>
      </c>
      <c r="B2533" t="s">
        <v>343</v>
      </c>
      <c r="C2533" t="s">
        <v>78</v>
      </c>
      <c r="D2533" t="s">
        <v>78</v>
      </c>
      <c r="E2533" t="s">
        <v>287</v>
      </c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2969</v>
      </c>
      <c r="B2534" t="s">
        <v>2876</v>
      </c>
      <c r="C2534" t="s">
        <v>78</v>
      </c>
      <c r="D2534" t="s">
        <v>78</v>
      </c>
      <c r="E2534" t="s">
        <v>287</v>
      </c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2969</v>
      </c>
      <c r="B2535" t="s">
        <v>2877</v>
      </c>
      <c r="C2535" t="s">
        <v>78</v>
      </c>
      <c r="D2535" t="s">
        <v>78</v>
      </c>
      <c r="E2535" t="s">
        <v>2362</v>
      </c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2969</v>
      </c>
      <c r="B2536" t="s">
        <v>2970</v>
      </c>
      <c r="C2536" t="s">
        <v>78</v>
      </c>
      <c r="D2536" t="s">
        <v>2971</v>
      </c>
      <c r="E2536" t="s">
        <v>469</v>
      </c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2969</v>
      </c>
      <c r="B2537" t="s">
        <v>2972</v>
      </c>
      <c r="C2537" t="s">
        <v>78</v>
      </c>
      <c r="D2537" t="s">
        <v>2973</v>
      </c>
      <c r="E2537" t="s">
        <v>2891</v>
      </c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2969</v>
      </c>
      <c r="B2538" t="s">
        <v>2974</v>
      </c>
      <c r="C2538" t="s">
        <v>78</v>
      </c>
      <c r="D2538" t="s">
        <v>2975</v>
      </c>
      <c r="E2538" t="s">
        <v>202</v>
      </c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2969</v>
      </c>
      <c r="B2539" t="s">
        <v>2878</v>
      </c>
      <c r="C2539" t="s">
        <v>78</v>
      </c>
      <c r="D2539" t="s">
        <v>2879</v>
      </c>
      <c r="E2539" t="s">
        <v>2880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2969</v>
      </c>
      <c r="B2540" t="s">
        <v>2881</v>
      </c>
      <c r="C2540" t="s">
        <v>78</v>
      </c>
      <c r="D2540" t="s">
        <v>2882</v>
      </c>
      <c r="E2540" t="s">
        <v>258</v>
      </c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2969</v>
      </c>
      <c r="B2541" t="s">
        <v>2883</v>
      </c>
      <c r="C2541" t="s">
        <v>78</v>
      </c>
      <c r="D2541" t="s">
        <v>2884</v>
      </c>
      <c r="E2541" t="s">
        <v>437</v>
      </c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2969</v>
      </c>
      <c r="B2542" t="s">
        <v>2887</v>
      </c>
      <c r="C2542" t="s">
        <v>78</v>
      </c>
      <c r="D2542" t="s">
        <v>2888</v>
      </c>
      <c r="E2542" t="s">
        <v>1939</v>
      </c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2969</v>
      </c>
      <c r="B2543" t="s">
        <v>2889</v>
      </c>
      <c r="C2543" t="s">
        <v>78</v>
      </c>
      <c r="D2543" t="s">
        <v>2890</v>
      </c>
      <c r="E2543" t="s">
        <v>2891</v>
      </c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2969</v>
      </c>
      <c r="B2544" t="s">
        <v>2976</v>
      </c>
      <c r="C2544" t="s">
        <v>78</v>
      </c>
      <c r="D2544" t="s">
        <v>2977</v>
      </c>
      <c r="E2544" t="s">
        <v>1832</v>
      </c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2969</v>
      </c>
      <c r="B2545" t="s">
        <v>2978</v>
      </c>
      <c r="C2545" t="s">
        <v>78</v>
      </c>
      <c r="D2545" t="s">
        <v>2979</v>
      </c>
      <c r="E2545" t="s">
        <v>418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2969</v>
      </c>
      <c r="B2546" t="s">
        <v>2980</v>
      </c>
      <c r="C2546" t="s">
        <v>78</v>
      </c>
      <c r="D2546" t="s">
        <v>2981</v>
      </c>
      <c r="E2546" t="s">
        <v>425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2969</v>
      </c>
      <c r="B2547" t="s">
        <v>2982</v>
      </c>
      <c r="C2547" t="s">
        <v>78</v>
      </c>
      <c r="D2547" t="s">
        <v>2983</v>
      </c>
      <c r="E2547" t="s">
        <v>505</v>
      </c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2969</v>
      </c>
      <c r="B2548" t="s">
        <v>2892</v>
      </c>
      <c r="C2548" t="s">
        <v>78</v>
      </c>
      <c r="D2548" t="s">
        <v>2893</v>
      </c>
      <c r="E2548" t="s">
        <v>258</v>
      </c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2969</v>
      </c>
      <c r="B2549" t="s">
        <v>2894</v>
      </c>
      <c r="C2549" t="s">
        <v>78</v>
      </c>
      <c r="D2549" t="s">
        <v>2895</v>
      </c>
      <c r="E2549" t="s">
        <v>692</v>
      </c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2969</v>
      </c>
      <c r="B2550" t="s">
        <v>2896</v>
      </c>
      <c r="C2550" t="s">
        <v>78</v>
      </c>
      <c r="D2550" t="s">
        <v>2897</v>
      </c>
      <c r="E2550" t="s">
        <v>2012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2969</v>
      </c>
      <c r="B2551" t="s">
        <v>2984</v>
      </c>
      <c r="C2551" t="s">
        <v>78</v>
      </c>
      <c r="D2551" t="s">
        <v>2985</v>
      </c>
      <c r="E2551" t="s">
        <v>582</v>
      </c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2969</v>
      </c>
      <c r="B2552" t="s">
        <v>2986</v>
      </c>
      <c r="C2552" t="s">
        <v>78</v>
      </c>
      <c r="D2552" t="s">
        <v>2987</v>
      </c>
      <c r="E2552" t="s">
        <v>2512</v>
      </c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2969</v>
      </c>
      <c r="B2553" t="s">
        <v>2898</v>
      </c>
      <c r="C2553" t="s">
        <v>78</v>
      </c>
      <c r="D2553" t="s">
        <v>2899</v>
      </c>
      <c r="E2553" t="s">
        <v>1425</v>
      </c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2969</v>
      </c>
      <c r="B2554" t="s">
        <v>2902</v>
      </c>
      <c r="C2554" t="s">
        <v>78</v>
      </c>
      <c r="D2554" t="s">
        <v>2903</v>
      </c>
      <c r="E2554" t="s">
        <v>2008</v>
      </c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2969</v>
      </c>
      <c r="B2555" t="s">
        <v>2988</v>
      </c>
      <c r="C2555" t="s">
        <v>78</v>
      </c>
      <c r="D2555" t="s">
        <v>2989</v>
      </c>
      <c r="E2555" t="s">
        <v>469</v>
      </c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2969</v>
      </c>
      <c r="B2556" t="s">
        <v>2990</v>
      </c>
      <c r="C2556" t="s">
        <v>78</v>
      </c>
      <c r="D2556" t="s">
        <v>2991</v>
      </c>
      <c r="E2556" t="s">
        <v>2992</v>
      </c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2969</v>
      </c>
      <c r="B2557" t="s">
        <v>2993</v>
      </c>
      <c r="C2557" t="s">
        <v>78</v>
      </c>
      <c r="D2557" t="s">
        <v>2994</v>
      </c>
      <c r="E2557" t="s">
        <v>2995</v>
      </c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2969</v>
      </c>
      <c r="B2558" t="s">
        <v>2996</v>
      </c>
      <c r="C2558" t="s">
        <v>78</v>
      </c>
      <c r="D2558" t="s">
        <v>2997</v>
      </c>
      <c r="E2558" t="s">
        <v>2998</v>
      </c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2969</v>
      </c>
      <c r="B2559" t="s">
        <v>2913</v>
      </c>
      <c r="C2559" t="s">
        <v>78</v>
      </c>
      <c r="D2559" t="s">
        <v>2914</v>
      </c>
      <c r="E2559" t="s">
        <v>2915</v>
      </c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2969</v>
      </c>
      <c r="B2560" t="s">
        <v>402</v>
      </c>
      <c r="C2560" t="s">
        <v>78</v>
      </c>
      <c r="D2560" t="s">
        <v>2916</v>
      </c>
      <c r="E2560" t="s">
        <v>888</v>
      </c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2969</v>
      </c>
      <c r="B2561" t="s">
        <v>1461</v>
      </c>
      <c r="C2561" t="s">
        <v>78</v>
      </c>
      <c r="D2561" t="s">
        <v>2917</v>
      </c>
      <c r="E2561" t="s">
        <v>456</v>
      </c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2969</v>
      </c>
      <c r="B2562" t="s">
        <v>1449</v>
      </c>
      <c r="C2562" t="s">
        <v>78</v>
      </c>
      <c r="D2562" t="s">
        <v>2914</v>
      </c>
      <c r="E2562" t="s">
        <v>2915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2969</v>
      </c>
      <c r="B2563" t="s">
        <v>1465</v>
      </c>
      <c r="C2563" t="s">
        <v>78</v>
      </c>
      <c r="D2563" t="s">
        <v>2918</v>
      </c>
      <c r="E2563" t="s">
        <v>2919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2969</v>
      </c>
      <c r="B2564" t="s">
        <v>314</v>
      </c>
      <c r="C2564" t="s">
        <v>78</v>
      </c>
      <c r="D2564" t="s">
        <v>2920</v>
      </c>
      <c r="E2564" t="s">
        <v>1994</v>
      </c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2969</v>
      </c>
      <c r="B2565" t="s">
        <v>192</v>
      </c>
      <c r="C2565" t="s">
        <v>78</v>
      </c>
      <c r="D2565" t="s">
        <v>2921</v>
      </c>
      <c r="E2565" t="s">
        <v>1238</v>
      </c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2969</v>
      </c>
      <c r="B2566" t="s">
        <v>2928</v>
      </c>
      <c r="C2566" t="s">
        <v>78</v>
      </c>
      <c r="D2566" t="s">
        <v>2929</v>
      </c>
      <c r="E2566" t="s">
        <v>1427</v>
      </c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2969</v>
      </c>
      <c r="B2567" t="s">
        <v>2926</v>
      </c>
      <c r="C2567" t="s">
        <v>78</v>
      </c>
      <c r="D2567" t="s">
        <v>2927</v>
      </c>
      <c r="E2567" t="s">
        <v>582</v>
      </c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2969</v>
      </c>
      <c r="B2568" t="s">
        <v>2922</v>
      </c>
      <c r="C2568" t="s">
        <v>78</v>
      </c>
      <c r="D2568" t="s">
        <v>2923</v>
      </c>
      <c r="E2568" t="s">
        <v>253</v>
      </c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2969</v>
      </c>
      <c r="B2569" t="s">
        <v>2924</v>
      </c>
      <c r="C2569" t="s">
        <v>78</v>
      </c>
      <c r="D2569" t="s">
        <v>2925</v>
      </c>
      <c r="E2569" t="s">
        <v>554</v>
      </c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2969</v>
      </c>
      <c r="B2570" t="s">
        <v>2930</v>
      </c>
      <c r="C2570" t="s">
        <v>78</v>
      </c>
      <c r="D2570" t="s">
        <v>2931</v>
      </c>
      <c r="E2570" t="s">
        <v>554</v>
      </c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2969</v>
      </c>
      <c r="B2571" t="s">
        <v>294</v>
      </c>
      <c r="C2571" t="s">
        <v>78</v>
      </c>
      <c r="D2571" t="s">
        <v>2932</v>
      </c>
      <c r="E2571" t="s">
        <v>692</v>
      </c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2969</v>
      </c>
      <c r="B2572" t="s">
        <v>2847</v>
      </c>
      <c r="C2572" t="s">
        <v>78</v>
      </c>
      <c r="D2572" t="s">
        <v>2999</v>
      </c>
      <c r="E2572" t="s">
        <v>692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2969</v>
      </c>
      <c r="B2573" t="s">
        <v>2933</v>
      </c>
      <c r="C2573" t="s">
        <v>78</v>
      </c>
      <c r="D2573" t="s">
        <v>2934</v>
      </c>
      <c r="E2573" t="s">
        <v>2017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2969</v>
      </c>
      <c r="B2574" t="s">
        <v>2936</v>
      </c>
      <c r="C2574" t="s">
        <v>78</v>
      </c>
      <c r="D2574" t="s">
        <v>78</v>
      </c>
      <c r="E2574" t="s">
        <v>1257</v>
      </c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2969</v>
      </c>
      <c r="B2575" t="s">
        <v>3000</v>
      </c>
      <c r="C2575" t="s">
        <v>78</v>
      </c>
      <c r="D2575" t="s">
        <v>78</v>
      </c>
      <c r="E2575" t="s">
        <v>1257</v>
      </c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2969</v>
      </c>
      <c r="B2576" t="s">
        <v>3001</v>
      </c>
      <c r="C2576" t="s">
        <v>78</v>
      </c>
      <c r="D2576" t="s">
        <v>78</v>
      </c>
      <c r="E2576" t="s">
        <v>1257</v>
      </c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2969</v>
      </c>
      <c r="B2577" t="s">
        <v>3002</v>
      </c>
      <c r="C2577" t="s">
        <v>78</v>
      </c>
      <c r="D2577" t="s">
        <v>78</v>
      </c>
      <c r="E2577" t="s">
        <v>1257</v>
      </c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2969</v>
      </c>
      <c r="B2578" t="s">
        <v>3003</v>
      </c>
      <c r="C2578" t="s">
        <v>78</v>
      </c>
      <c r="D2578" t="s">
        <v>78</v>
      </c>
      <c r="E2578" t="s">
        <v>286</v>
      </c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2969</v>
      </c>
      <c r="B2579" t="s">
        <v>2947</v>
      </c>
      <c r="C2579" t="s">
        <v>78</v>
      </c>
      <c r="D2579" t="s">
        <v>78</v>
      </c>
      <c r="E2579" t="s">
        <v>286</v>
      </c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2969</v>
      </c>
      <c r="B2580" t="s">
        <v>2948</v>
      </c>
      <c r="C2580" t="s">
        <v>78</v>
      </c>
      <c r="D2580" t="s">
        <v>78</v>
      </c>
      <c r="E2580" t="s">
        <v>241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2969</v>
      </c>
      <c r="B2581" t="s">
        <v>3004</v>
      </c>
      <c r="C2581" t="s">
        <v>78</v>
      </c>
      <c r="D2581" t="s">
        <v>78</v>
      </c>
      <c r="E2581" t="s">
        <v>241</v>
      </c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2969</v>
      </c>
      <c r="B2582" t="s">
        <v>2949</v>
      </c>
      <c r="C2582" t="s">
        <v>78</v>
      </c>
      <c r="D2582" t="s">
        <v>78</v>
      </c>
      <c r="E2582" t="s">
        <v>241</v>
      </c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2969</v>
      </c>
      <c r="B2583" t="s">
        <v>2950</v>
      </c>
      <c r="C2583" t="s">
        <v>78</v>
      </c>
      <c r="D2583" t="s">
        <v>78</v>
      </c>
      <c r="E2583" t="s">
        <v>286</v>
      </c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2969</v>
      </c>
      <c r="B2584" t="s">
        <v>3005</v>
      </c>
      <c r="C2584" t="s">
        <v>78</v>
      </c>
      <c r="D2584" t="s">
        <v>78</v>
      </c>
      <c r="E2584" t="s">
        <v>197</v>
      </c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2969</v>
      </c>
      <c r="B2585" t="s">
        <v>2951</v>
      </c>
      <c r="C2585" t="s">
        <v>78</v>
      </c>
      <c r="D2585" t="s">
        <v>78</v>
      </c>
      <c r="E2585" t="s">
        <v>286</v>
      </c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2969</v>
      </c>
      <c r="B2586" t="s">
        <v>2952</v>
      </c>
      <c r="C2586" t="s">
        <v>78</v>
      </c>
      <c r="D2586" t="s">
        <v>78</v>
      </c>
      <c r="E2586" t="s">
        <v>243</v>
      </c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2969</v>
      </c>
      <c r="B2587" t="s">
        <v>2953</v>
      </c>
      <c r="C2587" t="s">
        <v>78</v>
      </c>
      <c r="D2587" t="s">
        <v>78</v>
      </c>
      <c r="E2587" t="s">
        <v>575</v>
      </c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2969</v>
      </c>
      <c r="B2588" t="s">
        <v>3006</v>
      </c>
      <c r="C2588" t="s">
        <v>78</v>
      </c>
      <c r="D2588" t="s">
        <v>78</v>
      </c>
      <c r="E2588" t="s">
        <v>895</v>
      </c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2969</v>
      </c>
      <c r="B2589" t="s">
        <v>3007</v>
      </c>
      <c r="C2589" t="s">
        <v>78</v>
      </c>
      <c r="D2589" t="s">
        <v>78</v>
      </c>
      <c r="E2589" t="s">
        <v>252</v>
      </c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2969</v>
      </c>
      <c r="B2590" t="s">
        <v>3008</v>
      </c>
      <c r="C2590" t="s">
        <v>78</v>
      </c>
      <c r="D2590" t="s">
        <v>78</v>
      </c>
      <c r="E2590" t="s">
        <v>252</v>
      </c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2969</v>
      </c>
      <c r="B2591" t="s">
        <v>3009</v>
      </c>
      <c r="C2591" t="s">
        <v>78</v>
      </c>
      <c r="D2591" t="s">
        <v>78</v>
      </c>
      <c r="E2591" t="s">
        <v>3010</v>
      </c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2969</v>
      </c>
      <c r="B2592" t="s">
        <v>3011</v>
      </c>
      <c r="C2592" t="s">
        <v>78</v>
      </c>
      <c r="D2592" t="s">
        <v>78</v>
      </c>
      <c r="E2592" t="s">
        <v>3010</v>
      </c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2969</v>
      </c>
      <c r="B2593" t="s">
        <v>3012</v>
      </c>
      <c r="C2593" t="s">
        <v>78</v>
      </c>
      <c r="D2593" t="s">
        <v>78</v>
      </c>
      <c r="E2593" t="s">
        <v>3010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2969</v>
      </c>
      <c r="B2594" t="s">
        <v>3013</v>
      </c>
      <c r="C2594" t="s">
        <v>78</v>
      </c>
      <c r="D2594" t="s">
        <v>78</v>
      </c>
      <c r="E2594" t="s">
        <v>268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2969</v>
      </c>
      <c r="B2595" t="s">
        <v>3014</v>
      </c>
      <c r="C2595" t="s">
        <v>78</v>
      </c>
      <c r="D2595" t="s">
        <v>78</v>
      </c>
      <c r="E2595" t="s">
        <v>268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2969</v>
      </c>
      <c r="B2596" t="s">
        <v>3015</v>
      </c>
      <c r="C2596" t="s">
        <v>78</v>
      </c>
      <c r="D2596" t="s">
        <v>78</v>
      </c>
      <c r="E2596" t="s">
        <v>243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2969</v>
      </c>
      <c r="B2597" t="s">
        <v>3016</v>
      </c>
      <c r="C2597" t="s">
        <v>78</v>
      </c>
      <c r="D2597" t="s">
        <v>78</v>
      </c>
      <c r="E2597" t="s">
        <v>243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2969</v>
      </c>
      <c r="B2598" t="s">
        <v>3017</v>
      </c>
      <c r="C2598" t="s">
        <v>78</v>
      </c>
      <c r="D2598" t="s">
        <v>78</v>
      </c>
      <c r="E2598" t="s">
        <v>243</v>
      </c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2969</v>
      </c>
      <c r="B2599" t="s">
        <v>3018</v>
      </c>
      <c r="C2599" t="s">
        <v>78</v>
      </c>
      <c r="D2599" t="s">
        <v>78</v>
      </c>
      <c r="E2599" t="s">
        <v>268</v>
      </c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2969</v>
      </c>
      <c r="B2600" t="s">
        <v>3019</v>
      </c>
      <c r="C2600" t="s">
        <v>78</v>
      </c>
      <c r="D2600" t="s">
        <v>78</v>
      </c>
      <c r="E2600" t="s">
        <v>268</v>
      </c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2969</v>
      </c>
      <c r="B2601" t="s">
        <v>3020</v>
      </c>
      <c r="C2601" t="s">
        <v>78</v>
      </c>
      <c r="D2601" t="s">
        <v>78</v>
      </c>
      <c r="E2601" t="s">
        <v>268</v>
      </c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2969</v>
      </c>
      <c r="B2602" t="s">
        <v>3021</v>
      </c>
      <c r="C2602" t="s">
        <v>78</v>
      </c>
      <c r="D2602" t="s">
        <v>78</v>
      </c>
      <c r="E2602" t="s">
        <v>252</v>
      </c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2969</v>
      </c>
      <c r="B2603" t="s">
        <v>3022</v>
      </c>
      <c r="C2603" t="s">
        <v>78</v>
      </c>
      <c r="D2603" t="s">
        <v>78</v>
      </c>
      <c r="E2603" t="s">
        <v>252</v>
      </c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2969</v>
      </c>
      <c r="B2604" t="s">
        <v>3023</v>
      </c>
      <c r="C2604" t="s">
        <v>78</v>
      </c>
      <c r="D2604" t="s">
        <v>78</v>
      </c>
      <c r="E2604" t="s">
        <v>252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2969</v>
      </c>
      <c r="B2605" t="s">
        <v>3024</v>
      </c>
      <c r="C2605" t="s">
        <v>78</v>
      </c>
      <c r="D2605" t="s">
        <v>78</v>
      </c>
      <c r="E2605" t="s">
        <v>237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2969</v>
      </c>
      <c r="B2606" t="s">
        <v>3025</v>
      </c>
      <c r="C2606" t="s">
        <v>78</v>
      </c>
      <c r="D2606" t="s">
        <v>78</v>
      </c>
      <c r="E2606" t="s">
        <v>237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2969</v>
      </c>
      <c r="B2607" t="s">
        <v>3026</v>
      </c>
      <c r="C2607" t="s">
        <v>78</v>
      </c>
      <c r="D2607" t="s">
        <v>78</v>
      </c>
      <c r="E2607" t="s">
        <v>2017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2969</v>
      </c>
      <c r="B2608" t="s">
        <v>3027</v>
      </c>
      <c r="C2608" t="s">
        <v>78</v>
      </c>
      <c r="D2608" t="s">
        <v>78</v>
      </c>
      <c r="E2608" t="s">
        <v>895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2969</v>
      </c>
      <c r="B2609" t="s">
        <v>3028</v>
      </c>
      <c r="C2609" t="s">
        <v>78</v>
      </c>
      <c r="D2609" t="s">
        <v>78</v>
      </c>
      <c r="E2609" t="s">
        <v>207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2969</v>
      </c>
      <c r="B2610" t="s">
        <v>2956</v>
      </c>
      <c r="C2610" t="s">
        <v>78</v>
      </c>
      <c r="D2610" t="s">
        <v>78</v>
      </c>
      <c r="E2610" t="s">
        <v>281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2969</v>
      </c>
      <c r="B2611" t="s">
        <v>2957</v>
      </c>
      <c r="C2611" t="s">
        <v>78</v>
      </c>
      <c r="D2611" t="s">
        <v>78</v>
      </c>
      <c r="E2611" t="s">
        <v>281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2969</v>
      </c>
      <c r="B2612" t="s">
        <v>2958</v>
      </c>
      <c r="C2612" t="s">
        <v>78</v>
      </c>
      <c r="D2612" t="s">
        <v>78</v>
      </c>
      <c r="E2612" t="s">
        <v>281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2969</v>
      </c>
      <c r="B2613" t="s">
        <v>3029</v>
      </c>
      <c r="C2613" t="s">
        <v>78</v>
      </c>
      <c r="D2613" t="s">
        <v>78</v>
      </c>
      <c r="E2613" t="s">
        <v>1417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2969</v>
      </c>
      <c r="B2614" t="s">
        <v>3030</v>
      </c>
      <c r="C2614" t="s">
        <v>78</v>
      </c>
      <c r="D2614" t="s">
        <v>78</v>
      </c>
      <c r="E2614" t="s">
        <v>235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2969</v>
      </c>
      <c r="B2615" t="s">
        <v>3031</v>
      </c>
      <c r="C2615" t="s">
        <v>78</v>
      </c>
      <c r="D2615" t="s">
        <v>78</v>
      </c>
      <c r="E2615" t="s">
        <v>235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2969</v>
      </c>
      <c r="B2616" t="s">
        <v>229</v>
      </c>
      <c r="C2616" t="s">
        <v>78</v>
      </c>
      <c r="D2616" t="s">
        <v>78</v>
      </c>
      <c r="E2616" t="s">
        <v>895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2969</v>
      </c>
      <c r="B2617" t="s">
        <v>876</v>
      </c>
      <c r="C2617" t="s">
        <v>78</v>
      </c>
      <c r="D2617" t="s">
        <v>78</v>
      </c>
      <c r="E2617" t="s">
        <v>895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2969</v>
      </c>
      <c r="B2618" t="s">
        <v>230</v>
      </c>
      <c r="C2618" t="s">
        <v>78</v>
      </c>
      <c r="D2618" t="s">
        <v>78</v>
      </c>
      <c r="E2618" t="s">
        <v>895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2969</v>
      </c>
      <c r="B2619" t="s">
        <v>231</v>
      </c>
      <c r="C2619" t="s">
        <v>78</v>
      </c>
      <c r="D2619" t="s">
        <v>78</v>
      </c>
      <c r="E2619" t="s">
        <v>895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2969</v>
      </c>
      <c r="B2620" t="s">
        <v>232</v>
      </c>
      <c r="C2620" t="s">
        <v>78</v>
      </c>
      <c r="D2620" t="s">
        <v>78</v>
      </c>
      <c r="E2620" t="s">
        <v>895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2969</v>
      </c>
      <c r="B2621" t="s">
        <v>233</v>
      </c>
      <c r="C2621" t="s">
        <v>78</v>
      </c>
      <c r="D2621" t="s">
        <v>78</v>
      </c>
      <c r="E2621" t="s">
        <v>895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2969</v>
      </c>
      <c r="B2622" t="s">
        <v>2960</v>
      </c>
      <c r="C2622" t="s">
        <v>78</v>
      </c>
      <c r="D2622" t="s">
        <v>78</v>
      </c>
      <c r="E2622" t="s">
        <v>279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2969</v>
      </c>
      <c r="B2623" t="s">
        <v>2961</v>
      </c>
      <c r="C2623" t="s">
        <v>78</v>
      </c>
      <c r="D2623" t="s">
        <v>78</v>
      </c>
      <c r="E2623" t="s">
        <v>235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2969</v>
      </c>
      <c r="B2624" t="s">
        <v>3032</v>
      </c>
      <c r="C2624" t="s">
        <v>78</v>
      </c>
      <c r="D2624" t="s">
        <v>78</v>
      </c>
      <c r="E2624" t="s">
        <v>895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2969</v>
      </c>
      <c r="B2625" t="s">
        <v>2962</v>
      </c>
      <c r="C2625" t="s">
        <v>78</v>
      </c>
      <c r="D2625" t="s">
        <v>78</v>
      </c>
      <c r="E2625" t="s">
        <v>182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2969</v>
      </c>
      <c r="B2626" t="s">
        <v>2963</v>
      </c>
      <c r="C2626" t="s">
        <v>78</v>
      </c>
      <c r="D2626" t="s">
        <v>78</v>
      </c>
      <c r="E2626" t="s">
        <v>182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2969</v>
      </c>
      <c r="B2627" t="s">
        <v>3033</v>
      </c>
      <c r="C2627" t="s">
        <v>78</v>
      </c>
      <c r="D2627" t="s">
        <v>78</v>
      </c>
      <c r="E2627" t="s">
        <v>281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2969</v>
      </c>
      <c r="B2628" t="s">
        <v>2964</v>
      </c>
      <c r="C2628" t="s">
        <v>78</v>
      </c>
      <c r="D2628" t="s">
        <v>78</v>
      </c>
      <c r="E2628" t="s">
        <v>895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2969</v>
      </c>
      <c r="B2629" t="s">
        <v>180</v>
      </c>
      <c r="C2629" t="s">
        <v>78</v>
      </c>
      <c r="D2629" t="s">
        <v>78</v>
      </c>
      <c r="E2629" t="s">
        <v>182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2969</v>
      </c>
      <c r="B2630" t="s">
        <v>181</v>
      </c>
      <c r="C2630" t="s">
        <v>78</v>
      </c>
      <c r="D2630" t="s">
        <v>78</v>
      </c>
      <c r="E2630" t="s">
        <v>286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2969</v>
      </c>
      <c r="B2631" t="s">
        <v>242</v>
      </c>
      <c r="C2631" t="s">
        <v>78</v>
      </c>
      <c r="D2631" t="s">
        <v>78</v>
      </c>
      <c r="E2631" t="s">
        <v>1238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2969</v>
      </c>
      <c r="B2632" t="s">
        <v>327</v>
      </c>
      <c r="C2632" t="s">
        <v>78</v>
      </c>
      <c r="D2632" t="s">
        <v>78</v>
      </c>
      <c r="E2632" t="s">
        <v>1238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2969</v>
      </c>
      <c r="B2633" t="s">
        <v>1266</v>
      </c>
      <c r="C2633" t="s">
        <v>78</v>
      </c>
      <c r="D2633" t="s">
        <v>78</v>
      </c>
      <c r="E2633" t="s">
        <v>1238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2969</v>
      </c>
      <c r="B2634" t="s">
        <v>2965</v>
      </c>
      <c r="C2634" t="s">
        <v>78</v>
      </c>
      <c r="D2634" t="s">
        <v>78</v>
      </c>
      <c r="E2634" t="s">
        <v>406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2969</v>
      </c>
      <c r="B2635" t="s">
        <v>3034</v>
      </c>
      <c r="C2635" t="s">
        <v>78</v>
      </c>
      <c r="D2635" t="s">
        <v>78</v>
      </c>
      <c r="E2635" t="s">
        <v>1238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2969</v>
      </c>
      <c r="B2636" t="s">
        <v>3035</v>
      </c>
      <c r="C2636" t="s">
        <v>78</v>
      </c>
      <c r="D2636" t="s">
        <v>78</v>
      </c>
      <c r="E2636" t="s">
        <v>692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2969</v>
      </c>
      <c r="B2637" t="s">
        <v>2966</v>
      </c>
      <c r="C2637" t="s">
        <v>78</v>
      </c>
      <c r="D2637" t="s">
        <v>78</v>
      </c>
      <c r="E2637" t="s">
        <v>1832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2969</v>
      </c>
      <c r="B2638" t="s">
        <v>183</v>
      </c>
      <c r="C2638" t="s">
        <v>78</v>
      </c>
      <c r="D2638" t="s">
        <v>78</v>
      </c>
      <c r="E2638" t="s">
        <v>184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3037</v>
      </c>
      <c r="B2639" t="s">
        <v>2863</v>
      </c>
      <c r="C2639" t="s">
        <v>78</v>
      </c>
      <c r="D2639" t="s">
        <v>2864</v>
      </c>
      <c r="E2639" t="s">
        <v>418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3037</v>
      </c>
      <c r="B2640" t="s">
        <v>2865</v>
      </c>
      <c r="C2640" t="s">
        <v>78</v>
      </c>
      <c r="D2640" t="s">
        <v>2866</v>
      </c>
      <c r="E2640" t="s">
        <v>1291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3037</v>
      </c>
      <c r="B2641" t="s">
        <v>300</v>
      </c>
      <c r="C2641" t="s">
        <v>78</v>
      </c>
      <c r="D2641" t="s">
        <v>301</v>
      </c>
      <c r="E2641" t="s">
        <v>636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3037</v>
      </c>
      <c r="B2642" t="s">
        <v>2867</v>
      </c>
      <c r="C2642" t="s">
        <v>78</v>
      </c>
      <c r="D2642" t="s">
        <v>2868</v>
      </c>
      <c r="E2642" t="s">
        <v>1846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3037</v>
      </c>
      <c r="B2643" t="s">
        <v>2869</v>
      </c>
      <c r="C2643" t="s">
        <v>78</v>
      </c>
      <c r="D2643" t="s">
        <v>2870</v>
      </c>
      <c r="E2643" t="s">
        <v>2871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3037</v>
      </c>
      <c r="B2644" t="s">
        <v>2872</v>
      </c>
      <c r="C2644" t="s">
        <v>78</v>
      </c>
      <c r="D2644" t="s">
        <v>2873</v>
      </c>
      <c r="E2644" t="s">
        <v>456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3037</v>
      </c>
      <c r="B2645" t="s">
        <v>2874</v>
      </c>
      <c r="C2645" t="s">
        <v>78</v>
      </c>
      <c r="D2645" t="s">
        <v>2875</v>
      </c>
      <c r="E2645" t="s">
        <v>1093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3037</v>
      </c>
      <c r="B2646" t="s">
        <v>343</v>
      </c>
      <c r="C2646" t="s">
        <v>78</v>
      </c>
      <c r="D2646" t="s">
        <v>78</v>
      </c>
      <c r="E2646" t="s">
        <v>287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3037</v>
      </c>
      <c r="B2647" t="s">
        <v>2889</v>
      </c>
      <c r="C2647" t="s">
        <v>78</v>
      </c>
      <c r="D2647" t="s">
        <v>2890</v>
      </c>
      <c r="E2647" t="s">
        <v>2891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3037</v>
      </c>
      <c r="B2648" t="s">
        <v>2990</v>
      </c>
      <c r="C2648" t="s">
        <v>78</v>
      </c>
      <c r="D2648" t="s">
        <v>2991</v>
      </c>
      <c r="E2648" t="s">
        <v>2992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3037</v>
      </c>
      <c r="B2649" t="s">
        <v>402</v>
      </c>
      <c r="C2649" t="s">
        <v>78</v>
      </c>
      <c r="D2649" t="s">
        <v>2916</v>
      </c>
      <c r="E2649" t="s">
        <v>888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3037</v>
      </c>
      <c r="B2650" t="s">
        <v>1461</v>
      </c>
      <c r="C2650" t="s">
        <v>78</v>
      </c>
      <c r="D2650" t="s">
        <v>2917</v>
      </c>
      <c r="E2650" t="s">
        <v>456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3037</v>
      </c>
      <c r="B2651" t="s">
        <v>1449</v>
      </c>
      <c r="C2651" t="s">
        <v>78</v>
      </c>
      <c r="D2651" t="s">
        <v>2914</v>
      </c>
      <c r="E2651" t="s">
        <v>2915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3037</v>
      </c>
      <c r="B2652" t="s">
        <v>1465</v>
      </c>
      <c r="C2652" t="s">
        <v>78</v>
      </c>
      <c r="D2652" t="s">
        <v>2918</v>
      </c>
      <c r="E2652" t="s">
        <v>2919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3037</v>
      </c>
      <c r="B2653" t="s">
        <v>314</v>
      </c>
      <c r="C2653" t="s">
        <v>78</v>
      </c>
      <c r="D2653" t="s">
        <v>2920</v>
      </c>
      <c r="E2653" t="s">
        <v>1994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3037</v>
      </c>
      <c r="B2654" t="s">
        <v>192</v>
      </c>
      <c r="C2654" t="s">
        <v>78</v>
      </c>
      <c r="D2654" t="s">
        <v>2921</v>
      </c>
      <c r="E2654" t="s">
        <v>1238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3037</v>
      </c>
      <c r="B2655" t="s">
        <v>2928</v>
      </c>
      <c r="C2655" t="s">
        <v>78</v>
      </c>
      <c r="D2655" t="s">
        <v>2929</v>
      </c>
      <c r="E2655" t="s">
        <v>1427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3037</v>
      </c>
      <c r="B2656" t="s">
        <v>2922</v>
      </c>
      <c r="C2656" t="s">
        <v>78</v>
      </c>
      <c r="D2656" t="s">
        <v>2923</v>
      </c>
      <c r="E2656" t="s">
        <v>253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3037</v>
      </c>
      <c r="B2657" t="s">
        <v>2926</v>
      </c>
      <c r="C2657" t="s">
        <v>78</v>
      </c>
      <c r="D2657" t="s">
        <v>2927</v>
      </c>
      <c r="E2657" t="s">
        <v>582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3037</v>
      </c>
      <c r="B2658" t="s">
        <v>2924</v>
      </c>
      <c r="C2658" t="s">
        <v>78</v>
      </c>
      <c r="D2658" t="s">
        <v>2925</v>
      </c>
      <c r="E2658" t="s">
        <v>554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3037</v>
      </c>
      <c r="B2659" t="s">
        <v>2930</v>
      </c>
      <c r="C2659" t="s">
        <v>78</v>
      </c>
      <c r="D2659" t="s">
        <v>2931</v>
      </c>
      <c r="E2659" t="s">
        <v>554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3037</v>
      </c>
      <c r="B2660" t="s">
        <v>294</v>
      </c>
      <c r="C2660" t="s">
        <v>78</v>
      </c>
      <c r="D2660" t="s">
        <v>2932</v>
      </c>
      <c r="E2660" t="s">
        <v>692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3037</v>
      </c>
      <c r="B2661" t="s">
        <v>2933</v>
      </c>
      <c r="C2661" t="s">
        <v>78</v>
      </c>
      <c r="D2661" t="s">
        <v>2934</v>
      </c>
      <c r="E2661" t="s">
        <v>2017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3037</v>
      </c>
      <c r="B2662" t="s">
        <v>2937</v>
      </c>
      <c r="C2662" t="s">
        <v>78</v>
      </c>
      <c r="D2662" t="s">
        <v>78</v>
      </c>
      <c r="E2662" t="s">
        <v>1425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3037</v>
      </c>
      <c r="B2663" t="s">
        <v>2938</v>
      </c>
      <c r="C2663" t="s">
        <v>78</v>
      </c>
      <c r="D2663" t="s">
        <v>78</v>
      </c>
      <c r="E2663" t="s">
        <v>1425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3037</v>
      </c>
      <c r="B2664" t="s">
        <v>2939</v>
      </c>
      <c r="C2664" t="s">
        <v>78</v>
      </c>
      <c r="D2664" t="s">
        <v>78</v>
      </c>
      <c r="E2664" t="s">
        <v>2017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3037</v>
      </c>
      <c r="B2665" t="s">
        <v>2940</v>
      </c>
      <c r="C2665" t="s">
        <v>78</v>
      </c>
      <c r="D2665" t="s">
        <v>78</v>
      </c>
      <c r="E2665" t="s">
        <v>2880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3037</v>
      </c>
      <c r="B2666" t="s">
        <v>2941</v>
      </c>
      <c r="C2666" t="s">
        <v>78</v>
      </c>
      <c r="D2666" t="s">
        <v>78</v>
      </c>
      <c r="E2666" t="s">
        <v>2880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3037</v>
      </c>
      <c r="B2667" t="s">
        <v>3038</v>
      </c>
      <c r="C2667" t="s">
        <v>78</v>
      </c>
      <c r="D2667" t="s">
        <v>3039</v>
      </c>
      <c r="E2667" t="s">
        <v>888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3037</v>
      </c>
      <c r="B2668" t="s">
        <v>2944</v>
      </c>
      <c r="C2668" t="s">
        <v>78</v>
      </c>
      <c r="D2668" t="s">
        <v>78</v>
      </c>
      <c r="E2668" t="s">
        <v>692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3037</v>
      </c>
      <c r="B2669" t="s">
        <v>2945</v>
      </c>
      <c r="C2669" t="s">
        <v>78</v>
      </c>
      <c r="D2669" t="s">
        <v>78</v>
      </c>
      <c r="E2669" t="s">
        <v>692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3037</v>
      </c>
      <c r="B2670" t="s">
        <v>2946</v>
      </c>
      <c r="C2670" t="s">
        <v>78</v>
      </c>
      <c r="D2670" t="s">
        <v>78</v>
      </c>
      <c r="E2670" t="s">
        <v>692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3037</v>
      </c>
      <c r="B2671" t="s">
        <v>3040</v>
      </c>
      <c r="C2671" t="s">
        <v>78</v>
      </c>
      <c r="D2671" t="s">
        <v>78</v>
      </c>
      <c r="E2671" t="s">
        <v>692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3037</v>
      </c>
      <c r="B2672" t="s">
        <v>3041</v>
      </c>
      <c r="C2672" t="s">
        <v>78</v>
      </c>
      <c r="D2672" t="s">
        <v>78</v>
      </c>
      <c r="E2672" t="s">
        <v>692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3037</v>
      </c>
      <c r="B2673" t="s">
        <v>3042</v>
      </c>
      <c r="C2673" t="s">
        <v>78</v>
      </c>
      <c r="D2673" t="s">
        <v>78</v>
      </c>
      <c r="E2673" t="s">
        <v>692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3037</v>
      </c>
      <c r="B2674" t="s">
        <v>3003</v>
      </c>
      <c r="C2674" t="s">
        <v>78</v>
      </c>
      <c r="D2674" t="s">
        <v>78</v>
      </c>
      <c r="E2674" t="s">
        <v>286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3037</v>
      </c>
      <c r="B2675" t="s">
        <v>2947</v>
      </c>
      <c r="C2675" t="s">
        <v>78</v>
      </c>
      <c r="D2675" t="s">
        <v>78</v>
      </c>
      <c r="E2675" t="s">
        <v>286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3037</v>
      </c>
      <c r="B2676" t="s">
        <v>2948</v>
      </c>
      <c r="C2676" t="s">
        <v>78</v>
      </c>
      <c r="D2676" t="s">
        <v>78</v>
      </c>
      <c r="E2676" t="s">
        <v>241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3037</v>
      </c>
      <c r="B2677" t="s">
        <v>3004</v>
      </c>
      <c r="C2677" t="s">
        <v>78</v>
      </c>
      <c r="D2677" t="s">
        <v>78</v>
      </c>
      <c r="E2677" t="s">
        <v>241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3037</v>
      </c>
      <c r="B2678" t="s">
        <v>2949</v>
      </c>
      <c r="C2678" t="s">
        <v>78</v>
      </c>
      <c r="D2678" t="s">
        <v>78</v>
      </c>
      <c r="E2678" t="s">
        <v>241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3037</v>
      </c>
      <c r="B2679" t="s">
        <v>2950</v>
      </c>
      <c r="C2679" t="s">
        <v>78</v>
      </c>
      <c r="D2679" t="s">
        <v>78</v>
      </c>
      <c r="E2679" t="s">
        <v>286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3037</v>
      </c>
      <c r="B2680" t="s">
        <v>3005</v>
      </c>
      <c r="C2680" t="s">
        <v>78</v>
      </c>
      <c r="D2680" t="s">
        <v>78</v>
      </c>
      <c r="E2680" t="s">
        <v>197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3037</v>
      </c>
      <c r="B2681" t="s">
        <v>2951</v>
      </c>
      <c r="C2681" t="s">
        <v>78</v>
      </c>
      <c r="D2681" t="s">
        <v>78</v>
      </c>
      <c r="E2681" t="s">
        <v>286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3037</v>
      </c>
      <c r="B2682" t="s">
        <v>2952</v>
      </c>
      <c r="C2682" t="s">
        <v>78</v>
      </c>
      <c r="D2682" t="s">
        <v>78</v>
      </c>
      <c r="E2682" t="s">
        <v>243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3037</v>
      </c>
      <c r="B2683" t="s">
        <v>2953</v>
      </c>
      <c r="C2683" t="s">
        <v>78</v>
      </c>
      <c r="D2683" t="s">
        <v>78</v>
      </c>
      <c r="E2683" t="s">
        <v>575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3037</v>
      </c>
      <c r="B2684" t="s">
        <v>2954</v>
      </c>
      <c r="C2684" t="s">
        <v>78</v>
      </c>
      <c r="D2684" t="s">
        <v>78</v>
      </c>
      <c r="E2684" t="s">
        <v>281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3037</v>
      </c>
      <c r="B2685" t="s">
        <v>3043</v>
      </c>
      <c r="C2685" t="s">
        <v>78</v>
      </c>
      <c r="D2685" t="s">
        <v>3044</v>
      </c>
      <c r="E2685" t="s">
        <v>2012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3037</v>
      </c>
      <c r="B2686" t="s">
        <v>3045</v>
      </c>
      <c r="C2686" t="s">
        <v>78</v>
      </c>
      <c r="D2686" t="s">
        <v>78</v>
      </c>
      <c r="E2686" t="s">
        <v>252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3037</v>
      </c>
      <c r="B2687" t="s">
        <v>3046</v>
      </c>
      <c r="C2687" t="s">
        <v>78</v>
      </c>
      <c r="D2687" t="s">
        <v>78</v>
      </c>
      <c r="E2687" t="s">
        <v>692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3037</v>
      </c>
      <c r="B2688" t="s">
        <v>2956</v>
      </c>
      <c r="C2688" t="s">
        <v>78</v>
      </c>
      <c r="D2688" t="s">
        <v>78</v>
      </c>
      <c r="E2688" t="s">
        <v>281</v>
      </c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3037</v>
      </c>
      <c r="B2689" t="s">
        <v>2957</v>
      </c>
      <c r="C2689" t="s">
        <v>78</v>
      </c>
      <c r="D2689" t="s">
        <v>78</v>
      </c>
      <c r="E2689" t="s">
        <v>281</v>
      </c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3037</v>
      </c>
      <c r="B2690" t="s">
        <v>2958</v>
      </c>
      <c r="C2690" t="s">
        <v>78</v>
      </c>
      <c r="D2690" t="s">
        <v>78</v>
      </c>
      <c r="E2690" t="s">
        <v>281</v>
      </c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3037</v>
      </c>
      <c r="B2691" t="s">
        <v>2959</v>
      </c>
      <c r="C2691" t="s">
        <v>78</v>
      </c>
      <c r="D2691" t="s">
        <v>78</v>
      </c>
      <c r="E2691" t="s">
        <v>281</v>
      </c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3037</v>
      </c>
      <c r="B2692" t="s">
        <v>229</v>
      </c>
      <c r="C2692" t="s">
        <v>78</v>
      </c>
      <c r="D2692" t="s">
        <v>78</v>
      </c>
      <c r="E2692" t="s">
        <v>895</v>
      </c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3037</v>
      </c>
      <c r="B2693" t="s">
        <v>230</v>
      </c>
      <c r="C2693" t="s">
        <v>78</v>
      </c>
      <c r="D2693" t="s">
        <v>78</v>
      </c>
      <c r="E2693" t="s">
        <v>895</v>
      </c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3037</v>
      </c>
      <c r="B2694" t="s">
        <v>231</v>
      </c>
      <c r="C2694" t="s">
        <v>78</v>
      </c>
      <c r="D2694" t="s">
        <v>78</v>
      </c>
      <c r="E2694" t="s">
        <v>895</v>
      </c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3037</v>
      </c>
      <c r="B2695" t="s">
        <v>2961</v>
      </c>
      <c r="C2695" t="s">
        <v>78</v>
      </c>
      <c r="D2695" t="s">
        <v>78</v>
      </c>
      <c r="E2695" t="s">
        <v>235</v>
      </c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3037</v>
      </c>
      <c r="B2696" t="s">
        <v>3033</v>
      </c>
      <c r="C2696" t="s">
        <v>78</v>
      </c>
      <c r="D2696" t="s">
        <v>78</v>
      </c>
      <c r="E2696" t="s">
        <v>281</v>
      </c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3037</v>
      </c>
      <c r="B2697" t="s">
        <v>2964</v>
      </c>
      <c r="C2697" t="s">
        <v>78</v>
      </c>
      <c r="D2697" t="s">
        <v>78</v>
      </c>
      <c r="E2697" t="s">
        <v>895</v>
      </c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3037</v>
      </c>
      <c r="B2698" t="s">
        <v>181</v>
      </c>
      <c r="C2698" t="s">
        <v>78</v>
      </c>
      <c r="D2698" t="s">
        <v>78</v>
      </c>
      <c r="E2698" t="s">
        <v>286</v>
      </c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3037</v>
      </c>
      <c r="B2699" t="s">
        <v>242</v>
      </c>
      <c r="C2699" t="s">
        <v>78</v>
      </c>
      <c r="D2699" t="s">
        <v>78</v>
      </c>
      <c r="E2699" t="s">
        <v>1238</v>
      </c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3037</v>
      </c>
      <c r="B2700" t="s">
        <v>2965</v>
      </c>
      <c r="C2700" t="s">
        <v>78</v>
      </c>
      <c r="D2700" t="s">
        <v>78</v>
      </c>
      <c r="E2700" t="s">
        <v>406</v>
      </c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3037</v>
      </c>
      <c r="B2701" t="s">
        <v>183</v>
      </c>
      <c r="C2701" t="s">
        <v>78</v>
      </c>
      <c r="D2701" t="s">
        <v>78</v>
      </c>
      <c r="E2701" t="s">
        <v>184</v>
      </c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3048</v>
      </c>
      <c r="B2702" t="s">
        <v>2863</v>
      </c>
      <c r="C2702" t="s">
        <v>78</v>
      </c>
      <c r="D2702" t="s">
        <v>2864</v>
      </c>
      <c r="E2702" t="s">
        <v>418</v>
      </c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3048</v>
      </c>
      <c r="B2703" t="s">
        <v>2865</v>
      </c>
      <c r="C2703" t="s">
        <v>78</v>
      </c>
      <c r="D2703" t="s">
        <v>2866</v>
      </c>
      <c r="E2703" t="s">
        <v>1291</v>
      </c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3048</v>
      </c>
      <c r="B2704" t="s">
        <v>300</v>
      </c>
      <c r="C2704" t="s">
        <v>78</v>
      </c>
      <c r="D2704" t="s">
        <v>301</v>
      </c>
      <c r="E2704" t="s">
        <v>636</v>
      </c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3048</v>
      </c>
      <c r="B2705" t="s">
        <v>2867</v>
      </c>
      <c r="C2705" t="s">
        <v>78</v>
      </c>
      <c r="D2705" t="s">
        <v>2868</v>
      </c>
      <c r="E2705" t="s">
        <v>1846</v>
      </c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3048</v>
      </c>
      <c r="B2706" t="s">
        <v>2869</v>
      </c>
      <c r="C2706" t="s">
        <v>78</v>
      </c>
      <c r="D2706" t="s">
        <v>2870</v>
      </c>
      <c r="E2706" t="s">
        <v>2871</v>
      </c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3048</v>
      </c>
      <c r="B2707" t="s">
        <v>2872</v>
      </c>
      <c r="C2707" t="s">
        <v>78</v>
      </c>
      <c r="D2707" t="s">
        <v>2873</v>
      </c>
      <c r="E2707" t="s">
        <v>456</v>
      </c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3048</v>
      </c>
      <c r="B2708" t="s">
        <v>2874</v>
      </c>
      <c r="C2708" t="s">
        <v>78</v>
      </c>
      <c r="D2708" t="s">
        <v>2875</v>
      </c>
      <c r="E2708" t="s">
        <v>1093</v>
      </c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3048</v>
      </c>
      <c r="B2709" t="s">
        <v>343</v>
      </c>
      <c r="C2709" t="s">
        <v>78</v>
      </c>
      <c r="D2709" t="s">
        <v>78</v>
      </c>
      <c r="E2709" t="s">
        <v>287</v>
      </c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3048</v>
      </c>
      <c r="B2710" t="s">
        <v>2972</v>
      </c>
      <c r="C2710" t="s">
        <v>78</v>
      </c>
      <c r="D2710" t="s">
        <v>2973</v>
      </c>
      <c r="E2710" t="s">
        <v>2891</v>
      </c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3048</v>
      </c>
      <c r="B2711" t="s">
        <v>2974</v>
      </c>
      <c r="C2711" t="s">
        <v>78</v>
      </c>
      <c r="D2711" t="s">
        <v>2975</v>
      </c>
      <c r="E2711" t="s">
        <v>202</v>
      </c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3048</v>
      </c>
      <c r="B2712" t="s">
        <v>2878</v>
      </c>
      <c r="C2712" t="s">
        <v>78</v>
      </c>
      <c r="D2712" t="s">
        <v>2879</v>
      </c>
      <c r="E2712" t="s">
        <v>2880</v>
      </c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3048</v>
      </c>
      <c r="B2713" t="s">
        <v>2881</v>
      </c>
      <c r="C2713" t="s">
        <v>78</v>
      </c>
      <c r="D2713" t="s">
        <v>2882</v>
      </c>
      <c r="E2713" t="s">
        <v>258</v>
      </c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3048</v>
      </c>
      <c r="B2714" t="s">
        <v>2883</v>
      </c>
      <c r="C2714" t="s">
        <v>78</v>
      </c>
      <c r="D2714" t="s">
        <v>2884</v>
      </c>
      <c r="E2714" t="s">
        <v>437</v>
      </c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3048</v>
      </c>
      <c r="B2715" t="s">
        <v>2887</v>
      </c>
      <c r="C2715" t="s">
        <v>78</v>
      </c>
      <c r="D2715" t="s">
        <v>2888</v>
      </c>
      <c r="E2715" t="s">
        <v>1939</v>
      </c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3048</v>
      </c>
      <c r="B2716" t="s">
        <v>2889</v>
      </c>
      <c r="C2716" t="s">
        <v>78</v>
      </c>
      <c r="D2716" t="s">
        <v>2890</v>
      </c>
      <c r="E2716" t="s">
        <v>2891</v>
      </c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3048</v>
      </c>
      <c r="B2717" t="s">
        <v>2892</v>
      </c>
      <c r="C2717" t="s">
        <v>78</v>
      </c>
      <c r="D2717" t="s">
        <v>2893</v>
      </c>
      <c r="E2717" t="s">
        <v>258</v>
      </c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3048</v>
      </c>
      <c r="B2718" t="s">
        <v>2894</v>
      </c>
      <c r="C2718" t="s">
        <v>78</v>
      </c>
      <c r="D2718" t="s">
        <v>2895</v>
      </c>
      <c r="E2718" t="s">
        <v>692</v>
      </c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3048</v>
      </c>
      <c r="B2719" t="s">
        <v>2896</v>
      </c>
      <c r="C2719" t="s">
        <v>78</v>
      </c>
      <c r="D2719" t="s">
        <v>2897</v>
      </c>
      <c r="E2719" t="s">
        <v>2012</v>
      </c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3048</v>
      </c>
      <c r="B2720" t="s">
        <v>2898</v>
      </c>
      <c r="C2720" t="s">
        <v>78</v>
      </c>
      <c r="D2720" t="s">
        <v>2899</v>
      </c>
      <c r="E2720" t="s">
        <v>1425</v>
      </c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3048</v>
      </c>
      <c r="B2721" t="s">
        <v>2902</v>
      </c>
      <c r="C2721" t="s">
        <v>78</v>
      </c>
      <c r="D2721" t="s">
        <v>2903</v>
      </c>
      <c r="E2721" t="s">
        <v>2008</v>
      </c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3048</v>
      </c>
      <c r="B2722" t="s">
        <v>2990</v>
      </c>
      <c r="C2722" t="s">
        <v>78</v>
      </c>
      <c r="D2722" t="s">
        <v>2991</v>
      </c>
      <c r="E2722" t="s">
        <v>2992</v>
      </c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3048</v>
      </c>
      <c r="B2723" t="s">
        <v>2996</v>
      </c>
      <c r="C2723" t="s">
        <v>78</v>
      </c>
      <c r="D2723" t="s">
        <v>2997</v>
      </c>
      <c r="E2723" t="s">
        <v>2998</v>
      </c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3048</v>
      </c>
      <c r="B2724" t="s">
        <v>2904</v>
      </c>
      <c r="C2724" t="s">
        <v>78</v>
      </c>
      <c r="D2724" t="s">
        <v>2905</v>
      </c>
      <c r="E2724" t="s">
        <v>418</v>
      </c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3048</v>
      </c>
      <c r="B2725" t="s">
        <v>2906</v>
      </c>
      <c r="C2725" t="s">
        <v>78</v>
      </c>
      <c r="D2725" t="s">
        <v>2907</v>
      </c>
      <c r="E2725" t="s">
        <v>2362</v>
      </c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3048</v>
      </c>
      <c r="B2726" t="s">
        <v>2908</v>
      </c>
      <c r="C2726" t="s">
        <v>78</v>
      </c>
      <c r="D2726" t="s">
        <v>2909</v>
      </c>
      <c r="E2726" t="s">
        <v>2910</v>
      </c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3048</v>
      </c>
      <c r="B2727" t="s">
        <v>2911</v>
      </c>
      <c r="C2727" t="s">
        <v>78</v>
      </c>
      <c r="D2727" t="s">
        <v>2912</v>
      </c>
      <c r="E2727" t="s">
        <v>442</v>
      </c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3048</v>
      </c>
      <c r="B2728" t="s">
        <v>2913</v>
      </c>
      <c r="C2728" t="s">
        <v>78</v>
      </c>
      <c r="D2728" t="s">
        <v>2914</v>
      </c>
      <c r="E2728" t="s">
        <v>2915</v>
      </c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3048</v>
      </c>
      <c r="B2729" t="s">
        <v>402</v>
      </c>
      <c r="C2729" t="s">
        <v>78</v>
      </c>
      <c r="D2729" t="s">
        <v>2916</v>
      </c>
      <c r="E2729" t="s">
        <v>888</v>
      </c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3048</v>
      </c>
      <c r="B2730" t="s">
        <v>1461</v>
      </c>
      <c r="C2730" t="s">
        <v>78</v>
      </c>
      <c r="D2730" t="s">
        <v>2917</v>
      </c>
      <c r="E2730" t="s">
        <v>456</v>
      </c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3048</v>
      </c>
      <c r="B2731" t="s">
        <v>1449</v>
      </c>
      <c r="C2731" t="s">
        <v>78</v>
      </c>
      <c r="D2731" t="s">
        <v>2914</v>
      </c>
      <c r="E2731" t="s">
        <v>2915</v>
      </c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3048</v>
      </c>
      <c r="B2732" t="s">
        <v>1465</v>
      </c>
      <c r="C2732" t="s">
        <v>78</v>
      </c>
      <c r="D2732" t="s">
        <v>2918</v>
      </c>
      <c r="E2732" t="s">
        <v>2919</v>
      </c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3048</v>
      </c>
      <c r="B2733" t="s">
        <v>314</v>
      </c>
      <c r="C2733" t="s">
        <v>78</v>
      </c>
      <c r="D2733" t="s">
        <v>2920</v>
      </c>
      <c r="E2733" t="s">
        <v>1994</v>
      </c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3048</v>
      </c>
      <c r="B2734" t="s">
        <v>2926</v>
      </c>
      <c r="C2734" t="s">
        <v>78</v>
      </c>
      <c r="D2734" t="s">
        <v>2927</v>
      </c>
      <c r="E2734" t="s">
        <v>582</v>
      </c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3048</v>
      </c>
      <c r="B2735" t="s">
        <v>2924</v>
      </c>
      <c r="C2735" t="s">
        <v>78</v>
      </c>
      <c r="D2735" t="s">
        <v>2925</v>
      </c>
      <c r="E2735" t="s">
        <v>554</v>
      </c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3048</v>
      </c>
      <c r="B2736" t="s">
        <v>2922</v>
      </c>
      <c r="C2736" t="s">
        <v>78</v>
      </c>
      <c r="D2736" t="s">
        <v>2923</v>
      </c>
      <c r="E2736" t="s">
        <v>253</v>
      </c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3048</v>
      </c>
      <c r="B2737" t="s">
        <v>2928</v>
      </c>
      <c r="C2737" t="s">
        <v>78</v>
      </c>
      <c r="D2737" t="s">
        <v>2929</v>
      </c>
      <c r="E2737" t="s">
        <v>1427</v>
      </c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3048</v>
      </c>
      <c r="B2738" t="s">
        <v>192</v>
      </c>
      <c r="C2738" t="s">
        <v>78</v>
      </c>
      <c r="D2738" t="s">
        <v>2921</v>
      </c>
      <c r="E2738" t="s">
        <v>1238</v>
      </c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3048</v>
      </c>
      <c r="B2739" t="s">
        <v>2930</v>
      </c>
      <c r="C2739" t="s">
        <v>78</v>
      </c>
      <c r="D2739" t="s">
        <v>2931</v>
      </c>
      <c r="E2739" t="s">
        <v>554</v>
      </c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3048</v>
      </c>
      <c r="B2740" t="s">
        <v>294</v>
      </c>
      <c r="C2740" t="s">
        <v>78</v>
      </c>
      <c r="D2740" t="s">
        <v>2932</v>
      </c>
      <c r="E2740" t="s">
        <v>692</v>
      </c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3048</v>
      </c>
      <c r="B2741" t="s">
        <v>2933</v>
      </c>
      <c r="C2741" t="s">
        <v>78</v>
      </c>
      <c r="D2741" t="s">
        <v>2934</v>
      </c>
      <c r="E2741" t="s">
        <v>2017</v>
      </c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3048</v>
      </c>
      <c r="B2742" t="s">
        <v>2936</v>
      </c>
      <c r="C2742" t="s">
        <v>78</v>
      </c>
      <c r="D2742" t="s">
        <v>78</v>
      </c>
      <c r="E2742" t="s">
        <v>1257</v>
      </c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3048</v>
      </c>
      <c r="B2743" t="s">
        <v>3003</v>
      </c>
      <c r="C2743" t="s">
        <v>78</v>
      </c>
      <c r="D2743" t="s">
        <v>78</v>
      </c>
      <c r="E2743" t="s">
        <v>286</v>
      </c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3048</v>
      </c>
      <c r="B2744" t="s">
        <v>2948</v>
      </c>
      <c r="C2744" t="s">
        <v>78</v>
      </c>
      <c r="D2744" t="s">
        <v>78</v>
      </c>
      <c r="E2744" t="s">
        <v>241</v>
      </c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3048</v>
      </c>
      <c r="B2745" t="s">
        <v>3004</v>
      </c>
      <c r="C2745" t="s">
        <v>78</v>
      </c>
      <c r="D2745" t="s">
        <v>78</v>
      </c>
      <c r="E2745" t="s">
        <v>241</v>
      </c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3048</v>
      </c>
      <c r="B2746" t="s">
        <v>2949</v>
      </c>
      <c r="C2746" t="s">
        <v>78</v>
      </c>
      <c r="D2746" t="s">
        <v>78</v>
      </c>
      <c r="E2746" t="s">
        <v>241</v>
      </c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3048</v>
      </c>
      <c r="B2747" t="s">
        <v>2950</v>
      </c>
      <c r="C2747" t="s">
        <v>78</v>
      </c>
      <c r="D2747" t="s">
        <v>78</v>
      </c>
      <c r="E2747" t="s">
        <v>286</v>
      </c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3048</v>
      </c>
      <c r="B2748" t="s">
        <v>2951</v>
      </c>
      <c r="C2748" t="s">
        <v>78</v>
      </c>
      <c r="D2748" t="s">
        <v>78</v>
      </c>
      <c r="E2748" t="s">
        <v>286</v>
      </c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3048</v>
      </c>
      <c r="B2749" t="s">
        <v>2952</v>
      </c>
      <c r="C2749" t="s">
        <v>78</v>
      </c>
      <c r="D2749" t="s">
        <v>78</v>
      </c>
      <c r="E2749" t="s">
        <v>243</v>
      </c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3048</v>
      </c>
      <c r="B2750" t="s">
        <v>2953</v>
      </c>
      <c r="C2750" t="s">
        <v>78</v>
      </c>
      <c r="D2750" t="s">
        <v>78</v>
      </c>
      <c r="E2750" t="s">
        <v>575</v>
      </c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3048</v>
      </c>
      <c r="B2751" t="s">
        <v>2954</v>
      </c>
      <c r="C2751" t="s">
        <v>78</v>
      </c>
      <c r="D2751" t="s">
        <v>78</v>
      </c>
      <c r="E2751" t="s">
        <v>281</v>
      </c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3048</v>
      </c>
      <c r="B2752" t="s">
        <v>3007</v>
      </c>
      <c r="C2752" t="s">
        <v>78</v>
      </c>
      <c r="D2752" t="s">
        <v>78</v>
      </c>
      <c r="E2752" t="s">
        <v>252</v>
      </c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3048</v>
      </c>
      <c r="B2753" t="s">
        <v>3011</v>
      </c>
      <c r="C2753" t="s">
        <v>78</v>
      </c>
      <c r="D2753" t="s">
        <v>78</v>
      </c>
      <c r="E2753" t="s">
        <v>3010</v>
      </c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3048</v>
      </c>
      <c r="B2754" t="s">
        <v>3013</v>
      </c>
      <c r="C2754" t="s">
        <v>78</v>
      </c>
      <c r="D2754" t="s">
        <v>78</v>
      </c>
      <c r="E2754" t="s">
        <v>268</v>
      </c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3048</v>
      </c>
      <c r="B2755" t="s">
        <v>3014</v>
      </c>
      <c r="C2755" t="s">
        <v>78</v>
      </c>
      <c r="D2755" t="s">
        <v>78</v>
      </c>
      <c r="E2755" t="s">
        <v>268</v>
      </c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3048</v>
      </c>
      <c r="B2756" t="s">
        <v>3043</v>
      </c>
      <c r="C2756" t="s">
        <v>78</v>
      </c>
      <c r="D2756" t="s">
        <v>3044</v>
      </c>
      <c r="E2756" t="s">
        <v>2012</v>
      </c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3048</v>
      </c>
      <c r="B2757" t="s">
        <v>2955</v>
      </c>
      <c r="C2757" t="s">
        <v>78</v>
      </c>
      <c r="D2757" t="s">
        <v>78</v>
      </c>
      <c r="E2757" t="s">
        <v>575</v>
      </c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3048</v>
      </c>
      <c r="B2758" t="s">
        <v>3028</v>
      </c>
      <c r="C2758" t="s">
        <v>78</v>
      </c>
      <c r="D2758" t="s">
        <v>78</v>
      </c>
      <c r="E2758" t="s">
        <v>207</v>
      </c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3048</v>
      </c>
      <c r="B2759" t="s">
        <v>3049</v>
      </c>
      <c r="C2759" t="s">
        <v>78</v>
      </c>
      <c r="D2759" t="s">
        <v>78</v>
      </c>
      <c r="E2759" t="s">
        <v>575</v>
      </c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3048</v>
      </c>
      <c r="B2760" t="s">
        <v>229</v>
      </c>
      <c r="C2760" t="s">
        <v>78</v>
      </c>
      <c r="D2760" t="s">
        <v>78</v>
      </c>
      <c r="E2760" t="s">
        <v>895</v>
      </c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3048</v>
      </c>
      <c r="B2761" t="s">
        <v>230</v>
      </c>
      <c r="C2761" t="s">
        <v>78</v>
      </c>
      <c r="D2761" t="s">
        <v>78</v>
      </c>
      <c r="E2761" t="s">
        <v>895</v>
      </c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3048</v>
      </c>
      <c r="B2762" t="s">
        <v>3050</v>
      </c>
      <c r="C2762" t="s">
        <v>78</v>
      </c>
      <c r="D2762" t="s">
        <v>78</v>
      </c>
      <c r="E2762" t="s">
        <v>279</v>
      </c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3048</v>
      </c>
      <c r="B2763" t="s">
        <v>3051</v>
      </c>
      <c r="C2763" t="s">
        <v>78</v>
      </c>
      <c r="D2763" t="s">
        <v>78</v>
      </c>
      <c r="E2763" t="s">
        <v>279</v>
      </c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3048</v>
      </c>
      <c r="B2764" t="s">
        <v>2960</v>
      </c>
      <c r="C2764" t="s">
        <v>78</v>
      </c>
      <c r="D2764" t="s">
        <v>78</v>
      </c>
      <c r="E2764" t="s">
        <v>279</v>
      </c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3048</v>
      </c>
      <c r="B2765" t="s">
        <v>2961</v>
      </c>
      <c r="C2765" t="s">
        <v>78</v>
      </c>
      <c r="D2765" t="s">
        <v>78</v>
      </c>
      <c r="E2765" t="s">
        <v>235</v>
      </c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3048</v>
      </c>
      <c r="B2766" t="s">
        <v>3032</v>
      </c>
      <c r="C2766" t="s">
        <v>78</v>
      </c>
      <c r="D2766" t="s">
        <v>78</v>
      </c>
      <c r="E2766" t="s">
        <v>895</v>
      </c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3048</v>
      </c>
      <c r="B2767" t="s">
        <v>2962</v>
      </c>
      <c r="C2767" t="s">
        <v>78</v>
      </c>
      <c r="D2767" t="s">
        <v>78</v>
      </c>
      <c r="E2767" t="s">
        <v>182</v>
      </c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3048</v>
      </c>
      <c r="B2768" t="s">
        <v>2963</v>
      </c>
      <c r="C2768" t="s">
        <v>78</v>
      </c>
      <c r="D2768" t="s">
        <v>78</v>
      </c>
      <c r="E2768" t="s">
        <v>182</v>
      </c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3048</v>
      </c>
      <c r="B2769" t="s">
        <v>3033</v>
      </c>
      <c r="C2769" t="s">
        <v>78</v>
      </c>
      <c r="D2769" t="s">
        <v>78</v>
      </c>
      <c r="E2769" t="s">
        <v>281</v>
      </c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3048</v>
      </c>
      <c r="B2770" t="s">
        <v>2964</v>
      </c>
      <c r="C2770" t="s">
        <v>78</v>
      </c>
      <c r="D2770" t="s">
        <v>78</v>
      </c>
      <c r="E2770" t="s">
        <v>895</v>
      </c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3048</v>
      </c>
      <c r="B2771" t="s">
        <v>181</v>
      </c>
      <c r="C2771" t="s">
        <v>78</v>
      </c>
      <c r="D2771" t="s">
        <v>78</v>
      </c>
      <c r="E2771" t="s">
        <v>286</v>
      </c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3048</v>
      </c>
      <c r="B2772" t="s">
        <v>242</v>
      </c>
      <c r="C2772" t="s">
        <v>78</v>
      </c>
      <c r="D2772" t="s">
        <v>78</v>
      </c>
      <c r="E2772" t="s">
        <v>1238</v>
      </c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3048</v>
      </c>
      <c r="B2773" t="s">
        <v>2965</v>
      </c>
      <c r="C2773" t="s">
        <v>78</v>
      </c>
      <c r="D2773" t="s">
        <v>78</v>
      </c>
      <c r="E2773" t="s">
        <v>406</v>
      </c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3048</v>
      </c>
      <c r="B2774" t="s">
        <v>2966</v>
      </c>
      <c r="C2774" t="s">
        <v>78</v>
      </c>
      <c r="D2774" t="s">
        <v>78</v>
      </c>
      <c r="E2774" t="s">
        <v>1832</v>
      </c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3048</v>
      </c>
      <c r="B2775" t="s">
        <v>183</v>
      </c>
      <c r="C2775" t="s">
        <v>78</v>
      </c>
      <c r="D2775" t="s">
        <v>78</v>
      </c>
      <c r="E2775" t="s">
        <v>184</v>
      </c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3054</v>
      </c>
      <c r="B2776" t="s">
        <v>300</v>
      </c>
      <c r="C2776" t="s">
        <v>78</v>
      </c>
      <c r="D2776" t="s">
        <v>301</v>
      </c>
      <c r="E2776" t="s">
        <v>636</v>
      </c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3054</v>
      </c>
      <c r="B2777" t="s">
        <v>2867</v>
      </c>
      <c r="C2777" t="s">
        <v>78</v>
      </c>
      <c r="D2777" t="s">
        <v>2868</v>
      </c>
      <c r="E2777" t="s">
        <v>1846</v>
      </c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3054</v>
      </c>
      <c r="B2778" t="s">
        <v>2869</v>
      </c>
      <c r="C2778" t="s">
        <v>78</v>
      </c>
      <c r="D2778" t="s">
        <v>2870</v>
      </c>
      <c r="E2778" t="s">
        <v>2871</v>
      </c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3054</v>
      </c>
      <c r="B2779" t="s">
        <v>2872</v>
      </c>
      <c r="C2779" t="s">
        <v>78</v>
      </c>
      <c r="D2779" t="s">
        <v>2873</v>
      </c>
      <c r="E2779" t="s">
        <v>456</v>
      </c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3054</v>
      </c>
      <c r="B2780" t="s">
        <v>2874</v>
      </c>
      <c r="C2780" t="s">
        <v>78</v>
      </c>
      <c r="D2780" t="s">
        <v>2875</v>
      </c>
      <c r="E2780" t="s">
        <v>1093</v>
      </c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3054</v>
      </c>
      <c r="B2781" t="s">
        <v>343</v>
      </c>
      <c r="C2781" t="s">
        <v>78</v>
      </c>
      <c r="D2781" t="s">
        <v>78</v>
      </c>
      <c r="E2781" t="s">
        <v>287</v>
      </c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3054</v>
      </c>
      <c r="B2782" t="s">
        <v>2970</v>
      </c>
      <c r="C2782" t="s">
        <v>78</v>
      </c>
      <c r="D2782" t="s">
        <v>2971</v>
      </c>
      <c r="E2782" t="s">
        <v>469</v>
      </c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3054</v>
      </c>
      <c r="B2783" t="s">
        <v>2972</v>
      </c>
      <c r="C2783" t="s">
        <v>78</v>
      </c>
      <c r="D2783" t="s">
        <v>2973</v>
      </c>
      <c r="E2783" t="s">
        <v>2891</v>
      </c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3054</v>
      </c>
      <c r="B2784" t="s">
        <v>2889</v>
      </c>
      <c r="C2784" t="s">
        <v>78</v>
      </c>
      <c r="D2784" t="s">
        <v>2890</v>
      </c>
      <c r="E2784" t="s">
        <v>2891</v>
      </c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3054</v>
      </c>
      <c r="B2785" t="s">
        <v>2894</v>
      </c>
      <c r="C2785" t="s">
        <v>78</v>
      </c>
      <c r="D2785" t="s">
        <v>2895</v>
      </c>
      <c r="E2785" t="s">
        <v>692</v>
      </c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3054</v>
      </c>
      <c r="B2786" t="s">
        <v>2913</v>
      </c>
      <c r="C2786" t="s">
        <v>78</v>
      </c>
      <c r="D2786" t="s">
        <v>2914</v>
      </c>
      <c r="E2786" t="s">
        <v>2915</v>
      </c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3054</v>
      </c>
      <c r="B2787" t="s">
        <v>402</v>
      </c>
      <c r="C2787" t="s">
        <v>78</v>
      </c>
      <c r="D2787" t="s">
        <v>2916</v>
      </c>
      <c r="E2787" t="s">
        <v>888</v>
      </c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3054</v>
      </c>
      <c r="B2788" t="s">
        <v>1461</v>
      </c>
      <c r="C2788" t="s">
        <v>78</v>
      </c>
      <c r="D2788" t="s">
        <v>2917</v>
      </c>
      <c r="E2788" t="s">
        <v>456</v>
      </c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3054</v>
      </c>
      <c r="B2789" t="s">
        <v>1449</v>
      </c>
      <c r="C2789" t="s">
        <v>78</v>
      </c>
      <c r="D2789" t="s">
        <v>2914</v>
      </c>
      <c r="E2789" t="s">
        <v>2915</v>
      </c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3054</v>
      </c>
      <c r="B2790" t="s">
        <v>1465</v>
      </c>
      <c r="C2790" t="s">
        <v>78</v>
      </c>
      <c r="D2790" t="s">
        <v>2918</v>
      </c>
      <c r="E2790" t="s">
        <v>2919</v>
      </c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3054</v>
      </c>
      <c r="B2791" t="s">
        <v>314</v>
      </c>
      <c r="C2791" t="s">
        <v>78</v>
      </c>
      <c r="D2791" t="s">
        <v>2920</v>
      </c>
      <c r="E2791" t="s">
        <v>1994</v>
      </c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3054</v>
      </c>
      <c r="B2792" t="s">
        <v>192</v>
      </c>
      <c r="C2792" t="s">
        <v>78</v>
      </c>
      <c r="D2792" t="s">
        <v>2921</v>
      </c>
      <c r="E2792" t="s">
        <v>1238</v>
      </c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3054</v>
      </c>
      <c r="B2793" t="s">
        <v>2930</v>
      </c>
      <c r="C2793" t="s">
        <v>78</v>
      </c>
      <c r="D2793" t="s">
        <v>2931</v>
      </c>
      <c r="E2793" t="s">
        <v>554</v>
      </c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3054</v>
      </c>
      <c r="B2794" t="s">
        <v>294</v>
      </c>
      <c r="C2794" t="s">
        <v>78</v>
      </c>
      <c r="D2794" t="s">
        <v>2932</v>
      </c>
      <c r="E2794" t="s">
        <v>692</v>
      </c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3054</v>
      </c>
      <c r="B2795" t="s">
        <v>2933</v>
      </c>
      <c r="C2795" t="s">
        <v>78</v>
      </c>
      <c r="D2795" t="s">
        <v>2934</v>
      </c>
      <c r="E2795" t="s">
        <v>2017</v>
      </c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3054</v>
      </c>
      <c r="B2796" t="s">
        <v>2948</v>
      </c>
      <c r="C2796" t="s">
        <v>78</v>
      </c>
      <c r="D2796" t="s">
        <v>78</v>
      </c>
      <c r="E2796" t="s">
        <v>241</v>
      </c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3054</v>
      </c>
      <c r="B2797" t="s">
        <v>3004</v>
      </c>
      <c r="C2797" t="s">
        <v>78</v>
      </c>
      <c r="D2797" t="s">
        <v>78</v>
      </c>
      <c r="E2797" t="s">
        <v>241</v>
      </c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3054</v>
      </c>
      <c r="B2798" t="s">
        <v>2949</v>
      </c>
      <c r="C2798" t="s">
        <v>78</v>
      </c>
      <c r="D2798" t="s">
        <v>78</v>
      </c>
      <c r="E2798" t="s">
        <v>241</v>
      </c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3054</v>
      </c>
      <c r="B2799" t="s">
        <v>2950</v>
      </c>
      <c r="C2799" t="s">
        <v>78</v>
      </c>
      <c r="D2799" t="s">
        <v>78</v>
      </c>
      <c r="E2799" t="s">
        <v>286</v>
      </c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3054</v>
      </c>
      <c r="B2800" t="s">
        <v>3005</v>
      </c>
      <c r="C2800" t="s">
        <v>78</v>
      </c>
      <c r="D2800" t="s">
        <v>78</v>
      </c>
      <c r="E2800" t="s">
        <v>197</v>
      </c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3054</v>
      </c>
      <c r="B2801" t="s">
        <v>2951</v>
      </c>
      <c r="C2801" t="s">
        <v>78</v>
      </c>
      <c r="D2801" t="s">
        <v>78</v>
      </c>
      <c r="E2801" t="s">
        <v>286</v>
      </c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3054</v>
      </c>
      <c r="B2802" t="s">
        <v>2952</v>
      </c>
      <c r="C2802" t="s">
        <v>78</v>
      </c>
      <c r="D2802" t="s">
        <v>78</v>
      </c>
      <c r="E2802" t="s">
        <v>243</v>
      </c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3054</v>
      </c>
      <c r="B2803" t="s">
        <v>2953</v>
      </c>
      <c r="C2803" t="s">
        <v>78</v>
      </c>
      <c r="D2803" t="s">
        <v>78</v>
      </c>
      <c r="E2803" t="s">
        <v>575</v>
      </c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3054</v>
      </c>
      <c r="B2804" t="s">
        <v>2960</v>
      </c>
      <c r="C2804" t="s">
        <v>78</v>
      </c>
      <c r="D2804" t="s">
        <v>78</v>
      </c>
      <c r="E2804" t="s">
        <v>279</v>
      </c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3054</v>
      </c>
      <c r="B2805" t="s">
        <v>2961</v>
      </c>
      <c r="C2805" t="s">
        <v>78</v>
      </c>
      <c r="D2805" t="s">
        <v>78</v>
      </c>
      <c r="E2805" t="s">
        <v>235</v>
      </c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3054</v>
      </c>
      <c r="B2806" t="s">
        <v>3032</v>
      </c>
      <c r="C2806" t="s">
        <v>78</v>
      </c>
      <c r="D2806" t="s">
        <v>78</v>
      </c>
      <c r="E2806" t="s">
        <v>895</v>
      </c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3054</v>
      </c>
      <c r="B2807" t="s">
        <v>2962</v>
      </c>
      <c r="C2807" t="s">
        <v>78</v>
      </c>
      <c r="D2807" t="s">
        <v>78</v>
      </c>
      <c r="E2807" t="s">
        <v>182</v>
      </c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3054</v>
      </c>
      <c r="B2808" t="s">
        <v>2963</v>
      </c>
      <c r="C2808" t="s">
        <v>78</v>
      </c>
      <c r="D2808" t="s">
        <v>78</v>
      </c>
      <c r="E2808" t="s">
        <v>182</v>
      </c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3054</v>
      </c>
      <c r="B2809" t="s">
        <v>180</v>
      </c>
      <c r="C2809" t="s">
        <v>78</v>
      </c>
      <c r="D2809" t="s">
        <v>78</v>
      </c>
      <c r="E2809" t="s">
        <v>182</v>
      </c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3054</v>
      </c>
      <c r="B2810" t="s">
        <v>181</v>
      </c>
      <c r="C2810" t="s">
        <v>78</v>
      </c>
      <c r="D2810" t="s">
        <v>78</v>
      </c>
      <c r="E2810" t="s">
        <v>286</v>
      </c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3054</v>
      </c>
      <c r="B2811" t="s">
        <v>242</v>
      </c>
      <c r="C2811" t="s">
        <v>78</v>
      </c>
      <c r="D2811" t="s">
        <v>78</v>
      </c>
      <c r="E2811" t="s">
        <v>1238</v>
      </c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3054</v>
      </c>
      <c r="B2812" t="s">
        <v>327</v>
      </c>
      <c r="C2812" t="s">
        <v>78</v>
      </c>
      <c r="D2812" t="s">
        <v>78</v>
      </c>
      <c r="E2812" t="s">
        <v>1238</v>
      </c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3054</v>
      </c>
      <c r="B2813" t="s">
        <v>3034</v>
      </c>
      <c r="C2813" t="s">
        <v>78</v>
      </c>
      <c r="D2813" t="s">
        <v>78</v>
      </c>
      <c r="E2813" t="s">
        <v>1238</v>
      </c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3056</v>
      </c>
      <c r="B2814" t="s">
        <v>402</v>
      </c>
      <c r="C2814" t="s">
        <v>78</v>
      </c>
      <c r="D2814" t="s">
        <v>2916</v>
      </c>
      <c r="E2814" t="s">
        <v>888</v>
      </c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3056</v>
      </c>
      <c r="B2815" t="s">
        <v>2928</v>
      </c>
      <c r="C2815" t="s">
        <v>78</v>
      </c>
      <c r="D2815" t="s">
        <v>2929</v>
      </c>
      <c r="E2815" t="s">
        <v>1427</v>
      </c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3056</v>
      </c>
      <c r="B2816" t="s">
        <v>2922</v>
      </c>
      <c r="C2816" t="s">
        <v>78</v>
      </c>
      <c r="D2816" t="s">
        <v>2923</v>
      </c>
      <c r="E2816" t="s">
        <v>253</v>
      </c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3056</v>
      </c>
      <c r="B2817" t="s">
        <v>2863</v>
      </c>
      <c r="C2817" t="s">
        <v>78</v>
      </c>
      <c r="D2817" t="s">
        <v>2864</v>
      </c>
      <c r="E2817" t="s">
        <v>418</v>
      </c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3056</v>
      </c>
      <c r="B2818" t="s">
        <v>2865</v>
      </c>
      <c r="C2818" t="s">
        <v>78</v>
      </c>
      <c r="D2818" t="s">
        <v>2866</v>
      </c>
      <c r="E2818" t="s">
        <v>1291</v>
      </c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3056</v>
      </c>
      <c r="B2819" t="s">
        <v>300</v>
      </c>
      <c r="C2819" t="s">
        <v>78</v>
      </c>
      <c r="D2819" t="s">
        <v>301</v>
      </c>
      <c r="E2819" t="s">
        <v>636</v>
      </c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3056</v>
      </c>
      <c r="B2820" t="s">
        <v>2867</v>
      </c>
      <c r="C2820" t="s">
        <v>78</v>
      </c>
      <c r="D2820" t="s">
        <v>2868</v>
      </c>
      <c r="E2820" t="s">
        <v>1846</v>
      </c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3056</v>
      </c>
      <c r="B2821" t="s">
        <v>2869</v>
      </c>
      <c r="C2821" t="s">
        <v>78</v>
      </c>
      <c r="D2821" t="s">
        <v>2870</v>
      </c>
      <c r="E2821" t="s">
        <v>2871</v>
      </c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3056</v>
      </c>
      <c r="B2822" t="s">
        <v>2872</v>
      </c>
      <c r="C2822" t="s">
        <v>78</v>
      </c>
      <c r="D2822" t="s">
        <v>2873</v>
      </c>
      <c r="E2822" t="s">
        <v>456</v>
      </c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3056</v>
      </c>
      <c r="B2823" t="s">
        <v>2874</v>
      </c>
      <c r="C2823" t="s">
        <v>78</v>
      </c>
      <c r="D2823" t="s">
        <v>2875</v>
      </c>
      <c r="E2823" t="s">
        <v>1093</v>
      </c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3056</v>
      </c>
      <c r="B2824" t="s">
        <v>2877</v>
      </c>
      <c r="C2824" t="s">
        <v>78</v>
      </c>
      <c r="D2824" t="s">
        <v>78</v>
      </c>
      <c r="E2824" t="s">
        <v>2362</v>
      </c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3056</v>
      </c>
      <c r="B2825" t="s">
        <v>2970</v>
      </c>
      <c r="C2825" t="s">
        <v>78</v>
      </c>
      <c r="D2825" t="s">
        <v>2971</v>
      </c>
      <c r="E2825" t="s">
        <v>469</v>
      </c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3056</v>
      </c>
      <c r="B2826" t="s">
        <v>2972</v>
      </c>
      <c r="C2826" t="s">
        <v>78</v>
      </c>
      <c r="D2826" t="s">
        <v>2973</v>
      </c>
      <c r="E2826" t="s">
        <v>2891</v>
      </c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3056</v>
      </c>
      <c r="B2827" t="s">
        <v>2974</v>
      </c>
      <c r="C2827" t="s">
        <v>78</v>
      </c>
      <c r="D2827" t="s">
        <v>2975</v>
      </c>
      <c r="E2827" t="s">
        <v>202</v>
      </c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3056</v>
      </c>
      <c r="B2828" t="s">
        <v>2878</v>
      </c>
      <c r="C2828" t="s">
        <v>78</v>
      </c>
      <c r="D2828" t="s">
        <v>2879</v>
      </c>
      <c r="E2828" t="s">
        <v>2880</v>
      </c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3056</v>
      </c>
      <c r="B2829" t="s">
        <v>2881</v>
      </c>
      <c r="C2829" t="s">
        <v>78</v>
      </c>
      <c r="D2829" t="s">
        <v>2882</v>
      </c>
      <c r="E2829" t="s">
        <v>258</v>
      </c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3056</v>
      </c>
      <c r="B2830" t="s">
        <v>2883</v>
      </c>
      <c r="C2830" t="s">
        <v>78</v>
      </c>
      <c r="D2830" t="s">
        <v>2884</v>
      </c>
      <c r="E2830" t="s">
        <v>437</v>
      </c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3056</v>
      </c>
      <c r="B2831" t="s">
        <v>2887</v>
      </c>
      <c r="C2831" t="s">
        <v>78</v>
      </c>
      <c r="D2831" t="s">
        <v>2888</v>
      </c>
      <c r="E2831" t="s">
        <v>1939</v>
      </c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3056</v>
      </c>
      <c r="B2832" t="s">
        <v>2889</v>
      </c>
      <c r="C2832" t="s">
        <v>78</v>
      </c>
      <c r="D2832" t="s">
        <v>2890</v>
      </c>
      <c r="E2832" t="s">
        <v>2891</v>
      </c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3056</v>
      </c>
      <c r="B2833" t="s">
        <v>2894</v>
      </c>
      <c r="C2833" t="s">
        <v>78</v>
      </c>
      <c r="D2833" t="s">
        <v>2895</v>
      </c>
      <c r="E2833" t="s">
        <v>692</v>
      </c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3056</v>
      </c>
      <c r="B2834" t="s">
        <v>2990</v>
      </c>
      <c r="C2834" t="s">
        <v>78</v>
      </c>
      <c r="D2834" t="s">
        <v>2991</v>
      </c>
      <c r="E2834" t="s">
        <v>2992</v>
      </c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3056</v>
      </c>
      <c r="B2835" t="s">
        <v>2996</v>
      </c>
      <c r="C2835" t="s">
        <v>78</v>
      </c>
      <c r="D2835" t="s">
        <v>2997</v>
      </c>
      <c r="E2835" t="s">
        <v>2998</v>
      </c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3056</v>
      </c>
      <c r="B2836" t="s">
        <v>2913</v>
      </c>
      <c r="C2836" t="s">
        <v>78</v>
      </c>
      <c r="D2836" t="s">
        <v>2914</v>
      </c>
      <c r="E2836" t="s">
        <v>2915</v>
      </c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3056</v>
      </c>
      <c r="B2837" t="s">
        <v>402</v>
      </c>
      <c r="C2837" t="s">
        <v>78</v>
      </c>
      <c r="D2837" t="s">
        <v>2916</v>
      </c>
      <c r="E2837" t="s">
        <v>888</v>
      </c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3056</v>
      </c>
      <c r="B2838" t="s">
        <v>1461</v>
      </c>
      <c r="C2838" t="s">
        <v>78</v>
      </c>
      <c r="D2838" t="s">
        <v>2917</v>
      </c>
      <c r="E2838" t="s">
        <v>456</v>
      </c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3056</v>
      </c>
      <c r="B2839" t="s">
        <v>1449</v>
      </c>
      <c r="C2839" t="s">
        <v>78</v>
      </c>
      <c r="D2839" t="s">
        <v>2914</v>
      </c>
      <c r="E2839" t="s">
        <v>2915</v>
      </c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3056</v>
      </c>
      <c r="B2840" t="s">
        <v>1465</v>
      </c>
      <c r="C2840" t="s">
        <v>78</v>
      </c>
      <c r="D2840" t="s">
        <v>2918</v>
      </c>
      <c r="E2840" t="s">
        <v>2919</v>
      </c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3056</v>
      </c>
      <c r="B2841" t="s">
        <v>314</v>
      </c>
      <c r="C2841" t="s">
        <v>78</v>
      </c>
      <c r="D2841" t="s">
        <v>2920</v>
      </c>
      <c r="E2841" t="s">
        <v>1994</v>
      </c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3056</v>
      </c>
      <c r="B2842" t="s">
        <v>192</v>
      </c>
      <c r="C2842" t="s">
        <v>78</v>
      </c>
      <c r="D2842" t="s">
        <v>2921</v>
      </c>
      <c r="E2842" t="s">
        <v>1238</v>
      </c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3056</v>
      </c>
      <c r="B2843" t="s">
        <v>2922</v>
      </c>
      <c r="C2843" t="s">
        <v>78</v>
      </c>
      <c r="D2843" t="s">
        <v>2923</v>
      </c>
      <c r="E2843" t="s">
        <v>253</v>
      </c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3056</v>
      </c>
      <c r="B2844" t="s">
        <v>2924</v>
      </c>
      <c r="C2844" t="s">
        <v>78</v>
      </c>
      <c r="D2844" t="s">
        <v>2925</v>
      </c>
      <c r="E2844" t="s">
        <v>554</v>
      </c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3056</v>
      </c>
      <c r="B2845" t="s">
        <v>2926</v>
      </c>
      <c r="C2845" t="s">
        <v>78</v>
      </c>
      <c r="D2845" t="s">
        <v>2927</v>
      </c>
      <c r="E2845" t="s">
        <v>582</v>
      </c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3056</v>
      </c>
      <c r="B2846" t="s">
        <v>2928</v>
      </c>
      <c r="C2846" t="s">
        <v>78</v>
      </c>
      <c r="D2846" t="s">
        <v>2929</v>
      </c>
      <c r="E2846" t="s">
        <v>1427</v>
      </c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3056</v>
      </c>
      <c r="B2847" t="s">
        <v>2930</v>
      </c>
      <c r="C2847" t="s">
        <v>78</v>
      </c>
      <c r="D2847" t="s">
        <v>2931</v>
      </c>
      <c r="E2847" t="s">
        <v>554</v>
      </c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3056</v>
      </c>
      <c r="B2848" t="s">
        <v>294</v>
      </c>
      <c r="C2848" t="s">
        <v>78</v>
      </c>
      <c r="D2848" t="s">
        <v>2932</v>
      </c>
      <c r="E2848" t="s">
        <v>692</v>
      </c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3056</v>
      </c>
      <c r="B2849" t="s">
        <v>2933</v>
      </c>
      <c r="C2849" t="s">
        <v>78</v>
      </c>
      <c r="D2849" t="s">
        <v>2934</v>
      </c>
      <c r="E2849" t="s">
        <v>2017</v>
      </c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3056</v>
      </c>
      <c r="B2850" t="s">
        <v>2936</v>
      </c>
      <c r="C2850" t="s">
        <v>78</v>
      </c>
      <c r="D2850" t="s">
        <v>78</v>
      </c>
      <c r="E2850" t="s">
        <v>1257</v>
      </c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3056</v>
      </c>
      <c r="B2851" t="s">
        <v>2937</v>
      </c>
      <c r="C2851" t="s">
        <v>78</v>
      </c>
      <c r="D2851" t="s">
        <v>78</v>
      </c>
      <c r="E2851" t="s">
        <v>1425</v>
      </c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3056</v>
      </c>
      <c r="B2852" t="s">
        <v>2938</v>
      </c>
      <c r="C2852" t="s">
        <v>78</v>
      </c>
      <c r="D2852" t="s">
        <v>78</v>
      </c>
      <c r="E2852" t="s">
        <v>1425</v>
      </c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3056</v>
      </c>
      <c r="B2853" t="s">
        <v>2939</v>
      </c>
      <c r="C2853" t="s">
        <v>78</v>
      </c>
      <c r="D2853" t="s">
        <v>78</v>
      </c>
      <c r="E2853" t="s">
        <v>2017</v>
      </c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3056</v>
      </c>
      <c r="B2854" t="s">
        <v>2942</v>
      </c>
      <c r="C2854" t="s">
        <v>78</v>
      </c>
      <c r="D2854" t="s">
        <v>78</v>
      </c>
      <c r="E2854" t="s">
        <v>269</v>
      </c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3056</v>
      </c>
      <c r="B2855" t="s">
        <v>2943</v>
      </c>
      <c r="C2855" t="s">
        <v>78</v>
      </c>
      <c r="D2855" t="s">
        <v>78</v>
      </c>
      <c r="E2855" t="s">
        <v>656</v>
      </c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3056</v>
      </c>
      <c r="B2856" t="s">
        <v>2944</v>
      </c>
      <c r="C2856" t="s">
        <v>78</v>
      </c>
      <c r="D2856" t="s">
        <v>78</v>
      </c>
      <c r="E2856" t="s">
        <v>692</v>
      </c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3056</v>
      </c>
      <c r="B2857" t="s">
        <v>3040</v>
      </c>
      <c r="C2857" t="s">
        <v>78</v>
      </c>
      <c r="D2857" t="s">
        <v>78</v>
      </c>
      <c r="E2857" t="s">
        <v>692</v>
      </c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3056</v>
      </c>
      <c r="B2858" t="s">
        <v>3041</v>
      </c>
      <c r="C2858" t="s">
        <v>78</v>
      </c>
      <c r="D2858" t="s">
        <v>78</v>
      </c>
      <c r="E2858" t="s">
        <v>692</v>
      </c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3056</v>
      </c>
      <c r="B2859" t="s">
        <v>3003</v>
      </c>
      <c r="C2859" t="s">
        <v>78</v>
      </c>
      <c r="D2859" t="s">
        <v>78</v>
      </c>
      <c r="E2859" t="s">
        <v>286</v>
      </c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3056</v>
      </c>
      <c r="B2860" t="s">
        <v>2947</v>
      </c>
      <c r="C2860" t="s">
        <v>78</v>
      </c>
      <c r="D2860" t="s">
        <v>78</v>
      </c>
      <c r="E2860" t="s">
        <v>286</v>
      </c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3056</v>
      </c>
      <c r="B2861" t="s">
        <v>2948</v>
      </c>
      <c r="C2861" t="s">
        <v>78</v>
      </c>
      <c r="D2861" t="s">
        <v>78</v>
      </c>
      <c r="E2861" t="s">
        <v>241</v>
      </c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3056</v>
      </c>
      <c r="B2862" t="s">
        <v>2949</v>
      </c>
      <c r="C2862" t="s">
        <v>78</v>
      </c>
      <c r="D2862" t="s">
        <v>78</v>
      </c>
      <c r="E2862" t="s">
        <v>241</v>
      </c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3056</v>
      </c>
      <c r="B2863" t="s">
        <v>2950</v>
      </c>
      <c r="C2863" t="s">
        <v>78</v>
      </c>
      <c r="D2863" t="s">
        <v>78</v>
      </c>
      <c r="E2863" t="s">
        <v>286</v>
      </c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3056</v>
      </c>
      <c r="B2864" t="s">
        <v>2951</v>
      </c>
      <c r="C2864" t="s">
        <v>78</v>
      </c>
      <c r="D2864" t="s">
        <v>78</v>
      </c>
      <c r="E2864" t="s">
        <v>286</v>
      </c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3056</v>
      </c>
      <c r="B2865" t="s">
        <v>2952</v>
      </c>
      <c r="C2865" t="s">
        <v>78</v>
      </c>
      <c r="D2865" t="s">
        <v>78</v>
      </c>
      <c r="E2865" t="s">
        <v>243</v>
      </c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3056</v>
      </c>
      <c r="B2866" t="s">
        <v>2953</v>
      </c>
      <c r="C2866" t="s">
        <v>78</v>
      </c>
      <c r="D2866" t="s">
        <v>78</v>
      </c>
      <c r="E2866" t="s">
        <v>575</v>
      </c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3056</v>
      </c>
      <c r="B2867" t="s">
        <v>2954</v>
      </c>
      <c r="C2867" t="s">
        <v>78</v>
      </c>
      <c r="D2867" t="s">
        <v>78</v>
      </c>
      <c r="E2867" t="s">
        <v>281</v>
      </c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3056</v>
      </c>
      <c r="B2868" t="s">
        <v>3043</v>
      </c>
      <c r="C2868" t="s">
        <v>78</v>
      </c>
      <c r="D2868" t="s">
        <v>3044</v>
      </c>
      <c r="E2868" t="s">
        <v>2012</v>
      </c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3056</v>
      </c>
      <c r="B2869" t="s">
        <v>3046</v>
      </c>
      <c r="C2869" t="s">
        <v>78</v>
      </c>
      <c r="D2869" t="s">
        <v>78</v>
      </c>
      <c r="E2869" t="s">
        <v>692</v>
      </c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3056</v>
      </c>
      <c r="B2870" t="s">
        <v>229</v>
      </c>
      <c r="C2870" t="s">
        <v>78</v>
      </c>
      <c r="D2870" t="s">
        <v>78</v>
      </c>
      <c r="E2870" t="s">
        <v>895</v>
      </c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3056</v>
      </c>
      <c r="B2871" t="s">
        <v>643</v>
      </c>
      <c r="C2871" t="s">
        <v>78</v>
      </c>
      <c r="D2871" t="s">
        <v>78</v>
      </c>
      <c r="E2871" t="s">
        <v>895</v>
      </c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3056</v>
      </c>
      <c r="B2872" t="s">
        <v>876</v>
      </c>
      <c r="C2872" t="s">
        <v>78</v>
      </c>
      <c r="D2872" t="s">
        <v>78</v>
      </c>
      <c r="E2872" t="s">
        <v>895</v>
      </c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3056</v>
      </c>
      <c r="B2873" t="s">
        <v>233</v>
      </c>
      <c r="C2873" t="s">
        <v>78</v>
      </c>
      <c r="D2873" t="s">
        <v>78</v>
      </c>
      <c r="E2873" t="s">
        <v>895</v>
      </c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3056</v>
      </c>
      <c r="B2874" t="s">
        <v>2961</v>
      </c>
      <c r="C2874" t="s">
        <v>78</v>
      </c>
      <c r="D2874" t="s">
        <v>78</v>
      </c>
      <c r="E2874" t="s">
        <v>235</v>
      </c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3056</v>
      </c>
      <c r="B2875" t="s">
        <v>2962</v>
      </c>
      <c r="C2875" t="s">
        <v>78</v>
      </c>
      <c r="D2875" t="s">
        <v>78</v>
      </c>
      <c r="E2875" t="s">
        <v>182</v>
      </c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3056</v>
      </c>
      <c r="B2876" t="s">
        <v>3033</v>
      </c>
      <c r="C2876" t="s">
        <v>78</v>
      </c>
      <c r="D2876" t="s">
        <v>78</v>
      </c>
      <c r="E2876" t="s">
        <v>281</v>
      </c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3056</v>
      </c>
      <c r="B2877" t="s">
        <v>180</v>
      </c>
      <c r="C2877" t="s">
        <v>78</v>
      </c>
      <c r="D2877" t="s">
        <v>78</v>
      </c>
      <c r="E2877" t="s">
        <v>182</v>
      </c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3056</v>
      </c>
      <c r="B2878" t="s">
        <v>181</v>
      </c>
      <c r="C2878" t="s">
        <v>78</v>
      </c>
      <c r="D2878" t="s">
        <v>78</v>
      </c>
      <c r="E2878" t="s">
        <v>286</v>
      </c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3056</v>
      </c>
      <c r="B2879" t="s">
        <v>242</v>
      </c>
      <c r="C2879" t="s">
        <v>78</v>
      </c>
      <c r="D2879" t="s">
        <v>78</v>
      </c>
      <c r="E2879" t="s">
        <v>1238</v>
      </c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3056</v>
      </c>
      <c r="B2880" t="s">
        <v>1264</v>
      </c>
      <c r="C2880" t="s">
        <v>78</v>
      </c>
      <c r="D2880" t="s">
        <v>78</v>
      </c>
      <c r="E2880" t="s">
        <v>1238</v>
      </c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3056</v>
      </c>
      <c r="B2881" t="s">
        <v>2167</v>
      </c>
      <c r="C2881" t="s">
        <v>78</v>
      </c>
      <c r="D2881" t="s">
        <v>78</v>
      </c>
      <c r="E2881" t="s">
        <v>1238</v>
      </c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3056</v>
      </c>
      <c r="B2882" t="s">
        <v>327</v>
      </c>
      <c r="C2882" t="s">
        <v>78</v>
      </c>
      <c r="D2882" t="s">
        <v>78</v>
      </c>
      <c r="E2882" t="s">
        <v>1238</v>
      </c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3056</v>
      </c>
      <c r="B2883" t="s">
        <v>2965</v>
      </c>
      <c r="C2883" t="s">
        <v>78</v>
      </c>
      <c r="D2883" t="s">
        <v>78</v>
      </c>
      <c r="E2883" t="s">
        <v>406</v>
      </c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3056</v>
      </c>
      <c r="B2884" t="s">
        <v>3034</v>
      </c>
      <c r="C2884" t="s">
        <v>78</v>
      </c>
      <c r="D2884" t="s">
        <v>78</v>
      </c>
      <c r="E2884" t="s">
        <v>1238</v>
      </c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3056</v>
      </c>
      <c r="B2885" t="s">
        <v>2966</v>
      </c>
      <c r="C2885" t="s">
        <v>78</v>
      </c>
      <c r="D2885" t="s">
        <v>78</v>
      </c>
      <c r="E2885" t="s">
        <v>1832</v>
      </c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3056</v>
      </c>
      <c r="B2886" t="s">
        <v>183</v>
      </c>
      <c r="C2886" t="s">
        <v>78</v>
      </c>
      <c r="D2886" t="s">
        <v>78</v>
      </c>
      <c r="E2886" t="s">
        <v>184</v>
      </c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3059</v>
      </c>
      <c r="B2887" t="s">
        <v>2863</v>
      </c>
      <c r="C2887" t="s">
        <v>3060</v>
      </c>
      <c r="D2887" t="s">
        <v>3170</v>
      </c>
      <c r="E2887" t="s">
        <v>418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3059</v>
      </c>
      <c r="B2888" t="s">
        <v>2865</v>
      </c>
      <c r="C2888" t="s">
        <v>3060</v>
      </c>
      <c r="D2888" t="s">
        <v>3171</v>
      </c>
      <c r="E2888" t="s">
        <v>1291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3059</v>
      </c>
      <c r="B2889" t="s">
        <v>300</v>
      </c>
      <c r="C2889" t="s">
        <v>3060</v>
      </c>
      <c r="D2889" t="s">
        <v>3172</v>
      </c>
      <c r="E2889" t="s">
        <v>636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3059</v>
      </c>
      <c r="B2890" t="s">
        <v>2867</v>
      </c>
      <c r="C2890" t="s">
        <v>3060</v>
      </c>
      <c r="D2890" t="s">
        <v>3173</v>
      </c>
      <c r="E2890" t="s">
        <v>1846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3059</v>
      </c>
      <c r="B2891" t="s">
        <v>2869</v>
      </c>
      <c r="C2891" t="s">
        <v>3060</v>
      </c>
      <c r="D2891" t="s">
        <v>3174</v>
      </c>
      <c r="E2891" t="s">
        <v>2871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3059</v>
      </c>
      <c r="B2892" t="s">
        <v>2872</v>
      </c>
      <c r="C2892" t="s">
        <v>3060</v>
      </c>
      <c r="D2892" t="s">
        <v>3175</v>
      </c>
      <c r="E2892" t="s">
        <v>456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3059</v>
      </c>
      <c r="B2893" t="s">
        <v>2874</v>
      </c>
      <c r="C2893" t="s">
        <v>3060</v>
      </c>
      <c r="D2893" t="s">
        <v>3176</v>
      </c>
      <c r="E2893" t="s">
        <v>1093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3059</v>
      </c>
      <c r="B2894" t="s">
        <v>343</v>
      </c>
      <c r="C2894" t="s">
        <v>3060</v>
      </c>
      <c r="D2894" t="s">
        <v>3060</v>
      </c>
      <c r="E2894" t="s">
        <v>287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3059</v>
      </c>
      <c r="B2895" t="s">
        <v>2970</v>
      </c>
      <c r="C2895" t="s">
        <v>3060</v>
      </c>
      <c r="D2895" t="s">
        <v>3177</v>
      </c>
      <c r="E2895" t="s">
        <v>469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3059</v>
      </c>
      <c r="B2896" t="s">
        <v>2972</v>
      </c>
      <c r="C2896" t="s">
        <v>3060</v>
      </c>
      <c r="D2896" t="s">
        <v>3178</v>
      </c>
      <c r="E2896" t="s">
        <v>2891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3059</v>
      </c>
      <c r="B2897" t="s">
        <v>2974</v>
      </c>
      <c r="C2897" t="s">
        <v>3060</v>
      </c>
      <c r="D2897" t="s">
        <v>3179</v>
      </c>
      <c r="E2897" t="s">
        <v>202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3059</v>
      </c>
      <c r="B2898" t="s">
        <v>2878</v>
      </c>
      <c r="C2898" t="s">
        <v>3060</v>
      </c>
      <c r="D2898" t="s">
        <v>3180</v>
      </c>
      <c r="E2898" t="s">
        <v>2880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3059</v>
      </c>
      <c r="B2899" t="s">
        <v>2881</v>
      </c>
      <c r="C2899" t="s">
        <v>3060</v>
      </c>
      <c r="D2899" t="s">
        <v>3181</v>
      </c>
      <c r="E2899" t="s">
        <v>258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3059</v>
      </c>
      <c r="B2900" t="s">
        <v>2883</v>
      </c>
      <c r="C2900" t="s">
        <v>3060</v>
      </c>
      <c r="D2900" t="s">
        <v>3182</v>
      </c>
      <c r="E2900" t="s">
        <v>437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3059</v>
      </c>
      <c r="B2901" t="s">
        <v>2885</v>
      </c>
      <c r="C2901" t="s">
        <v>3060</v>
      </c>
      <c r="D2901" t="s">
        <v>3183</v>
      </c>
      <c r="E2901" t="s">
        <v>1062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3059</v>
      </c>
      <c r="B2902" t="s">
        <v>3184</v>
      </c>
      <c r="C2902" t="s">
        <v>3060</v>
      </c>
      <c r="D2902" t="s">
        <v>3185</v>
      </c>
      <c r="E2902" t="s">
        <v>366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3059</v>
      </c>
      <c r="B2903" t="s">
        <v>2887</v>
      </c>
      <c r="C2903" t="s">
        <v>3060</v>
      </c>
      <c r="D2903" t="s">
        <v>3186</v>
      </c>
      <c r="E2903" t="s">
        <v>1939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3059</v>
      </c>
      <c r="B2904" t="s">
        <v>2889</v>
      </c>
      <c r="C2904" t="s">
        <v>3060</v>
      </c>
      <c r="D2904" t="s">
        <v>3187</v>
      </c>
      <c r="E2904" t="s">
        <v>2891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3059</v>
      </c>
      <c r="B2905" t="s">
        <v>2976</v>
      </c>
      <c r="C2905" t="s">
        <v>3060</v>
      </c>
      <c r="D2905" t="s">
        <v>3188</v>
      </c>
      <c r="E2905" t="s">
        <v>1832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3059</v>
      </c>
      <c r="B2906" t="s">
        <v>2978</v>
      </c>
      <c r="C2906" t="s">
        <v>3060</v>
      </c>
      <c r="D2906" t="s">
        <v>3189</v>
      </c>
      <c r="E2906" t="s">
        <v>418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3059</v>
      </c>
      <c r="B2907" t="s">
        <v>2980</v>
      </c>
      <c r="C2907" t="s">
        <v>3060</v>
      </c>
      <c r="D2907" t="s">
        <v>3190</v>
      </c>
      <c r="E2907" t="s">
        <v>425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3059</v>
      </c>
      <c r="B2908" t="s">
        <v>2892</v>
      </c>
      <c r="C2908" t="s">
        <v>3060</v>
      </c>
      <c r="D2908" t="s">
        <v>3191</v>
      </c>
      <c r="E2908" t="s">
        <v>258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3059</v>
      </c>
      <c r="B2909" t="s">
        <v>2894</v>
      </c>
      <c r="C2909" t="s">
        <v>3060</v>
      </c>
      <c r="D2909" t="s">
        <v>3192</v>
      </c>
      <c r="E2909" t="s">
        <v>692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3059</v>
      </c>
      <c r="B2910" t="s">
        <v>2896</v>
      </c>
      <c r="C2910" t="s">
        <v>3060</v>
      </c>
      <c r="D2910" t="s">
        <v>3193</v>
      </c>
      <c r="E2910" t="s">
        <v>2012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3059</v>
      </c>
      <c r="B2911" t="s">
        <v>2984</v>
      </c>
      <c r="C2911" t="s">
        <v>3060</v>
      </c>
      <c r="D2911" t="s">
        <v>3194</v>
      </c>
      <c r="E2911" t="s">
        <v>582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3059</v>
      </c>
      <c r="B2912" t="s">
        <v>2986</v>
      </c>
      <c r="C2912" t="s">
        <v>3060</v>
      </c>
      <c r="D2912" t="s">
        <v>3195</v>
      </c>
      <c r="E2912" t="s">
        <v>2512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3059</v>
      </c>
      <c r="B2913" t="s">
        <v>3196</v>
      </c>
      <c r="C2913" t="s">
        <v>3060</v>
      </c>
      <c r="D2913" t="s">
        <v>3197</v>
      </c>
      <c r="E2913" t="s">
        <v>3198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3059</v>
      </c>
      <c r="B2914" t="s">
        <v>2898</v>
      </c>
      <c r="C2914" t="s">
        <v>3060</v>
      </c>
      <c r="D2914" t="s">
        <v>3199</v>
      </c>
      <c r="E2914" t="s">
        <v>1425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3059</v>
      </c>
      <c r="B2915" t="s">
        <v>2900</v>
      </c>
      <c r="C2915" t="s">
        <v>3060</v>
      </c>
      <c r="D2915" t="s">
        <v>3200</v>
      </c>
      <c r="E2915" t="s">
        <v>2362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3059</v>
      </c>
      <c r="B2916" t="s">
        <v>2902</v>
      </c>
      <c r="C2916" t="s">
        <v>3060</v>
      </c>
      <c r="D2916" t="s">
        <v>3201</v>
      </c>
      <c r="E2916" t="s">
        <v>2008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3059</v>
      </c>
      <c r="B2917" t="s">
        <v>2988</v>
      </c>
      <c r="C2917" t="s">
        <v>3060</v>
      </c>
      <c r="D2917" t="s">
        <v>3202</v>
      </c>
      <c r="E2917" t="s">
        <v>469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3059</v>
      </c>
      <c r="B2918" t="s">
        <v>2990</v>
      </c>
      <c r="C2918" t="s">
        <v>3060</v>
      </c>
      <c r="D2918" t="s">
        <v>3203</v>
      </c>
      <c r="E2918" t="s">
        <v>2992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3059</v>
      </c>
      <c r="B2919" t="s">
        <v>3204</v>
      </c>
      <c r="C2919" t="s">
        <v>3060</v>
      </c>
      <c r="D2919" t="s">
        <v>3205</v>
      </c>
      <c r="E2919" t="s">
        <v>3198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3059</v>
      </c>
      <c r="B2920" t="s">
        <v>2993</v>
      </c>
      <c r="C2920" t="s">
        <v>3060</v>
      </c>
      <c r="D2920" t="s">
        <v>3206</v>
      </c>
      <c r="E2920" t="s">
        <v>2995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3059</v>
      </c>
      <c r="B2921" t="s">
        <v>3207</v>
      </c>
      <c r="C2921" t="s">
        <v>3060</v>
      </c>
      <c r="D2921" t="s">
        <v>3208</v>
      </c>
      <c r="E2921" t="s">
        <v>361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3059</v>
      </c>
      <c r="B2922" t="s">
        <v>2996</v>
      </c>
      <c r="C2922" t="s">
        <v>3060</v>
      </c>
      <c r="D2922" t="s">
        <v>3209</v>
      </c>
      <c r="E2922" t="s">
        <v>2998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3059</v>
      </c>
      <c r="B2923" t="s">
        <v>2904</v>
      </c>
      <c r="C2923" t="s">
        <v>3060</v>
      </c>
      <c r="D2923" t="s">
        <v>3210</v>
      </c>
      <c r="E2923" t="s">
        <v>418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3059</v>
      </c>
      <c r="B2924" t="s">
        <v>2906</v>
      </c>
      <c r="C2924" t="s">
        <v>3060</v>
      </c>
      <c r="D2924" t="s">
        <v>3211</v>
      </c>
      <c r="E2924" t="s">
        <v>2362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3059</v>
      </c>
      <c r="B2925" t="s">
        <v>2908</v>
      </c>
      <c r="C2925" t="s">
        <v>3060</v>
      </c>
      <c r="D2925" t="s">
        <v>3212</v>
      </c>
      <c r="E2925" t="s">
        <v>2910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3059</v>
      </c>
      <c r="B2926" t="s">
        <v>2911</v>
      </c>
      <c r="C2926" t="s">
        <v>3060</v>
      </c>
      <c r="D2926" t="s">
        <v>3213</v>
      </c>
      <c r="E2926" t="s">
        <v>442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3059</v>
      </c>
      <c r="B2927" t="s">
        <v>3214</v>
      </c>
      <c r="C2927" t="s">
        <v>3060</v>
      </c>
      <c r="D2927" t="s">
        <v>3215</v>
      </c>
      <c r="E2927" t="s">
        <v>1832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3059</v>
      </c>
      <c r="B2928" t="s">
        <v>3216</v>
      </c>
      <c r="C2928" t="s">
        <v>3060</v>
      </c>
      <c r="D2928" t="s">
        <v>3217</v>
      </c>
      <c r="E2928" t="s">
        <v>469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3059</v>
      </c>
      <c r="B2929" t="s">
        <v>402</v>
      </c>
      <c r="C2929" t="s">
        <v>3060</v>
      </c>
      <c r="D2929" t="s">
        <v>3218</v>
      </c>
      <c r="E2929" t="s">
        <v>888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3059</v>
      </c>
      <c r="B2930" t="s">
        <v>1461</v>
      </c>
      <c r="C2930" t="s">
        <v>3060</v>
      </c>
      <c r="D2930" t="s">
        <v>3219</v>
      </c>
      <c r="E2930" t="s">
        <v>456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3059</v>
      </c>
      <c r="B2931" t="s">
        <v>1449</v>
      </c>
      <c r="C2931" t="s">
        <v>3060</v>
      </c>
      <c r="D2931" t="s">
        <v>3220</v>
      </c>
      <c r="E2931" t="s">
        <v>2915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3059</v>
      </c>
      <c r="B2932" t="s">
        <v>1465</v>
      </c>
      <c r="C2932" t="s">
        <v>3060</v>
      </c>
      <c r="D2932" t="s">
        <v>3221</v>
      </c>
      <c r="E2932" t="s">
        <v>2919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3059</v>
      </c>
      <c r="B2933" t="s">
        <v>314</v>
      </c>
      <c r="C2933" t="s">
        <v>3060</v>
      </c>
      <c r="D2933" t="s">
        <v>3222</v>
      </c>
      <c r="E2933" t="s">
        <v>1994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3059</v>
      </c>
      <c r="B2934" t="s">
        <v>2922</v>
      </c>
      <c r="C2934" t="s">
        <v>3060</v>
      </c>
      <c r="D2934" t="s">
        <v>3223</v>
      </c>
      <c r="E2934" t="s">
        <v>253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3059</v>
      </c>
      <c r="B2935" t="s">
        <v>2928</v>
      </c>
      <c r="C2935" t="s">
        <v>3060</v>
      </c>
      <c r="D2935" t="s">
        <v>3224</v>
      </c>
      <c r="E2935" t="s">
        <v>1427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3059</v>
      </c>
      <c r="B2936" t="s">
        <v>2926</v>
      </c>
      <c r="C2936" t="s">
        <v>3060</v>
      </c>
      <c r="D2936" t="s">
        <v>3225</v>
      </c>
      <c r="E2936" t="s">
        <v>582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3059</v>
      </c>
      <c r="B2937" t="s">
        <v>192</v>
      </c>
      <c r="C2937" t="s">
        <v>3060</v>
      </c>
      <c r="D2937" t="s">
        <v>3226</v>
      </c>
      <c r="E2937" t="s">
        <v>1238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3059</v>
      </c>
      <c r="B2938" t="s">
        <v>2924</v>
      </c>
      <c r="C2938" t="s">
        <v>3060</v>
      </c>
      <c r="D2938" t="s">
        <v>3227</v>
      </c>
      <c r="E2938" t="s">
        <v>554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3059</v>
      </c>
      <c r="B2939" t="s">
        <v>2930</v>
      </c>
      <c r="C2939" t="s">
        <v>3060</v>
      </c>
      <c r="D2939" t="s">
        <v>3228</v>
      </c>
      <c r="E2939" t="s">
        <v>554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3059</v>
      </c>
      <c r="B2940" t="s">
        <v>294</v>
      </c>
      <c r="C2940" t="s">
        <v>3060</v>
      </c>
      <c r="D2940" t="s">
        <v>3229</v>
      </c>
      <c r="E2940" t="s">
        <v>692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3059</v>
      </c>
      <c r="B2941" t="s">
        <v>2933</v>
      </c>
      <c r="C2941" t="s">
        <v>3060</v>
      </c>
      <c r="D2941" t="s">
        <v>3230</v>
      </c>
      <c r="E2941" t="s">
        <v>2017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3059</v>
      </c>
      <c r="B2942" t="s">
        <v>3231</v>
      </c>
      <c r="C2942" t="s">
        <v>3060</v>
      </c>
      <c r="D2942" t="s">
        <v>3060</v>
      </c>
      <c r="E2942" t="s">
        <v>1212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3059</v>
      </c>
      <c r="B2943" t="s">
        <v>2937</v>
      </c>
      <c r="C2943" t="s">
        <v>3060</v>
      </c>
      <c r="D2943" t="s">
        <v>3060</v>
      </c>
      <c r="E2943" t="s">
        <v>1425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3059</v>
      </c>
      <c r="B2944" t="s">
        <v>2938</v>
      </c>
      <c r="C2944" t="s">
        <v>3060</v>
      </c>
      <c r="D2944" t="s">
        <v>3060</v>
      </c>
      <c r="E2944" t="s">
        <v>1425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3059</v>
      </c>
      <c r="B2945" t="s">
        <v>2939</v>
      </c>
      <c r="C2945" t="s">
        <v>3060</v>
      </c>
      <c r="D2945" t="s">
        <v>3060</v>
      </c>
      <c r="E2945" t="s">
        <v>2017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3059</v>
      </c>
      <c r="B2946" t="s">
        <v>2940</v>
      </c>
      <c r="C2946" t="s">
        <v>3060</v>
      </c>
      <c r="D2946" t="s">
        <v>3060</v>
      </c>
      <c r="E2946" t="s">
        <v>2880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3059</v>
      </c>
      <c r="B2947" t="s">
        <v>2941</v>
      </c>
      <c r="C2947" t="s">
        <v>3060</v>
      </c>
      <c r="D2947" t="s">
        <v>3060</v>
      </c>
      <c r="E2947" t="s">
        <v>2880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3059</v>
      </c>
      <c r="B2948" t="s">
        <v>3038</v>
      </c>
      <c r="C2948" t="s">
        <v>3060</v>
      </c>
      <c r="D2948" t="s">
        <v>3232</v>
      </c>
      <c r="E2948" t="s">
        <v>888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3059</v>
      </c>
      <c r="B2949" t="s">
        <v>2944</v>
      </c>
      <c r="C2949" t="s">
        <v>3060</v>
      </c>
      <c r="D2949" t="s">
        <v>3060</v>
      </c>
      <c r="E2949" t="s">
        <v>692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3059</v>
      </c>
      <c r="B2950" t="s">
        <v>2945</v>
      </c>
      <c r="C2950" t="s">
        <v>3060</v>
      </c>
      <c r="D2950" t="s">
        <v>3060</v>
      </c>
      <c r="E2950" t="s">
        <v>692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3059</v>
      </c>
      <c r="B2951" t="s">
        <v>2946</v>
      </c>
      <c r="C2951" t="s">
        <v>3060</v>
      </c>
      <c r="D2951" t="s">
        <v>3060</v>
      </c>
      <c r="E2951" t="s">
        <v>692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3059</v>
      </c>
      <c r="B2952" t="s">
        <v>3233</v>
      </c>
      <c r="C2952" t="s">
        <v>3060</v>
      </c>
      <c r="D2952" t="s">
        <v>3060</v>
      </c>
      <c r="E2952" t="s">
        <v>692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3059</v>
      </c>
      <c r="B2953" t="s">
        <v>3040</v>
      </c>
      <c r="C2953" t="s">
        <v>3060</v>
      </c>
      <c r="D2953" t="s">
        <v>3060</v>
      </c>
      <c r="E2953" t="s">
        <v>692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3059</v>
      </c>
      <c r="B2954" t="s">
        <v>3041</v>
      </c>
      <c r="C2954" t="s">
        <v>3060</v>
      </c>
      <c r="D2954" t="s">
        <v>3060</v>
      </c>
      <c r="E2954" t="s">
        <v>692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3059</v>
      </c>
      <c r="B2955" t="s">
        <v>3042</v>
      </c>
      <c r="C2955" t="s">
        <v>3060</v>
      </c>
      <c r="D2955" t="s">
        <v>3060</v>
      </c>
      <c r="E2955" t="s">
        <v>692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3059</v>
      </c>
      <c r="B2956" t="s">
        <v>3003</v>
      </c>
      <c r="C2956" t="s">
        <v>3060</v>
      </c>
      <c r="D2956" t="s">
        <v>3060</v>
      </c>
      <c r="E2956" t="s">
        <v>286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3059</v>
      </c>
      <c r="B2957" t="s">
        <v>2947</v>
      </c>
      <c r="C2957" t="s">
        <v>3060</v>
      </c>
      <c r="D2957" t="s">
        <v>3060</v>
      </c>
      <c r="E2957" t="s">
        <v>286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3059</v>
      </c>
      <c r="B2958" t="s">
        <v>2948</v>
      </c>
      <c r="C2958" t="s">
        <v>3060</v>
      </c>
      <c r="D2958" t="s">
        <v>3060</v>
      </c>
      <c r="E2958" t="s">
        <v>241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3059</v>
      </c>
      <c r="B2959" t="s">
        <v>3004</v>
      </c>
      <c r="C2959" t="s">
        <v>3060</v>
      </c>
      <c r="D2959" t="s">
        <v>3060</v>
      </c>
      <c r="E2959" t="s">
        <v>241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3059</v>
      </c>
      <c r="B2960" t="s">
        <v>2949</v>
      </c>
      <c r="C2960" t="s">
        <v>3060</v>
      </c>
      <c r="D2960" t="s">
        <v>3060</v>
      </c>
      <c r="E2960" t="s">
        <v>241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3059</v>
      </c>
      <c r="B2961" t="s">
        <v>2950</v>
      </c>
      <c r="C2961" t="s">
        <v>3060</v>
      </c>
      <c r="D2961" t="s">
        <v>3060</v>
      </c>
      <c r="E2961" t="s">
        <v>286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3059</v>
      </c>
      <c r="B2962" t="s">
        <v>3005</v>
      </c>
      <c r="C2962" t="s">
        <v>3060</v>
      </c>
      <c r="D2962" t="s">
        <v>3060</v>
      </c>
      <c r="E2962" t="s">
        <v>197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3059</v>
      </c>
      <c r="B2963" t="s">
        <v>2951</v>
      </c>
      <c r="C2963" t="s">
        <v>3060</v>
      </c>
      <c r="D2963" t="s">
        <v>3060</v>
      </c>
      <c r="E2963" t="s">
        <v>286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3059</v>
      </c>
      <c r="B2964" t="s">
        <v>2952</v>
      </c>
      <c r="C2964" t="s">
        <v>3060</v>
      </c>
      <c r="D2964" t="s">
        <v>3060</v>
      </c>
      <c r="E2964" t="s">
        <v>243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3059</v>
      </c>
      <c r="B2965" t="s">
        <v>2953</v>
      </c>
      <c r="C2965" t="s">
        <v>3060</v>
      </c>
      <c r="D2965" t="s">
        <v>3060</v>
      </c>
      <c r="E2965" t="s">
        <v>575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3059</v>
      </c>
      <c r="B2966" t="s">
        <v>2954</v>
      </c>
      <c r="C2966" t="s">
        <v>3060</v>
      </c>
      <c r="D2966" t="s">
        <v>3060</v>
      </c>
      <c r="E2966" t="s">
        <v>281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3059</v>
      </c>
      <c r="B2967" t="s">
        <v>3006</v>
      </c>
      <c r="C2967" t="s">
        <v>3060</v>
      </c>
      <c r="D2967" t="s">
        <v>3060</v>
      </c>
      <c r="E2967" t="s">
        <v>895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3059</v>
      </c>
      <c r="B2968" t="s">
        <v>3014</v>
      </c>
      <c r="C2968" t="s">
        <v>3060</v>
      </c>
      <c r="D2968" t="s">
        <v>3060</v>
      </c>
      <c r="E2968" t="s">
        <v>268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3059</v>
      </c>
      <c r="B2969" t="s">
        <v>3234</v>
      </c>
      <c r="C2969" t="s">
        <v>3060</v>
      </c>
      <c r="D2969" t="s">
        <v>3060</v>
      </c>
      <c r="E2969" t="s">
        <v>895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3059</v>
      </c>
      <c r="B2970" t="s">
        <v>3235</v>
      </c>
      <c r="C2970" t="s">
        <v>3060</v>
      </c>
      <c r="D2970" t="s">
        <v>3060</v>
      </c>
      <c r="E2970" t="s">
        <v>895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3059</v>
      </c>
      <c r="B2971" t="s">
        <v>3015</v>
      </c>
      <c r="C2971" t="s">
        <v>3060</v>
      </c>
      <c r="D2971" t="s">
        <v>3060</v>
      </c>
      <c r="E2971" t="s">
        <v>243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3059</v>
      </c>
      <c r="B2972" t="s">
        <v>3016</v>
      </c>
      <c r="C2972" t="s">
        <v>3060</v>
      </c>
      <c r="D2972" t="s">
        <v>3060</v>
      </c>
      <c r="E2972" t="s">
        <v>243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3059</v>
      </c>
      <c r="B2973" t="s">
        <v>3017</v>
      </c>
      <c r="C2973" t="s">
        <v>3060</v>
      </c>
      <c r="D2973" t="s">
        <v>3060</v>
      </c>
      <c r="E2973" t="s">
        <v>243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3059</v>
      </c>
      <c r="B2974" t="s">
        <v>3025</v>
      </c>
      <c r="C2974" t="s">
        <v>3060</v>
      </c>
      <c r="D2974" t="s">
        <v>3060</v>
      </c>
      <c r="E2974" t="s">
        <v>237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3059</v>
      </c>
      <c r="B2975" t="s">
        <v>1243</v>
      </c>
      <c r="C2975" t="s">
        <v>3060</v>
      </c>
      <c r="D2975" t="s">
        <v>3060</v>
      </c>
      <c r="E2975" t="s">
        <v>3010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3059</v>
      </c>
      <c r="B2976" t="s">
        <v>3236</v>
      </c>
      <c r="C2976" t="s">
        <v>3060</v>
      </c>
      <c r="D2976" t="s">
        <v>3060</v>
      </c>
      <c r="E2976" t="s">
        <v>3010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3059</v>
      </c>
      <c r="B2977" t="s">
        <v>3237</v>
      </c>
      <c r="C2977" t="s">
        <v>3060</v>
      </c>
      <c r="D2977" t="s">
        <v>3060</v>
      </c>
      <c r="E2977" t="s">
        <v>1238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3059</v>
      </c>
      <c r="B2978" t="s">
        <v>3238</v>
      </c>
      <c r="C2978" t="s">
        <v>3060</v>
      </c>
      <c r="D2978" t="s">
        <v>3060</v>
      </c>
      <c r="E2978" t="s">
        <v>1238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3059</v>
      </c>
      <c r="B2979" t="s">
        <v>3239</v>
      </c>
      <c r="C2979" t="s">
        <v>3060</v>
      </c>
      <c r="D2979" t="s">
        <v>3060</v>
      </c>
      <c r="E2979" t="s">
        <v>1238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3059</v>
      </c>
      <c r="B2980" t="s">
        <v>3240</v>
      </c>
      <c r="C2980" t="s">
        <v>3060</v>
      </c>
      <c r="D2980" t="s">
        <v>3060</v>
      </c>
      <c r="E2980" t="s">
        <v>1238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3059</v>
      </c>
      <c r="B2981" t="s">
        <v>3241</v>
      </c>
      <c r="C2981" t="s">
        <v>3060</v>
      </c>
      <c r="D2981" t="s">
        <v>3060</v>
      </c>
      <c r="E2981" t="s">
        <v>207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3059</v>
      </c>
      <c r="B2982" t="s">
        <v>3242</v>
      </c>
      <c r="C2982" t="s">
        <v>3060</v>
      </c>
      <c r="D2982" t="s">
        <v>3060</v>
      </c>
      <c r="E2982" t="s">
        <v>1238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3059</v>
      </c>
      <c r="B2983" t="s">
        <v>3243</v>
      </c>
      <c r="C2983" t="s">
        <v>3060</v>
      </c>
      <c r="D2983" t="s">
        <v>3060</v>
      </c>
      <c r="E2983" t="s">
        <v>3010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3059</v>
      </c>
      <c r="B2984" t="s">
        <v>3045</v>
      </c>
      <c r="C2984" t="s">
        <v>3060</v>
      </c>
      <c r="D2984" t="s">
        <v>3060</v>
      </c>
      <c r="E2984" t="s">
        <v>252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3059</v>
      </c>
      <c r="B2985" t="s">
        <v>3046</v>
      </c>
      <c r="C2985" t="s">
        <v>3060</v>
      </c>
      <c r="D2985" t="s">
        <v>3060</v>
      </c>
      <c r="E2985" t="s">
        <v>692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3059</v>
      </c>
      <c r="B2986" t="s">
        <v>340</v>
      </c>
      <c r="C2986" t="s">
        <v>3060</v>
      </c>
      <c r="D2986" t="s">
        <v>3060</v>
      </c>
      <c r="E2986" t="s">
        <v>1238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3059</v>
      </c>
      <c r="B2987" t="s">
        <v>2955</v>
      </c>
      <c r="C2987" t="s">
        <v>3060</v>
      </c>
      <c r="D2987" t="s">
        <v>3060</v>
      </c>
      <c r="E2987" t="s">
        <v>575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3059</v>
      </c>
      <c r="B2988" t="s">
        <v>3026</v>
      </c>
      <c r="C2988" t="s">
        <v>3060</v>
      </c>
      <c r="D2988" t="s">
        <v>3060</v>
      </c>
      <c r="E2988" t="s">
        <v>2017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3059</v>
      </c>
      <c r="B2989" t="s">
        <v>3027</v>
      </c>
      <c r="C2989" t="s">
        <v>3060</v>
      </c>
      <c r="D2989" t="s">
        <v>3060</v>
      </c>
      <c r="E2989" t="s">
        <v>895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3059</v>
      </c>
      <c r="B2990" t="s">
        <v>3244</v>
      </c>
      <c r="C2990" t="s">
        <v>3060</v>
      </c>
      <c r="D2990" t="s">
        <v>3060</v>
      </c>
      <c r="E2990" t="s">
        <v>895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3059</v>
      </c>
      <c r="B2991" t="s">
        <v>2956</v>
      </c>
      <c r="C2991" t="s">
        <v>3060</v>
      </c>
      <c r="D2991" t="s">
        <v>3060</v>
      </c>
      <c r="E2991" t="s">
        <v>281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3059</v>
      </c>
      <c r="B2992" t="s">
        <v>2957</v>
      </c>
      <c r="C2992" t="s">
        <v>3060</v>
      </c>
      <c r="D2992" t="s">
        <v>3060</v>
      </c>
      <c r="E2992" t="s">
        <v>281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3059</v>
      </c>
      <c r="B2993" t="s">
        <v>2958</v>
      </c>
      <c r="C2993" t="s">
        <v>3060</v>
      </c>
      <c r="D2993" t="s">
        <v>3060</v>
      </c>
      <c r="E2993" t="s">
        <v>281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3059</v>
      </c>
      <c r="B2994" t="s">
        <v>3031</v>
      </c>
      <c r="C2994" t="s">
        <v>3060</v>
      </c>
      <c r="D2994" t="s">
        <v>3060</v>
      </c>
      <c r="E2994" t="s">
        <v>235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3059</v>
      </c>
      <c r="B2995" t="s">
        <v>3049</v>
      </c>
      <c r="C2995" t="s">
        <v>3060</v>
      </c>
      <c r="D2995" t="s">
        <v>3060</v>
      </c>
      <c r="E2995" t="s">
        <v>575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3059</v>
      </c>
      <c r="B2996" t="s">
        <v>3245</v>
      </c>
      <c r="C2996" t="s">
        <v>3060</v>
      </c>
      <c r="D2996" t="s">
        <v>3060</v>
      </c>
      <c r="E2996" t="s">
        <v>207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3059</v>
      </c>
      <c r="B2997" t="s">
        <v>3246</v>
      </c>
      <c r="C2997" t="s">
        <v>3060</v>
      </c>
      <c r="D2997" t="s">
        <v>3060</v>
      </c>
      <c r="E2997" t="s">
        <v>3247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3059</v>
      </c>
      <c r="B2998" t="s">
        <v>3248</v>
      </c>
      <c r="C2998" t="s">
        <v>3060</v>
      </c>
      <c r="D2998" t="s">
        <v>3060</v>
      </c>
      <c r="E2998" t="s">
        <v>3249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3059</v>
      </c>
      <c r="B2999" t="s">
        <v>229</v>
      </c>
      <c r="C2999" t="s">
        <v>3060</v>
      </c>
      <c r="D2999" t="s">
        <v>3060</v>
      </c>
      <c r="E2999" t="s">
        <v>895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3059</v>
      </c>
      <c r="B3000" t="s">
        <v>230</v>
      </c>
      <c r="C3000" t="s">
        <v>3060</v>
      </c>
      <c r="D3000" t="s">
        <v>3060</v>
      </c>
      <c r="E3000" t="s">
        <v>895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3059</v>
      </c>
      <c r="B3001" t="s">
        <v>232</v>
      </c>
      <c r="C3001" t="s">
        <v>3060</v>
      </c>
      <c r="D3001" t="s">
        <v>3060</v>
      </c>
      <c r="E3001" t="s">
        <v>895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3059</v>
      </c>
      <c r="B3002" t="s">
        <v>233</v>
      </c>
      <c r="C3002" t="s">
        <v>3060</v>
      </c>
      <c r="D3002" t="s">
        <v>3060</v>
      </c>
      <c r="E3002" t="s">
        <v>895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3059</v>
      </c>
      <c r="B3003" t="s">
        <v>3050</v>
      </c>
      <c r="C3003" t="s">
        <v>3060</v>
      </c>
      <c r="D3003" t="s">
        <v>3060</v>
      </c>
      <c r="E3003" t="s">
        <v>279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3059</v>
      </c>
      <c r="B3004" t="s">
        <v>3250</v>
      </c>
      <c r="C3004" t="s">
        <v>3060</v>
      </c>
      <c r="D3004" t="s">
        <v>3060</v>
      </c>
      <c r="E3004" t="s">
        <v>279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3059</v>
      </c>
      <c r="B3005" t="s">
        <v>3251</v>
      </c>
      <c r="C3005" t="s">
        <v>3060</v>
      </c>
      <c r="D3005" t="s">
        <v>3060</v>
      </c>
      <c r="E3005" t="s">
        <v>279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3059</v>
      </c>
      <c r="B3006" t="s">
        <v>3051</v>
      </c>
      <c r="C3006" t="s">
        <v>3060</v>
      </c>
      <c r="D3006" t="s">
        <v>3060</v>
      </c>
      <c r="E3006" t="s">
        <v>279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3059</v>
      </c>
      <c r="B3007" t="s">
        <v>2960</v>
      </c>
      <c r="C3007" t="s">
        <v>3060</v>
      </c>
      <c r="D3007" t="s">
        <v>3060</v>
      </c>
      <c r="E3007" t="s">
        <v>279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3059</v>
      </c>
      <c r="B3008" t="s">
        <v>2961</v>
      </c>
      <c r="C3008" t="s">
        <v>3060</v>
      </c>
      <c r="D3008" t="s">
        <v>3060</v>
      </c>
      <c r="E3008" t="s">
        <v>235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3059</v>
      </c>
      <c r="B3009" t="s">
        <v>3252</v>
      </c>
      <c r="C3009" t="s">
        <v>3060</v>
      </c>
      <c r="D3009" t="s">
        <v>3060</v>
      </c>
      <c r="E3009" t="s">
        <v>252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3059</v>
      </c>
      <c r="B3010" t="s">
        <v>2962</v>
      </c>
      <c r="C3010" t="s">
        <v>3060</v>
      </c>
      <c r="D3010" t="s">
        <v>3060</v>
      </c>
      <c r="E3010" t="s">
        <v>182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3059</v>
      </c>
      <c r="B3011" t="s">
        <v>2963</v>
      </c>
      <c r="C3011" t="s">
        <v>3060</v>
      </c>
      <c r="D3011" t="s">
        <v>3060</v>
      </c>
      <c r="E3011" t="s">
        <v>182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3059</v>
      </c>
      <c r="B3012" t="s">
        <v>3033</v>
      </c>
      <c r="C3012" t="s">
        <v>3060</v>
      </c>
      <c r="D3012" t="s">
        <v>3060</v>
      </c>
      <c r="E3012" t="s">
        <v>281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3059</v>
      </c>
      <c r="B3013" t="s">
        <v>2964</v>
      </c>
      <c r="C3013" t="s">
        <v>3060</v>
      </c>
      <c r="D3013" t="s">
        <v>3060</v>
      </c>
      <c r="E3013" t="s">
        <v>895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3059</v>
      </c>
      <c r="B3014" t="s">
        <v>181</v>
      </c>
      <c r="C3014" t="s">
        <v>3060</v>
      </c>
      <c r="D3014" t="s">
        <v>3060</v>
      </c>
      <c r="E3014" t="s">
        <v>286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3059</v>
      </c>
      <c r="B3015" t="s">
        <v>242</v>
      </c>
      <c r="C3015" t="s">
        <v>3060</v>
      </c>
      <c r="D3015" t="s">
        <v>3060</v>
      </c>
      <c r="E3015" t="s">
        <v>1238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3059</v>
      </c>
      <c r="B3016" t="s">
        <v>327</v>
      </c>
      <c r="C3016" t="s">
        <v>3060</v>
      </c>
      <c r="D3016" t="s">
        <v>3060</v>
      </c>
      <c r="E3016" t="s">
        <v>1238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3059</v>
      </c>
      <c r="B3017" t="s">
        <v>1266</v>
      </c>
      <c r="C3017" t="s">
        <v>3060</v>
      </c>
      <c r="D3017" t="s">
        <v>3060</v>
      </c>
      <c r="E3017" t="s">
        <v>1238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3059</v>
      </c>
      <c r="B3018" t="s">
        <v>2965</v>
      </c>
      <c r="C3018" t="s">
        <v>3060</v>
      </c>
      <c r="D3018" t="s">
        <v>3060</v>
      </c>
      <c r="E3018" t="s">
        <v>406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3059</v>
      </c>
      <c r="B3019" t="s">
        <v>3035</v>
      </c>
      <c r="C3019" t="s">
        <v>3060</v>
      </c>
      <c r="D3019" t="s">
        <v>3060</v>
      </c>
      <c r="E3019" t="s">
        <v>692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3059</v>
      </c>
      <c r="B3020" t="s">
        <v>183</v>
      </c>
      <c r="C3020" t="s">
        <v>3060</v>
      </c>
      <c r="D3020" t="s">
        <v>3060</v>
      </c>
      <c r="E3020" t="s">
        <v>184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3061</v>
      </c>
      <c r="B3021" t="s">
        <v>2863</v>
      </c>
      <c r="C3021" t="s">
        <v>3060</v>
      </c>
      <c r="D3021" t="s">
        <v>3170</v>
      </c>
      <c r="E3021" t="s">
        <v>418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3061</v>
      </c>
      <c r="B3022" t="s">
        <v>2865</v>
      </c>
      <c r="C3022" t="s">
        <v>3060</v>
      </c>
      <c r="D3022" t="s">
        <v>3171</v>
      </c>
      <c r="E3022" t="s">
        <v>1291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3061</v>
      </c>
      <c r="B3023" t="s">
        <v>300</v>
      </c>
      <c r="C3023" t="s">
        <v>3060</v>
      </c>
      <c r="D3023" t="s">
        <v>3172</v>
      </c>
      <c r="E3023" t="s">
        <v>636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3061</v>
      </c>
      <c r="B3024" t="s">
        <v>2867</v>
      </c>
      <c r="C3024" t="s">
        <v>3060</v>
      </c>
      <c r="D3024" t="s">
        <v>3173</v>
      </c>
      <c r="E3024" t="s">
        <v>1846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3061</v>
      </c>
      <c r="B3025" t="s">
        <v>2869</v>
      </c>
      <c r="C3025" t="s">
        <v>3060</v>
      </c>
      <c r="D3025" t="s">
        <v>3174</v>
      </c>
      <c r="E3025" t="s">
        <v>2871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3061</v>
      </c>
      <c r="B3026" t="s">
        <v>2872</v>
      </c>
      <c r="C3026" t="s">
        <v>3060</v>
      </c>
      <c r="D3026" t="s">
        <v>3175</v>
      </c>
      <c r="E3026" t="s">
        <v>456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3061</v>
      </c>
      <c r="B3027" t="s">
        <v>2874</v>
      </c>
      <c r="C3027" t="s">
        <v>3060</v>
      </c>
      <c r="D3027" t="s">
        <v>3176</v>
      </c>
      <c r="E3027" t="s">
        <v>1093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3061</v>
      </c>
      <c r="B3028" t="s">
        <v>343</v>
      </c>
      <c r="C3028" t="s">
        <v>3060</v>
      </c>
      <c r="D3028" t="s">
        <v>3060</v>
      </c>
      <c r="E3028" t="s">
        <v>287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3061</v>
      </c>
      <c r="B3029" t="s">
        <v>2876</v>
      </c>
      <c r="C3029" t="s">
        <v>3060</v>
      </c>
      <c r="D3029" t="s">
        <v>3060</v>
      </c>
      <c r="E3029" t="s">
        <v>287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3061</v>
      </c>
      <c r="B3030" t="s">
        <v>2877</v>
      </c>
      <c r="C3030" t="s">
        <v>3060</v>
      </c>
      <c r="D3030" t="s">
        <v>3060</v>
      </c>
      <c r="E3030" t="s">
        <v>2362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3061</v>
      </c>
      <c r="B3031" t="s">
        <v>2970</v>
      </c>
      <c r="C3031" t="s">
        <v>3060</v>
      </c>
      <c r="D3031" t="s">
        <v>3177</v>
      </c>
      <c r="E3031" t="s">
        <v>469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3061</v>
      </c>
      <c r="B3032" t="s">
        <v>2972</v>
      </c>
      <c r="C3032" t="s">
        <v>3060</v>
      </c>
      <c r="D3032" t="s">
        <v>3178</v>
      </c>
      <c r="E3032" t="s">
        <v>2891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3061</v>
      </c>
      <c r="B3033" t="s">
        <v>2974</v>
      </c>
      <c r="C3033" t="s">
        <v>3060</v>
      </c>
      <c r="D3033" t="s">
        <v>3179</v>
      </c>
      <c r="E3033" t="s">
        <v>202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3061</v>
      </c>
      <c r="B3034" t="s">
        <v>2878</v>
      </c>
      <c r="C3034" t="s">
        <v>3060</v>
      </c>
      <c r="D3034" t="s">
        <v>3180</v>
      </c>
      <c r="E3034" t="s">
        <v>2880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3061</v>
      </c>
      <c r="B3035" t="s">
        <v>2881</v>
      </c>
      <c r="C3035" t="s">
        <v>3060</v>
      </c>
      <c r="D3035" t="s">
        <v>3181</v>
      </c>
      <c r="E3035" t="s">
        <v>258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3061</v>
      </c>
      <c r="B3036" t="s">
        <v>2883</v>
      </c>
      <c r="C3036" t="s">
        <v>3060</v>
      </c>
      <c r="D3036" t="s">
        <v>3182</v>
      </c>
      <c r="E3036" t="s">
        <v>437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3061</v>
      </c>
      <c r="B3037" t="s">
        <v>2885</v>
      </c>
      <c r="C3037" t="s">
        <v>3060</v>
      </c>
      <c r="D3037" t="s">
        <v>3183</v>
      </c>
      <c r="E3037" t="s">
        <v>1062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3061</v>
      </c>
      <c r="B3038" t="s">
        <v>3184</v>
      </c>
      <c r="C3038" t="s">
        <v>3060</v>
      </c>
      <c r="D3038" t="s">
        <v>3185</v>
      </c>
      <c r="E3038" t="s">
        <v>366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3061</v>
      </c>
      <c r="B3039" t="s">
        <v>2887</v>
      </c>
      <c r="C3039" t="s">
        <v>3060</v>
      </c>
      <c r="D3039" t="s">
        <v>3186</v>
      </c>
      <c r="E3039" t="s">
        <v>1939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3061</v>
      </c>
      <c r="B3040" t="s">
        <v>2889</v>
      </c>
      <c r="C3040" t="s">
        <v>3060</v>
      </c>
      <c r="D3040" t="s">
        <v>3187</v>
      </c>
      <c r="E3040" t="s">
        <v>2891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3061</v>
      </c>
      <c r="B3041" t="s">
        <v>2976</v>
      </c>
      <c r="C3041" t="s">
        <v>3060</v>
      </c>
      <c r="D3041" t="s">
        <v>3188</v>
      </c>
      <c r="E3041" t="s">
        <v>1832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3061</v>
      </c>
      <c r="B3042" t="s">
        <v>2978</v>
      </c>
      <c r="C3042" t="s">
        <v>3060</v>
      </c>
      <c r="D3042" t="s">
        <v>3189</v>
      </c>
      <c r="E3042" t="s">
        <v>418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3061</v>
      </c>
      <c r="B3043" t="s">
        <v>2892</v>
      </c>
      <c r="C3043" t="s">
        <v>3060</v>
      </c>
      <c r="D3043" t="s">
        <v>3191</v>
      </c>
      <c r="E3043" t="s">
        <v>258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3061</v>
      </c>
      <c r="B3044" t="s">
        <v>2894</v>
      </c>
      <c r="C3044" t="s">
        <v>3060</v>
      </c>
      <c r="D3044" t="s">
        <v>3192</v>
      </c>
      <c r="E3044" t="s">
        <v>692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3061</v>
      </c>
      <c r="B3045" t="s">
        <v>2896</v>
      </c>
      <c r="C3045" t="s">
        <v>3060</v>
      </c>
      <c r="D3045" t="s">
        <v>3193</v>
      </c>
      <c r="E3045" t="s">
        <v>2012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3061</v>
      </c>
      <c r="B3046" t="s">
        <v>2984</v>
      </c>
      <c r="C3046" t="s">
        <v>3060</v>
      </c>
      <c r="D3046" t="s">
        <v>3194</v>
      </c>
      <c r="E3046" t="s">
        <v>582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3061</v>
      </c>
      <c r="B3047" t="s">
        <v>2986</v>
      </c>
      <c r="C3047" t="s">
        <v>3060</v>
      </c>
      <c r="D3047" t="s">
        <v>3195</v>
      </c>
      <c r="E3047" t="s">
        <v>2512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3061</v>
      </c>
      <c r="B3048" t="s">
        <v>3196</v>
      </c>
      <c r="C3048" t="s">
        <v>3060</v>
      </c>
      <c r="D3048" t="s">
        <v>3197</v>
      </c>
      <c r="E3048" t="s">
        <v>3198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3061</v>
      </c>
      <c r="B3049" t="s">
        <v>2898</v>
      </c>
      <c r="C3049" t="s">
        <v>3060</v>
      </c>
      <c r="D3049" t="s">
        <v>3199</v>
      </c>
      <c r="E3049" t="s">
        <v>1425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3061</v>
      </c>
      <c r="B3050" t="s">
        <v>2902</v>
      </c>
      <c r="C3050" t="s">
        <v>3060</v>
      </c>
      <c r="D3050" t="s">
        <v>3201</v>
      </c>
      <c r="E3050" t="s">
        <v>2008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3061</v>
      </c>
      <c r="B3051" t="s">
        <v>2990</v>
      </c>
      <c r="C3051" t="s">
        <v>3060</v>
      </c>
      <c r="D3051" t="s">
        <v>3203</v>
      </c>
      <c r="E3051" t="s">
        <v>2992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3061</v>
      </c>
      <c r="B3052" t="s">
        <v>2993</v>
      </c>
      <c r="C3052" t="s">
        <v>3060</v>
      </c>
      <c r="D3052" t="s">
        <v>3206</v>
      </c>
      <c r="E3052" t="s">
        <v>2995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3061</v>
      </c>
      <c r="B3053" t="s">
        <v>2996</v>
      </c>
      <c r="C3053" t="s">
        <v>3060</v>
      </c>
      <c r="D3053" t="s">
        <v>3209</v>
      </c>
      <c r="E3053" t="s">
        <v>2998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3061</v>
      </c>
      <c r="B3054" t="s">
        <v>2904</v>
      </c>
      <c r="C3054" t="s">
        <v>3060</v>
      </c>
      <c r="D3054" t="s">
        <v>3210</v>
      </c>
      <c r="E3054" t="s">
        <v>418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3061</v>
      </c>
      <c r="B3055" t="s">
        <v>2906</v>
      </c>
      <c r="C3055" t="s">
        <v>3060</v>
      </c>
      <c r="D3055" t="s">
        <v>3211</v>
      </c>
      <c r="E3055" t="s">
        <v>2362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3061</v>
      </c>
      <c r="B3056" t="s">
        <v>2908</v>
      </c>
      <c r="C3056" t="s">
        <v>3060</v>
      </c>
      <c r="D3056" t="s">
        <v>3212</v>
      </c>
      <c r="E3056" t="s">
        <v>2910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3061</v>
      </c>
      <c r="B3057" t="s">
        <v>2911</v>
      </c>
      <c r="C3057" t="s">
        <v>3060</v>
      </c>
      <c r="D3057" t="s">
        <v>3213</v>
      </c>
      <c r="E3057" t="s">
        <v>442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3061</v>
      </c>
      <c r="B3058" t="s">
        <v>3253</v>
      </c>
      <c r="C3058" t="s">
        <v>3060</v>
      </c>
      <c r="D3058" t="s">
        <v>3254</v>
      </c>
      <c r="E3058" t="s">
        <v>456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3061</v>
      </c>
      <c r="B3059" t="s">
        <v>2913</v>
      </c>
      <c r="C3059" t="s">
        <v>3060</v>
      </c>
      <c r="D3059" t="s">
        <v>3220</v>
      </c>
      <c r="E3059" t="s">
        <v>2915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3061</v>
      </c>
      <c r="B3060" t="s">
        <v>402</v>
      </c>
      <c r="C3060" t="s">
        <v>3060</v>
      </c>
      <c r="D3060" t="s">
        <v>3218</v>
      </c>
      <c r="E3060" t="s">
        <v>888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3061</v>
      </c>
      <c r="B3061" t="s">
        <v>1461</v>
      </c>
      <c r="C3061" t="s">
        <v>3060</v>
      </c>
      <c r="D3061" t="s">
        <v>3219</v>
      </c>
      <c r="E3061" t="s">
        <v>456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3061</v>
      </c>
      <c r="B3062" t="s">
        <v>1449</v>
      </c>
      <c r="C3062" t="s">
        <v>3060</v>
      </c>
      <c r="D3062" t="s">
        <v>3220</v>
      </c>
      <c r="E3062" t="s">
        <v>2915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3061</v>
      </c>
      <c r="B3063" t="s">
        <v>1465</v>
      </c>
      <c r="C3063" t="s">
        <v>3060</v>
      </c>
      <c r="D3063" t="s">
        <v>3221</v>
      </c>
      <c r="E3063" t="s">
        <v>2919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3061</v>
      </c>
      <c r="B3064" t="s">
        <v>314</v>
      </c>
      <c r="C3064" t="s">
        <v>3060</v>
      </c>
      <c r="D3064" t="s">
        <v>3222</v>
      </c>
      <c r="E3064" t="s">
        <v>1994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3061</v>
      </c>
      <c r="B3065" t="s">
        <v>192</v>
      </c>
      <c r="C3065" t="s">
        <v>3060</v>
      </c>
      <c r="D3065" t="s">
        <v>3226</v>
      </c>
      <c r="E3065" t="s">
        <v>1238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3061</v>
      </c>
      <c r="B3066" t="s">
        <v>2928</v>
      </c>
      <c r="C3066" t="s">
        <v>3060</v>
      </c>
      <c r="D3066" t="s">
        <v>3224</v>
      </c>
      <c r="E3066" t="s">
        <v>1427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3061</v>
      </c>
      <c r="B3067" t="s">
        <v>2924</v>
      </c>
      <c r="C3067" t="s">
        <v>3060</v>
      </c>
      <c r="D3067" t="s">
        <v>3227</v>
      </c>
      <c r="E3067" t="s">
        <v>554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3061</v>
      </c>
      <c r="B3068" t="s">
        <v>2926</v>
      </c>
      <c r="C3068" t="s">
        <v>3060</v>
      </c>
      <c r="D3068" t="s">
        <v>3225</v>
      </c>
      <c r="E3068" t="s">
        <v>582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3061</v>
      </c>
      <c r="B3069" t="s">
        <v>2922</v>
      </c>
      <c r="C3069" t="s">
        <v>3060</v>
      </c>
      <c r="D3069" t="s">
        <v>3223</v>
      </c>
      <c r="E3069" t="s">
        <v>253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3061</v>
      </c>
      <c r="B3070" t="s">
        <v>2930</v>
      </c>
      <c r="C3070" t="s">
        <v>3060</v>
      </c>
      <c r="D3070" t="s">
        <v>3228</v>
      </c>
      <c r="E3070" t="s">
        <v>554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3061</v>
      </c>
      <c r="B3071" t="s">
        <v>294</v>
      </c>
      <c r="C3071" t="s">
        <v>3060</v>
      </c>
      <c r="D3071" t="s">
        <v>3229</v>
      </c>
      <c r="E3071" t="s">
        <v>692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3061</v>
      </c>
      <c r="B3072" t="s">
        <v>2933</v>
      </c>
      <c r="C3072" t="s">
        <v>3060</v>
      </c>
      <c r="D3072" t="s">
        <v>3230</v>
      </c>
      <c r="E3072" t="s">
        <v>2017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3061</v>
      </c>
      <c r="B3073" t="s">
        <v>3255</v>
      </c>
      <c r="C3073" t="s">
        <v>3060</v>
      </c>
      <c r="D3073" t="s">
        <v>3060</v>
      </c>
      <c r="E3073" t="s">
        <v>1212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3061</v>
      </c>
      <c r="B3074" t="s">
        <v>3256</v>
      </c>
      <c r="C3074" t="s">
        <v>3060</v>
      </c>
      <c r="D3074" t="s">
        <v>3060</v>
      </c>
      <c r="E3074" t="s">
        <v>1065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3061</v>
      </c>
      <c r="B3075" t="s">
        <v>2936</v>
      </c>
      <c r="C3075" t="s">
        <v>3060</v>
      </c>
      <c r="D3075" t="s">
        <v>3060</v>
      </c>
      <c r="E3075" t="s">
        <v>1257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3061</v>
      </c>
      <c r="B3076" t="s">
        <v>2937</v>
      </c>
      <c r="C3076" t="s">
        <v>3060</v>
      </c>
      <c r="D3076" t="s">
        <v>3060</v>
      </c>
      <c r="E3076" t="s">
        <v>1425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3061</v>
      </c>
      <c r="B3077" t="s">
        <v>2938</v>
      </c>
      <c r="C3077" t="s">
        <v>3060</v>
      </c>
      <c r="D3077" t="s">
        <v>3060</v>
      </c>
      <c r="E3077" t="s">
        <v>1425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3061</v>
      </c>
      <c r="B3078" t="s">
        <v>2940</v>
      </c>
      <c r="C3078" t="s">
        <v>3060</v>
      </c>
      <c r="D3078" t="s">
        <v>3060</v>
      </c>
      <c r="E3078" t="s">
        <v>2880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3061</v>
      </c>
      <c r="B3079" t="s">
        <v>2941</v>
      </c>
      <c r="C3079" t="s">
        <v>3060</v>
      </c>
      <c r="D3079" t="s">
        <v>3060</v>
      </c>
      <c r="E3079" t="s">
        <v>2880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3061</v>
      </c>
      <c r="B3080" t="s">
        <v>3038</v>
      </c>
      <c r="C3080" t="s">
        <v>3060</v>
      </c>
      <c r="D3080" t="s">
        <v>3232</v>
      </c>
      <c r="E3080" t="s">
        <v>888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3061</v>
      </c>
      <c r="B3081" t="s">
        <v>2944</v>
      </c>
      <c r="C3081" t="s">
        <v>3060</v>
      </c>
      <c r="D3081" t="s">
        <v>3060</v>
      </c>
      <c r="E3081" t="s">
        <v>692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3061</v>
      </c>
      <c r="B3082" t="s">
        <v>2946</v>
      </c>
      <c r="C3082" t="s">
        <v>3060</v>
      </c>
      <c r="D3082" t="s">
        <v>3060</v>
      </c>
      <c r="E3082" t="s">
        <v>692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3061</v>
      </c>
      <c r="B3083" t="s">
        <v>3040</v>
      </c>
      <c r="C3083" t="s">
        <v>3060</v>
      </c>
      <c r="D3083" t="s">
        <v>3060</v>
      </c>
      <c r="E3083" t="s">
        <v>692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3061</v>
      </c>
      <c r="B3084" t="s">
        <v>3041</v>
      </c>
      <c r="C3084" t="s">
        <v>3060</v>
      </c>
      <c r="D3084" t="s">
        <v>3060</v>
      </c>
      <c r="E3084" t="s">
        <v>692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3061</v>
      </c>
      <c r="B3085" t="s">
        <v>3042</v>
      </c>
      <c r="C3085" t="s">
        <v>3060</v>
      </c>
      <c r="D3085" t="s">
        <v>3060</v>
      </c>
      <c r="E3085" t="s">
        <v>692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3061</v>
      </c>
      <c r="B3086" t="s">
        <v>3003</v>
      </c>
      <c r="C3086" t="s">
        <v>3060</v>
      </c>
      <c r="D3086" t="s">
        <v>3060</v>
      </c>
      <c r="E3086" t="s">
        <v>286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3061</v>
      </c>
      <c r="B3087" t="s">
        <v>2947</v>
      </c>
      <c r="C3087" t="s">
        <v>3060</v>
      </c>
      <c r="D3087" t="s">
        <v>3060</v>
      </c>
      <c r="E3087" t="s">
        <v>286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3061</v>
      </c>
      <c r="B3088" t="s">
        <v>2948</v>
      </c>
      <c r="C3088" t="s">
        <v>3060</v>
      </c>
      <c r="D3088" t="s">
        <v>3060</v>
      </c>
      <c r="E3088" t="s">
        <v>241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3061</v>
      </c>
      <c r="B3089" t="s">
        <v>3004</v>
      </c>
      <c r="C3089" t="s">
        <v>3060</v>
      </c>
      <c r="D3089" t="s">
        <v>3060</v>
      </c>
      <c r="E3089" t="s">
        <v>241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3061</v>
      </c>
      <c r="B3090" t="s">
        <v>2949</v>
      </c>
      <c r="C3090" t="s">
        <v>3060</v>
      </c>
      <c r="D3090" t="s">
        <v>3060</v>
      </c>
      <c r="E3090" t="s">
        <v>241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3061</v>
      </c>
      <c r="B3091" t="s">
        <v>2950</v>
      </c>
      <c r="C3091" t="s">
        <v>3060</v>
      </c>
      <c r="D3091" t="s">
        <v>3060</v>
      </c>
      <c r="E3091" t="s">
        <v>286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3061</v>
      </c>
      <c r="B3092" t="s">
        <v>3005</v>
      </c>
      <c r="C3092" t="s">
        <v>3060</v>
      </c>
      <c r="D3092" t="s">
        <v>3060</v>
      </c>
      <c r="E3092" t="s">
        <v>197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3061</v>
      </c>
      <c r="B3093" t="s">
        <v>2951</v>
      </c>
      <c r="C3093" t="s">
        <v>3060</v>
      </c>
      <c r="D3093" t="s">
        <v>3060</v>
      </c>
      <c r="E3093" t="s">
        <v>286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3061</v>
      </c>
      <c r="B3094" t="s">
        <v>2952</v>
      </c>
      <c r="C3094" t="s">
        <v>3060</v>
      </c>
      <c r="D3094" t="s">
        <v>3060</v>
      </c>
      <c r="E3094" t="s">
        <v>243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3061</v>
      </c>
      <c r="B3095" t="s">
        <v>2953</v>
      </c>
      <c r="C3095" t="s">
        <v>3060</v>
      </c>
      <c r="D3095" t="s">
        <v>3060</v>
      </c>
      <c r="E3095" t="s">
        <v>575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3061</v>
      </c>
      <c r="B3096" t="s">
        <v>3237</v>
      </c>
      <c r="C3096" t="s">
        <v>3060</v>
      </c>
      <c r="D3096" t="s">
        <v>3060</v>
      </c>
      <c r="E3096" t="s">
        <v>1238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3061</v>
      </c>
      <c r="B3097" t="s">
        <v>3257</v>
      </c>
      <c r="C3097" t="s">
        <v>3060</v>
      </c>
      <c r="D3097" t="s">
        <v>3258</v>
      </c>
      <c r="E3097" t="s">
        <v>1238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3061</v>
      </c>
      <c r="B3098" t="s">
        <v>3043</v>
      </c>
      <c r="C3098" t="s">
        <v>3060</v>
      </c>
      <c r="D3098" t="s">
        <v>3259</v>
      </c>
      <c r="E3098" t="s">
        <v>2012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3061</v>
      </c>
      <c r="B3099" t="s">
        <v>3239</v>
      </c>
      <c r="C3099" t="s">
        <v>3060</v>
      </c>
      <c r="D3099" t="s">
        <v>3060</v>
      </c>
      <c r="E3099" t="s">
        <v>1238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3061</v>
      </c>
      <c r="B3100" t="s">
        <v>3240</v>
      </c>
      <c r="C3100" t="s">
        <v>3060</v>
      </c>
      <c r="D3100" t="s">
        <v>3060</v>
      </c>
      <c r="E3100" t="s">
        <v>1238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3061</v>
      </c>
      <c r="B3101" t="s">
        <v>3242</v>
      </c>
      <c r="C3101" t="s">
        <v>3060</v>
      </c>
      <c r="D3101" t="s">
        <v>3060</v>
      </c>
      <c r="E3101" t="s">
        <v>1238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3061</v>
      </c>
      <c r="B3102" t="s">
        <v>3045</v>
      </c>
      <c r="C3102" t="s">
        <v>3060</v>
      </c>
      <c r="D3102" t="s">
        <v>3060</v>
      </c>
      <c r="E3102" t="s">
        <v>252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3061</v>
      </c>
      <c r="B3103" t="s">
        <v>3046</v>
      </c>
      <c r="C3103" t="s">
        <v>3060</v>
      </c>
      <c r="D3103" t="s">
        <v>3060</v>
      </c>
      <c r="E3103" t="s">
        <v>692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3061</v>
      </c>
      <c r="B3104" t="s">
        <v>2955</v>
      </c>
      <c r="C3104" t="s">
        <v>3060</v>
      </c>
      <c r="D3104" t="s">
        <v>3060</v>
      </c>
      <c r="E3104" t="s">
        <v>575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3061</v>
      </c>
      <c r="B3105" t="s">
        <v>3027</v>
      </c>
      <c r="C3105" t="s">
        <v>3060</v>
      </c>
      <c r="D3105" t="s">
        <v>3060</v>
      </c>
      <c r="E3105" t="s">
        <v>895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3061</v>
      </c>
      <c r="B3106" t="s">
        <v>3244</v>
      </c>
      <c r="C3106" t="s">
        <v>3060</v>
      </c>
      <c r="D3106" t="s">
        <v>3060</v>
      </c>
      <c r="E3106" t="s">
        <v>895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3061</v>
      </c>
      <c r="B3107" t="s">
        <v>3260</v>
      </c>
      <c r="C3107" t="s">
        <v>3060</v>
      </c>
      <c r="D3107" t="s">
        <v>3060</v>
      </c>
      <c r="E3107" t="s">
        <v>895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3061</v>
      </c>
      <c r="B3108" t="s">
        <v>3028</v>
      </c>
      <c r="C3108" t="s">
        <v>3060</v>
      </c>
      <c r="D3108" t="s">
        <v>3060</v>
      </c>
      <c r="E3108" t="s">
        <v>207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3061</v>
      </c>
      <c r="B3109" t="s">
        <v>2956</v>
      </c>
      <c r="C3109" t="s">
        <v>3060</v>
      </c>
      <c r="D3109" t="s">
        <v>3060</v>
      </c>
      <c r="E3109" t="s">
        <v>281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3061</v>
      </c>
      <c r="B3110" t="s">
        <v>2957</v>
      </c>
      <c r="C3110" t="s">
        <v>3060</v>
      </c>
      <c r="D3110" t="s">
        <v>3060</v>
      </c>
      <c r="E3110" t="s">
        <v>281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3061</v>
      </c>
      <c r="B3111" t="s">
        <v>2958</v>
      </c>
      <c r="C3111" t="s">
        <v>3060</v>
      </c>
      <c r="D3111" t="s">
        <v>3060</v>
      </c>
      <c r="E3111" t="s">
        <v>281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3061</v>
      </c>
      <c r="B3112" t="s">
        <v>2959</v>
      </c>
      <c r="C3112" t="s">
        <v>3060</v>
      </c>
      <c r="D3112" t="s">
        <v>3060</v>
      </c>
      <c r="E3112" t="s">
        <v>281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3061</v>
      </c>
      <c r="B3113" t="s">
        <v>3029</v>
      </c>
      <c r="C3113" t="s">
        <v>3060</v>
      </c>
      <c r="D3113" t="s">
        <v>3060</v>
      </c>
      <c r="E3113" t="s">
        <v>1417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3061</v>
      </c>
      <c r="B3114" t="s">
        <v>3261</v>
      </c>
      <c r="C3114" t="s">
        <v>3060</v>
      </c>
      <c r="D3114" t="s">
        <v>3060</v>
      </c>
      <c r="E3114" t="s">
        <v>1417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3061</v>
      </c>
      <c r="B3115" t="s">
        <v>3262</v>
      </c>
      <c r="C3115" t="s">
        <v>3060</v>
      </c>
      <c r="D3115" t="s">
        <v>3060</v>
      </c>
      <c r="E3115" t="s">
        <v>1417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3061</v>
      </c>
      <c r="B3116" t="s">
        <v>3263</v>
      </c>
      <c r="C3116" t="s">
        <v>3060</v>
      </c>
      <c r="D3116" t="s">
        <v>3060</v>
      </c>
      <c r="E3116" t="s">
        <v>1417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3061</v>
      </c>
      <c r="B3117" t="s">
        <v>3030</v>
      </c>
      <c r="C3117" t="s">
        <v>3060</v>
      </c>
      <c r="D3117" t="s">
        <v>3060</v>
      </c>
      <c r="E3117" t="s">
        <v>235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3061</v>
      </c>
      <c r="B3118" t="s">
        <v>229</v>
      </c>
      <c r="C3118" t="s">
        <v>3060</v>
      </c>
      <c r="D3118" t="s">
        <v>3060</v>
      </c>
      <c r="E3118" t="s">
        <v>895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3061</v>
      </c>
      <c r="B3119" t="s">
        <v>643</v>
      </c>
      <c r="C3119" t="s">
        <v>3060</v>
      </c>
      <c r="D3119" t="s">
        <v>3060</v>
      </c>
      <c r="E3119" t="s">
        <v>895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3061</v>
      </c>
      <c r="B3120" t="s">
        <v>876</v>
      </c>
      <c r="C3120" t="s">
        <v>3060</v>
      </c>
      <c r="D3120" t="s">
        <v>3060</v>
      </c>
      <c r="E3120" t="s">
        <v>895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3061</v>
      </c>
      <c r="B3121" t="s">
        <v>230</v>
      </c>
      <c r="C3121" t="s">
        <v>3060</v>
      </c>
      <c r="D3121" t="s">
        <v>3060</v>
      </c>
      <c r="E3121" t="s">
        <v>895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3061</v>
      </c>
      <c r="B3122" t="s">
        <v>231</v>
      </c>
      <c r="C3122" t="s">
        <v>3060</v>
      </c>
      <c r="D3122" t="s">
        <v>3060</v>
      </c>
      <c r="E3122" t="s">
        <v>895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3061</v>
      </c>
      <c r="B3123" t="s">
        <v>232</v>
      </c>
      <c r="C3123" t="s">
        <v>3060</v>
      </c>
      <c r="D3123" t="s">
        <v>3060</v>
      </c>
      <c r="E3123" t="s">
        <v>895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3061</v>
      </c>
      <c r="B3124" t="s">
        <v>233</v>
      </c>
      <c r="C3124" t="s">
        <v>3060</v>
      </c>
      <c r="D3124" t="s">
        <v>3060</v>
      </c>
      <c r="E3124" t="s">
        <v>895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3061</v>
      </c>
      <c r="B3125" t="s">
        <v>3250</v>
      </c>
      <c r="C3125" t="s">
        <v>3060</v>
      </c>
      <c r="D3125" t="s">
        <v>3060</v>
      </c>
      <c r="E3125" t="s">
        <v>279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3061</v>
      </c>
      <c r="B3126" t="s">
        <v>2960</v>
      </c>
      <c r="C3126" t="s">
        <v>3060</v>
      </c>
      <c r="D3126" t="s">
        <v>3060</v>
      </c>
      <c r="E3126" t="s">
        <v>279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3061</v>
      </c>
      <c r="B3127" t="s">
        <v>2961</v>
      </c>
      <c r="C3127" t="s">
        <v>3060</v>
      </c>
      <c r="D3127" t="s">
        <v>3060</v>
      </c>
      <c r="E3127" t="s">
        <v>235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3061</v>
      </c>
      <c r="B3128" t="s">
        <v>3032</v>
      </c>
      <c r="C3128" t="s">
        <v>3060</v>
      </c>
      <c r="D3128" t="s">
        <v>3060</v>
      </c>
      <c r="E3128" t="s">
        <v>895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3061</v>
      </c>
      <c r="B3129" t="s">
        <v>2962</v>
      </c>
      <c r="C3129" t="s">
        <v>3060</v>
      </c>
      <c r="D3129" t="s">
        <v>3060</v>
      </c>
      <c r="E3129" t="s">
        <v>182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3061</v>
      </c>
      <c r="B3130" t="s">
        <v>2963</v>
      </c>
      <c r="C3130" t="s">
        <v>3060</v>
      </c>
      <c r="D3130" t="s">
        <v>3060</v>
      </c>
      <c r="E3130" t="s">
        <v>182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3061</v>
      </c>
      <c r="B3131" t="s">
        <v>3033</v>
      </c>
      <c r="C3131" t="s">
        <v>3060</v>
      </c>
      <c r="D3131" t="s">
        <v>3060</v>
      </c>
      <c r="E3131" t="s">
        <v>281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3061</v>
      </c>
      <c r="B3132" t="s">
        <v>2964</v>
      </c>
      <c r="C3132" t="s">
        <v>3060</v>
      </c>
      <c r="D3132" t="s">
        <v>3060</v>
      </c>
      <c r="E3132" t="s">
        <v>895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3061</v>
      </c>
      <c r="B3133" t="s">
        <v>180</v>
      </c>
      <c r="C3133" t="s">
        <v>3060</v>
      </c>
      <c r="D3133" t="s">
        <v>3060</v>
      </c>
      <c r="E3133" t="s">
        <v>182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3061</v>
      </c>
      <c r="B3134" t="s">
        <v>181</v>
      </c>
      <c r="C3134" t="s">
        <v>3060</v>
      </c>
      <c r="D3134" t="s">
        <v>3060</v>
      </c>
      <c r="E3134" t="s">
        <v>286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3061</v>
      </c>
      <c r="B3135" t="s">
        <v>242</v>
      </c>
      <c r="C3135" t="s">
        <v>3060</v>
      </c>
      <c r="D3135" t="s">
        <v>3060</v>
      </c>
      <c r="E3135" t="s">
        <v>1238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3061</v>
      </c>
      <c r="B3136" t="s">
        <v>1264</v>
      </c>
      <c r="C3136" t="s">
        <v>3060</v>
      </c>
      <c r="D3136" t="s">
        <v>3060</v>
      </c>
      <c r="E3136" t="s">
        <v>1238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3061</v>
      </c>
      <c r="B3137" t="s">
        <v>2167</v>
      </c>
      <c r="C3137" t="s">
        <v>3060</v>
      </c>
      <c r="D3137" t="s">
        <v>3060</v>
      </c>
      <c r="E3137" t="s">
        <v>1238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3061</v>
      </c>
      <c r="B3138" t="s">
        <v>327</v>
      </c>
      <c r="C3138" t="s">
        <v>3060</v>
      </c>
      <c r="D3138" t="s">
        <v>3060</v>
      </c>
      <c r="E3138" t="s">
        <v>1238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3061</v>
      </c>
      <c r="B3139" t="s">
        <v>1266</v>
      </c>
      <c r="C3139" t="s">
        <v>3060</v>
      </c>
      <c r="D3139" t="s">
        <v>3060</v>
      </c>
      <c r="E3139" t="s">
        <v>1238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3061</v>
      </c>
      <c r="B3140" t="s">
        <v>2965</v>
      </c>
      <c r="C3140" t="s">
        <v>3060</v>
      </c>
      <c r="D3140" t="s">
        <v>3060</v>
      </c>
      <c r="E3140" t="s">
        <v>406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3061</v>
      </c>
      <c r="B3141" t="s">
        <v>3034</v>
      </c>
      <c r="C3141" t="s">
        <v>3060</v>
      </c>
      <c r="D3141" t="s">
        <v>3060</v>
      </c>
      <c r="E3141" t="s">
        <v>1238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3061</v>
      </c>
      <c r="B3142" t="s">
        <v>183</v>
      </c>
      <c r="C3142" t="s">
        <v>3060</v>
      </c>
      <c r="D3142" t="s">
        <v>3060</v>
      </c>
      <c r="E3142" t="s">
        <v>184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3062</v>
      </c>
      <c r="B3143" t="s">
        <v>3264</v>
      </c>
      <c r="C3143" t="s">
        <v>3060</v>
      </c>
      <c r="D3143" t="s">
        <v>3265</v>
      </c>
      <c r="E3143" t="s">
        <v>214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3062</v>
      </c>
      <c r="B3144" t="s">
        <v>392</v>
      </c>
      <c r="C3144" t="s">
        <v>3060</v>
      </c>
      <c r="D3144" t="s">
        <v>3265</v>
      </c>
      <c r="E3144" t="s">
        <v>214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3062</v>
      </c>
      <c r="B3145" t="s">
        <v>677</v>
      </c>
      <c r="C3145" t="s">
        <v>3060</v>
      </c>
      <c r="D3145" t="s">
        <v>3266</v>
      </c>
      <c r="E3145" t="s">
        <v>466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3062</v>
      </c>
      <c r="B3146" t="s">
        <v>3267</v>
      </c>
      <c r="C3146" t="s">
        <v>3060</v>
      </c>
      <c r="D3146" t="s">
        <v>3266</v>
      </c>
      <c r="E3146" t="s">
        <v>3268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3062</v>
      </c>
      <c r="B3147" t="s">
        <v>386</v>
      </c>
      <c r="C3147" t="s">
        <v>3060</v>
      </c>
      <c r="D3147" t="s">
        <v>3265</v>
      </c>
      <c r="E3147" t="s">
        <v>216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3062</v>
      </c>
      <c r="B3148" t="s">
        <v>3269</v>
      </c>
      <c r="C3148" t="s">
        <v>3060</v>
      </c>
      <c r="D3148" t="s">
        <v>3270</v>
      </c>
      <c r="E3148" t="s">
        <v>3271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3062</v>
      </c>
      <c r="B3149" t="s">
        <v>3272</v>
      </c>
      <c r="C3149" t="s">
        <v>3060</v>
      </c>
      <c r="D3149" t="s">
        <v>3273</v>
      </c>
      <c r="E3149" t="s">
        <v>3274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3062</v>
      </c>
      <c r="B3150" t="s">
        <v>3275</v>
      </c>
      <c r="C3150" t="s">
        <v>3060</v>
      </c>
      <c r="D3150" t="s">
        <v>3276</v>
      </c>
      <c r="E3150" t="s">
        <v>3277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3062</v>
      </c>
      <c r="B3151" t="s">
        <v>3278</v>
      </c>
      <c r="C3151" t="s">
        <v>3060</v>
      </c>
      <c r="D3151" t="s">
        <v>3279</v>
      </c>
      <c r="E3151" t="s">
        <v>2915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3062</v>
      </c>
      <c r="B3152" t="s">
        <v>3280</v>
      </c>
      <c r="C3152" t="s">
        <v>3060</v>
      </c>
      <c r="D3152" t="s">
        <v>3281</v>
      </c>
      <c r="E3152" t="s">
        <v>3282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3062</v>
      </c>
      <c r="B3153" t="s">
        <v>1344</v>
      </c>
      <c r="C3153" t="s">
        <v>3060</v>
      </c>
      <c r="D3153" t="s">
        <v>3283</v>
      </c>
      <c r="E3153" t="s">
        <v>3284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3062</v>
      </c>
      <c r="B3154" t="s">
        <v>497</v>
      </c>
      <c r="C3154" t="s">
        <v>3060</v>
      </c>
      <c r="D3154" t="s">
        <v>3060</v>
      </c>
      <c r="E3154" t="s">
        <v>209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3062</v>
      </c>
      <c r="B3155" t="s">
        <v>667</v>
      </c>
      <c r="C3155" t="s">
        <v>3060</v>
      </c>
      <c r="D3155" t="s">
        <v>3285</v>
      </c>
      <c r="E3155" t="s">
        <v>3286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3062</v>
      </c>
      <c r="B3156" t="s">
        <v>619</v>
      </c>
      <c r="C3156" t="s">
        <v>3060</v>
      </c>
      <c r="D3156" t="s">
        <v>3285</v>
      </c>
      <c r="E3156" t="s">
        <v>2315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3062</v>
      </c>
      <c r="B3157" t="s">
        <v>627</v>
      </c>
      <c r="C3157" t="s">
        <v>3060</v>
      </c>
      <c r="D3157" t="s">
        <v>3285</v>
      </c>
      <c r="E3157" t="s">
        <v>1944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3062</v>
      </c>
      <c r="B3158" t="s">
        <v>625</v>
      </c>
      <c r="C3158" t="s">
        <v>3060</v>
      </c>
      <c r="D3158" t="s">
        <v>3285</v>
      </c>
      <c r="E3158" t="s">
        <v>1929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3062</v>
      </c>
      <c r="B3159" t="s">
        <v>666</v>
      </c>
      <c r="C3159" t="s">
        <v>3060</v>
      </c>
      <c r="D3159" t="s">
        <v>3285</v>
      </c>
      <c r="E3159" t="s">
        <v>264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3062</v>
      </c>
      <c r="B3160" t="s">
        <v>629</v>
      </c>
      <c r="C3160" t="s">
        <v>3060</v>
      </c>
      <c r="D3160" t="s">
        <v>3287</v>
      </c>
      <c r="E3160" t="s">
        <v>762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3062</v>
      </c>
      <c r="B3161" t="s">
        <v>628</v>
      </c>
      <c r="C3161" t="s">
        <v>3060</v>
      </c>
      <c r="D3161" t="s">
        <v>3285</v>
      </c>
      <c r="E3161" t="s">
        <v>3288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3062</v>
      </c>
      <c r="B3162" t="s">
        <v>626</v>
      </c>
      <c r="C3162" t="s">
        <v>3060</v>
      </c>
      <c r="D3162" t="s">
        <v>3285</v>
      </c>
      <c r="E3162" t="s">
        <v>3289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3062</v>
      </c>
      <c r="B3163" t="s">
        <v>3290</v>
      </c>
      <c r="C3163" t="s">
        <v>3060</v>
      </c>
      <c r="D3163" t="s">
        <v>3291</v>
      </c>
      <c r="E3163" t="s">
        <v>3292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3062</v>
      </c>
      <c r="B3164" t="s">
        <v>677</v>
      </c>
      <c r="C3164" t="s">
        <v>3060</v>
      </c>
      <c r="D3164" t="s">
        <v>3266</v>
      </c>
      <c r="E3164" t="s">
        <v>466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3062</v>
      </c>
      <c r="B3165" t="s">
        <v>637</v>
      </c>
      <c r="C3165" t="s">
        <v>3060</v>
      </c>
      <c r="D3165" t="s">
        <v>3266</v>
      </c>
      <c r="E3165" t="s">
        <v>261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3062</v>
      </c>
      <c r="B3166" t="s">
        <v>607</v>
      </c>
      <c r="C3166" t="s">
        <v>3060</v>
      </c>
      <c r="D3166" t="s">
        <v>3266</v>
      </c>
      <c r="E3166" t="s">
        <v>2319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3062</v>
      </c>
      <c r="B3167" t="s">
        <v>609</v>
      </c>
      <c r="C3167" t="s">
        <v>3060</v>
      </c>
      <c r="D3167" t="s">
        <v>3266</v>
      </c>
      <c r="E3167" t="s">
        <v>3293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3062</v>
      </c>
      <c r="B3168" t="s">
        <v>3294</v>
      </c>
      <c r="C3168" t="s">
        <v>3060</v>
      </c>
      <c r="D3168" t="s">
        <v>3266</v>
      </c>
      <c r="E3168" t="s">
        <v>2362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3062</v>
      </c>
      <c r="B3169" t="s">
        <v>3267</v>
      </c>
      <c r="C3169" t="s">
        <v>3060</v>
      </c>
      <c r="D3169" t="s">
        <v>3266</v>
      </c>
      <c r="E3169" t="s">
        <v>3268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3062</v>
      </c>
      <c r="B3170" t="s">
        <v>3295</v>
      </c>
      <c r="C3170" t="s">
        <v>3060</v>
      </c>
      <c r="D3170" t="s">
        <v>3060</v>
      </c>
      <c r="E3170" t="s">
        <v>220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3062</v>
      </c>
      <c r="B3171" t="s">
        <v>167</v>
      </c>
      <c r="C3171" t="s">
        <v>3060</v>
      </c>
      <c r="D3171" t="s">
        <v>3060</v>
      </c>
      <c r="E3171" t="s">
        <v>3296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3062</v>
      </c>
      <c r="B3172" t="s">
        <v>595</v>
      </c>
      <c r="C3172" t="s">
        <v>3060</v>
      </c>
      <c r="D3172" t="s">
        <v>3060</v>
      </c>
      <c r="E3172" t="s">
        <v>237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3062</v>
      </c>
      <c r="B3173" t="s">
        <v>170</v>
      </c>
      <c r="C3173" t="s">
        <v>3060</v>
      </c>
      <c r="D3173" t="s">
        <v>3060</v>
      </c>
      <c r="E3173" t="s">
        <v>3297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3062</v>
      </c>
      <c r="B3174" t="s">
        <v>596</v>
      </c>
      <c r="C3174" t="s">
        <v>3060</v>
      </c>
      <c r="D3174" t="s">
        <v>3060</v>
      </c>
      <c r="E3174" t="s">
        <v>237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3062</v>
      </c>
      <c r="B3175" t="s">
        <v>229</v>
      </c>
      <c r="C3175" t="s">
        <v>3060</v>
      </c>
      <c r="D3175" t="s">
        <v>3060</v>
      </c>
      <c r="E3175" t="s">
        <v>3297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3062</v>
      </c>
      <c r="B3176" t="s">
        <v>3298</v>
      </c>
      <c r="C3176" t="s">
        <v>3060</v>
      </c>
      <c r="D3176" t="s">
        <v>3060</v>
      </c>
      <c r="E3176" t="s">
        <v>237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3062</v>
      </c>
      <c r="B3177" t="s">
        <v>234</v>
      </c>
      <c r="C3177" t="s">
        <v>3060</v>
      </c>
      <c r="D3177" t="s">
        <v>3060</v>
      </c>
      <c r="E3177" t="s">
        <v>3299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3062</v>
      </c>
      <c r="B3178" t="s">
        <v>236</v>
      </c>
      <c r="C3178" t="s">
        <v>3060</v>
      </c>
      <c r="D3178" t="s">
        <v>3060</v>
      </c>
      <c r="E3178" t="s">
        <v>3300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3062</v>
      </c>
      <c r="B3179" t="s">
        <v>178</v>
      </c>
      <c r="C3179" t="s">
        <v>3060</v>
      </c>
      <c r="D3179" t="s">
        <v>3060</v>
      </c>
      <c r="E3179" t="s">
        <v>220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3062</v>
      </c>
      <c r="B3180" t="s">
        <v>179</v>
      </c>
      <c r="C3180" t="s">
        <v>3060</v>
      </c>
      <c r="D3180" t="s">
        <v>3060</v>
      </c>
      <c r="E3180" t="s">
        <v>3301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3062</v>
      </c>
      <c r="B3181" t="s">
        <v>180</v>
      </c>
      <c r="C3181" t="s">
        <v>3060</v>
      </c>
      <c r="D3181" t="s">
        <v>3060</v>
      </c>
      <c r="E3181" t="s">
        <v>240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3062</v>
      </c>
      <c r="B3182" t="s">
        <v>181</v>
      </c>
      <c r="C3182" t="s">
        <v>3060</v>
      </c>
      <c r="D3182" t="s">
        <v>3060</v>
      </c>
      <c r="E3182" t="s">
        <v>3302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3062</v>
      </c>
      <c r="B3183" t="s">
        <v>345</v>
      </c>
      <c r="C3183" t="s">
        <v>3060</v>
      </c>
      <c r="D3183" t="s">
        <v>3060</v>
      </c>
      <c r="E3183" t="s">
        <v>3303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3062</v>
      </c>
      <c r="B3184" t="s">
        <v>346</v>
      </c>
      <c r="C3184" t="s">
        <v>3060</v>
      </c>
      <c r="D3184" t="s">
        <v>3060</v>
      </c>
      <c r="E3184" t="s">
        <v>3304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3062</v>
      </c>
      <c r="B3185" t="s">
        <v>242</v>
      </c>
      <c r="C3185" t="s">
        <v>3060</v>
      </c>
      <c r="D3185" t="s">
        <v>3060</v>
      </c>
      <c r="E3185" t="s">
        <v>3303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3062</v>
      </c>
      <c r="B3186" t="s">
        <v>327</v>
      </c>
      <c r="C3186" t="s">
        <v>3060</v>
      </c>
      <c r="D3186" t="s">
        <v>3060</v>
      </c>
      <c r="E3186" t="s">
        <v>3303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3062</v>
      </c>
      <c r="B3187" t="s">
        <v>1266</v>
      </c>
      <c r="C3187" t="s">
        <v>3060</v>
      </c>
      <c r="D3187" t="s">
        <v>3060</v>
      </c>
      <c r="E3187" t="s">
        <v>243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3062</v>
      </c>
      <c r="B3188" t="s">
        <v>3305</v>
      </c>
      <c r="C3188" t="s">
        <v>3060</v>
      </c>
      <c r="D3188" t="s">
        <v>3060</v>
      </c>
      <c r="E3188" t="s">
        <v>3301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3062</v>
      </c>
      <c r="B3189" t="s">
        <v>3306</v>
      </c>
      <c r="C3189" t="s">
        <v>3060</v>
      </c>
      <c r="D3189" t="s">
        <v>3060</v>
      </c>
      <c r="E3189" t="s">
        <v>253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3062</v>
      </c>
      <c r="B3190" t="s">
        <v>3307</v>
      </c>
      <c r="C3190" t="s">
        <v>3060</v>
      </c>
      <c r="D3190" t="s">
        <v>3060</v>
      </c>
      <c r="E3190" t="s">
        <v>3308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3062</v>
      </c>
      <c r="B3191" t="s">
        <v>3264</v>
      </c>
      <c r="C3191" t="s">
        <v>3060</v>
      </c>
      <c r="D3191" t="s">
        <v>3265</v>
      </c>
      <c r="E3191" t="s">
        <v>214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3062</v>
      </c>
      <c r="B3192" t="s">
        <v>386</v>
      </c>
      <c r="C3192" t="s">
        <v>3060</v>
      </c>
      <c r="D3192" t="s">
        <v>3265</v>
      </c>
      <c r="E3192" t="s">
        <v>216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3062</v>
      </c>
      <c r="B3193" t="s">
        <v>392</v>
      </c>
      <c r="C3193" t="s">
        <v>3060</v>
      </c>
      <c r="D3193" t="s">
        <v>3265</v>
      </c>
      <c r="E3193" t="s">
        <v>214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3062</v>
      </c>
      <c r="B3194" t="s">
        <v>382</v>
      </c>
      <c r="C3194" t="s">
        <v>3060</v>
      </c>
      <c r="D3194" t="s">
        <v>3309</v>
      </c>
      <c r="E3194" t="s">
        <v>964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3062</v>
      </c>
      <c r="B3195" t="s">
        <v>3310</v>
      </c>
      <c r="C3195" t="s">
        <v>3060</v>
      </c>
      <c r="D3195" t="s">
        <v>3311</v>
      </c>
      <c r="E3195" t="s">
        <v>3312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3062</v>
      </c>
      <c r="B3196" t="s">
        <v>183</v>
      </c>
      <c r="C3196" t="s">
        <v>3060</v>
      </c>
      <c r="D3196" t="s">
        <v>3060</v>
      </c>
      <c r="E3196" t="s">
        <v>184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3063</v>
      </c>
      <c r="B3197" t="s">
        <v>613</v>
      </c>
      <c r="C3197" t="s">
        <v>3060</v>
      </c>
      <c r="D3197" t="s">
        <v>3313</v>
      </c>
      <c r="E3197" t="s">
        <v>258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3063</v>
      </c>
      <c r="B3198" t="s">
        <v>616</v>
      </c>
      <c r="C3198" t="s">
        <v>3060</v>
      </c>
      <c r="D3198" t="s">
        <v>3314</v>
      </c>
      <c r="E3198" t="s">
        <v>401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3063</v>
      </c>
      <c r="B3199" t="s">
        <v>1529</v>
      </c>
      <c r="C3199" t="s">
        <v>3060</v>
      </c>
      <c r="D3199" t="s">
        <v>3313</v>
      </c>
      <c r="E3199" t="s">
        <v>401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3063</v>
      </c>
      <c r="B3200" t="s">
        <v>610</v>
      </c>
      <c r="C3200" t="s">
        <v>3060</v>
      </c>
      <c r="D3200" t="s">
        <v>3060</v>
      </c>
      <c r="E3200" t="s">
        <v>287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3063</v>
      </c>
      <c r="B3201" t="s">
        <v>3315</v>
      </c>
      <c r="C3201" t="s">
        <v>3060</v>
      </c>
      <c r="D3201" t="s">
        <v>3316</v>
      </c>
      <c r="E3201" t="s">
        <v>401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3063</v>
      </c>
      <c r="B3202" t="s">
        <v>610</v>
      </c>
      <c r="C3202" t="s">
        <v>3060</v>
      </c>
      <c r="D3202" t="s">
        <v>3060</v>
      </c>
      <c r="E3202" t="s">
        <v>287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3063</v>
      </c>
      <c r="B3203" t="s">
        <v>2188</v>
      </c>
      <c r="C3203" t="s">
        <v>3060</v>
      </c>
      <c r="D3203" t="s">
        <v>3060</v>
      </c>
      <c r="E3203" t="s">
        <v>253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3063</v>
      </c>
      <c r="B3204" t="s">
        <v>615</v>
      </c>
      <c r="C3204" t="s">
        <v>3060</v>
      </c>
      <c r="D3204" t="s">
        <v>3313</v>
      </c>
      <c r="E3204" t="s">
        <v>401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3063</v>
      </c>
      <c r="B3205" t="s">
        <v>3317</v>
      </c>
      <c r="C3205" t="s">
        <v>3060</v>
      </c>
      <c r="D3205" t="s">
        <v>3313</v>
      </c>
      <c r="E3205" t="s">
        <v>401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3063</v>
      </c>
      <c r="B3206" t="s">
        <v>613</v>
      </c>
      <c r="C3206" t="s">
        <v>3060</v>
      </c>
      <c r="D3206" t="s">
        <v>3313</v>
      </c>
      <c r="E3206" t="s">
        <v>258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3063</v>
      </c>
      <c r="B3207" t="s">
        <v>3315</v>
      </c>
      <c r="C3207" t="s">
        <v>3060</v>
      </c>
      <c r="D3207" t="s">
        <v>3316</v>
      </c>
      <c r="E3207" t="s">
        <v>401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3063</v>
      </c>
      <c r="B3208" t="s">
        <v>614</v>
      </c>
      <c r="C3208" t="s">
        <v>3060</v>
      </c>
      <c r="D3208" t="s">
        <v>3313</v>
      </c>
      <c r="E3208" t="s">
        <v>582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3063</v>
      </c>
      <c r="B3209" t="s">
        <v>616</v>
      </c>
      <c r="C3209" t="s">
        <v>3060</v>
      </c>
      <c r="D3209" t="s">
        <v>3314</v>
      </c>
      <c r="E3209" t="s">
        <v>401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3063</v>
      </c>
      <c r="B3210" t="s">
        <v>3318</v>
      </c>
      <c r="C3210" t="s">
        <v>3060</v>
      </c>
      <c r="D3210" t="s">
        <v>3313</v>
      </c>
      <c r="E3210" t="s">
        <v>466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3063</v>
      </c>
      <c r="B3211" t="s">
        <v>2194</v>
      </c>
      <c r="C3211" t="s">
        <v>3060</v>
      </c>
      <c r="D3211" t="s">
        <v>3313</v>
      </c>
      <c r="E3211" t="s">
        <v>258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3063</v>
      </c>
      <c r="B3212" t="s">
        <v>3319</v>
      </c>
      <c r="C3212" t="s">
        <v>3060</v>
      </c>
      <c r="D3212" t="s">
        <v>3313</v>
      </c>
      <c r="E3212" t="s">
        <v>1832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3063</v>
      </c>
      <c r="B3213" t="s">
        <v>1529</v>
      </c>
      <c r="C3213" t="s">
        <v>3060</v>
      </c>
      <c r="D3213" t="s">
        <v>3313</v>
      </c>
      <c r="E3213" t="s">
        <v>401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3063</v>
      </c>
      <c r="B3214" t="s">
        <v>3320</v>
      </c>
      <c r="C3214" t="s">
        <v>3060</v>
      </c>
      <c r="D3214" t="s">
        <v>3313</v>
      </c>
      <c r="E3214" t="s">
        <v>1841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3063</v>
      </c>
      <c r="B3215" t="s">
        <v>3321</v>
      </c>
      <c r="C3215" t="s">
        <v>3060</v>
      </c>
      <c r="D3215" t="s">
        <v>3313</v>
      </c>
      <c r="E3215" t="s">
        <v>1841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3063</v>
      </c>
      <c r="B3216" t="s">
        <v>3322</v>
      </c>
      <c r="C3216" t="s">
        <v>3060</v>
      </c>
      <c r="D3216" t="s">
        <v>3323</v>
      </c>
      <c r="E3216" t="s">
        <v>582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3063</v>
      </c>
      <c r="B3217" t="s">
        <v>3324</v>
      </c>
      <c r="C3217" t="s">
        <v>3060</v>
      </c>
      <c r="D3217" t="s">
        <v>3313</v>
      </c>
      <c r="E3217" t="s">
        <v>212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3063</v>
      </c>
      <c r="B3218" t="s">
        <v>3325</v>
      </c>
      <c r="C3218" t="s">
        <v>3060</v>
      </c>
      <c r="D3218" t="s">
        <v>3313</v>
      </c>
      <c r="E3218" t="s">
        <v>212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3063</v>
      </c>
      <c r="B3219" t="s">
        <v>2223</v>
      </c>
      <c r="C3219" t="s">
        <v>3060</v>
      </c>
      <c r="D3219" t="s">
        <v>3060</v>
      </c>
      <c r="E3219" t="s">
        <v>582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3063</v>
      </c>
      <c r="B3220" t="s">
        <v>229</v>
      </c>
      <c r="C3220" t="s">
        <v>3060</v>
      </c>
      <c r="D3220" t="s">
        <v>3060</v>
      </c>
      <c r="E3220" t="s">
        <v>207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3063</v>
      </c>
      <c r="B3221" t="s">
        <v>233</v>
      </c>
      <c r="C3221" t="s">
        <v>3060</v>
      </c>
      <c r="D3221" t="s">
        <v>3060</v>
      </c>
      <c r="E3221" t="s">
        <v>207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3063</v>
      </c>
      <c r="B3222" t="s">
        <v>706</v>
      </c>
      <c r="C3222" t="s">
        <v>3060</v>
      </c>
      <c r="D3222" t="s">
        <v>3326</v>
      </c>
      <c r="E3222" t="s">
        <v>279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3063</v>
      </c>
      <c r="B3223" t="s">
        <v>707</v>
      </c>
      <c r="C3223" t="s">
        <v>3060</v>
      </c>
      <c r="D3223" t="s">
        <v>3326</v>
      </c>
      <c r="E3223" t="s">
        <v>279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3063</v>
      </c>
      <c r="B3224" t="s">
        <v>234</v>
      </c>
      <c r="C3224" t="s">
        <v>3060</v>
      </c>
      <c r="D3224" t="s">
        <v>3060</v>
      </c>
      <c r="E3224" t="s">
        <v>279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3063</v>
      </c>
      <c r="B3225" t="s">
        <v>238</v>
      </c>
      <c r="C3225" t="s">
        <v>3060</v>
      </c>
      <c r="D3225" t="s">
        <v>3060</v>
      </c>
      <c r="E3225" t="s">
        <v>279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3063</v>
      </c>
      <c r="B3226" t="s">
        <v>180</v>
      </c>
      <c r="C3226" t="s">
        <v>3060</v>
      </c>
      <c r="D3226" t="s">
        <v>3060</v>
      </c>
      <c r="E3226" t="s">
        <v>279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3063</v>
      </c>
      <c r="B3227" t="s">
        <v>181</v>
      </c>
      <c r="C3227" t="s">
        <v>3060</v>
      </c>
      <c r="D3227" t="s">
        <v>3060</v>
      </c>
      <c r="E3227" t="s">
        <v>286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3063</v>
      </c>
      <c r="B3228" t="s">
        <v>183</v>
      </c>
      <c r="C3228" t="s">
        <v>3060</v>
      </c>
      <c r="D3228" t="s">
        <v>3060</v>
      </c>
      <c r="E3228" t="s">
        <v>184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3064</v>
      </c>
      <c r="B3229" t="s">
        <v>908</v>
      </c>
      <c r="C3229" t="s">
        <v>3060</v>
      </c>
      <c r="D3229" t="s">
        <v>3327</v>
      </c>
      <c r="E3229" t="s">
        <v>3328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3064</v>
      </c>
      <c r="B3230" t="s">
        <v>3329</v>
      </c>
      <c r="C3230" t="s">
        <v>3060</v>
      </c>
      <c r="D3230" t="s">
        <v>3330</v>
      </c>
      <c r="E3230" t="s">
        <v>3331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3064</v>
      </c>
      <c r="B3231" t="s">
        <v>607</v>
      </c>
      <c r="C3231" t="s">
        <v>3060</v>
      </c>
      <c r="D3231" t="s">
        <v>3332</v>
      </c>
      <c r="E3231" t="s">
        <v>202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3064</v>
      </c>
      <c r="B3232" t="s">
        <v>3333</v>
      </c>
      <c r="C3232" t="s">
        <v>3060</v>
      </c>
      <c r="D3232" t="s">
        <v>3334</v>
      </c>
      <c r="E3232" t="s">
        <v>2382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3064</v>
      </c>
      <c r="B3233" t="s">
        <v>676</v>
      </c>
      <c r="C3233" t="s">
        <v>3060</v>
      </c>
      <c r="D3233" t="s">
        <v>3335</v>
      </c>
      <c r="E3233" t="s">
        <v>3293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3064</v>
      </c>
      <c r="B3234" t="s">
        <v>3333</v>
      </c>
      <c r="C3234" t="s">
        <v>3060</v>
      </c>
      <c r="D3234" t="s">
        <v>3334</v>
      </c>
      <c r="E3234" t="s">
        <v>2382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3064</v>
      </c>
      <c r="B3235" t="s">
        <v>3336</v>
      </c>
      <c r="C3235" t="s">
        <v>3060</v>
      </c>
      <c r="D3235" t="s">
        <v>3337</v>
      </c>
      <c r="E3235" t="s">
        <v>2367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3064</v>
      </c>
      <c r="B3236" t="s">
        <v>3338</v>
      </c>
      <c r="C3236" t="s">
        <v>3060</v>
      </c>
      <c r="D3236" t="s">
        <v>3339</v>
      </c>
      <c r="E3236" t="s">
        <v>1427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3064</v>
      </c>
      <c r="B3237" t="s">
        <v>674</v>
      </c>
      <c r="C3237" t="s">
        <v>3060</v>
      </c>
      <c r="D3237" t="s">
        <v>3339</v>
      </c>
      <c r="E3237" t="s">
        <v>1427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3064</v>
      </c>
      <c r="B3238" t="s">
        <v>676</v>
      </c>
      <c r="C3238" t="s">
        <v>3060</v>
      </c>
      <c r="D3238" t="s">
        <v>3335</v>
      </c>
      <c r="E3238" t="s">
        <v>3293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3064</v>
      </c>
      <c r="B3239" t="s">
        <v>3329</v>
      </c>
      <c r="C3239" t="s">
        <v>3060</v>
      </c>
      <c r="D3239" t="s">
        <v>3330</v>
      </c>
      <c r="E3239" t="s">
        <v>3331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3064</v>
      </c>
      <c r="B3240" t="s">
        <v>908</v>
      </c>
      <c r="C3240" t="s">
        <v>3060</v>
      </c>
      <c r="D3240" t="s">
        <v>3327</v>
      </c>
      <c r="E3240" t="s">
        <v>3328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3064</v>
      </c>
      <c r="B3241" t="s">
        <v>619</v>
      </c>
      <c r="C3241" t="s">
        <v>3060</v>
      </c>
      <c r="D3241" t="s">
        <v>3340</v>
      </c>
      <c r="E3241" t="s">
        <v>2319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3064</v>
      </c>
      <c r="B3242" t="s">
        <v>626</v>
      </c>
      <c r="C3242" t="s">
        <v>3060</v>
      </c>
      <c r="D3242" t="s">
        <v>3340</v>
      </c>
      <c r="E3242" t="s">
        <v>1832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3064</v>
      </c>
      <c r="B3243" t="s">
        <v>607</v>
      </c>
      <c r="C3243" t="s">
        <v>3060</v>
      </c>
      <c r="D3243" t="s">
        <v>3332</v>
      </c>
      <c r="E3243" t="s">
        <v>202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3064</v>
      </c>
      <c r="B3244" t="s">
        <v>609</v>
      </c>
      <c r="C3244" t="s">
        <v>3060</v>
      </c>
      <c r="D3244" t="s">
        <v>3332</v>
      </c>
      <c r="E3244" t="s">
        <v>3331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3064</v>
      </c>
      <c r="B3245" t="s">
        <v>894</v>
      </c>
      <c r="C3245" t="s">
        <v>3060</v>
      </c>
      <c r="D3245" t="s">
        <v>3060</v>
      </c>
      <c r="E3245" t="s">
        <v>194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3064</v>
      </c>
      <c r="B3246" t="s">
        <v>230</v>
      </c>
      <c r="C3246" t="s">
        <v>3060</v>
      </c>
      <c r="D3246" t="s">
        <v>3060</v>
      </c>
      <c r="E3246" t="s">
        <v>194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3064</v>
      </c>
      <c r="B3247" t="s">
        <v>706</v>
      </c>
      <c r="C3247" t="s">
        <v>3060</v>
      </c>
      <c r="D3247" t="s">
        <v>3326</v>
      </c>
      <c r="E3247" t="s">
        <v>237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3064</v>
      </c>
      <c r="B3248" t="s">
        <v>707</v>
      </c>
      <c r="C3248" t="s">
        <v>3060</v>
      </c>
      <c r="D3248" t="s">
        <v>3326</v>
      </c>
      <c r="E3248" t="s">
        <v>237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3064</v>
      </c>
      <c r="B3249" t="s">
        <v>234</v>
      </c>
      <c r="C3249" t="s">
        <v>3060</v>
      </c>
      <c r="D3249" t="s">
        <v>3060</v>
      </c>
      <c r="E3249" t="s">
        <v>2374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3064</v>
      </c>
      <c r="B3250" t="s">
        <v>325</v>
      </c>
      <c r="C3250" t="s">
        <v>3060</v>
      </c>
      <c r="D3250" t="s">
        <v>3060</v>
      </c>
      <c r="E3250" t="s">
        <v>2374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3064</v>
      </c>
      <c r="B3251" t="s">
        <v>178</v>
      </c>
      <c r="C3251" t="s">
        <v>3060</v>
      </c>
      <c r="D3251" t="s">
        <v>3060</v>
      </c>
      <c r="E3251" t="s">
        <v>235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3064</v>
      </c>
      <c r="B3252" t="s">
        <v>238</v>
      </c>
      <c r="C3252" t="s">
        <v>3060</v>
      </c>
      <c r="D3252" t="s">
        <v>3060</v>
      </c>
      <c r="E3252" t="s">
        <v>220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3064</v>
      </c>
      <c r="B3253" t="s">
        <v>181</v>
      </c>
      <c r="C3253" t="s">
        <v>3060</v>
      </c>
      <c r="D3253" t="s">
        <v>3060</v>
      </c>
      <c r="E3253" t="s">
        <v>241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3064</v>
      </c>
      <c r="B3254" t="s">
        <v>327</v>
      </c>
      <c r="C3254" t="s">
        <v>3060</v>
      </c>
      <c r="D3254" t="s">
        <v>3060</v>
      </c>
      <c r="E3254" t="s">
        <v>3341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3064</v>
      </c>
      <c r="B3255" t="s">
        <v>2467</v>
      </c>
      <c r="C3255" t="s">
        <v>3060</v>
      </c>
      <c r="D3255" t="s">
        <v>3342</v>
      </c>
      <c r="E3255" t="s">
        <v>214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3064</v>
      </c>
      <c r="B3256" t="s">
        <v>2462</v>
      </c>
      <c r="C3256" t="s">
        <v>3060</v>
      </c>
      <c r="D3256" t="s">
        <v>3342</v>
      </c>
      <c r="E3256" t="s">
        <v>3343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3064</v>
      </c>
      <c r="B3257" t="s">
        <v>2424</v>
      </c>
      <c r="C3257" t="s">
        <v>3060</v>
      </c>
      <c r="D3257" t="s">
        <v>3342</v>
      </c>
      <c r="E3257" t="s">
        <v>204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3064</v>
      </c>
      <c r="B3258" t="s">
        <v>3344</v>
      </c>
      <c r="C3258" t="s">
        <v>3060</v>
      </c>
      <c r="D3258" t="s">
        <v>3345</v>
      </c>
      <c r="E3258" t="s">
        <v>3288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3064</v>
      </c>
      <c r="B3259" t="s">
        <v>183</v>
      </c>
      <c r="C3259" t="s">
        <v>3060</v>
      </c>
      <c r="D3259" t="s">
        <v>3060</v>
      </c>
      <c r="E3259" t="s">
        <v>184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3065</v>
      </c>
      <c r="B3260" t="s">
        <v>495</v>
      </c>
      <c r="C3260" t="s">
        <v>3060</v>
      </c>
      <c r="D3260" t="s">
        <v>3346</v>
      </c>
      <c r="E3260" t="s">
        <v>253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3065</v>
      </c>
      <c r="B3261" t="s">
        <v>2412</v>
      </c>
      <c r="C3261" t="s">
        <v>3060</v>
      </c>
      <c r="D3261" t="s">
        <v>3347</v>
      </c>
      <c r="E3261" t="s">
        <v>287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3065</v>
      </c>
      <c r="B3262" t="s">
        <v>3348</v>
      </c>
      <c r="C3262" t="s">
        <v>3060</v>
      </c>
      <c r="D3262" t="s">
        <v>3349</v>
      </c>
      <c r="E3262" t="s">
        <v>287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3065</v>
      </c>
      <c r="B3263" t="s">
        <v>3350</v>
      </c>
      <c r="C3263" t="s">
        <v>3060</v>
      </c>
      <c r="D3263" t="s">
        <v>3351</v>
      </c>
      <c r="E3263" t="s">
        <v>159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3065</v>
      </c>
      <c r="B3264" t="s">
        <v>2796</v>
      </c>
      <c r="C3264" t="s">
        <v>3060</v>
      </c>
      <c r="D3264" t="s">
        <v>3352</v>
      </c>
      <c r="E3264" t="s">
        <v>159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3065</v>
      </c>
      <c r="B3265" t="s">
        <v>3353</v>
      </c>
      <c r="C3265" t="s">
        <v>3060</v>
      </c>
      <c r="D3265" t="s">
        <v>3354</v>
      </c>
      <c r="E3265" t="s">
        <v>401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3065</v>
      </c>
      <c r="B3266" t="s">
        <v>3355</v>
      </c>
      <c r="C3266" t="s">
        <v>3060</v>
      </c>
      <c r="D3266" t="s">
        <v>3356</v>
      </c>
      <c r="E3266" t="s">
        <v>256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3065</v>
      </c>
      <c r="B3267" t="s">
        <v>3357</v>
      </c>
      <c r="C3267" t="s">
        <v>3060</v>
      </c>
      <c r="D3267" t="s">
        <v>3358</v>
      </c>
      <c r="E3267" t="s">
        <v>437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3065</v>
      </c>
      <c r="B3268" t="s">
        <v>3359</v>
      </c>
      <c r="C3268" t="s">
        <v>3060</v>
      </c>
      <c r="D3268" t="s">
        <v>3360</v>
      </c>
      <c r="E3268" t="s">
        <v>258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3065</v>
      </c>
      <c r="B3269" t="s">
        <v>335</v>
      </c>
      <c r="C3269" t="s">
        <v>3060</v>
      </c>
      <c r="D3269" t="s">
        <v>3361</v>
      </c>
      <c r="E3269" t="s">
        <v>978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3065</v>
      </c>
      <c r="B3270" t="s">
        <v>495</v>
      </c>
      <c r="C3270" t="s">
        <v>3060</v>
      </c>
      <c r="D3270" t="s">
        <v>3346</v>
      </c>
      <c r="E3270" t="s">
        <v>253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3065</v>
      </c>
      <c r="B3271" t="s">
        <v>497</v>
      </c>
      <c r="C3271" t="s">
        <v>3060</v>
      </c>
      <c r="D3271" t="s">
        <v>3060</v>
      </c>
      <c r="E3271" t="s">
        <v>197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3065</v>
      </c>
      <c r="B3272" t="s">
        <v>499</v>
      </c>
      <c r="C3272" t="s">
        <v>3060</v>
      </c>
      <c r="D3272" t="s">
        <v>3060</v>
      </c>
      <c r="E3272" t="s">
        <v>269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3065</v>
      </c>
      <c r="B3273" t="s">
        <v>3362</v>
      </c>
      <c r="C3273" t="s">
        <v>3060</v>
      </c>
      <c r="D3273" t="s">
        <v>3363</v>
      </c>
      <c r="E3273" t="s">
        <v>636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3065</v>
      </c>
      <c r="B3274" t="s">
        <v>3364</v>
      </c>
      <c r="C3274" t="s">
        <v>3060</v>
      </c>
      <c r="D3274" t="s">
        <v>3365</v>
      </c>
      <c r="E3274" t="s">
        <v>269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3065</v>
      </c>
      <c r="B3275" t="s">
        <v>3366</v>
      </c>
      <c r="C3275" t="s">
        <v>3060</v>
      </c>
      <c r="D3275" t="s">
        <v>3367</v>
      </c>
      <c r="E3275" t="s">
        <v>269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3065</v>
      </c>
      <c r="B3276" t="s">
        <v>2062</v>
      </c>
      <c r="C3276" t="s">
        <v>3060</v>
      </c>
      <c r="D3276" t="s">
        <v>3060</v>
      </c>
      <c r="E3276" t="s">
        <v>197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3065</v>
      </c>
      <c r="B3277" t="s">
        <v>2063</v>
      </c>
      <c r="C3277" t="s">
        <v>3060</v>
      </c>
      <c r="D3277" t="s">
        <v>3060</v>
      </c>
      <c r="E3277" t="s">
        <v>287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3065</v>
      </c>
      <c r="B3278" t="s">
        <v>3348</v>
      </c>
      <c r="C3278" t="s">
        <v>3060</v>
      </c>
      <c r="D3278" t="s">
        <v>3349</v>
      </c>
      <c r="E3278" t="s">
        <v>287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3065</v>
      </c>
      <c r="B3279" t="s">
        <v>494</v>
      </c>
      <c r="C3279" t="s">
        <v>3060</v>
      </c>
      <c r="D3279" t="s">
        <v>3060</v>
      </c>
      <c r="E3279" t="s">
        <v>197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3065</v>
      </c>
      <c r="B3280" t="s">
        <v>492</v>
      </c>
      <c r="C3280" t="s">
        <v>3060</v>
      </c>
      <c r="D3280" t="s">
        <v>3060</v>
      </c>
      <c r="E3280" t="s">
        <v>656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3065</v>
      </c>
      <c r="B3281" t="s">
        <v>487</v>
      </c>
      <c r="C3281" t="s">
        <v>3060</v>
      </c>
      <c r="D3281" t="s">
        <v>3060</v>
      </c>
      <c r="E3281" t="s">
        <v>287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3065</v>
      </c>
      <c r="B3282" t="s">
        <v>2611</v>
      </c>
      <c r="C3282" t="s">
        <v>3060</v>
      </c>
      <c r="D3282" t="s">
        <v>3368</v>
      </c>
      <c r="E3282" t="s">
        <v>401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3065</v>
      </c>
      <c r="B3283" t="s">
        <v>142</v>
      </c>
      <c r="C3283" t="s">
        <v>3060</v>
      </c>
      <c r="D3283" t="s">
        <v>3369</v>
      </c>
      <c r="E3283" t="s">
        <v>656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3065</v>
      </c>
      <c r="B3284" t="s">
        <v>2794</v>
      </c>
      <c r="C3284" t="s">
        <v>3060</v>
      </c>
      <c r="D3284" t="s">
        <v>3370</v>
      </c>
      <c r="E3284" t="s">
        <v>253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3065</v>
      </c>
      <c r="B3285" t="s">
        <v>3371</v>
      </c>
      <c r="C3285" t="s">
        <v>3060</v>
      </c>
      <c r="D3285" t="s">
        <v>3372</v>
      </c>
      <c r="E3285" t="s">
        <v>269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3065</v>
      </c>
      <c r="B3286" t="s">
        <v>3373</v>
      </c>
      <c r="C3286" t="s">
        <v>3060</v>
      </c>
      <c r="D3286" t="s">
        <v>3374</v>
      </c>
      <c r="E3286" t="s">
        <v>554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3065</v>
      </c>
      <c r="B3287" t="s">
        <v>2412</v>
      </c>
      <c r="C3287" t="s">
        <v>3060</v>
      </c>
      <c r="D3287" t="s">
        <v>3347</v>
      </c>
      <c r="E3287" t="s">
        <v>287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3065</v>
      </c>
      <c r="B3288" t="s">
        <v>3375</v>
      </c>
      <c r="C3288" t="s">
        <v>3060</v>
      </c>
      <c r="D3288" t="s">
        <v>3376</v>
      </c>
      <c r="E3288" t="s">
        <v>1252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3065</v>
      </c>
      <c r="B3289" t="s">
        <v>298</v>
      </c>
      <c r="C3289" t="s">
        <v>3060</v>
      </c>
      <c r="D3289" t="s">
        <v>3377</v>
      </c>
      <c r="E3289" t="s">
        <v>1077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3065</v>
      </c>
      <c r="B3290" t="s">
        <v>3378</v>
      </c>
      <c r="C3290" t="s">
        <v>3060</v>
      </c>
      <c r="D3290" t="s">
        <v>3379</v>
      </c>
      <c r="E3290" t="s">
        <v>1216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3065</v>
      </c>
      <c r="B3291" t="s">
        <v>2796</v>
      </c>
      <c r="C3291" t="s">
        <v>3060</v>
      </c>
      <c r="D3291" t="s">
        <v>3352</v>
      </c>
      <c r="E3291" t="s">
        <v>159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3065</v>
      </c>
      <c r="B3292" t="s">
        <v>3380</v>
      </c>
      <c r="C3292" t="s">
        <v>3060</v>
      </c>
      <c r="D3292" t="s">
        <v>3381</v>
      </c>
      <c r="E3292" t="s">
        <v>159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3065</v>
      </c>
      <c r="B3293" t="s">
        <v>3382</v>
      </c>
      <c r="C3293" t="s">
        <v>3060</v>
      </c>
      <c r="D3293" t="s">
        <v>3383</v>
      </c>
      <c r="E3293" t="s">
        <v>159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3065</v>
      </c>
      <c r="B3294" t="s">
        <v>3384</v>
      </c>
      <c r="C3294" t="s">
        <v>3060</v>
      </c>
      <c r="D3294" t="s">
        <v>3351</v>
      </c>
      <c r="E3294" t="s">
        <v>159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3065</v>
      </c>
      <c r="B3295" t="s">
        <v>3350</v>
      </c>
      <c r="C3295" t="s">
        <v>3060</v>
      </c>
      <c r="D3295" t="s">
        <v>3351</v>
      </c>
      <c r="E3295" t="s">
        <v>159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3065</v>
      </c>
      <c r="B3296" t="s">
        <v>1409</v>
      </c>
      <c r="C3296" t="s">
        <v>3060</v>
      </c>
      <c r="D3296" t="s">
        <v>3351</v>
      </c>
      <c r="E3296" t="s">
        <v>2035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3065</v>
      </c>
      <c r="B3297" t="s">
        <v>3385</v>
      </c>
      <c r="C3297" t="s">
        <v>3060</v>
      </c>
      <c r="D3297" t="s">
        <v>3386</v>
      </c>
      <c r="E3297" t="s">
        <v>401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3065</v>
      </c>
      <c r="B3298" t="s">
        <v>3387</v>
      </c>
      <c r="C3298" t="s">
        <v>3060</v>
      </c>
      <c r="D3298" t="s">
        <v>3388</v>
      </c>
      <c r="E3298" t="s">
        <v>437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3065</v>
      </c>
      <c r="B3299" t="s">
        <v>229</v>
      </c>
      <c r="C3299" t="s">
        <v>3060</v>
      </c>
      <c r="D3299" t="s">
        <v>3060</v>
      </c>
      <c r="E3299" t="s">
        <v>252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3065</v>
      </c>
      <c r="B3300" t="s">
        <v>230</v>
      </c>
      <c r="C3300" t="s">
        <v>3060</v>
      </c>
      <c r="D3300" t="s">
        <v>3060</v>
      </c>
      <c r="E3300" t="s">
        <v>252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3065</v>
      </c>
      <c r="B3301" t="s">
        <v>231</v>
      </c>
      <c r="C3301" t="s">
        <v>3060</v>
      </c>
      <c r="D3301" t="s">
        <v>3060</v>
      </c>
      <c r="E3301" t="s">
        <v>207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3065</v>
      </c>
      <c r="B3302" t="s">
        <v>233</v>
      </c>
      <c r="C3302" t="s">
        <v>3060</v>
      </c>
      <c r="D3302" t="s">
        <v>3060</v>
      </c>
      <c r="E3302" t="s">
        <v>252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3065</v>
      </c>
      <c r="B3303" t="s">
        <v>232</v>
      </c>
      <c r="C3303" t="s">
        <v>3060</v>
      </c>
      <c r="D3303" t="s">
        <v>3060</v>
      </c>
      <c r="E3303" t="s">
        <v>252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3065</v>
      </c>
      <c r="B3304" t="s">
        <v>3389</v>
      </c>
      <c r="C3304" t="s">
        <v>3060</v>
      </c>
      <c r="D3304" t="s">
        <v>3060</v>
      </c>
      <c r="E3304" t="s">
        <v>241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3065</v>
      </c>
      <c r="B3305" t="s">
        <v>597</v>
      </c>
      <c r="C3305" t="s">
        <v>3060</v>
      </c>
      <c r="D3305" t="s">
        <v>3326</v>
      </c>
      <c r="E3305" t="s">
        <v>279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3065</v>
      </c>
      <c r="B3306" t="s">
        <v>173</v>
      </c>
      <c r="C3306" t="s">
        <v>3060</v>
      </c>
      <c r="D3306" t="s">
        <v>3060</v>
      </c>
      <c r="E3306" t="s">
        <v>281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3065</v>
      </c>
      <c r="B3307" t="s">
        <v>179</v>
      </c>
      <c r="C3307" t="s">
        <v>3060</v>
      </c>
      <c r="D3307" t="s">
        <v>3060</v>
      </c>
      <c r="E3307" t="s">
        <v>281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3065</v>
      </c>
      <c r="B3308" t="s">
        <v>242</v>
      </c>
      <c r="C3308" t="s">
        <v>3060</v>
      </c>
      <c r="D3308" t="s">
        <v>3060</v>
      </c>
      <c r="E3308" t="s">
        <v>197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3065</v>
      </c>
      <c r="B3309" t="s">
        <v>327</v>
      </c>
      <c r="C3309" t="s">
        <v>3060</v>
      </c>
      <c r="D3309" t="s">
        <v>3060</v>
      </c>
      <c r="E3309" t="s">
        <v>268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3065</v>
      </c>
      <c r="B3310" t="s">
        <v>1266</v>
      </c>
      <c r="C3310" t="s">
        <v>3060</v>
      </c>
      <c r="D3310" t="s">
        <v>3060</v>
      </c>
      <c r="E3310" t="s">
        <v>268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3065</v>
      </c>
      <c r="B3311" t="s">
        <v>245</v>
      </c>
      <c r="C3311" t="s">
        <v>3060</v>
      </c>
      <c r="D3311" t="s">
        <v>3060</v>
      </c>
      <c r="E3311" t="s">
        <v>268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3065</v>
      </c>
      <c r="B3312" t="s">
        <v>3390</v>
      </c>
      <c r="C3312" t="s">
        <v>3060</v>
      </c>
      <c r="D3312" t="s">
        <v>3060</v>
      </c>
      <c r="E3312" t="s">
        <v>287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3065</v>
      </c>
      <c r="B3313" t="s">
        <v>3391</v>
      </c>
      <c r="C3313" t="s">
        <v>3060</v>
      </c>
      <c r="D3313" t="s">
        <v>3060</v>
      </c>
      <c r="E3313" t="s">
        <v>287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3065</v>
      </c>
      <c r="B3314" t="s">
        <v>183</v>
      </c>
      <c r="C3314" t="s">
        <v>3060</v>
      </c>
      <c r="D3314" t="s">
        <v>3060</v>
      </c>
      <c r="E3314" t="s">
        <v>184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3066</v>
      </c>
      <c r="B3315" t="s">
        <v>605</v>
      </c>
      <c r="C3315" t="s">
        <v>3060</v>
      </c>
      <c r="D3315" t="s">
        <v>3060</v>
      </c>
      <c r="E3315" t="s">
        <v>268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3066</v>
      </c>
      <c r="B3316" t="s">
        <v>3392</v>
      </c>
      <c r="C3316" t="s">
        <v>3060</v>
      </c>
      <c r="D3316" t="s">
        <v>3393</v>
      </c>
      <c r="E3316" t="s">
        <v>505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3066</v>
      </c>
      <c r="B3317" t="s">
        <v>610</v>
      </c>
      <c r="C3317" t="s">
        <v>3060</v>
      </c>
      <c r="D3317" t="s">
        <v>3394</v>
      </c>
      <c r="E3317" t="s">
        <v>287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3066</v>
      </c>
      <c r="B3318" t="s">
        <v>688</v>
      </c>
      <c r="C3318" t="s">
        <v>3060</v>
      </c>
      <c r="D3318" t="s">
        <v>3060</v>
      </c>
      <c r="E3318" t="s">
        <v>636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3066</v>
      </c>
      <c r="B3319" t="s">
        <v>609</v>
      </c>
      <c r="C3319" t="s">
        <v>3060</v>
      </c>
      <c r="D3319" t="s">
        <v>3395</v>
      </c>
      <c r="E3319" t="s">
        <v>406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3066</v>
      </c>
      <c r="B3320" t="s">
        <v>3396</v>
      </c>
      <c r="C3320" t="s">
        <v>3060</v>
      </c>
      <c r="D3320" t="s">
        <v>3397</v>
      </c>
      <c r="E3320" t="s">
        <v>466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3066</v>
      </c>
      <c r="B3321" t="s">
        <v>3398</v>
      </c>
      <c r="C3321" t="s">
        <v>3060</v>
      </c>
      <c r="D3321" t="s">
        <v>3399</v>
      </c>
      <c r="E3321" t="s">
        <v>269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3066</v>
      </c>
      <c r="B3322" t="s">
        <v>3400</v>
      </c>
      <c r="C3322" t="s">
        <v>3060</v>
      </c>
      <c r="D3322" t="s">
        <v>3401</v>
      </c>
      <c r="E3322" t="s">
        <v>636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3066</v>
      </c>
      <c r="B3323" t="s">
        <v>3402</v>
      </c>
      <c r="C3323" t="s">
        <v>3060</v>
      </c>
      <c r="D3323" t="s">
        <v>3403</v>
      </c>
      <c r="E3323" t="s">
        <v>636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3066</v>
      </c>
      <c r="B3324" t="s">
        <v>610</v>
      </c>
      <c r="C3324" t="s">
        <v>3060</v>
      </c>
      <c r="D3324" t="s">
        <v>3394</v>
      </c>
      <c r="E3324" t="s">
        <v>287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3066</v>
      </c>
      <c r="B3325" t="s">
        <v>2186</v>
      </c>
      <c r="C3325" t="s">
        <v>3060</v>
      </c>
      <c r="D3325" t="s">
        <v>3060</v>
      </c>
      <c r="E3325" t="s">
        <v>1832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3066</v>
      </c>
      <c r="B3326" t="s">
        <v>619</v>
      </c>
      <c r="C3326" t="s">
        <v>3060</v>
      </c>
      <c r="D3326" t="s">
        <v>3404</v>
      </c>
      <c r="E3326" t="s">
        <v>505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3066</v>
      </c>
      <c r="B3327" t="s">
        <v>2789</v>
      </c>
      <c r="C3327" t="s">
        <v>3060</v>
      </c>
      <c r="D3327" t="s">
        <v>3404</v>
      </c>
      <c r="E3327" t="s">
        <v>3198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3066</v>
      </c>
      <c r="B3328" t="s">
        <v>620</v>
      </c>
      <c r="C3328" t="s">
        <v>3060</v>
      </c>
      <c r="D3328" t="s">
        <v>3405</v>
      </c>
      <c r="E3328" t="s">
        <v>3198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3066</v>
      </c>
      <c r="B3329" t="s">
        <v>1524</v>
      </c>
      <c r="C3329" t="s">
        <v>3060</v>
      </c>
      <c r="D3329" t="s">
        <v>3406</v>
      </c>
      <c r="E3329" t="s">
        <v>812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3066</v>
      </c>
      <c r="B3330" t="s">
        <v>625</v>
      </c>
      <c r="C3330" t="s">
        <v>3060</v>
      </c>
      <c r="D3330" t="s">
        <v>3404</v>
      </c>
      <c r="E3330" t="s">
        <v>456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3066</v>
      </c>
      <c r="B3331" t="s">
        <v>667</v>
      </c>
      <c r="C3331" t="s">
        <v>3060</v>
      </c>
      <c r="D3331" t="s">
        <v>3404</v>
      </c>
      <c r="E3331" t="s">
        <v>212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3066</v>
      </c>
      <c r="B3332" t="s">
        <v>1525</v>
      </c>
      <c r="C3332" t="s">
        <v>3060</v>
      </c>
      <c r="D3332" t="s">
        <v>3404</v>
      </c>
      <c r="E3332" t="s">
        <v>456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3066</v>
      </c>
      <c r="B3333" t="s">
        <v>626</v>
      </c>
      <c r="C3333" t="s">
        <v>3060</v>
      </c>
      <c r="D3333" t="s">
        <v>3404</v>
      </c>
      <c r="E3333" t="s">
        <v>469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3066</v>
      </c>
      <c r="B3334" t="s">
        <v>627</v>
      </c>
      <c r="C3334" t="s">
        <v>3060</v>
      </c>
      <c r="D3334" t="s">
        <v>3404</v>
      </c>
      <c r="E3334" t="s">
        <v>1841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3066</v>
      </c>
      <c r="B3335" t="s">
        <v>629</v>
      </c>
      <c r="C3335" t="s">
        <v>3060</v>
      </c>
      <c r="D3335" t="s">
        <v>3407</v>
      </c>
      <c r="E3335" t="s">
        <v>3408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3066</v>
      </c>
      <c r="B3336" t="s">
        <v>605</v>
      </c>
      <c r="C3336" t="s">
        <v>3060</v>
      </c>
      <c r="D3336" t="s">
        <v>3060</v>
      </c>
      <c r="E3336" t="s">
        <v>268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3066</v>
      </c>
      <c r="B3337" t="s">
        <v>2197</v>
      </c>
      <c r="C3337" t="s">
        <v>3060</v>
      </c>
      <c r="D3337" t="s">
        <v>3409</v>
      </c>
      <c r="E3337" t="s">
        <v>437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3066</v>
      </c>
      <c r="B3338" t="s">
        <v>3410</v>
      </c>
      <c r="C3338" t="s">
        <v>3060</v>
      </c>
      <c r="D3338" t="s">
        <v>3409</v>
      </c>
      <c r="E3338" t="s">
        <v>582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3066</v>
      </c>
      <c r="B3339" t="s">
        <v>611</v>
      </c>
      <c r="C3339" t="s">
        <v>3060</v>
      </c>
      <c r="D3339" t="s">
        <v>3409</v>
      </c>
      <c r="E3339" t="s">
        <v>636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3066</v>
      </c>
      <c r="B3340" t="s">
        <v>3411</v>
      </c>
      <c r="C3340" t="s">
        <v>3060</v>
      </c>
      <c r="D3340" t="s">
        <v>3409</v>
      </c>
      <c r="E3340" t="s">
        <v>1832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3066</v>
      </c>
      <c r="B3341" t="s">
        <v>614</v>
      </c>
      <c r="C3341" t="s">
        <v>3060</v>
      </c>
      <c r="D3341" t="s">
        <v>3409</v>
      </c>
      <c r="E3341" t="s">
        <v>1832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3066</v>
      </c>
      <c r="B3342" t="s">
        <v>1530</v>
      </c>
      <c r="C3342" t="s">
        <v>3060</v>
      </c>
      <c r="D3342" t="s">
        <v>3409</v>
      </c>
      <c r="E3342" t="s">
        <v>418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3066</v>
      </c>
      <c r="B3343" t="s">
        <v>3412</v>
      </c>
      <c r="C3343" t="s">
        <v>3060</v>
      </c>
      <c r="D3343" t="s">
        <v>3409</v>
      </c>
      <c r="E3343" t="s">
        <v>1832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3066</v>
      </c>
      <c r="B3344" t="s">
        <v>617</v>
      </c>
      <c r="C3344" t="s">
        <v>3060</v>
      </c>
      <c r="D3344" t="s">
        <v>3413</v>
      </c>
      <c r="E3344" t="s">
        <v>418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3066</v>
      </c>
      <c r="B3345" t="s">
        <v>3414</v>
      </c>
      <c r="C3345" t="s">
        <v>3060</v>
      </c>
      <c r="D3345" t="s">
        <v>3415</v>
      </c>
      <c r="E3345" t="s">
        <v>401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3066</v>
      </c>
      <c r="B3346" t="s">
        <v>918</v>
      </c>
      <c r="C3346" t="s">
        <v>3060</v>
      </c>
      <c r="D3346" t="s">
        <v>3404</v>
      </c>
      <c r="E3346" t="s">
        <v>505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3066</v>
      </c>
      <c r="B3347" t="s">
        <v>3392</v>
      </c>
      <c r="C3347" t="s">
        <v>3060</v>
      </c>
      <c r="D3347" t="s">
        <v>3393</v>
      </c>
      <c r="E3347" t="s">
        <v>505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3066</v>
      </c>
      <c r="B3348" t="s">
        <v>912</v>
      </c>
      <c r="C3348" t="s">
        <v>3060</v>
      </c>
      <c r="D3348" t="s">
        <v>3395</v>
      </c>
      <c r="E3348" t="s">
        <v>202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3066</v>
      </c>
      <c r="B3349" t="s">
        <v>2817</v>
      </c>
      <c r="C3349" t="s">
        <v>3060</v>
      </c>
      <c r="D3349" t="s">
        <v>3416</v>
      </c>
      <c r="E3349" t="s">
        <v>554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3066</v>
      </c>
      <c r="B3350" t="s">
        <v>2038</v>
      </c>
      <c r="C3350" t="s">
        <v>3060</v>
      </c>
      <c r="D3350" t="s">
        <v>3417</v>
      </c>
      <c r="E3350" t="s">
        <v>437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3066</v>
      </c>
      <c r="B3351" t="s">
        <v>2816</v>
      </c>
      <c r="C3351" t="s">
        <v>3060</v>
      </c>
      <c r="D3351" t="s">
        <v>3418</v>
      </c>
      <c r="E3351" t="s">
        <v>212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3066</v>
      </c>
      <c r="B3352" t="s">
        <v>3419</v>
      </c>
      <c r="C3352" t="s">
        <v>3060</v>
      </c>
      <c r="D3352" t="s">
        <v>3060</v>
      </c>
      <c r="E3352" t="s">
        <v>212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3066</v>
      </c>
      <c r="B3353" t="s">
        <v>2815</v>
      </c>
      <c r="C3353" t="s">
        <v>3060</v>
      </c>
      <c r="D3353" t="s">
        <v>3418</v>
      </c>
      <c r="E3353" t="s">
        <v>456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3066</v>
      </c>
      <c r="B3354" t="s">
        <v>3420</v>
      </c>
      <c r="C3354" t="s">
        <v>3060</v>
      </c>
      <c r="D3354" t="s">
        <v>3060</v>
      </c>
      <c r="E3354" t="s">
        <v>212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3066</v>
      </c>
      <c r="B3355" t="s">
        <v>3421</v>
      </c>
      <c r="C3355" t="s">
        <v>3060</v>
      </c>
      <c r="D3355" t="s">
        <v>3060</v>
      </c>
      <c r="E3355" t="s">
        <v>212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3066</v>
      </c>
      <c r="B3356" t="s">
        <v>3422</v>
      </c>
      <c r="C3356" t="s">
        <v>3060</v>
      </c>
      <c r="D3356" t="s">
        <v>3404</v>
      </c>
      <c r="E3356" t="s">
        <v>437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3066</v>
      </c>
      <c r="B3357" t="s">
        <v>607</v>
      </c>
      <c r="C3357" t="s">
        <v>3060</v>
      </c>
      <c r="D3357" t="s">
        <v>3395</v>
      </c>
      <c r="E3357" t="s">
        <v>269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3066</v>
      </c>
      <c r="B3358" t="s">
        <v>609</v>
      </c>
      <c r="C3358" t="s">
        <v>3060</v>
      </c>
      <c r="D3358" t="s">
        <v>3395</v>
      </c>
      <c r="E3358" t="s">
        <v>406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3066</v>
      </c>
      <c r="B3359" t="s">
        <v>637</v>
      </c>
      <c r="C3359" t="s">
        <v>3060</v>
      </c>
      <c r="D3359" t="s">
        <v>3395</v>
      </c>
      <c r="E3359" t="s">
        <v>202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3066</v>
      </c>
      <c r="B3360" t="s">
        <v>2212</v>
      </c>
      <c r="C3360" t="s">
        <v>3060</v>
      </c>
      <c r="D3360" t="s">
        <v>3395</v>
      </c>
      <c r="E3360" t="s">
        <v>554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3066</v>
      </c>
      <c r="B3361" t="s">
        <v>3423</v>
      </c>
      <c r="C3361" t="s">
        <v>3060</v>
      </c>
      <c r="D3361" t="s">
        <v>3060</v>
      </c>
      <c r="E3361" t="s">
        <v>425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3066</v>
      </c>
      <c r="B3362" t="s">
        <v>2210</v>
      </c>
      <c r="C3362" t="s">
        <v>3060</v>
      </c>
      <c r="D3362" t="s">
        <v>3060</v>
      </c>
      <c r="E3362" t="s">
        <v>505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3066</v>
      </c>
      <c r="B3363" t="s">
        <v>688</v>
      </c>
      <c r="C3363" t="s">
        <v>3060</v>
      </c>
      <c r="D3363" t="s">
        <v>3060</v>
      </c>
      <c r="E3363" t="s">
        <v>636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3066</v>
      </c>
      <c r="B3364" t="s">
        <v>3424</v>
      </c>
      <c r="C3364" t="s">
        <v>3060</v>
      </c>
      <c r="D3364" t="s">
        <v>3060</v>
      </c>
      <c r="E3364" t="s">
        <v>437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3066</v>
      </c>
      <c r="B3365" t="s">
        <v>229</v>
      </c>
      <c r="C3365" t="s">
        <v>3060</v>
      </c>
      <c r="D3365" t="s">
        <v>3060</v>
      </c>
      <c r="E3365" t="s">
        <v>207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3066</v>
      </c>
      <c r="B3366" t="s">
        <v>876</v>
      </c>
      <c r="C3366" t="s">
        <v>3060</v>
      </c>
      <c r="D3366" t="s">
        <v>3060</v>
      </c>
      <c r="E3366" t="s">
        <v>207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3066</v>
      </c>
      <c r="B3367" t="s">
        <v>230</v>
      </c>
      <c r="C3367" t="s">
        <v>3060</v>
      </c>
      <c r="D3367" t="s">
        <v>3060</v>
      </c>
      <c r="E3367" t="s">
        <v>207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3066</v>
      </c>
      <c r="B3368" t="s">
        <v>233</v>
      </c>
      <c r="C3368" t="s">
        <v>3060</v>
      </c>
      <c r="D3368" t="s">
        <v>3060</v>
      </c>
      <c r="E3368" t="s">
        <v>207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3066</v>
      </c>
      <c r="B3369" t="s">
        <v>232</v>
      </c>
      <c r="C3369" t="s">
        <v>3060</v>
      </c>
      <c r="D3369" t="s">
        <v>3060</v>
      </c>
      <c r="E3369" t="s">
        <v>207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3066</v>
      </c>
      <c r="B3370" t="s">
        <v>234</v>
      </c>
      <c r="C3370" t="s">
        <v>3060</v>
      </c>
      <c r="D3370" t="s">
        <v>3060</v>
      </c>
      <c r="E3370" t="s">
        <v>279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3066</v>
      </c>
      <c r="B3371" t="s">
        <v>325</v>
      </c>
      <c r="C3371" t="s">
        <v>3060</v>
      </c>
      <c r="D3371" t="s">
        <v>3060</v>
      </c>
      <c r="E3371" t="s">
        <v>279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3066</v>
      </c>
      <c r="B3372" t="s">
        <v>238</v>
      </c>
      <c r="C3372" t="s">
        <v>3060</v>
      </c>
      <c r="D3372" t="s">
        <v>3060</v>
      </c>
      <c r="E3372" t="s">
        <v>235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3066</v>
      </c>
      <c r="B3373" t="s">
        <v>180</v>
      </c>
      <c r="C3373" t="s">
        <v>3060</v>
      </c>
      <c r="D3373" t="s">
        <v>3060</v>
      </c>
      <c r="E3373" t="s">
        <v>279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3066</v>
      </c>
      <c r="B3374" t="s">
        <v>181</v>
      </c>
      <c r="C3374" t="s">
        <v>3060</v>
      </c>
      <c r="D3374" t="s">
        <v>3060</v>
      </c>
      <c r="E3374" t="s">
        <v>281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3066</v>
      </c>
      <c r="B3375" t="s">
        <v>2229</v>
      </c>
      <c r="C3375" t="s">
        <v>3060</v>
      </c>
      <c r="D3375" t="s">
        <v>3060</v>
      </c>
      <c r="E3375" t="s">
        <v>575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3066</v>
      </c>
      <c r="B3376" t="s">
        <v>183</v>
      </c>
      <c r="C3376" t="s">
        <v>3060</v>
      </c>
      <c r="D3376" t="s">
        <v>3060</v>
      </c>
      <c r="E3376" t="s">
        <v>184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3067</v>
      </c>
      <c r="B3377" t="s">
        <v>3425</v>
      </c>
      <c r="C3377" t="s">
        <v>3060</v>
      </c>
      <c r="D3377" t="s">
        <v>3426</v>
      </c>
      <c r="E3377" t="s">
        <v>269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3067</v>
      </c>
      <c r="B3378" t="s">
        <v>3427</v>
      </c>
      <c r="C3378" t="s">
        <v>3060</v>
      </c>
      <c r="D3378" t="s">
        <v>3426</v>
      </c>
      <c r="E3378" t="s">
        <v>582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3067</v>
      </c>
      <c r="B3379" t="s">
        <v>3428</v>
      </c>
      <c r="C3379" t="s">
        <v>3060</v>
      </c>
      <c r="D3379" t="s">
        <v>3426</v>
      </c>
      <c r="E3379" t="s">
        <v>269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3067</v>
      </c>
      <c r="B3380" t="s">
        <v>3429</v>
      </c>
      <c r="C3380" t="s">
        <v>3060</v>
      </c>
      <c r="D3380" t="s">
        <v>3430</v>
      </c>
      <c r="E3380" t="s">
        <v>442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3067</v>
      </c>
      <c r="B3381" t="s">
        <v>3431</v>
      </c>
      <c r="C3381" t="s">
        <v>3060</v>
      </c>
      <c r="D3381" t="s">
        <v>3432</v>
      </c>
      <c r="E3381" t="s">
        <v>254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3067</v>
      </c>
      <c r="B3382" t="s">
        <v>3433</v>
      </c>
      <c r="C3382" t="s">
        <v>3060</v>
      </c>
      <c r="D3382" t="s">
        <v>3434</v>
      </c>
      <c r="E3382" t="s">
        <v>277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3067</v>
      </c>
      <c r="B3383" t="s">
        <v>3431</v>
      </c>
      <c r="C3383" t="s">
        <v>3060</v>
      </c>
      <c r="D3383" t="s">
        <v>3432</v>
      </c>
      <c r="E3383" t="s">
        <v>254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3067</v>
      </c>
      <c r="B3384" t="s">
        <v>3435</v>
      </c>
      <c r="C3384" t="s">
        <v>3060</v>
      </c>
      <c r="D3384" t="s">
        <v>3436</v>
      </c>
      <c r="E3384" t="s">
        <v>2134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3067</v>
      </c>
      <c r="B3385" t="s">
        <v>3437</v>
      </c>
      <c r="C3385" t="s">
        <v>3060</v>
      </c>
      <c r="D3385" t="s">
        <v>3438</v>
      </c>
      <c r="E3385" t="s">
        <v>3439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3067</v>
      </c>
      <c r="B3386" t="s">
        <v>3440</v>
      </c>
      <c r="C3386" t="s">
        <v>3060</v>
      </c>
      <c r="D3386" t="s">
        <v>3441</v>
      </c>
      <c r="E3386" t="s">
        <v>369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3067</v>
      </c>
      <c r="B3387" t="s">
        <v>3442</v>
      </c>
      <c r="C3387" t="s">
        <v>3060</v>
      </c>
      <c r="D3387" t="s">
        <v>3443</v>
      </c>
      <c r="E3387" t="s">
        <v>3444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3067</v>
      </c>
      <c r="B3388" t="s">
        <v>3445</v>
      </c>
      <c r="C3388" t="s">
        <v>3060</v>
      </c>
      <c r="D3388" t="s">
        <v>3446</v>
      </c>
      <c r="E3388" t="s">
        <v>2134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3067</v>
      </c>
      <c r="B3389" t="s">
        <v>3447</v>
      </c>
      <c r="C3389" t="s">
        <v>3060</v>
      </c>
      <c r="D3389" t="s">
        <v>3448</v>
      </c>
      <c r="E3389" t="s">
        <v>3449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3067</v>
      </c>
      <c r="B3390" t="s">
        <v>3450</v>
      </c>
      <c r="C3390" t="s">
        <v>3060</v>
      </c>
      <c r="D3390" t="s">
        <v>3451</v>
      </c>
      <c r="E3390" t="s">
        <v>1858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3067</v>
      </c>
      <c r="B3391" t="s">
        <v>3452</v>
      </c>
      <c r="C3391" t="s">
        <v>3060</v>
      </c>
      <c r="D3391" t="s">
        <v>3453</v>
      </c>
      <c r="E3391" t="s">
        <v>3454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3067</v>
      </c>
      <c r="B3392" t="s">
        <v>3455</v>
      </c>
      <c r="C3392" t="s">
        <v>3060</v>
      </c>
      <c r="D3392" t="s">
        <v>3456</v>
      </c>
      <c r="E3392" t="s">
        <v>456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3067</v>
      </c>
      <c r="B3393" t="s">
        <v>3457</v>
      </c>
      <c r="C3393" t="s">
        <v>3060</v>
      </c>
      <c r="D3393" t="s">
        <v>3458</v>
      </c>
      <c r="E3393" t="s">
        <v>469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3067</v>
      </c>
      <c r="B3394" t="s">
        <v>3459</v>
      </c>
      <c r="C3394" t="s">
        <v>3060</v>
      </c>
      <c r="D3394" t="s">
        <v>3460</v>
      </c>
      <c r="E3394" t="s">
        <v>505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3067</v>
      </c>
      <c r="B3395" t="s">
        <v>3461</v>
      </c>
      <c r="C3395" t="s">
        <v>3060</v>
      </c>
      <c r="D3395" t="s">
        <v>3462</v>
      </c>
      <c r="E3395" t="s">
        <v>212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3067</v>
      </c>
      <c r="B3396" t="s">
        <v>3463</v>
      </c>
      <c r="C3396" t="s">
        <v>3060</v>
      </c>
      <c r="D3396" t="s">
        <v>3464</v>
      </c>
      <c r="E3396" t="s">
        <v>456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3067</v>
      </c>
      <c r="B3397" t="s">
        <v>3465</v>
      </c>
      <c r="C3397" t="s">
        <v>3060</v>
      </c>
      <c r="D3397" t="s">
        <v>3466</v>
      </c>
      <c r="E3397" t="s">
        <v>258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3067</v>
      </c>
      <c r="B3398" t="s">
        <v>3467</v>
      </c>
      <c r="C3398" t="s">
        <v>3060</v>
      </c>
      <c r="D3398" t="s">
        <v>3468</v>
      </c>
      <c r="E3398" t="s">
        <v>437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3067</v>
      </c>
      <c r="B3399" t="s">
        <v>3469</v>
      </c>
      <c r="C3399" t="s">
        <v>3060</v>
      </c>
      <c r="D3399" t="s">
        <v>3470</v>
      </c>
      <c r="E3399" t="s">
        <v>437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3067</v>
      </c>
      <c r="B3400" t="s">
        <v>3471</v>
      </c>
      <c r="C3400" t="s">
        <v>3060</v>
      </c>
      <c r="D3400" t="s">
        <v>3472</v>
      </c>
      <c r="E3400" t="s">
        <v>425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3067</v>
      </c>
      <c r="B3401" t="s">
        <v>3473</v>
      </c>
      <c r="C3401" t="s">
        <v>3060</v>
      </c>
      <c r="D3401" t="s">
        <v>3430</v>
      </c>
      <c r="E3401" t="s">
        <v>418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3067</v>
      </c>
      <c r="B3402" t="s">
        <v>3429</v>
      </c>
      <c r="C3402" t="s">
        <v>3060</v>
      </c>
      <c r="D3402" t="s">
        <v>3430</v>
      </c>
      <c r="E3402" t="s">
        <v>442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3067</v>
      </c>
      <c r="B3403" t="s">
        <v>3474</v>
      </c>
      <c r="C3403" t="s">
        <v>3060</v>
      </c>
      <c r="D3403" t="s">
        <v>3430</v>
      </c>
      <c r="E3403" t="s">
        <v>442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3067</v>
      </c>
      <c r="B3404" t="s">
        <v>916</v>
      </c>
      <c r="C3404" t="s">
        <v>3060</v>
      </c>
      <c r="D3404" t="s">
        <v>3060</v>
      </c>
      <c r="E3404" t="s">
        <v>456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3067</v>
      </c>
      <c r="B3405" t="s">
        <v>918</v>
      </c>
      <c r="C3405" t="s">
        <v>3060</v>
      </c>
      <c r="D3405" t="s">
        <v>3475</v>
      </c>
      <c r="E3405" t="s">
        <v>212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3067</v>
      </c>
      <c r="B3406" t="s">
        <v>3425</v>
      </c>
      <c r="C3406" t="s">
        <v>3060</v>
      </c>
      <c r="D3406" t="s">
        <v>3426</v>
      </c>
      <c r="E3406" t="s">
        <v>269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3067</v>
      </c>
      <c r="B3407" t="s">
        <v>3476</v>
      </c>
      <c r="C3407" t="s">
        <v>3060</v>
      </c>
      <c r="D3407" t="s">
        <v>3426</v>
      </c>
      <c r="E3407" t="s">
        <v>554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3067</v>
      </c>
      <c r="B3408" t="s">
        <v>3427</v>
      </c>
      <c r="C3408" t="s">
        <v>3060</v>
      </c>
      <c r="D3408" t="s">
        <v>3426</v>
      </c>
      <c r="E3408" t="s">
        <v>582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3067</v>
      </c>
      <c r="B3409" t="s">
        <v>3428</v>
      </c>
      <c r="C3409" t="s">
        <v>3060</v>
      </c>
      <c r="D3409" t="s">
        <v>3426</v>
      </c>
      <c r="E3409" t="s">
        <v>269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3067</v>
      </c>
      <c r="B3410" t="s">
        <v>911</v>
      </c>
      <c r="C3410" t="s">
        <v>3060</v>
      </c>
      <c r="D3410" t="s">
        <v>3477</v>
      </c>
      <c r="E3410" t="s">
        <v>469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3067</v>
      </c>
      <c r="B3411" t="s">
        <v>676</v>
      </c>
      <c r="C3411" t="s">
        <v>3060</v>
      </c>
      <c r="D3411" t="s">
        <v>3060</v>
      </c>
      <c r="E3411" t="s">
        <v>466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3067</v>
      </c>
      <c r="B3412" t="s">
        <v>573</v>
      </c>
      <c r="C3412" t="s">
        <v>3060</v>
      </c>
      <c r="D3412" t="s">
        <v>3060</v>
      </c>
      <c r="E3412" t="s">
        <v>197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3067</v>
      </c>
      <c r="B3413" t="s">
        <v>1410</v>
      </c>
      <c r="C3413" t="s">
        <v>3060</v>
      </c>
      <c r="D3413" t="s">
        <v>3060</v>
      </c>
      <c r="E3413" t="s">
        <v>287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3067</v>
      </c>
      <c r="B3414" t="s">
        <v>642</v>
      </c>
      <c r="C3414" t="s">
        <v>3060</v>
      </c>
      <c r="D3414" t="s">
        <v>3060</v>
      </c>
      <c r="E3414" t="s">
        <v>252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3067</v>
      </c>
      <c r="B3415" t="s">
        <v>229</v>
      </c>
      <c r="C3415" t="s">
        <v>3060</v>
      </c>
      <c r="D3415" t="s">
        <v>3060</v>
      </c>
      <c r="E3415" t="s">
        <v>252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3067</v>
      </c>
      <c r="B3416" t="s">
        <v>643</v>
      </c>
      <c r="C3416" t="s">
        <v>3060</v>
      </c>
      <c r="D3416" t="s">
        <v>3060</v>
      </c>
      <c r="E3416" t="s">
        <v>252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3067</v>
      </c>
      <c r="B3417" t="s">
        <v>230</v>
      </c>
      <c r="C3417" t="s">
        <v>3060</v>
      </c>
      <c r="D3417" t="s">
        <v>3060</v>
      </c>
      <c r="E3417" t="s">
        <v>252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3067</v>
      </c>
      <c r="B3418" t="s">
        <v>233</v>
      </c>
      <c r="C3418" t="s">
        <v>3060</v>
      </c>
      <c r="D3418" t="s">
        <v>3060</v>
      </c>
      <c r="E3418" t="s">
        <v>252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3067</v>
      </c>
      <c r="B3419" t="s">
        <v>232</v>
      </c>
      <c r="C3419" t="s">
        <v>3060</v>
      </c>
      <c r="D3419" t="s">
        <v>3060</v>
      </c>
      <c r="E3419" t="s">
        <v>252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3067</v>
      </c>
      <c r="B3420" t="s">
        <v>234</v>
      </c>
      <c r="C3420" t="s">
        <v>3060</v>
      </c>
      <c r="D3420" t="s">
        <v>3060</v>
      </c>
      <c r="E3420" t="s">
        <v>575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3067</v>
      </c>
      <c r="B3421" t="s">
        <v>325</v>
      </c>
      <c r="C3421" t="s">
        <v>3060</v>
      </c>
      <c r="D3421" t="s">
        <v>3060</v>
      </c>
      <c r="E3421" t="s">
        <v>575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3067</v>
      </c>
      <c r="B3422" t="s">
        <v>178</v>
      </c>
      <c r="C3422" t="s">
        <v>3060</v>
      </c>
      <c r="D3422" t="s">
        <v>3060</v>
      </c>
      <c r="E3422" t="s">
        <v>235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3067</v>
      </c>
      <c r="B3423" t="s">
        <v>181</v>
      </c>
      <c r="C3423" t="s">
        <v>3060</v>
      </c>
      <c r="D3423" t="s">
        <v>3060</v>
      </c>
      <c r="E3423" t="s">
        <v>286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3067</v>
      </c>
      <c r="B3424" t="s">
        <v>242</v>
      </c>
      <c r="C3424" t="s">
        <v>3060</v>
      </c>
      <c r="D3424" t="s">
        <v>3060</v>
      </c>
      <c r="E3424" t="s">
        <v>197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3067</v>
      </c>
      <c r="B3425" t="s">
        <v>327</v>
      </c>
      <c r="C3425" t="s">
        <v>3060</v>
      </c>
      <c r="D3425" t="s">
        <v>3060</v>
      </c>
      <c r="E3425" t="s">
        <v>197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3067</v>
      </c>
      <c r="B3426" t="s">
        <v>691</v>
      </c>
      <c r="C3426" t="s">
        <v>3060</v>
      </c>
      <c r="D3426" t="s">
        <v>3060</v>
      </c>
      <c r="E3426" t="s">
        <v>656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3067</v>
      </c>
      <c r="B3427" t="s">
        <v>693</v>
      </c>
      <c r="C3427" t="s">
        <v>3060</v>
      </c>
      <c r="D3427" t="s">
        <v>3060</v>
      </c>
      <c r="E3427" t="s">
        <v>656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3067</v>
      </c>
      <c r="B3428" t="s">
        <v>183</v>
      </c>
      <c r="C3428" t="s">
        <v>3060</v>
      </c>
      <c r="D3428" t="s">
        <v>3060</v>
      </c>
      <c r="E3428" t="s">
        <v>184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3068</v>
      </c>
      <c r="B3429" t="s">
        <v>672</v>
      </c>
      <c r="C3429" t="s">
        <v>3060</v>
      </c>
      <c r="D3429" t="s">
        <v>3478</v>
      </c>
      <c r="E3429" t="s">
        <v>202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3068</v>
      </c>
      <c r="B3430" t="s">
        <v>908</v>
      </c>
      <c r="C3430" t="s">
        <v>3060</v>
      </c>
      <c r="D3430" t="s">
        <v>3478</v>
      </c>
      <c r="E3430" t="s">
        <v>442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3068</v>
      </c>
      <c r="B3431" t="s">
        <v>3479</v>
      </c>
      <c r="C3431" t="s">
        <v>3060</v>
      </c>
      <c r="D3431" t="s">
        <v>3480</v>
      </c>
      <c r="E3431" t="s">
        <v>425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3068</v>
      </c>
      <c r="B3432" t="s">
        <v>297</v>
      </c>
      <c r="C3432" t="s">
        <v>3060</v>
      </c>
      <c r="D3432" t="s">
        <v>3060</v>
      </c>
      <c r="E3432" t="s">
        <v>235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3068</v>
      </c>
      <c r="B3433" t="s">
        <v>912</v>
      </c>
      <c r="C3433" t="s">
        <v>3060</v>
      </c>
      <c r="D3433" t="s">
        <v>3478</v>
      </c>
      <c r="E3433" t="s">
        <v>442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3068</v>
      </c>
      <c r="B3434" t="s">
        <v>3479</v>
      </c>
      <c r="C3434" t="s">
        <v>3060</v>
      </c>
      <c r="D3434" t="s">
        <v>3480</v>
      </c>
      <c r="E3434" t="s">
        <v>425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3068</v>
      </c>
      <c r="B3435" t="s">
        <v>3481</v>
      </c>
      <c r="C3435" t="s">
        <v>3060</v>
      </c>
      <c r="D3435" t="s">
        <v>3482</v>
      </c>
      <c r="E3435" t="s">
        <v>256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3068</v>
      </c>
      <c r="B3436" t="s">
        <v>3483</v>
      </c>
      <c r="C3436" t="s">
        <v>3060</v>
      </c>
      <c r="D3436" t="s">
        <v>3484</v>
      </c>
      <c r="E3436" t="s">
        <v>372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3068</v>
      </c>
      <c r="B3437" t="s">
        <v>3485</v>
      </c>
      <c r="C3437" t="s">
        <v>3060</v>
      </c>
      <c r="D3437" t="s">
        <v>3486</v>
      </c>
      <c r="E3437" t="s">
        <v>256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3068</v>
      </c>
      <c r="B3438" t="s">
        <v>3487</v>
      </c>
      <c r="C3438" t="s">
        <v>3060</v>
      </c>
      <c r="D3438" t="s">
        <v>3488</v>
      </c>
      <c r="E3438" t="s">
        <v>372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3068</v>
      </c>
      <c r="B3439" t="s">
        <v>3489</v>
      </c>
      <c r="C3439" t="s">
        <v>3060</v>
      </c>
      <c r="D3439" t="s">
        <v>3490</v>
      </c>
      <c r="E3439" t="s">
        <v>3198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3068</v>
      </c>
      <c r="B3440" t="s">
        <v>3491</v>
      </c>
      <c r="C3440" t="s">
        <v>3060</v>
      </c>
      <c r="D3440" t="s">
        <v>3492</v>
      </c>
      <c r="E3440" t="s">
        <v>2910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3068</v>
      </c>
      <c r="B3441" t="s">
        <v>3493</v>
      </c>
      <c r="C3441" t="s">
        <v>3060</v>
      </c>
      <c r="D3441" t="s">
        <v>3494</v>
      </c>
      <c r="E3441" t="s">
        <v>372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3068</v>
      </c>
      <c r="B3442" t="s">
        <v>3495</v>
      </c>
      <c r="C3442" t="s">
        <v>3060</v>
      </c>
      <c r="D3442" t="s">
        <v>3496</v>
      </c>
      <c r="E3442" t="s">
        <v>529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3068</v>
      </c>
      <c r="B3443" t="s">
        <v>3497</v>
      </c>
      <c r="C3443" t="s">
        <v>3060</v>
      </c>
      <c r="D3443" t="s">
        <v>3460</v>
      </c>
      <c r="E3443" t="s">
        <v>505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3068</v>
      </c>
      <c r="B3444" t="s">
        <v>3498</v>
      </c>
      <c r="C3444" t="s">
        <v>3060</v>
      </c>
      <c r="D3444" t="s">
        <v>3499</v>
      </c>
      <c r="E3444" t="s">
        <v>466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3068</v>
      </c>
      <c r="B3445" t="s">
        <v>3500</v>
      </c>
      <c r="C3445" t="s">
        <v>3060</v>
      </c>
      <c r="D3445" t="s">
        <v>3501</v>
      </c>
      <c r="E3445" t="s">
        <v>2512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3068</v>
      </c>
      <c r="B3446" t="s">
        <v>3502</v>
      </c>
      <c r="C3446" t="s">
        <v>3060</v>
      </c>
      <c r="D3446" t="s">
        <v>3503</v>
      </c>
      <c r="E3446" t="s">
        <v>256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3068</v>
      </c>
      <c r="B3447" t="s">
        <v>3504</v>
      </c>
      <c r="C3447" t="s">
        <v>3060</v>
      </c>
      <c r="D3447" t="s">
        <v>3505</v>
      </c>
      <c r="E3447" t="s">
        <v>256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3068</v>
      </c>
      <c r="B3448" t="s">
        <v>2113</v>
      </c>
      <c r="C3448" t="s">
        <v>3060</v>
      </c>
      <c r="D3448" t="s">
        <v>3506</v>
      </c>
      <c r="E3448" t="s">
        <v>2512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3068</v>
      </c>
      <c r="B3449" t="s">
        <v>2115</v>
      </c>
      <c r="C3449" t="s">
        <v>3060</v>
      </c>
      <c r="D3449" t="s">
        <v>3507</v>
      </c>
      <c r="E3449" t="s">
        <v>256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3068</v>
      </c>
      <c r="B3450" t="s">
        <v>2117</v>
      </c>
      <c r="C3450" t="s">
        <v>3060</v>
      </c>
      <c r="D3450" t="s">
        <v>3508</v>
      </c>
      <c r="E3450" t="s">
        <v>256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3068</v>
      </c>
      <c r="B3451" t="s">
        <v>2119</v>
      </c>
      <c r="C3451" t="s">
        <v>3060</v>
      </c>
      <c r="D3451" t="s">
        <v>3509</v>
      </c>
      <c r="E3451" t="s">
        <v>372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3068</v>
      </c>
      <c r="B3452" t="s">
        <v>3510</v>
      </c>
      <c r="C3452" t="s">
        <v>3060</v>
      </c>
      <c r="D3452" t="s">
        <v>3511</v>
      </c>
      <c r="E3452" t="s">
        <v>258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3068</v>
      </c>
      <c r="B3453" t="s">
        <v>3512</v>
      </c>
      <c r="C3453" t="s">
        <v>3060</v>
      </c>
      <c r="D3453" t="s">
        <v>3511</v>
      </c>
      <c r="E3453" t="s">
        <v>425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3068</v>
      </c>
      <c r="B3454" t="s">
        <v>3513</v>
      </c>
      <c r="C3454" t="s">
        <v>3060</v>
      </c>
      <c r="D3454" t="s">
        <v>3478</v>
      </c>
      <c r="E3454" t="s">
        <v>287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3068</v>
      </c>
      <c r="B3455" t="s">
        <v>918</v>
      </c>
      <c r="C3455" t="s">
        <v>3060</v>
      </c>
      <c r="D3455" t="s">
        <v>3514</v>
      </c>
      <c r="E3455" t="s">
        <v>469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3068</v>
      </c>
      <c r="B3456" t="s">
        <v>916</v>
      </c>
      <c r="C3456" t="s">
        <v>3060</v>
      </c>
      <c r="D3456" t="s">
        <v>3515</v>
      </c>
      <c r="E3456" t="s">
        <v>212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3068</v>
      </c>
      <c r="B3457" t="s">
        <v>912</v>
      </c>
      <c r="C3457" t="s">
        <v>3060</v>
      </c>
      <c r="D3457" t="s">
        <v>3478</v>
      </c>
      <c r="E3457" t="s">
        <v>442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3068</v>
      </c>
      <c r="B3458" t="s">
        <v>3516</v>
      </c>
      <c r="C3458" t="s">
        <v>3060</v>
      </c>
      <c r="D3458" t="s">
        <v>3478</v>
      </c>
      <c r="E3458" t="s">
        <v>442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3068</v>
      </c>
      <c r="B3459" t="s">
        <v>905</v>
      </c>
      <c r="C3459" t="s">
        <v>3060</v>
      </c>
      <c r="D3459" t="s">
        <v>3478</v>
      </c>
      <c r="E3459" t="s">
        <v>418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3068</v>
      </c>
      <c r="B3460" t="s">
        <v>3517</v>
      </c>
      <c r="C3460" t="s">
        <v>3060</v>
      </c>
      <c r="D3460" t="s">
        <v>3511</v>
      </c>
      <c r="E3460" t="s">
        <v>258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3068</v>
      </c>
      <c r="B3461" t="s">
        <v>3518</v>
      </c>
      <c r="C3461" t="s">
        <v>3060</v>
      </c>
      <c r="D3461" t="s">
        <v>3478</v>
      </c>
      <c r="E3461" t="s">
        <v>268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3068</v>
      </c>
      <c r="B3462" t="s">
        <v>911</v>
      </c>
      <c r="C3462" t="s">
        <v>3060</v>
      </c>
      <c r="D3462" t="s">
        <v>3514</v>
      </c>
      <c r="E3462" t="s">
        <v>418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3068</v>
      </c>
      <c r="B3463" t="s">
        <v>676</v>
      </c>
      <c r="C3463" t="s">
        <v>3060</v>
      </c>
      <c r="D3463" t="s">
        <v>3515</v>
      </c>
      <c r="E3463" t="s">
        <v>466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3068</v>
      </c>
      <c r="B3464" t="s">
        <v>672</v>
      </c>
      <c r="C3464" t="s">
        <v>3060</v>
      </c>
      <c r="D3464" t="s">
        <v>3478</v>
      </c>
      <c r="E3464" t="s">
        <v>202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3068</v>
      </c>
      <c r="B3465" t="s">
        <v>3519</v>
      </c>
      <c r="C3465" t="s">
        <v>3060</v>
      </c>
      <c r="D3465" t="s">
        <v>3478</v>
      </c>
      <c r="E3465" t="s">
        <v>202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3068</v>
      </c>
      <c r="B3466" t="s">
        <v>908</v>
      </c>
      <c r="C3466" t="s">
        <v>3060</v>
      </c>
      <c r="D3466" t="s">
        <v>3478</v>
      </c>
      <c r="E3466" t="s">
        <v>442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3068</v>
      </c>
      <c r="B3467" t="s">
        <v>3520</v>
      </c>
      <c r="C3467" t="s">
        <v>3060</v>
      </c>
      <c r="D3467" t="s">
        <v>3511</v>
      </c>
      <c r="E3467" t="s">
        <v>554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3068</v>
      </c>
      <c r="B3468" t="s">
        <v>297</v>
      </c>
      <c r="C3468" t="s">
        <v>3060</v>
      </c>
      <c r="D3468" t="s">
        <v>3060</v>
      </c>
      <c r="E3468" t="s">
        <v>235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3068</v>
      </c>
      <c r="B3469" t="s">
        <v>3521</v>
      </c>
      <c r="C3469" t="s">
        <v>3060</v>
      </c>
      <c r="D3469" t="s">
        <v>3060</v>
      </c>
      <c r="E3469" t="s">
        <v>235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3068</v>
      </c>
      <c r="B3470" t="s">
        <v>167</v>
      </c>
      <c r="C3470" t="s">
        <v>3060</v>
      </c>
      <c r="D3470" t="s">
        <v>3060</v>
      </c>
      <c r="E3470" t="s">
        <v>207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3068</v>
      </c>
      <c r="B3471" t="s">
        <v>170</v>
      </c>
      <c r="C3471" t="s">
        <v>3060</v>
      </c>
      <c r="D3471" t="s">
        <v>3060</v>
      </c>
      <c r="E3471" t="s">
        <v>207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3068</v>
      </c>
      <c r="B3472" t="s">
        <v>171</v>
      </c>
      <c r="C3472" t="s">
        <v>3060</v>
      </c>
      <c r="D3472" t="s">
        <v>3060</v>
      </c>
      <c r="E3472" t="s">
        <v>207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3068</v>
      </c>
      <c r="B3473" t="s">
        <v>325</v>
      </c>
      <c r="C3473" t="s">
        <v>3060</v>
      </c>
      <c r="D3473" t="s">
        <v>3060</v>
      </c>
      <c r="E3473" t="s">
        <v>279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3068</v>
      </c>
      <c r="B3474" t="s">
        <v>238</v>
      </c>
      <c r="C3474" t="s">
        <v>3060</v>
      </c>
      <c r="D3474" t="s">
        <v>3060</v>
      </c>
      <c r="E3474" t="s">
        <v>286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3068</v>
      </c>
      <c r="B3475" t="s">
        <v>180</v>
      </c>
      <c r="C3475" t="s">
        <v>3060</v>
      </c>
      <c r="D3475" t="s">
        <v>3060</v>
      </c>
      <c r="E3475" t="s">
        <v>286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3068</v>
      </c>
      <c r="B3476" t="s">
        <v>181</v>
      </c>
      <c r="C3476" t="s">
        <v>3060</v>
      </c>
      <c r="D3476" t="s">
        <v>3060</v>
      </c>
      <c r="E3476" t="s">
        <v>241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3068</v>
      </c>
      <c r="B3477" t="s">
        <v>183</v>
      </c>
      <c r="C3477" t="s">
        <v>3060</v>
      </c>
      <c r="D3477" t="s">
        <v>3060</v>
      </c>
      <c r="E3477" t="s">
        <v>184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3069</v>
      </c>
      <c r="B3478" t="s">
        <v>908</v>
      </c>
      <c r="C3478" t="s">
        <v>3060</v>
      </c>
      <c r="D3478" t="s">
        <v>3522</v>
      </c>
      <c r="E3478" t="s">
        <v>2012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3069</v>
      </c>
      <c r="B3479" t="s">
        <v>3523</v>
      </c>
      <c r="C3479" t="s">
        <v>3060</v>
      </c>
      <c r="D3479" t="s">
        <v>3524</v>
      </c>
      <c r="E3479" t="s">
        <v>2380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3069</v>
      </c>
      <c r="B3480" t="s">
        <v>3525</v>
      </c>
      <c r="C3480" t="s">
        <v>3060</v>
      </c>
      <c r="D3480" t="s">
        <v>3524</v>
      </c>
      <c r="E3480" t="s">
        <v>2382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3069</v>
      </c>
      <c r="B3481" t="s">
        <v>916</v>
      </c>
      <c r="C3481" t="s">
        <v>3060</v>
      </c>
      <c r="D3481" t="s">
        <v>3060</v>
      </c>
      <c r="E3481" t="s">
        <v>2319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3069</v>
      </c>
      <c r="B3482" t="s">
        <v>3526</v>
      </c>
      <c r="C3482" t="s">
        <v>3060</v>
      </c>
      <c r="D3482" t="s">
        <v>3527</v>
      </c>
      <c r="E3482" t="s">
        <v>3528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3069</v>
      </c>
      <c r="B3483" t="s">
        <v>3526</v>
      </c>
      <c r="C3483" t="s">
        <v>3060</v>
      </c>
      <c r="D3483" t="s">
        <v>3527</v>
      </c>
      <c r="E3483" t="s">
        <v>3528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3069</v>
      </c>
      <c r="B3484" t="s">
        <v>3529</v>
      </c>
      <c r="C3484" t="s">
        <v>3060</v>
      </c>
      <c r="D3484" t="s">
        <v>3530</v>
      </c>
      <c r="E3484" t="s">
        <v>3531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3069</v>
      </c>
      <c r="B3485" t="s">
        <v>3532</v>
      </c>
      <c r="C3485" t="s">
        <v>3060</v>
      </c>
      <c r="D3485" t="s">
        <v>3533</v>
      </c>
      <c r="E3485" t="s">
        <v>3534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3069</v>
      </c>
      <c r="B3486" t="s">
        <v>2780</v>
      </c>
      <c r="C3486" t="s">
        <v>3060</v>
      </c>
      <c r="D3486" t="s">
        <v>3535</v>
      </c>
      <c r="E3486" t="s">
        <v>582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3069</v>
      </c>
      <c r="B3487" t="s">
        <v>3536</v>
      </c>
      <c r="C3487" t="s">
        <v>3060</v>
      </c>
      <c r="D3487" t="s">
        <v>3537</v>
      </c>
      <c r="E3487" t="s">
        <v>505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3069</v>
      </c>
      <c r="B3488" t="s">
        <v>918</v>
      </c>
      <c r="C3488" t="s">
        <v>3060</v>
      </c>
      <c r="D3488" t="s">
        <v>3538</v>
      </c>
      <c r="E3488" t="s">
        <v>2319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3069</v>
      </c>
      <c r="B3489" t="s">
        <v>3525</v>
      </c>
      <c r="C3489" t="s">
        <v>3060</v>
      </c>
      <c r="D3489" t="s">
        <v>3524</v>
      </c>
      <c r="E3489" t="s">
        <v>2382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3069</v>
      </c>
      <c r="B3490" t="s">
        <v>3539</v>
      </c>
      <c r="C3490" t="s">
        <v>3060</v>
      </c>
      <c r="D3490" t="s">
        <v>3540</v>
      </c>
      <c r="E3490" t="s">
        <v>202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3069</v>
      </c>
      <c r="B3491" t="s">
        <v>3541</v>
      </c>
      <c r="C3491" t="s">
        <v>3060</v>
      </c>
      <c r="D3491" t="s">
        <v>3524</v>
      </c>
      <c r="E3491" t="s">
        <v>202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3069</v>
      </c>
      <c r="B3492" t="s">
        <v>914</v>
      </c>
      <c r="C3492" t="s">
        <v>3060</v>
      </c>
      <c r="D3492" t="s">
        <v>3060</v>
      </c>
      <c r="E3492" t="s">
        <v>2319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3069</v>
      </c>
      <c r="B3493" t="s">
        <v>916</v>
      </c>
      <c r="C3493" t="s">
        <v>3060</v>
      </c>
      <c r="D3493" t="s">
        <v>3060</v>
      </c>
      <c r="E3493" t="s">
        <v>2319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3069</v>
      </c>
      <c r="B3494" t="s">
        <v>912</v>
      </c>
      <c r="C3494" t="s">
        <v>3060</v>
      </c>
      <c r="D3494" t="s">
        <v>3542</v>
      </c>
      <c r="E3494" t="s">
        <v>202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3069</v>
      </c>
      <c r="B3495" t="s">
        <v>3516</v>
      </c>
      <c r="C3495" t="s">
        <v>3060</v>
      </c>
      <c r="D3495" t="s">
        <v>3542</v>
      </c>
      <c r="E3495" t="s">
        <v>202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3069</v>
      </c>
      <c r="B3496" t="s">
        <v>3543</v>
      </c>
      <c r="C3496" t="s">
        <v>3060</v>
      </c>
      <c r="D3496" t="s">
        <v>3540</v>
      </c>
      <c r="E3496" t="s">
        <v>3331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3069</v>
      </c>
      <c r="B3497" t="s">
        <v>3523</v>
      </c>
      <c r="C3497" t="s">
        <v>3060</v>
      </c>
      <c r="D3497" t="s">
        <v>3524</v>
      </c>
      <c r="E3497" t="s">
        <v>2380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3069</v>
      </c>
      <c r="B3498" t="s">
        <v>3544</v>
      </c>
      <c r="C3498" t="s">
        <v>3060</v>
      </c>
      <c r="D3498" t="s">
        <v>3524</v>
      </c>
      <c r="E3498" t="s">
        <v>2380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3069</v>
      </c>
      <c r="B3499" t="s">
        <v>3545</v>
      </c>
      <c r="C3499" t="s">
        <v>3060</v>
      </c>
      <c r="D3499" t="s">
        <v>3524</v>
      </c>
      <c r="E3499" t="s">
        <v>202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3069</v>
      </c>
      <c r="B3500" t="s">
        <v>676</v>
      </c>
      <c r="C3500" t="s">
        <v>3060</v>
      </c>
      <c r="D3500" t="s">
        <v>3546</v>
      </c>
      <c r="E3500" t="s">
        <v>1832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3069</v>
      </c>
      <c r="B3501" t="s">
        <v>911</v>
      </c>
      <c r="C3501" t="s">
        <v>3060</v>
      </c>
      <c r="D3501" t="s">
        <v>3538</v>
      </c>
      <c r="E3501" t="s">
        <v>1832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3069</v>
      </c>
      <c r="B3502" t="s">
        <v>674</v>
      </c>
      <c r="C3502" t="s">
        <v>3060</v>
      </c>
      <c r="D3502" t="s">
        <v>3060</v>
      </c>
      <c r="E3502" t="s">
        <v>1832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3069</v>
      </c>
      <c r="B3503" t="s">
        <v>672</v>
      </c>
      <c r="C3503" t="s">
        <v>3060</v>
      </c>
      <c r="D3503" t="s">
        <v>3522</v>
      </c>
      <c r="E3503" t="s">
        <v>2380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3069</v>
      </c>
      <c r="B3504" t="s">
        <v>3519</v>
      </c>
      <c r="C3504" t="s">
        <v>3060</v>
      </c>
      <c r="D3504" t="s">
        <v>3522</v>
      </c>
      <c r="E3504" t="s">
        <v>2380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3069</v>
      </c>
      <c r="B3505" t="s">
        <v>3547</v>
      </c>
      <c r="C3505" t="s">
        <v>3060</v>
      </c>
      <c r="D3505" t="s">
        <v>3542</v>
      </c>
      <c r="E3505" t="s">
        <v>2380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3069</v>
      </c>
      <c r="B3506" t="s">
        <v>908</v>
      </c>
      <c r="C3506" t="s">
        <v>3060</v>
      </c>
      <c r="D3506" t="s">
        <v>3522</v>
      </c>
      <c r="E3506" t="s">
        <v>2012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3069</v>
      </c>
      <c r="B3507" t="s">
        <v>3548</v>
      </c>
      <c r="C3507" t="s">
        <v>3060</v>
      </c>
      <c r="D3507" t="s">
        <v>3542</v>
      </c>
      <c r="E3507" t="s">
        <v>2380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3069</v>
      </c>
      <c r="B3508" t="s">
        <v>229</v>
      </c>
      <c r="C3508" t="s">
        <v>3060</v>
      </c>
      <c r="D3508" t="s">
        <v>3060</v>
      </c>
      <c r="E3508" t="s">
        <v>194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3069</v>
      </c>
      <c r="B3509" t="s">
        <v>3549</v>
      </c>
      <c r="C3509" t="s">
        <v>3060</v>
      </c>
      <c r="D3509" t="s">
        <v>3060</v>
      </c>
      <c r="E3509" t="s">
        <v>194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3069</v>
      </c>
      <c r="B3510" t="s">
        <v>230</v>
      </c>
      <c r="C3510" t="s">
        <v>3060</v>
      </c>
      <c r="D3510" t="s">
        <v>3060</v>
      </c>
      <c r="E3510" t="s">
        <v>194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3069</v>
      </c>
      <c r="B3511" t="s">
        <v>231</v>
      </c>
      <c r="C3511" t="s">
        <v>3060</v>
      </c>
      <c r="D3511" t="s">
        <v>3060</v>
      </c>
      <c r="E3511" t="s">
        <v>194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3069</v>
      </c>
      <c r="B3512" t="s">
        <v>3550</v>
      </c>
      <c r="C3512" t="s">
        <v>3060</v>
      </c>
      <c r="D3512" t="s">
        <v>3060</v>
      </c>
      <c r="E3512" t="s">
        <v>2374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3069</v>
      </c>
      <c r="B3513" t="s">
        <v>178</v>
      </c>
      <c r="C3513" t="s">
        <v>3060</v>
      </c>
      <c r="D3513" t="s">
        <v>3060</v>
      </c>
      <c r="E3513" t="s">
        <v>235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3069</v>
      </c>
      <c r="B3514" t="s">
        <v>238</v>
      </c>
      <c r="C3514" t="s">
        <v>3060</v>
      </c>
      <c r="D3514" t="s">
        <v>3060</v>
      </c>
      <c r="E3514" t="s">
        <v>220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3069</v>
      </c>
      <c r="B3515" t="s">
        <v>180</v>
      </c>
      <c r="C3515" t="s">
        <v>3060</v>
      </c>
      <c r="D3515" t="s">
        <v>3060</v>
      </c>
      <c r="E3515" t="s">
        <v>220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3069</v>
      </c>
      <c r="B3516" t="s">
        <v>181</v>
      </c>
      <c r="C3516" t="s">
        <v>3060</v>
      </c>
      <c r="D3516" t="s">
        <v>3060</v>
      </c>
      <c r="E3516" t="s">
        <v>241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3069</v>
      </c>
      <c r="B3517" t="s">
        <v>242</v>
      </c>
      <c r="C3517" t="s">
        <v>3060</v>
      </c>
      <c r="D3517" t="s">
        <v>3060</v>
      </c>
      <c r="E3517" t="s">
        <v>243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3069</v>
      </c>
      <c r="B3518" t="s">
        <v>327</v>
      </c>
      <c r="C3518" t="s">
        <v>3060</v>
      </c>
      <c r="D3518" t="s">
        <v>3060</v>
      </c>
      <c r="E3518" t="s">
        <v>243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3069</v>
      </c>
      <c r="B3519" t="s">
        <v>183</v>
      </c>
      <c r="C3519" t="s">
        <v>3060</v>
      </c>
      <c r="D3519" t="s">
        <v>3060</v>
      </c>
      <c r="E3519" t="s">
        <v>184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3070</v>
      </c>
      <c r="B3520" t="s">
        <v>3551</v>
      </c>
      <c r="C3520" t="s">
        <v>3060</v>
      </c>
      <c r="D3520" t="s">
        <v>3552</v>
      </c>
      <c r="E3520" t="s">
        <v>554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3070</v>
      </c>
      <c r="B3521" t="s">
        <v>3553</v>
      </c>
      <c r="C3521" t="s">
        <v>3060</v>
      </c>
      <c r="D3521" t="s">
        <v>3060</v>
      </c>
      <c r="E3521" t="s">
        <v>258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3070</v>
      </c>
      <c r="B3522" t="s">
        <v>610</v>
      </c>
      <c r="C3522" t="s">
        <v>3060</v>
      </c>
      <c r="D3522" t="s">
        <v>3060</v>
      </c>
      <c r="E3522" t="s">
        <v>287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3070</v>
      </c>
      <c r="B3523" t="s">
        <v>3554</v>
      </c>
      <c r="C3523" t="s">
        <v>3060</v>
      </c>
      <c r="D3523" t="s">
        <v>3552</v>
      </c>
      <c r="E3523" t="s">
        <v>3408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3070</v>
      </c>
      <c r="B3524" t="s">
        <v>2038</v>
      </c>
      <c r="C3524" t="s">
        <v>3060</v>
      </c>
      <c r="D3524" t="s">
        <v>3060</v>
      </c>
      <c r="E3524" t="s">
        <v>212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3070</v>
      </c>
      <c r="B3525" t="s">
        <v>3555</v>
      </c>
      <c r="C3525" t="s">
        <v>3060</v>
      </c>
      <c r="D3525" t="s">
        <v>3556</v>
      </c>
      <c r="E3525" t="s">
        <v>3557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3070</v>
      </c>
      <c r="B3526" t="s">
        <v>3558</v>
      </c>
      <c r="C3526" t="s">
        <v>3060</v>
      </c>
      <c r="D3526" t="s">
        <v>3060</v>
      </c>
      <c r="E3526" t="s">
        <v>401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3070</v>
      </c>
      <c r="B3527" t="s">
        <v>3553</v>
      </c>
      <c r="C3527" t="s">
        <v>3060</v>
      </c>
      <c r="D3527" t="s">
        <v>3060</v>
      </c>
      <c r="E3527" t="s">
        <v>258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3070</v>
      </c>
      <c r="B3528" t="s">
        <v>3559</v>
      </c>
      <c r="C3528" t="s">
        <v>3060</v>
      </c>
      <c r="D3528" t="s">
        <v>3060</v>
      </c>
      <c r="E3528" t="s">
        <v>1832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3070</v>
      </c>
      <c r="B3529" t="s">
        <v>3560</v>
      </c>
      <c r="C3529" t="s">
        <v>3060</v>
      </c>
      <c r="D3529" t="s">
        <v>3060</v>
      </c>
      <c r="E3529" t="s">
        <v>582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3070</v>
      </c>
      <c r="B3530" t="s">
        <v>3561</v>
      </c>
      <c r="C3530" t="s">
        <v>3060</v>
      </c>
      <c r="D3530" t="s">
        <v>3060</v>
      </c>
      <c r="E3530" t="s">
        <v>636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3070</v>
      </c>
      <c r="B3531" t="s">
        <v>3562</v>
      </c>
      <c r="C3531" t="s">
        <v>3060</v>
      </c>
      <c r="D3531" t="s">
        <v>3060</v>
      </c>
      <c r="E3531" t="s">
        <v>418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3070</v>
      </c>
      <c r="B3532" t="s">
        <v>3563</v>
      </c>
      <c r="C3532" t="s">
        <v>3060</v>
      </c>
      <c r="D3532" t="s">
        <v>3060</v>
      </c>
      <c r="E3532" t="s">
        <v>197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3070</v>
      </c>
      <c r="B3533" t="s">
        <v>3564</v>
      </c>
      <c r="C3533" t="s">
        <v>3060</v>
      </c>
      <c r="D3533" t="s">
        <v>3060</v>
      </c>
      <c r="E3533" t="s">
        <v>425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3070</v>
      </c>
      <c r="B3534" t="s">
        <v>3551</v>
      </c>
      <c r="C3534" t="s">
        <v>3060</v>
      </c>
      <c r="D3534" t="s">
        <v>3552</v>
      </c>
      <c r="E3534" t="s">
        <v>554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3070</v>
      </c>
      <c r="B3535" t="s">
        <v>3565</v>
      </c>
      <c r="C3535" t="s">
        <v>3060</v>
      </c>
      <c r="D3535" t="s">
        <v>3566</v>
      </c>
      <c r="E3535" t="s">
        <v>3567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3070</v>
      </c>
      <c r="B3536" t="s">
        <v>3568</v>
      </c>
      <c r="C3536" t="s">
        <v>3060</v>
      </c>
      <c r="D3536" t="s">
        <v>3569</v>
      </c>
      <c r="E3536" t="s">
        <v>3570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3070</v>
      </c>
      <c r="B3537" t="s">
        <v>3571</v>
      </c>
      <c r="C3537" t="s">
        <v>3060</v>
      </c>
      <c r="D3537" t="s">
        <v>3572</v>
      </c>
      <c r="E3537" t="s">
        <v>3573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3070</v>
      </c>
      <c r="B3538" t="s">
        <v>3574</v>
      </c>
      <c r="C3538" t="s">
        <v>3060</v>
      </c>
      <c r="D3538" t="s">
        <v>3569</v>
      </c>
      <c r="E3538" t="s">
        <v>3575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3070</v>
      </c>
      <c r="B3539" t="s">
        <v>3576</v>
      </c>
      <c r="C3539" t="s">
        <v>3060</v>
      </c>
      <c r="D3539" t="s">
        <v>3569</v>
      </c>
      <c r="E3539" t="s">
        <v>3577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3070</v>
      </c>
      <c r="B3540" t="s">
        <v>3578</v>
      </c>
      <c r="C3540" t="s">
        <v>3060</v>
      </c>
      <c r="D3540" t="s">
        <v>3569</v>
      </c>
      <c r="E3540" t="s">
        <v>3579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3070</v>
      </c>
      <c r="B3541" t="s">
        <v>3580</v>
      </c>
      <c r="C3541" t="s">
        <v>3060</v>
      </c>
      <c r="D3541" t="s">
        <v>3569</v>
      </c>
      <c r="E3541" t="s">
        <v>3581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3070</v>
      </c>
      <c r="B3542" t="s">
        <v>3582</v>
      </c>
      <c r="C3542" t="s">
        <v>3060</v>
      </c>
      <c r="D3542" t="s">
        <v>3569</v>
      </c>
      <c r="E3542" t="s">
        <v>3583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3070</v>
      </c>
      <c r="B3543" t="s">
        <v>3584</v>
      </c>
      <c r="C3543" t="s">
        <v>3060</v>
      </c>
      <c r="D3543" t="s">
        <v>3569</v>
      </c>
      <c r="E3543" t="s">
        <v>3585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3070</v>
      </c>
      <c r="B3544" t="s">
        <v>3586</v>
      </c>
      <c r="C3544" t="s">
        <v>3060</v>
      </c>
      <c r="D3544" t="s">
        <v>3569</v>
      </c>
      <c r="E3544" t="s">
        <v>3587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3070</v>
      </c>
      <c r="B3545" t="s">
        <v>3588</v>
      </c>
      <c r="C3545" t="s">
        <v>3060</v>
      </c>
      <c r="D3545" t="s">
        <v>3060</v>
      </c>
      <c r="E3545" t="s">
        <v>479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3070</v>
      </c>
      <c r="B3546" t="s">
        <v>3589</v>
      </c>
      <c r="C3546" t="s">
        <v>3060</v>
      </c>
      <c r="D3546" t="s">
        <v>3060</v>
      </c>
      <c r="E3546" t="s">
        <v>2323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3070</v>
      </c>
      <c r="B3547" t="s">
        <v>3590</v>
      </c>
      <c r="C3547" t="s">
        <v>3060</v>
      </c>
      <c r="D3547" t="s">
        <v>3060</v>
      </c>
      <c r="E3547" t="s">
        <v>277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3070</v>
      </c>
      <c r="B3548" t="s">
        <v>3591</v>
      </c>
      <c r="C3548" t="s">
        <v>3060</v>
      </c>
      <c r="D3548" t="s">
        <v>3060</v>
      </c>
      <c r="E3548" t="s">
        <v>1483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3070</v>
      </c>
      <c r="B3549" t="s">
        <v>3592</v>
      </c>
      <c r="C3549" t="s">
        <v>3060</v>
      </c>
      <c r="D3549" t="s">
        <v>3060</v>
      </c>
      <c r="E3549" t="s">
        <v>801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3070</v>
      </c>
      <c r="B3550" t="s">
        <v>3593</v>
      </c>
      <c r="C3550" t="s">
        <v>3060</v>
      </c>
      <c r="D3550" t="s">
        <v>3060</v>
      </c>
      <c r="E3550" t="s">
        <v>3594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3070</v>
      </c>
      <c r="B3551" t="s">
        <v>3595</v>
      </c>
      <c r="C3551" t="s">
        <v>3060</v>
      </c>
      <c r="D3551" t="s">
        <v>3060</v>
      </c>
      <c r="E3551" t="s">
        <v>3596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3070</v>
      </c>
      <c r="B3552" t="s">
        <v>3554</v>
      </c>
      <c r="C3552" t="s">
        <v>3060</v>
      </c>
      <c r="D3552" t="s">
        <v>3552</v>
      </c>
      <c r="E3552" t="s">
        <v>3408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3070</v>
      </c>
      <c r="B3553" t="s">
        <v>3597</v>
      </c>
      <c r="C3553" t="s">
        <v>3060</v>
      </c>
      <c r="D3553" t="s">
        <v>3060</v>
      </c>
      <c r="E3553" t="s">
        <v>3598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3070</v>
      </c>
      <c r="B3554" t="s">
        <v>2038</v>
      </c>
      <c r="C3554" t="s">
        <v>3060</v>
      </c>
      <c r="D3554" t="s">
        <v>3060</v>
      </c>
      <c r="E3554" t="s">
        <v>212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3070</v>
      </c>
      <c r="B3555" t="s">
        <v>610</v>
      </c>
      <c r="C3555" t="s">
        <v>3060</v>
      </c>
      <c r="D3555" t="s">
        <v>3060</v>
      </c>
      <c r="E3555" t="s">
        <v>287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3070</v>
      </c>
      <c r="B3556" t="s">
        <v>3599</v>
      </c>
      <c r="C3556" t="s">
        <v>3060</v>
      </c>
      <c r="D3556" t="s">
        <v>3600</v>
      </c>
      <c r="E3556" t="s">
        <v>256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3070</v>
      </c>
      <c r="B3557" t="s">
        <v>3601</v>
      </c>
      <c r="C3557" t="s">
        <v>3060</v>
      </c>
      <c r="D3557" t="s">
        <v>3602</v>
      </c>
      <c r="E3557" t="s">
        <v>256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3070</v>
      </c>
      <c r="B3558" t="s">
        <v>3603</v>
      </c>
      <c r="C3558" t="s">
        <v>3060</v>
      </c>
      <c r="D3558" t="s">
        <v>3060</v>
      </c>
      <c r="E3558" t="s">
        <v>256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3070</v>
      </c>
      <c r="B3559" t="s">
        <v>229</v>
      </c>
      <c r="C3559" t="s">
        <v>3060</v>
      </c>
      <c r="D3559" t="s">
        <v>3060</v>
      </c>
      <c r="E3559" t="s">
        <v>252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3070</v>
      </c>
      <c r="B3560" t="s">
        <v>230</v>
      </c>
      <c r="C3560" t="s">
        <v>3060</v>
      </c>
      <c r="D3560" t="s">
        <v>3060</v>
      </c>
      <c r="E3560" t="s">
        <v>252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3070</v>
      </c>
      <c r="B3561" t="s">
        <v>233</v>
      </c>
      <c r="C3561" t="s">
        <v>3060</v>
      </c>
      <c r="D3561" t="s">
        <v>3060</v>
      </c>
      <c r="E3561" t="s">
        <v>252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3070</v>
      </c>
      <c r="B3562" t="s">
        <v>232</v>
      </c>
      <c r="C3562" t="s">
        <v>3060</v>
      </c>
      <c r="D3562" t="s">
        <v>3060</v>
      </c>
      <c r="E3562" t="s">
        <v>252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3070</v>
      </c>
      <c r="B3563" t="s">
        <v>175</v>
      </c>
      <c r="C3563" t="s">
        <v>3060</v>
      </c>
      <c r="D3563" t="s">
        <v>3060</v>
      </c>
      <c r="E3563" t="s">
        <v>279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3070</v>
      </c>
      <c r="B3564" t="s">
        <v>238</v>
      </c>
      <c r="C3564" t="s">
        <v>3060</v>
      </c>
      <c r="D3564" t="s">
        <v>3060</v>
      </c>
      <c r="E3564" t="s">
        <v>286</v>
      </c>
    </row>
    <row r="3565" spans="1:34" x14ac:dyDescent="0.25">
      <c r="A3565" t="s">
        <v>3070</v>
      </c>
      <c r="B3565" t="s">
        <v>180</v>
      </c>
      <c r="C3565" t="s">
        <v>3060</v>
      </c>
      <c r="D3565" t="s">
        <v>3060</v>
      </c>
      <c r="E3565" t="s">
        <v>235</v>
      </c>
    </row>
    <row r="3566" spans="1:34" x14ac:dyDescent="0.25">
      <c r="A3566" t="s">
        <v>3070</v>
      </c>
      <c r="B3566" t="s">
        <v>181</v>
      </c>
      <c r="C3566" t="s">
        <v>3060</v>
      </c>
      <c r="D3566" t="s">
        <v>3060</v>
      </c>
      <c r="E3566" t="s">
        <v>286</v>
      </c>
    </row>
    <row r="3567" spans="1:34" x14ac:dyDescent="0.25">
      <c r="A3567" t="s">
        <v>3070</v>
      </c>
      <c r="B3567" t="s">
        <v>183</v>
      </c>
      <c r="C3567" t="s">
        <v>3060</v>
      </c>
      <c r="D3567" t="s">
        <v>3060</v>
      </c>
      <c r="E3567" t="s">
        <v>184</v>
      </c>
    </row>
    <row r="3568" spans="1:34" x14ac:dyDescent="0.25">
      <c r="A3568" t="s">
        <v>3072</v>
      </c>
      <c r="B3568" t="s">
        <v>3604</v>
      </c>
      <c r="C3568" t="s">
        <v>3060</v>
      </c>
      <c r="D3568" t="s">
        <v>3605</v>
      </c>
      <c r="E3568" t="s">
        <v>401</v>
      </c>
    </row>
    <row r="3569" spans="1:5" x14ac:dyDescent="0.25">
      <c r="A3569" t="s">
        <v>3072</v>
      </c>
      <c r="B3569" t="s">
        <v>3606</v>
      </c>
      <c r="C3569" t="s">
        <v>3060</v>
      </c>
      <c r="D3569" t="s">
        <v>3607</v>
      </c>
      <c r="E3569" t="s">
        <v>254</v>
      </c>
    </row>
    <row r="3570" spans="1:5" x14ac:dyDescent="0.25">
      <c r="A3570" t="s">
        <v>3072</v>
      </c>
      <c r="B3570" t="s">
        <v>3608</v>
      </c>
      <c r="C3570" t="s">
        <v>3060</v>
      </c>
      <c r="D3570" t="s">
        <v>3607</v>
      </c>
      <c r="E3570" t="s">
        <v>369</v>
      </c>
    </row>
    <row r="3571" spans="1:5" x14ac:dyDescent="0.25">
      <c r="A3571" t="s">
        <v>3072</v>
      </c>
      <c r="B3571" t="s">
        <v>3609</v>
      </c>
      <c r="C3571" t="s">
        <v>3060</v>
      </c>
      <c r="D3571" t="s">
        <v>3060</v>
      </c>
      <c r="E3571" t="s">
        <v>214</v>
      </c>
    </row>
    <row r="3572" spans="1:5" x14ac:dyDescent="0.25">
      <c r="A3572" t="s">
        <v>3072</v>
      </c>
      <c r="B3572" t="s">
        <v>3610</v>
      </c>
      <c r="C3572" t="s">
        <v>3060</v>
      </c>
      <c r="D3572" t="s">
        <v>3060</v>
      </c>
      <c r="E3572" t="s">
        <v>256</v>
      </c>
    </row>
    <row r="3573" spans="1:5" x14ac:dyDescent="0.25">
      <c r="A3573" t="s">
        <v>3072</v>
      </c>
      <c r="B3573" t="s">
        <v>3611</v>
      </c>
      <c r="C3573" t="s">
        <v>3060</v>
      </c>
      <c r="D3573" t="s">
        <v>3607</v>
      </c>
      <c r="E3573" t="s">
        <v>437</v>
      </c>
    </row>
    <row r="3574" spans="1:5" x14ac:dyDescent="0.25">
      <c r="A3574" t="s">
        <v>3072</v>
      </c>
      <c r="B3574" t="s">
        <v>2657</v>
      </c>
      <c r="C3574" t="s">
        <v>3060</v>
      </c>
      <c r="D3574" t="s">
        <v>3060</v>
      </c>
      <c r="E3574" t="s">
        <v>287</v>
      </c>
    </row>
    <row r="3575" spans="1:5" x14ac:dyDescent="0.25">
      <c r="A3575" t="s">
        <v>3072</v>
      </c>
      <c r="B3575" t="s">
        <v>3606</v>
      </c>
      <c r="C3575" t="s">
        <v>3060</v>
      </c>
      <c r="D3575" t="s">
        <v>3607</v>
      </c>
      <c r="E3575" t="s">
        <v>254</v>
      </c>
    </row>
    <row r="3576" spans="1:5" x14ac:dyDescent="0.25">
      <c r="A3576" t="s">
        <v>3072</v>
      </c>
      <c r="B3576" t="s">
        <v>3612</v>
      </c>
      <c r="C3576" t="s">
        <v>3060</v>
      </c>
      <c r="D3576" t="s">
        <v>3613</v>
      </c>
      <c r="E3576" t="s">
        <v>254</v>
      </c>
    </row>
    <row r="3577" spans="1:5" x14ac:dyDescent="0.25">
      <c r="A3577" t="s">
        <v>3072</v>
      </c>
      <c r="B3577" t="s">
        <v>3614</v>
      </c>
      <c r="C3577" t="s">
        <v>3060</v>
      </c>
      <c r="D3577" t="s">
        <v>3615</v>
      </c>
      <c r="E3577" t="s">
        <v>254</v>
      </c>
    </row>
    <row r="3578" spans="1:5" x14ac:dyDescent="0.25">
      <c r="A3578" t="s">
        <v>3072</v>
      </c>
      <c r="B3578" t="s">
        <v>3616</v>
      </c>
      <c r="C3578" t="s">
        <v>3060</v>
      </c>
      <c r="D3578" t="s">
        <v>3617</v>
      </c>
      <c r="E3578" t="s">
        <v>254</v>
      </c>
    </row>
    <row r="3579" spans="1:5" x14ac:dyDescent="0.25">
      <c r="A3579" t="s">
        <v>3072</v>
      </c>
      <c r="B3579" t="s">
        <v>3618</v>
      </c>
      <c r="C3579" t="s">
        <v>3060</v>
      </c>
      <c r="D3579" t="s">
        <v>3619</v>
      </c>
      <c r="E3579" t="s">
        <v>366</v>
      </c>
    </row>
    <row r="3580" spans="1:5" x14ac:dyDescent="0.25">
      <c r="A3580" t="s">
        <v>3072</v>
      </c>
      <c r="B3580" t="s">
        <v>3620</v>
      </c>
      <c r="C3580" t="s">
        <v>3060</v>
      </c>
      <c r="D3580" t="s">
        <v>3621</v>
      </c>
      <c r="E3580" t="s">
        <v>254</v>
      </c>
    </row>
    <row r="3581" spans="1:5" x14ac:dyDescent="0.25">
      <c r="A3581" t="s">
        <v>3072</v>
      </c>
      <c r="B3581" t="s">
        <v>3622</v>
      </c>
      <c r="C3581" t="s">
        <v>3060</v>
      </c>
      <c r="D3581" t="s">
        <v>3607</v>
      </c>
      <c r="E3581" t="s">
        <v>541</v>
      </c>
    </row>
    <row r="3582" spans="1:5" x14ac:dyDescent="0.25">
      <c r="A3582" t="s">
        <v>3072</v>
      </c>
      <c r="B3582" t="s">
        <v>3623</v>
      </c>
      <c r="C3582" t="s">
        <v>3060</v>
      </c>
      <c r="D3582" t="s">
        <v>3613</v>
      </c>
      <c r="E3582" t="s">
        <v>541</v>
      </c>
    </row>
    <row r="3583" spans="1:5" x14ac:dyDescent="0.25">
      <c r="A3583" t="s">
        <v>3072</v>
      </c>
      <c r="B3583" t="s">
        <v>3624</v>
      </c>
      <c r="C3583" t="s">
        <v>3060</v>
      </c>
      <c r="D3583" t="s">
        <v>3615</v>
      </c>
      <c r="E3583" t="s">
        <v>541</v>
      </c>
    </row>
    <row r="3584" spans="1:5" x14ac:dyDescent="0.25">
      <c r="A3584" t="s">
        <v>3072</v>
      </c>
      <c r="B3584" t="s">
        <v>3625</v>
      </c>
      <c r="C3584" t="s">
        <v>3060</v>
      </c>
      <c r="D3584" t="s">
        <v>3617</v>
      </c>
      <c r="E3584" t="s">
        <v>541</v>
      </c>
    </row>
    <row r="3585" spans="1:5" x14ac:dyDescent="0.25">
      <c r="A3585" t="s">
        <v>3072</v>
      </c>
      <c r="B3585" t="s">
        <v>3626</v>
      </c>
      <c r="C3585" t="s">
        <v>3060</v>
      </c>
      <c r="D3585" t="s">
        <v>3619</v>
      </c>
      <c r="E3585" t="s">
        <v>277</v>
      </c>
    </row>
    <row r="3586" spans="1:5" x14ac:dyDescent="0.25">
      <c r="A3586" t="s">
        <v>3072</v>
      </c>
      <c r="B3586" t="s">
        <v>3627</v>
      </c>
      <c r="C3586" t="s">
        <v>3060</v>
      </c>
      <c r="D3586" t="s">
        <v>3621</v>
      </c>
      <c r="E3586" t="s">
        <v>541</v>
      </c>
    </row>
    <row r="3587" spans="1:5" x14ac:dyDescent="0.25">
      <c r="A3587" t="s">
        <v>3072</v>
      </c>
      <c r="B3587" t="s">
        <v>3628</v>
      </c>
      <c r="C3587" t="s">
        <v>3060</v>
      </c>
      <c r="D3587" t="s">
        <v>3607</v>
      </c>
      <c r="E3587" t="s">
        <v>277</v>
      </c>
    </row>
    <row r="3588" spans="1:5" x14ac:dyDescent="0.25">
      <c r="A3588" t="s">
        <v>3072</v>
      </c>
      <c r="B3588" t="s">
        <v>3629</v>
      </c>
      <c r="C3588" t="s">
        <v>3060</v>
      </c>
      <c r="D3588" t="s">
        <v>3613</v>
      </c>
      <c r="E3588" t="s">
        <v>277</v>
      </c>
    </row>
    <row r="3589" spans="1:5" x14ac:dyDescent="0.25">
      <c r="A3589" t="s">
        <v>3072</v>
      </c>
      <c r="B3589" t="s">
        <v>3630</v>
      </c>
      <c r="C3589" t="s">
        <v>3060</v>
      </c>
      <c r="D3589" t="s">
        <v>3615</v>
      </c>
      <c r="E3589" t="s">
        <v>277</v>
      </c>
    </row>
    <row r="3590" spans="1:5" x14ac:dyDescent="0.25">
      <c r="A3590" t="s">
        <v>3072</v>
      </c>
      <c r="B3590" t="s">
        <v>3631</v>
      </c>
      <c r="C3590" t="s">
        <v>3060</v>
      </c>
      <c r="D3590" t="s">
        <v>3617</v>
      </c>
      <c r="E3590" t="s">
        <v>277</v>
      </c>
    </row>
    <row r="3591" spans="1:5" x14ac:dyDescent="0.25">
      <c r="A3591" t="s">
        <v>3072</v>
      </c>
      <c r="B3591" t="s">
        <v>3632</v>
      </c>
      <c r="C3591" t="s">
        <v>3060</v>
      </c>
      <c r="D3591" t="s">
        <v>3619</v>
      </c>
      <c r="E3591" t="s">
        <v>369</v>
      </c>
    </row>
    <row r="3592" spans="1:5" x14ac:dyDescent="0.25">
      <c r="A3592" t="s">
        <v>3072</v>
      </c>
      <c r="B3592" t="s">
        <v>3633</v>
      </c>
      <c r="C3592" t="s">
        <v>3060</v>
      </c>
      <c r="D3592" t="s">
        <v>3621</v>
      </c>
      <c r="E3592" t="s">
        <v>369</v>
      </c>
    </row>
    <row r="3593" spans="1:5" x14ac:dyDescent="0.25">
      <c r="A3593" t="s">
        <v>3072</v>
      </c>
      <c r="B3593" t="s">
        <v>3608</v>
      </c>
      <c r="C3593" t="s">
        <v>3060</v>
      </c>
      <c r="D3593" t="s">
        <v>3607</v>
      </c>
      <c r="E3593" t="s">
        <v>369</v>
      </c>
    </row>
    <row r="3594" spans="1:5" x14ac:dyDescent="0.25">
      <c r="A3594" t="s">
        <v>3072</v>
      </c>
      <c r="B3594" t="s">
        <v>3634</v>
      </c>
      <c r="C3594" t="s">
        <v>3060</v>
      </c>
      <c r="D3594" t="s">
        <v>3613</v>
      </c>
      <c r="E3594" t="s">
        <v>369</v>
      </c>
    </row>
    <row r="3595" spans="1:5" x14ac:dyDescent="0.25">
      <c r="A3595" t="s">
        <v>3072</v>
      </c>
      <c r="B3595" t="s">
        <v>3635</v>
      </c>
      <c r="C3595" t="s">
        <v>3060</v>
      </c>
      <c r="D3595" t="s">
        <v>3615</v>
      </c>
      <c r="E3595" t="s">
        <v>369</v>
      </c>
    </row>
    <row r="3596" spans="1:5" x14ac:dyDescent="0.25">
      <c r="A3596" t="s">
        <v>3072</v>
      </c>
      <c r="B3596" t="s">
        <v>3636</v>
      </c>
      <c r="C3596" t="s">
        <v>3060</v>
      </c>
      <c r="D3596" t="s">
        <v>3617</v>
      </c>
      <c r="E3596" t="s">
        <v>369</v>
      </c>
    </row>
    <row r="3597" spans="1:5" x14ac:dyDescent="0.25">
      <c r="A3597" t="s">
        <v>3072</v>
      </c>
      <c r="B3597" t="s">
        <v>3637</v>
      </c>
      <c r="C3597" t="s">
        <v>3060</v>
      </c>
      <c r="D3597" t="s">
        <v>3619</v>
      </c>
      <c r="E3597" t="s">
        <v>801</v>
      </c>
    </row>
    <row r="3598" spans="1:5" x14ac:dyDescent="0.25">
      <c r="A3598" t="s">
        <v>3072</v>
      </c>
      <c r="B3598" t="s">
        <v>3638</v>
      </c>
      <c r="C3598" t="s">
        <v>3060</v>
      </c>
      <c r="D3598" t="s">
        <v>3621</v>
      </c>
      <c r="E3598" t="s">
        <v>369</v>
      </c>
    </row>
    <row r="3599" spans="1:5" x14ac:dyDescent="0.25">
      <c r="A3599" t="s">
        <v>3072</v>
      </c>
      <c r="B3599" t="s">
        <v>229</v>
      </c>
      <c r="C3599" t="s">
        <v>3060</v>
      </c>
      <c r="D3599" t="s">
        <v>3060</v>
      </c>
      <c r="E3599" t="s">
        <v>575</v>
      </c>
    </row>
    <row r="3600" spans="1:5" x14ac:dyDescent="0.25">
      <c r="A3600" t="s">
        <v>3072</v>
      </c>
      <c r="B3600" t="s">
        <v>230</v>
      </c>
      <c r="C3600" t="s">
        <v>3060</v>
      </c>
      <c r="D3600" t="s">
        <v>3060</v>
      </c>
      <c r="E3600" t="s">
        <v>575</v>
      </c>
    </row>
    <row r="3601" spans="1:5" x14ac:dyDescent="0.25">
      <c r="A3601" t="s">
        <v>3072</v>
      </c>
      <c r="B3601" t="s">
        <v>3639</v>
      </c>
      <c r="C3601" t="s">
        <v>3060</v>
      </c>
      <c r="D3601" t="s">
        <v>3060</v>
      </c>
      <c r="E3601" t="s">
        <v>575</v>
      </c>
    </row>
    <row r="3602" spans="1:5" x14ac:dyDescent="0.25">
      <c r="A3602" t="s">
        <v>3072</v>
      </c>
      <c r="B3602" t="s">
        <v>238</v>
      </c>
      <c r="C3602" t="s">
        <v>3060</v>
      </c>
      <c r="D3602" t="s">
        <v>3060</v>
      </c>
      <c r="E3602" t="s">
        <v>286</v>
      </c>
    </row>
    <row r="3603" spans="1:5" x14ac:dyDescent="0.25">
      <c r="A3603" t="s">
        <v>3072</v>
      </c>
      <c r="B3603" t="s">
        <v>242</v>
      </c>
      <c r="C3603" t="s">
        <v>3060</v>
      </c>
      <c r="D3603" t="s">
        <v>3060</v>
      </c>
      <c r="E3603" t="s">
        <v>268</v>
      </c>
    </row>
    <row r="3604" spans="1:5" x14ac:dyDescent="0.25">
      <c r="A3604" t="s">
        <v>3072</v>
      </c>
      <c r="B3604" t="s">
        <v>327</v>
      </c>
      <c r="C3604" t="s">
        <v>3060</v>
      </c>
      <c r="D3604" t="s">
        <v>3060</v>
      </c>
      <c r="E3604" t="s">
        <v>268</v>
      </c>
    </row>
    <row r="3605" spans="1:5" x14ac:dyDescent="0.25">
      <c r="A3605" t="s">
        <v>3072</v>
      </c>
      <c r="B3605" t="s">
        <v>691</v>
      </c>
      <c r="C3605" t="s">
        <v>3060</v>
      </c>
      <c r="D3605" t="s">
        <v>3060</v>
      </c>
      <c r="E3605" t="s">
        <v>253</v>
      </c>
    </row>
    <row r="3606" spans="1:5" x14ac:dyDescent="0.25">
      <c r="A3606" t="s">
        <v>3072</v>
      </c>
      <c r="B3606" t="s">
        <v>3640</v>
      </c>
      <c r="C3606" t="s">
        <v>3060</v>
      </c>
      <c r="D3606" t="s">
        <v>3060</v>
      </c>
      <c r="E3606" t="s">
        <v>401</v>
      </c>
    </row>
    <row r="3607" spans="1:5" x14ac:dyDescent="0.25">
      <c r="A3607" t="s">
        <v>3072</v>
      </c>
      <c r="B3607" t="s">
        <v>3641</v>
      </c>
      <c r="C3607" t="s">
        <v>3060</v>
      </c>
      <c r="D3607" t="s">
        <v>3060</v>
      </c>
      <c r="E3607" t="s">
        <v>212</v>
      </c>
    </row>
    <row r="3608" spans="1:5" x14ac:dyDescent="0.25">
      <c r="A3608" t="s">
        <v>3072</v>
      </c>
      <c r="B3608" t="s">
        <v>3604</v>
      </c>
      <c r="C3608" t="s">
        <v>3060</v>
      </c>
      <c r="D3608" t="s">
        <v>3605</v>
      </c>
      <c r="E3608" t="s">
        <v>401</v>
      </c>
    </row>
    <row r="3609" spans="1:5" x14ac:dyDescent="0.25">
      <c r="A3609" t="s">
        <v>3072</v>
      </c>
      <c r="B3609" t="s">
        <v>3642</v>
      </c>
      <c r="C3609" t="s">
        <v>3060</v>
      </c>
      <c r="D3609" t="s">
        <v>3060</v>
      </c>
      <c r="E3609" t="s">
        <v>212</v>
      </c>
    </row>
    <row r="3610" spans="1:5" x14ac:dyDescent="0.25">
      <c r="A3610" t="s">
        <v>3072</v>
      </c>
      <c r="B3610" t="s">
        <v>3610</v>
      </c>
      <c r="C3610" t="s">
        <v>3060</v>
      </c>
      <c r="D3610" t="s">
        <v>3060</v>
      </c>
      <c r="E3610" t="s">
        <v>256</v>
      </c>
    </row>
    <row r="3611" spans="1:5" x14ac:dyDescent="0.25">
      <c r="A3611" t="s">
        <v>3072</v>
      </c>
      <c r="B3611" t="s">
        <v>3643</v>
      </c>
      <c r="C3611" t="s">
        <v>3060</v>
      </c>
      <c r="D3611" t="s">
        <v>3060</v>
      </c>
      <c r="E3611" t="s">
        <v>267</v>
      </c>
    </row>
    <row r="3612" spans="1:5" x14ac:dyDescent="0.25">
      <c r="A3612" t="s">
        <v>3072</v>
      </c>
      <c r="B3612" t="s">
        <v>3609</v>
      </c>
      <c r="C3612" t="s">
        <v>3060</v>
      </c>
      <c r="D3612" t="s">
        <v>3060</v>
      </c>
      <c r="E3612" t="s">
        <v>214</v>
      </c>
    </row>
    <row r="3613" spans="1:5" x14ac:dyDescent="0.25">
      <c r="A3613" t="s">
        <v>3072</v>
      </c>
      <c r="B3613" t="s">
        <v>3644</v>
      </c>
      <c r="C3613" t="s">
        <v>3060</v>
      </c>
      <c r="D3613" t="s">
        <v>3645</v>
      </c>
      <c r="E3613" t="s">
        <v>272</v>
      </c>
    </row>
    <row r="3614" spans="1:5" x14ac:dyDescent="0.25">
      <c r="A3614" t="s">
        <v>3072</v>
      </c>
      <c r="B3614" t="s">
        <v>183</v>
      </c>
      <c r="C3614" t="s">
        <v>3060</v>
      </c>
      <c r="D3614" t="s">
        <v>3060</v>
      </c>
      <c r="E3614" t="s">
        <v>184</v>
      </c>
    </row>
    <row r="3615" spans="1:5" x14ac:dyDescent="0.25">
      <c r="A3615" t="s">
        <v>3074</v>
      </c>
      <c r="B3615" t="s">
        <v>658</v>
      </c>
      <c r="C3615" t="s">
        <v>3060</v>
      </c>
      <c r="D3615" t="s">
        <v>3646</v>
      </c>
      <c r="E3615" t="s">
        <v>272</v>
      </c>
    </row>
    <row r="3616" spans="1:5" x14ac:dyDescent="0.25">
      <c r="A3616" t="s">
        <v>3074</v>
      </c>
      <c r="B3616" t="s">
        <v>607</v>
      </c>
      <c r="C3616" t="s">
        <v>3060</v>
      </c>
      <c r="D3616" t="s">
        <v>3647</v>
      </c>
      <c r="E3616" t="s">
        <v>636</v>
      </c>
    </row>
    <row r="3617" spans="1:5" x14ac:dyDescent="0.25">
      <c r="A3617" t="s">
        <v>3074</v>
      </c>
      <c r="B3617" t="s">
        <v>2462</v>
      </c>
      <c r="C3617" t="s">
        <v>3060</v>
      </c>
      <c r="D3617" t="s">
        <v>3648</v>
      </c>
      <c r="E3617" t="s">
        <v>254</v>
      </c>
    </row>
    <row r="3618" spans="1:5" x14ac:dyDescent="0.25">
      <c r="A3618" t="s">
        <v>3074</v>
      </c>
      <c r="B3618" t="s">
        <v>610</v>
      </c>
      <c r="C3618" t="s">
        <v>3060</v>
      </c>
      <c r="D3618" t="s">
        <v>3649</v>
      </c>
      <c r="E3618" t="s">
        <v>287</v>
      </c>
    </row>
    <row r="3619" spans="1:5" x14ac:dyDescent="0.25">
      <c r="A3619" t="s">
        <v>3074</v>
      </c>
      <c r="B3619" t="s">
        <v>3650</v>
      </c>
      <c r="C3619" t="s">
        <v>3060</v>
      </c>
      <c r="D3619" t="s">
        <v>3060</v>
      </c>
      <c r="E3619" t="s">
        <v>272</v>
      </c>
    </row>
    <row r="3620" spans="1:5" x14ac:dyDescent="0.25">
      <c r="A3620" t="s">
        <v>3074</v>
      </c>
      <c r="B3620" t="s">
        <v>612</v>
      </c>
      <c r="C3620" t="s">
        <v>3060</v>
      </c>
      <c r="D3620" t="s">
        <v>3649</v>
      </c>
      <c r="E3620" t="s">
        <v>258</v>
      </c>
    </row>
    <row r="3621" spans="1:5" x14ac:dyDescent="0.25">
      <c r="A3621" t="s">
        <v>3074</v>
      </c>
      <c r="B3621" t="s">
        <v>610</v>
      </c>
      <c r="C3621" t="s">
        <v>3060</v>
      </c>
      <c r="D3621" t="s">
        <v>3649</v>
      </c>
      <c r="E3621" t="s">
        <v>287</v>
      </c>
    </row>
    <row r="3622" spans="1:5" x14ac:dyDescent="0.25">
      <c r="A3622" t="s">
        <v>3074</v>
      </c>
      <c r="B3622" t="s">
        <v>626</v>
      </c>
      <c r="C3622" t="s">
        <v>3060</v>
      </c>
      <c r="D3622" t="s">
        <v>3651</v>
      </c>
      <c r="E3622" t="s">
        <v>212</v>
      </c>
    </row>
    <row r="3623" spans="1:5" x14ac:dyDescent="0.25">
      <c r="A3623" t="s">
        <v>3074</v>
      </c>
      <c r="B3623" t="s">
        <v>3652</v>
      </c>
      <c r="C3623" t="s">
        <v>3060</v>
      </c>
      <c r="D3623" t="s">
        <v>3653</v>
      </c>
      <c r="E3623" t="s">
        <v>214</v>
      </c>
    </row>
    <row r="3624" spans="1:5" x14ac:dyDescent="0.25">
      <c r="A3624" t="s">
        <v>3074</v>
      </c>
      <c r="B3624" t="s">
        <v>625</v>
      </c>
      <c r="C3624" t="s">
        <v>3060</v>
      </c>
      <c r="D3624" t="s">
        <v>3654</v>
      </c>
      <c r="E3624" t="s">
        <v>264</v>
      </c>
    </row>
    <row r="3625" spans="1:5" x14ac:dyDescent="0.25">
      <c r="A3625" t="s">
        <v>3074</v>
      </c>
      <c r="B3625" t="s">
        <v>627</v>
      </c>
      <c r="C3625" t="s">
        <v>3060</v>
      </c>
      <c r="D3625" t="s">
        <v>3655</v>
      </c>
      <c r="E3625" t="s">
        <v>212</v>
      </c>
    </row>
    <row r="3626" spans="1:5" x14ac:dyDescent="0.25">
      <c r="A3626" t="s">
        <v>3074</v>
      </c>
      <c r="B3626" t="s">
        <v>619</v>
      </c>
      <c r="C3626" t="s">
        <v>3060</v>
      </c>
      <c r="D3626" t="s">
        <v>3656</v>
      </c>
      <c r="E3626" t="s">
        <v>264</v>
      </c>
    </row>
    <row r="3627" spans="1:5" x14ac:dyDescent="0.25">
      <c r="A3627" t="s">
        <v>3074</v>
      </c>
      <c r="B3627" t="s">
        <v>666</v>
      </c>
      <c r="C3627" t="s">
        <v>3060</v>
      </c>
      <c r="D3627" t="s">
        <v>3657</v>
      </c>
      <c r="E3627" t="s">
        <v>264</v>
      </c>
    </row>
    <row r="3628" spans="1:5" x14ac:dyDescent="0.25">
      <c r="A3628" t="s">
        <v>3074</v>
      </c>
      <c r="B3628" t="s">
        <v>677</v>
      </c>
      <c r="C3628" t="s">
        <v>3060</v>
      </c>
      <c r="D3628" t="s">
        <v>3658</v>
      </c>
      <c r="E3628" t="s">
        <v>636</v>
      </c>
    </row>
    <row r="3629" spans="1:5" x14ac:dyDescent="0.25">
      <c r="A3629" t="s">
        <v>3074</v>
      </c>
      <c r="B3629" t="s">
        <v>2847</v>
      </c>
      <c r="C3629" t="s">
        <v>3060</v>
      </c>
      <c r="D3629" t="s">
        <v>3659</v>
      </c>
      <c r="E3629" t="s">
        <v>656</v>
      </c>
    </row>
    <row r="3630" spans="1:5" x14ac:dyDescent="0.25">
      <c r="A3630" t="s">
        <v>3074</v>
      </c>
      <c r="B3630" t="s">
        <v>607</v>
      </c>
      <c r="C3630" t="s">
        <v>3060</v>
      </c>
      <c r="D3630" t="s">
        <v>3647</v>
      </c>
      <c r="E3630" t="s">
        <v>636</v>
      </c>
    </row>
    <row r="3631" spans="1:5" x14ac:dyDescent="0.25">
      <c r="A3631" t="s">
        <v>3074</v>
      </c>
      <c r="B3631" t="s">
        <v>716</v>
      </c>
      <c r="C3631" t="s">
        <v>3060</v>
      </c>
      <c r="D3631" t="s">
        <v>3660</v>
      </c>
      <c r="E3631" t="s">
        <v>636</v>
      </c>
    </row>
    <row r="3632" spans="1:5" x14ac:dyDescent="0.25">
      <c r="A3632" t="s">
        <v>3074</v>
      </c>
      <c r="B3632" t="s">
        <v>3661</v>
      </c>
      <c r="C3632" t="s">
        <v>3060</v>
      </c>
      <c r="D3632" t="s">
        <v>3060</v>
      </c>
      <c r="E3632" t="s">
        <v>287</v>
      </c>
    </row>
    <row r="3633" spans="1:5" x14ac:dyDescent="0.25">
      <c r="A3633" t="s">
        <v>3074</v>
      </c>
      <c r="B3633" t="s">
        <v>3295</v>
      </c>
      <c r="C3633" t="s">
        <v>3060</v>
      </c>
      <c r="D3633" t="s">
        <v>3060</v>
      </c>
      <c r="E3633" t="s">
        <v>241</v>
      </c>
    </row>
    <row r="3634" spans="1:5" x14ac:dyDescent="0.25">
      <c r="A3634" t="s">
        <v>3074</v>
      </c>
      <c r="B3634" t="s">
        <v>229</v>
      </c>
      <c r="C3634" t="s">
        <v>3060</v>
      </c>
      <c r="D3634" t="s">
        <v>3060</v>
      </c>
      <c r="E3634" t="s">
        <v>575</v>
      </c>
    </row>
    <row r="3635" spans="1:5" x14ac:dyDescent="0.25">
      <c r="A3635" t="s">
        <v>3074</v>
      </c>
      <c r="B3635" t="s">
        <v>643</v>
      </c>
      <c r="C3635" t="s">
        <v>3060</v>
      </c>
      <c r="D3635" t="s">
        <v>3060</v>
      </c>
      <c r="E3635" t="s">
        <v>575</v>
      </c>
    </row>
    <row r="3636" spans="1:5" x14ac:dyDescent="0.25">
      <c r="A3636" t="s">
        <v>3074</v>
      </c>
      <c r="B3636" t="s">
        <v>230</v>
      </c>
      <c r="C3636" t="s">
        <v>3060</v>
      </c>
      <c r="D3636" t="s">
        <v>3060</v>
      </c>
      <c r="E3636" t="s">
        <v>575</v>
      </c>
    </row>
    <row r="3637" spans="1:5" x14ac:dyDescent="0.25">
      <c r="A3637" t="s">
        <v>3074</v>
      </c>
      <c r="B3637" t="s">
        <v>167</v>
      </c>
      <c r="C3637" t="s">
        <v>3060</v>
      </c>
      <c r="D3637" t="s">
        <v>3060</v>
      </c>
      <c r="E3637" t="s">
        <v>575</v>
      </c>
    </row>
    <row r="3638" spans="1:5" x14ac:dyDescent="0.25">
      <c r="A3638" t="s">
        <v>3074</v>
      </c>
      <c r="B3638" t="s">
        <v>168</v>
      </c>
      <c r="C3638" t="s">
        <v>3060</v>
      </c>
      <c r="D3638" t="s">
        <v>3060</v>
      </c>
      <c r="E3638" t="s">
        <v>279</v>
      </c>
    </row>
    <row r="3639" spans="1:5" x14ac:dyDescent="0.25">
      <c r="A3639" t="s">
        <v>3074</v>
      </c>
      <c r="B3639" t="s">
        <v>170</v>
      </c>
      <c r="C3639" t="s">
        <v>3060</v>
      </c>
      <c r="D3639" t="s">
        <v>3060</v>
      </c>
      <c r="E3639" t="s">
        <v>575</v>
      </c>
    </row>
    <row r="3640" spans="1:5" x14ac:dyDescent="0.25">
      <c r="A3640" t="s">
        <v>3074</v>
      </c>
      <c r="B3640" t="s">
        <v>3662</v>
      </c>
      <c r="C3640" t="s">
        <v>3060</v>
      </c>
      <c r="D3640" t="s">
        <v>3060</v>
      </c>
      <c r="E3640" t="s">
        <v>575</v>
      </c>
    </row>
    <row r="3641" spans="1:5" x14ac:dyDescent="0.25">
      <c r="A3641" t="s">
        <v>3074</v>
      </c>
      <c r="B3641" t="s">
        <v>172</v>
      </c>
      <c r="C3641" t="s">
        <v>3060</v>
      </c>
      <c r="D3641" t="s">
        <v>3060</v>
      </c>
      <c r="E3641" t="s">
        <v>575</v>
      </c>
    </row>
    <row r="3642" spans="1:5" x14ac:dyDescent="0.25">
      <c r="A3642" t="s">
        <v>3074</v>
      </c>
      <c r="B3642" t="s">
        <v>177</v>
      </c>
      <c r="C3642" t="s">
        <v>3060</v>
      </c>
      <c r="D3642" t="s">
        <v>3060</v>
      </c>
      <c r="E3642" t="s">
        <v>279</v>
      </c>
    </row>
    <row r="3643" spans="1:5" x14ac:dyDescent="0.25">
      <c r="A3643" t="s">
        <v>3074</v>
      </c>
      <c r="B3643" t="s">
        <v>325</v>
      </c>
      <c r="C3643" t="s">
        <v>3060</v>
      </c>
      <c r="D3643" t="s">
        <v>3060</v>
      </c>
      <c r="E3643" t="s">
        <v>182</v>
      </c>
    </row>
    <row r="3644" spans="1:5" x14ac:dyDescent="0.25">
      <c r="A3644" t="s">
        <v>3074</v>
      </c>
      <c r="B3644" t="s">
        <v>238</v>
      </c>
      <c r="C3644" t="s">
        <v>3060</v>
      </c>
      <c r="D3644" t="s">
        <v>3060</v>
      </c>
      <c r="E3644" t="s">
        <v>2453</v>
      </c>
    </row>
    <row r="3645" spans="1:5" x14ac:dyDescent="0.25">
      <c r="A3645" t="s">
        <v>3074</v>
      </c>
      <c r="B3645" t="s">
        <v>179</v>
      </c>
      <c r="C3645" t="s">
        <v>3060</v>
      </c>
      <c r="D3645" t="s">
        <v>3060</v>
      </c>
      <c r="E3645" t="s">
        <v>286</v>
      </c>
    </row>
    <row r="3646" spans="1:5" x14ac:dyDescent="0.25">
      <c r="A3646" t="s">
        <v>3074</v>
      </c>
      <c r="B3646" t="s">
        <v>180</v>
      </c>
      <c r="C3646" t="s">
        <v>3060</v>
      </c>
      <c r="D3646" t="s">
        <v>3060</v>
      </c>
      <c r="E3646" t="s">
        <v>241</v>
      </c>
    </row>
    <row r="3647" spans="1:5" x14ac:dyDescent="0.25">
      <c r="A3647" t="s">
        <v>3074</v>
      </c>
      <c r="B3647" t="s">
        <v>181</v>
      </c>
      <c r="C3647" t="s">
        <v>3060</v>
      </c>
      <c r="D3647" t="s">
        <v>3060</v>
      </c>
      <c r="E3647" t="s">
        <v>241</v>
      </c>
    </row>
    <row r="3648" spans="1:5" x14ac:dyDescent="0.25">
      <c r="A3648" t="s">
        <v>3074</v>
      </c>
      <c r="B3648" t="s">
        <v>242</v>
      </c>
      <c r="C3648" t="s">
        <v>3060</v>
      </c>
      <c r="D3648" t="s">
        <v>3060</v>
      </c>
      <c r="E3648" t="s">
        <v>268</v>
      </c>
    </row>
    <row r="3649" spans="1:5" x14ac:dyDescent="0.25">
      <c r="A3649" t="s">
        <v>3074</v>
      </c>
      <c r="B3649" t="s">
        <v>1264</v>
      </c>
      <c r="C3649" t="s">
        <v>3060</v>
      </c>
      <c r="D3649" t="s">
        <v>3060</v>
      </c>
      <c r="E3649" t="s">
        <v>268</v>
      </c>
    </row>
    <row r="3650" spans="1:5" x14ac:dyDescent="0.25">
      <c r="A3650" t="s">
        <v>3074</v>
      </c>
      <c r="B3650" t="s">
        <v>2167</v>
      </c>
      <c r="C3650" t="s">
        <v>3060</v>
      </c>
      <c r="D3650" t="s">
        <v>3060</v>
      </c>
      <c r="E3650" t="s">
        <v>268</v>
      </c>
    </row>
    <row r="3651" spans="1:5" x14ac:dyDescent="0.25">
      <c r="A3651" t="s">
        <v>3074</v>
      </c>
      <c r="B3651" t="s">
        <v>327</v>
      </c>
      <c r="C3651" t="s">
        <v>3060</v>
      </c>
      <c r="D3651" t="s">
        <v>3060</v>
      </c>
      <c r="E3651" t="s">
        <v>268</v>
      </c>
    </row>
    <row r="3652" spans="1:5" x14ac:dyDescent="0.25">
      <c r="A3652" t="s">
        <v>3074</v>
      </c>
      <c r="B3652" t="s">
        <v>345</v>
      </c>
      <c r="C3652" t="s">
        <v>3060</v>
      </c>
      <c r="D3652" t="s">
        <v>3060</v>
      </c>
      <c r="E3652" t="s">
        <v>268</v>
      </c>
    </row>
    <row r="3653" spans="1:5" x14ac:dyDescent="0.25">
      <c r="A3653" t="s">
        <v>3074</v>
      </c>
      <c r="B3653" t="s">
        <v>2168</v>
      </c>
      <c r="C3653" t="s">
        <v>3060</v>
      </c>
      <c r="D3653" t="s">
        <v>3060</v>
      </c>
      <c r="E3653" t="s">
        <v>207</v>
      </c>
    </row>
    <row r="3654" spans="1:5" x14ac:dyDescent="0.25">
      <c r="A3654" t="s">
        <v>3074</v>
      </c>
      <c r="B3654" t="s">
        <v>346</v>
      </c>
      <c r="C3654" t="s">
        <v>3060</v>
      </c>
      <c r="D3654" t="s">
        <v>3060</v>
      </c>
      <c r="E3654" t="s">
        <v>252</v>
      </c>
    </row>
    <row r="3655" spans="1:5" x14ac:dyDescent="0.25">
      <c r="A3655" t="s">
        <v>3074</v>
      </c>
      <c r="B3655" t="s">
        <v>244</v>
      </c>
      <c r="C3655" t="s">
        <v>3060</v>
      </c>
      <c r="D3655" t="s">
        <v>3060</v>
      </c>
      <c r="E3655" t="s">
        <v>197</v>
      </c>
    </row>
    <row r="3656" spans="1:5" x14ac:dyDescent="0.25">
      <c r="A3656" t="s">
        <v>3074</v>
      </c>
      <c r="B3656" t="s">
        <v>691</v>
      </c>
      <c r="C3656" t="s">
        <v>3060</v>
      </c>
      <c r="D3656" t="s">
        <v>3060</v>
      </c>
      <c r="E3656" t="s">
        <v>253</v>
      </c>
    </row>
    <row r="3657" spans="1:5" x14ac:dyDescent="0.25">
      <c r="A3657" t="s">
        <v>3074</v>
      </c>
      <c r="B3657" t="s">
        <v>693</v>
      </c>
      <c r="C3657" t="s">
        <v>3060</v>
      </c>
      <c r="D3657" t="s">
        <v>3060</v>
      </c>
      <c r="E3657" t="s">
        <v>253</v>
      </c>
    </row>
    <row r="3658" spans="1:5" x14ac:dyDescent="0.25">
      <c r="A3658" t="s">
        <v>3074</v>
      </c>
      <c r="B3658" t="s">
        <v>348</v>
      </c>
      <c r="C3658" t="s">
        <v>3060</v>
      </c>
      <c r="D3658" t="s">
        <v>3060</v>
      </c>
      <c r="E3658" t="s">
        <v>406</v>
      </c>
    </row>
    <row r="3659" spans="1:5" x14ac:dyDescent="0.25">
      <c r="A3659" t="s">
        <v>3074</v>
      </c>
      <c r="B3659" t="s">
        <v>349</v>
      </c>
      <c r="C3659" t="s">
        <v>3060</v>
      </c>
      <c r="D3659" t="s">
        <v>3060</v>
      </c>
      <c r="E3659" t="s">
        <v>287</v>
      </c>
    </row>
    <row r="3660" spans="1:5" x14ac:dyDescent="0.25">
      <c r="A3660" t="s">
        <v>3074</v>
      </c>
      <c r="B3660" t="s">
        <v>3650</v>
      </c>
      <c r="C3660" t="s">
        <v>3060</v>
      </c>
      <c r="D3660" t="s">
        <v>3060</v>
      </c>
      <c r="E3660" t="s">
        <v>272</v>
      </c>
    </row>
    <row r="3661" spans="1:5" x14ac:dyDescent="0.25">
      <c r="A3661" t="s">
        <v>3074</v>
      </c>
      <c r="B3661" t="s">
        <v>2462</v>
      </c>
      <c r="C3661" t="s">
        <v>3060</v>
      </c>
      <c r="D3661" t="s">
        <v>3648</v>
      </c>
      <c r="E3661" t="s">
        <v>254</v>
      </c>
    </row>
    <row r="3662" spans="1:5" x14ac:dyDescent="0.25">
      <c r="A3662" t="s">
        <v>3074</v>
      </c>
      <c r="B3662" t="s">
        <v>658</v>
      </c>
      <c r="C3662" t="s">
        <v>3060</v>
      </c>
      <c r="D3662" t="s">
        <v>3646</v>
      </c>
      <c r="E3662" t="s">
        <v>272</v>
      </c>
    </row>
    <row r="3663" spans="1:5" x14ac:dyDescent="0.25">
      <c r="A3663" t="s">
        <v>3074</v>
      </c>
      <c r="B3663" t="s">
        <v>183</v>
      </c>
      <c r="C3663" t="s">
        <v>3060</v>
      </c>
      <c r="D3663" t="s">
        <v>3060</v>
      </c>
      <c r="E3663" t="s">
        <v>184</v>
      </c>
    </row>
    <row r="3664" spans="1:5" x14ac:dyDescent="0.25">
      <c r="A3664" t="s">
        <v>3076</v>
      </c>
      <c r="B3664" t="s">
        <v>495</v>
      </c>
      <c r="C3664" t="s">
        <v>3060</v>
      </c>
      <c r="D3664" t="s">
        <v>3663</v>
      </c>
      <c r="E3664" t="s">
        <v>202</v>
      </c>
    </row>
    <row r="3665" spans="1:5" x14ac:dyDescent="0.25">
      <c r="A3665" t="s">
        <v>3076</v>
      </c>
      <c r="B3665" t="s">
        <v>3364</v>
      </c>
      <c r="C3665" t="s">
        <v>3060</v>
      </c>
      <c r="D3665" t="s">
        <v>3664</v>
      </c>
      <c r="E3665" t="s">
        <v>268</v>
      </c>
    </row>
    <row r="3666" spans="1:5" x14ac:dyDescent="0.25">
      <c r="A3666" t="s">
        <v>3076</v>
      </c>
      <c r="B3666" t="s">
        <v>3665</v>
      </c>
      <c r="C3666" t="s">
        <v>3060</v>
      </c>
      <c r="D3666" t="s">
        <v>3666</v>
      </c>
      <c r="E3666" t="s">
        <v>269</v>
      </c>
    </row>
    <row r="3667" spans="1:5" x14ac:dyDescent="0.25">
      <c r="A3667" t="s">
        <v>3076</v>
      </c>
      <c r="B3667" t="s">
        <v>3667</v>
      </c>
      <c r="C3667" t="s">
        <v>3060</v>
      </c>
      <c r="D3667" t="s">
        <v>3668</v>
      </c>
      <c r="E3667" t="s">
        <v>636</v>
      </c>
    </row>
    <row r="3668" spans="1:5" x14ac:dyDescent="0.25">
      <c r="A3668" t="s">
        <v>3076</v>
      </c>
      <c r="B3668" t="s">
        <v>3669</v>
      </c>
      <c r="C3668" t="s">
        <v>3060</v>
      </c>
      <c r="D3668" t="s">
        <v>3670</v>
      </c>
      <c r="E3668" t="s">
        <v>258</v>
      </c>
    </row>
    <row r="3669" spans="1:5" x14ac:dyDescent="0.25">
      <c r="A3669" t="s">
        <v>3076</v>
      </c>
      <c r="B3669" t="s">
        <v>3667</v>
      </c>
      <c r="C3669" t="s">
        <v>3060</v>
      </c>
      <c r="D3669" t="s">
        <v>3668</v>
      </c>
      <c r="E3669" t="s">
        <v>636</v>
      </c>
    </row>
    <row r="3670" spans="1:5" x14ac:dyDescent="0.25">
      <c r="A3670" t="s">
        <v>3076</v>
      </c>
      <c r="B3670" t="s">
        <v>3402</v>
      </c>
      <c r="C3670" t="s">
        <v>3060</v>
      </c>
      <c r="D3670" t="s">
        <v>3671</v>
      </c>
      <c r="E3670" t="s">
        <v>636</v>
      </c>
    </row>
    <row r="3671" spans="1:5" x14ac:dyDescent="0.25">
      <c r="A3671" t="s">
        <v>3076</v>
      </c>
      <c r="B3671" t="s">
        <v>3672</v>
      </c>
      <c r="C3671" t="s">
        <v>3060</v>
      </c>
      <c r="D3671" t="s">
        <v>3673</v>
      </c>
      <c r="E3671" t="s">
        <v>202</v>
      </c>
    </row>
    <row r="3672" spans="1:5" x14ac:dyDescent="0.25">
      <c r="A3672" t="s">
        <v>3076</v>
      </c>
      <c r="B3672" t="s">
        <v>3674</v>
      </c>
      <c r="C3672" t="s">
        <v>3060</v>
      </c>
      <c r="D3672" t="s">
        <v>3673</v>
      </c>
      <c r="E3672" t="s">
        <v>636</v>
      </c>
    </row>
    <row r="3673" spans="1:5" x14ac:dyDescent="0.25">
      <c r="A3673" t="s">
        <v>3076</v>
      </c>
      <c r="B3673" t="s">
        <v>3675</v>
      </c>
      <c r="C3673" t="s">
        <v>3060</v>
      </c>
      <c r="D3673" t="s">
        <v>3673</v>
      </c>
      <c r="E3673" t="s">
        <v>636</v>
      </c>
    </row>
    <row r="3674" spans="1:5" x14ac:dyDescent="0.25">
      <c r="A3674" t="s">
        <v>3076</v>
      </c>
      <c r="B3674" t="s">
        <v>3669</v>
      </c>
      <c r="C3674" t="s">
        <v>3060</v>
      </c>
      <c r="D3674" t="s">
        <v>3670</v>
      </c>
      <c r="E3674" t="s">
        <v>258</v>
      </c>
    </row>
    <row r="3675" spans="1:5" x14ac:dyDescent="0.25">
      <c r="A3675" t="s">
        <v>3076</v>
      </c>
      <c r="B3675" t="s">
        <v>3676</v>
      </c>
      <c r="C3675" t="s">
        <v>3060</v>
      </c>
      <c r="D3675" t="s">
        <v>3677</v>
      </c>
      <c r="E3675" t="s">
        <v>258</v>
      </c>
    </row>
    <row r="3676" spans="1:5" x14ac:dyDescent="0.25">
      <c r="A3676" t="s">
        <v>3076</v>
      </c>
      <c r="B3676" t="s">
        <v>3678</v>
      </c>
      <c r="C3676" t="s">
        <v>3060</v>
      </c>
      <c r="D3676" t="s">
        <v>3679</v>
      </c>
      <c r="E3676" t="s">
        <v>401</v>
      </c>
    </row>
    <row r="3677" spans="1:5" x14ac:dyDescent="0.25">
      <c r="A3677" t="s">
        <v>3076</v>
      </c>
      <c r="B3677" t="s">
        <v>495</v>
      </c>
      <c r="C3677" t="s">
        <v>3060</v>
      </c>
      <c r="D3677" t="s">
        <v>3663</v>
      </c>
      <c r="E3677" t="s">
        <v>202</v>
      </c>
    </row>
    <row r="3678" spans="1:5" x14ac:dyDescent="0.25">
      <c r="A3678" t="s">
        <v>3076</v>
      </c>
      <c r="B3678" t="s">
        <v>3665</v>
      </c>
      <c r="C3678" t="s">
        <v>3060</v>
      </c>
      <c r="D3678" t="s">
        <v>3666</v>
      </c>
      <c r="E3678" t="s">
        <v>269</v>
      </c>
    </row>
    <row r="3679" spans="1:5" x14ac:dyDescent="0.25">
      <c r="A3679" t="s">
        <v>3076</v>
      </c>
      <c r="B3679" t="s">
        <v>3680</v>
      </c>
      <c r="C3679" t="s">
        <v>3060</v>
      </c>
      <c r="D3679" t="s">
        <v>3681</v>
      </c>
      <c r="E3679" t="s">
        <v>202</v>
      </c>
    </row>
    <row r="3680" spans="1:5" x14ac:dyDescent="0.25">
      <c r="A3680" t="s">
        <v>3076</v>
      </c>
      <c r="B3680" t="s">
        <v>3682</v>
      </c>
      <c r="C3680" t="s">
        <v>3060</v>
      </c>
      <c r="D3680" t="s">
        <v>3683</v>
      </c>
      <c r="E3680" t="s">
        <v>202</v>
      </c>
    </row>
    <row r="3681" spans="1:5" x14ac:dyDescent="0.25">
      <c r="A3681" t="s">
        <v>3076</v>
      </c>
      <c r="B3681" t="s">
        <v>3364</v>
      </c>
      <c r="C3681" t="s">
        <v>3060</v>
      </c>
      <c r="D3681" t="s">
        <v>3664</v>
      </c>
      <c r="E3681" t="s">
        <v>268</v>
      </c>
    </row>
    <row r="3682" spans="1:5" x14ac:dyDescent="0.25">
      <c r="A3682" t="s">
        <v>3076</v>
      </c>
      <c r="B3682" t="s">
        <v>3684</v>
      </c>
      <c r="C3682" t="s">
        <v>3060</v>
      </c>
      <c r="D3682" t="s">
        <v>3685</v>
      </c>
      <c r="E3682" t="s">
        <v>258</v>
      </c>
    </row>
    <row r="3683" spans="1:5" x14ac:dyDescent="0.25">
      <c r="A3683" t="s">
        <v>3076</v>
      </c>
      <c r="B3683" t="s">
        <v>3686</v>
      </c>
      <c r="C3683" t="s">
        <v>3060</v>
      </c>
      <c r="D3683" t="s">
        <v>3687</v>
      </c>
      <c r="E3683" t="s">
        <v>582</v>
      </c>
    </row>
    <row r="3684" spans="1:5" x14ac:dyDescent="0.25">
      <c r="A3684" t="s">
        <v>3076</v>
      </c>
      <c r="B3684" t="s">
        <v>725</v>
      </c>
      <c r="C3684" t="s">
        <v>3060</v>
      </c>
      <c r="D3684" t="s">
        <v>3688</v>
      </c>
      <c r="E3684" t="s">
        <v>636</v>
      </c>
    </row>
    <row r="3685" spans="1:5" x14ac:dyDescent="0.25">
      <c r="A3685" t="s">
        <v>3076</v>
      </c>
      <c r="B3685" t="s">
        <v>642</v>
      </c>
      <c r="C3685" t="s">
        <v>3060</v>
      </c>
      <c r="D3685" t="s">
        <v>3060</v>
      </c>
      <c r="E3685" t="s">
        <v>207</v>
      </c>
    </row>
    <row r="3686" spans="1:5" x14ac:dyDescent="0.25">
      <c r="A3686" t="s">
        <v>3076</v>
      </c>
      <c r="B3686" t="s">
        <v>229</v>
      </c>
      <c r="C3686" t="s">
        <v>3060</v>
      </c>
      <c r="D3686" t="s">
        <v>3060</v>
      </c>
      <c r="E3686" t="s">
        <v>252</v>
      </c>
    </row>
    <row r="3687" spans="1:5" x14ac:dyDescent="0.25">
      <c r="A3687" t="s">
        <v>3076</v>
      </c>
      <c r="B3687" t="s">
        <v>876</v>
      </c>
      <c r="C3687" t="s">
        <v>3060</v>
      </c>
      <c r="D3687" t="s">
        <v>3060</v>
      </c>
      <c r="E3687" t="s">
        <v>252</v>
      </c>
    </row>
    <row r="3688" spans="1:5" x14ac:dyDescent="0.25">
      <c r="A3688" t="s">
        <v>3076</v>
      </c>
      <c r="B3688" t="s">
        <v>230</v>
      </c>
      <c r="C3688" t="s">
        <v>3060</v>
      </c>
      <c r="D3688" t="s">
        <v>3060</v>
      </c>
      <c r="E3688" t="s">
        <v>207</v>
      </c>
    </row>
    <row r="3689" spans="1:5" x14ac:dyDescent="0.25">
      <c r="A3689" t="s">
        <v>3076</v>
      </c>
      <c r="B3689" t="s">
        <v>231</v>
      </c>
      <c r="C3689" t="s">
        <v>3060</v>
      </c>
      <c r="D3689" t="s">
        <v>3060</v>
      </c>
      <c r="E3689" t="s">
        <v>207</v>
      </c>
    </row>
    <row r="3690" spans="1:5" x14ac:dyDescent="0.25">
      <c r="A3690" t="s">
        <v>3076</v>
      </c>
      <c r="B3690" t="s">
        <v>233</v>
      </c>
      <c r="C3690" t="s">
        <v>3060</v>
      </c>
      <c r="D3690" t="s">
        <v>3060</v>
      </c>
      <c r="E3690" t="s">
        <v>252</v>
      </c>
    </row>
    <row r="3691" spans="1:5" x14ac:dyDescent="0.25">
      <c r="A3691" t="s">
        <v>3076</v>
      </c>
      <c r="B3691" t="s">
        <v>178</v>
      </c>
      <c r="C3691" t="s">
        <v>3060</v>
      </c>
      <c r="D3691" t="s">
        <v>3060</v>
      </c>
      <c r="E3691" t="s">
        <v>279</v>
      </c>
    </row>
    <row r="3692" spans="1:5" x14ac:dyDescent="0.25">
      <c r="A3692" t="s">
        <v>3076</v>
      </c>
      <c r="B3692" t="s">
        <v>708</v>
      </c>
      <c r="C3692" t="s">
        <v>3060</v>
      </c>
      <c r="D3692" t="s">
        <v>3060</v>
      </c>
      <c r="E3692" t="s">
        <v>235</v>
      </c>
    </row>
    <row r="3693" spans="1:5" x14ac:dyDescent="0.25">
      <c r="A3693" t="s">
        <v>3076</v>
      </c>
      <c r="B3693" t="s">
        <v>180</v>
      </c>
      <c r="C3693" t="s">
        <v>3060</v>
      </c>
      <c r="D3693" t="s">
        <v>3060</v>
      </c>
      <c r="E3693" t="s">
        <v>235</v>
      </c>
    </row>
    <row r="3694" spans="1:5" x14ac:dyDescent="0.25">
      <c r="A3694" t="s">
        <v>3076</v>
      </c>
      <c r="B3694" t="s">
        <v>181</v>
      </c>
      <c r="C3694" t="s">
        <v>3060</v>
      </c>
      <c r="D3694" t="s">
        <v>3060</v>
      </c>
      <c r="E3694" t="s">
        <v>286</v>
      </c>
    </row>
    <row r="3695" spans="1:5" x14ac:dyDescent="0.25">
      <c r="A3695" t="s">
        <v>3076</v>
      </c>
      <c r="B3695" t="s">
        <v>3689</v>
      </c>
      <c r="C3695" t="s">
        <v>3060</v>
      </c>
      <c r="D3695" t="s">
        <v>3060</v>
      </c>
      <c r="E3695" t="s">
        <v>287</v>
      </c>
    </row>
    <row r="3696" spans="1:5" x14ac:dyDescent="0.25">
      <c r="A3696" t="s">
        <v>3076</v>
      </c>
      <c r="B3696" t="s">
        <v>183</v>
      </c>
      <c r="C3696" t="s">
        <v>3060</v>
      </c>
      <c r="D3696" t="s">
        <v>3060</v>
      </c>
      <c r="E3696" t="s">
        <v>184</v>
      </c>
    </row>
    <row r="3697" spans="1:5" x14ac:dyDescent="0.25">
      <c r="A3697" t="s">
        <v>3078</v>
      </c>
      <c r="B3697" t="s">
        <v>672</v>
      </c>
      <c r="C3697" t="s">
        <v>3060</v>
      </c>
      <c r="D3697" t="s">
        <v>3690</v>
      </c>
      <c r="E3697" t="s">
        <v>269</v>
      </c>
    </row>
    <row r="3698" spans="1:5" x14ac:dyDescent="0.25">
      <c r="A3698" t="s">
        <v>3078</v>
      </c>
      <c r="B3698" t="s">
        <v>908</v>
      </c>
      <c r="C3698" t="s">
        <v>3060</v>
      </c>
      <c r="D3698" t="s">
        <v>3691</v>
      </c>
      <c r="E3698" t="s">
        <v>636</v>
      </c>
    </row>
    <row r="3699" spans="1:5" x14ac:dyDescent="0.25">
      <c r="A3699" t="s">
        <v>3078</v>
      </c>
      <c r="B3699" t="s">
        <v>905</v>
      </c>
      <c r="C3699" t="s">
        <v>3060</v>
      </c>
      <c r="D3699" t="s">
        <v>3692</v>
      </c>
      <c r="E3699" t="s">
        <v>442</v>
      </c>
    </row>
    <row r="3700" spans="1:5" x14ac:dyDescent="0.25">
      <c r="A3700" t="s">
        <v>3078</v>
      </c>
      <c r="B3700" t="s">
        <v>912</v>
      </c>
      <c r="C3700" t="s">
        <v>3060</v>
      </c>
      <c r="D3700" t="s">
        <v>3693</v>
      </c>
      <c r="E3700" t="s">
        <v>582</v>
      </c>
    </row>
    <row r="3701" spans="1:5" x14ac:dyDescent="0.25">
      <c r="A3701" t="s">
        <v>3078</v>
      </c>
      <c r="B3701" t="s">
        <v>674</v>
      </c>
      <c r="C3701" t="s">
        <v>3060</v>
      </c>
      <c r="D3701" t="s">
        <v>3694</v>
      </c>
      <c r="E3701" t="s">
        <v>505</v>
      </c>
    </row>
    <row r="3702" spans="1:5" x14ac:dyDescent="0.25">
      <c r="A3702" t="s">
        <v>3078</v>
      </c>
      <c r="B3702" t="s">
        <v>674</v>
      </c>
      <c r="C3702" t="s">
        <v>3060</v>
      </c>
      <c r="D3702" t="s">
        <v>3694</v>
      </c>
      <c r="E3702" t="s">
        <v>505</v>
      </c>
    </row>
    <row r="3703" spans="1:5" x14ac:dyDescent="0.25">
      <c r="A3703" t="s">
        <v>3078</v>
      </c>
      <c r="B3703" t="s">
        <v>676</v>
      </c>
      <c r="C3703" t="s">
        <v>3060</v>
      </c>
      <c r="D3703" t="s">
        <v>3695</v>
      </c>
      <c r="E3703" t="s">
        <v>505</v>
      </c>
    </row>
    <row r="3704" spans="1:5" x14ac:dyDescent="0.25">
      <c r="A3704" t="s">
        <v>3078</v>
      </c>
      <c r="B3704" t="s">
        <v>672</v>
      </c>
      <c r="C3704" t="s">
        <v>3060</v>
      </c>
      <c r="D3704" t="s">
        <v>3690</v>
      </c>
      <c r="E3704" t="s">
        <v>269</v>
      </c>
    </row>
    <row r="3705" spans="1:5" x14ac:dyDescent="0.25">
      <c r="A3705" t="s">
        <v>3078</v>
      </c>
      <c r="B3705" t="s">
        <v>908</v>
      </c>
      <c r="C3705" t="s">
        <v>3060</v>
      </c>
      <c r="D3705" t="s">
        <v>3691</v>
      </c>
      <c r="E3705" t="s">
        <v>636</v>
      </c>
    </row>
    <row r="3706" spans="1:5" x14ac:dyDescent="0.25">
      <c r="A3706" t="s">
        <v>3078</v>
      </c>
      <c r="B3706" t="s">
        <v>905</v>
      </c>
      <c r="C3706" t="s">
        <v>3060</v>
      </c>
      <c r="D3706" t="s">
        <v>3692</v>
      </c>
      <c r="E3706" t="s">
        <v>442</v>
      </c>
    </row>
    <row r="3707" spans="1:5" x14ac:dyDescent="0.25">
      <c r="A3707" t="s">
        <v>3078</v>
      </c>
      <c r="B3707" t="s">
        <v>916</v>
      </c>
      <c r="C3707" t="s">
        <v>3060</v>
      </c>
      <c r="D3707" t="s">
        <v>3696</v>
      </c>
      <c r="E3707" t="s">
        <v>428</v>
      </c>
    </row>
    <row r="3708" spans="1:5" x14ac:dyDescent="0.25">
      <c r="A3708" t="s">
        <v>3078</v>
      </c>
      <c r="B3708" t="s">
        <v>912</v>
      </c>
      <c r="C3708" t="s">
        <v>3060</v>
      </c>
      <c r="D3708" t="s">
        <v>3693</v>
      </c>
      <c r="E3708" t="s">
        <v>582</v>
      </c>
    </row>
    <row r="3709" spans="1:5" x14ac:dyDescent="0.25">
      <c r="A3709" t="s">
        <v>3078</v>
      </c>
      <c r="B3709" t="s">
        <v>918</v>
      </c>
      <c r="C3709" t="s">
        <v>3060</v>
      </c>
      <c r="D3709" t="s">
        <v>3697</v>
      </c>
      <c r="E3709" t="s">
        <v>505</v>
      </c>
    </row>
    <row r="3710" spans="1:5" x14ac:dyDescent="0.25">
      <c r="A3710" t="s">
        <v>3078</v>
      </c>
      <c r="B3710" t="s">
        <v>914</v>
      </c>
      <c r="C3710" t="s">
        <v>3060</v>
      </c>
      <c r="D3710" t="s">
        <v>3698</v>
      </c>
      <c r="E3710" t="s">
        <v>428</v>
      </c>
    </row>
    <row r="3711" spans="1:5" x14ac:dyDescent="0.25">
      <c r="A3711" t="s">
        <v>3078</v>
      </c>
      <c r="B3711" t="s">
        <v>170</v>
      </c>
      <c r="C3711" t="s">
        <v>3060</v>
      </c>
      <c r="D3711" t="s">
        <v>3060</v>
      </c>
      <c r="E3711" t="s">
        <v>207</v>
      </c>
    </row>
    <row r="3712" spans="1:5" x14ac:dyDescent="0.25">
      <c r="A3712" t="s">
        <v>3078</v>
      </c>
      <c r="B3712" t="s">
        <v>229</v>
      </c>
      <c r="C3712" t="s">
        <v>3060</v>
      </c>
      <c r="D3712" t="s">
        <v>3060</v>
      </c>
      <c r="E3712" t="s">
        <v>207</v>
      </c>
    </row>
    <row r="3713" spans="1:5" x14ac:dyDescent="0.25">
      <c r="A3713" t="s">
        <v>3078</v>
      </c>
      <c r="B3713" t="s">
        <v>180</v>
      </c>
      <c r="C3713" t="s">
        <v>3060</v>
      </c>
      <c r="D3713" t="s">
        <v>3060</v>
      </c>
      <c r="E3713" t="s">
        <v>286</v>
      </c>
    </row>
    <row r="3714" spans="1:5" x14ac:dyDescent="0.25">
      <c r="A3714" t="s">
        <v>3078</v>
      </c>
      <c r="B3714" t="s">
        <v>238</v>
      </c>
      <c r="C3714" t="s">
        <v>3060</v>
      </c>
      <c r="D3714" t="s">
        <v>3060</v>
      </c>
      <c r="E3714" t="s">
        <v>286</v>
      </c>
    </row>
    <row r="3715" spans="1:5" x14ac:dyDescent="0.25">
      <c r="A3715" t="s">
        <v>3078</v>
      </c>
      <c r="B3715" t="s">
        <v>178</v>
      </c>
      <c r="C3715" t="s">
        <v>3060</v>
      </c>
      <c r="D3715" t="s">
        <v>3060</v>
      </c>
      <c r="E3715" t="s">
        <v>182</v>
      </c>
    </row>
    <row r="3716" spans="1:5" x14ac:dyDescent="0.25">
      <c r="A3716" t="s">
        <v>3078</v>
      </c>
      <c r="B3716" t="s">
        <v>175</v>
      </c>
      <c r="C3716" t="s">
        <v>3060</v>
      </c>
      <c r="D3716" t="s">
        <v>3060</v>
      </c>
      <c r="E3716" t="s">
        <v>279</v>
      </c>
    </row>
    <row r="3717" spans="1:5" x14ac:dyDescent="0.25">
      <c r="A3717" t="s">
        <v>3078</v>
      </c>
      <c r="B3717" t="s">
        <v>181</v>
      </c>
      <c r="C3717" t="s">
        <v>3060</v>
      </c>
      <c r="D3717" t="s">
        <v>3060</v>
      </c>
      <c r="E3717" t="s">
        <v>286</v>
      </c>
    </row>
    <row r="3718" spans="1:5" x14ac:dyDescent="0.25">
      <c r="A3718" t="s">
        <v>3078</v>
      </c>
      <c r="B3718" t="s">
        <v>183</v>
      </c>
      <c r="C3718" t="s">
        <v>3060</v>
      </c>
      <c r="D3718" t="s">
        <v>3060</v>
      </c>
      <c r="E3718" t="s">
        <v>184</v>
      </c>
    </row>
    <row r="3719" spans="1:5" x14ac:dyDescent="0.25">
      <c r="A3719" t="s">
        <v>3079</v>
      </c>
      <c r="B3719" t="s">
        <v>3699</v>
      </c>
      <c r="C3719" t="s">
        <v>3060</v>
      </c>
      <c r="D3719" t="s">
        <v>3700</v>
      </c>
      <c r="E3719" t="s">
        <v>3701</v>
      </c>
    </row>
    <row r="3720" spans="1:5" x14ac:dyDescent="0.25">
      <c r="A3720" t="s">
        <v>3079</v>
      </c>
      <c r="B3720" t="s">
        <v>3702</v>
      </c>
      <c r="C3720" t="s">
        <v>3060</v>
      </c>
      <c r="D3720" t="s">
        <v>3703</v>
      </c>
      <c r="E3720" t="s">
        <v>256</v>
      </c>
    </row>
    <row r="3721" spans="1:5" x14ac:dyDescent="0.25">
      <c r="A3721" t="s">
        <v>3079</v>
      </c>
      <c r="B3721" t="s">
        <v>3704</v>
      </c>
      <c r="C3721" t="s">
        <v>3060</v>
      </c>
      <c r="D3721" t="s">
        <v>3705</v>
      </c>
      <c r="E3721" t="s">
        <v>461</v>
      </c>
    </row>
    <row r="3722" spans="1:5" x14ac:dyDescent="0.25">
      <c r="A3722" t="s">
        <v>3079</v>
      </c>
      <c r="B3722" t="s">
        <v>2497</v>
      </c>
      <c r="C3722" t="s">
        <v>3060</v>
      </c>
      <c r="D3722" t="s">
        <v>3706</v>
      </c>
      <c r="E3722" t="s">
        <v>505</v>
      </c>
    </row>
    <row r="3723" spans="1:5" x14ac:dyDescent="0.25">
      <c r="A3723" t="s">
        <v>3079</v>
      </c>
      <c r="B3723" t="s">
        <v>3707</v>
      </c>
      <c r="C3723" t="s">
        <v>3060</v>
      </c>
      <c r="D3723" t="s">
        <v>3708</v>
      </c>
      <c r="E3723" t="s">
        <v>437</v>
      </c>
    </row>
    <row r="3724" spans="1:5" x14ac:dyDescent="0.25">
      <c r="A3724" t="s">
        <v>3079</v>
      </c>
      <c r="B3724" t="s">
        <v>3709</v>
      </c>
      <c r="C3724" t="s">
        <v>3060</v>
      </c>
      <c r="D3724" t="s">
        <v>3710</v>
      </c>
      <c r="E3724" t="s">
        <v>801</v>
      </c>
    </row>
    <row r="3725" spans="1:5" x14ac:dyDescent="0.25">
      <c r="A3725" t="s">
        <v>3079</v>
      </c>
      <c r="B3725" t="s">
        <v>3711</v>
      </c>
      <c r="C3725" t="s">
        <v>3060</v>
      </c>
      <c r="D3725" t="s">
        <v>3712</v>
      </c>
      <c r="E3725" t="s">
        <v>358</v>
      </c>
    </row>
    <row r="3726" spans="1:5" x14ac:dyDescent="0.25">
      <c r="A3726" t="s">
        <v>3079</v>
      </c>
      <c r="B3726" t="s">
        <v>3353</v>
      </c>
      <c r="C3726" t="s">
        <v>3060</v>
      </c>
      <c r="D3726" t="s">
        <v>3713</v>
      </c>
      <c r="E3726" t="s">
        <v>582</v>
      </c>
    </row>
    <row r="3727" spans="1:5" x14ac:dyDescent="0.25">
      <c r="A3727" t="s">
        <v>3079</v>
      </c>
      <c r="B3727" t="s">
        <v>3714</v>
      </c>
      <c r="C3727" t="s">
        <v>3060</v>
      </c>
      <c r="D3727" t="s">
        <v>3715</v>
      </c>
      <c r="E3727" t="s">
        <v>1832</v>
      </c>
    </row>
    <row r="3728" spans="1:5" x14ac:dyDescent="0.25">
      <c r="A3728" t="s">
        <v>3079</v>
      </c>
      <c r="B3728" t="s">
        <v>3355</v>
      </c>
      <c r="C3728" t="s">
        <v>3060</v>
      </c>
      <c r="D3728" t="s">
        <v>3716</v>
      </c>
      <c r="E3728" t="s">
        <v>401</v>
      </c>
    </row>
    <row r="3729" spans="1:5" x14ac:dyDescent="0.25">
      <c r="A3729" t="s">
        <v>3079</v>
      </c>
      <c r="B3729" t="s">
        <v>3717</v>
      </c>
      <c r="C3729" t="s">
        <v>3060</v>
      </c>
      <c r="D3729" t="s">
        <v>3718</v>
      </c>
      <c r="E3729" t="s">
        <v>366</v>
      </c>
    </row>
    <row r="3730" spans="1:5" x14ac:dyDescent="0.25">
      <c r="A3730" t="s">
        <v>3079</v>
      </c>
      <c r="B3730" t="s">
        <v>3719</v>
      </c>
      <c r="C3730" t="s">
        <v>3060</v>
      </c>
      <c r="D3730" t="s">
        <v>3720</v>
      </c>
      <c r="E3730" t="s">
        <v>3721</v>
      </c>
    </row>
    <row r="3731" spans="1:5" x14ac:dyDescent="0.25">
      <c r="A3731" t="s">
        <v>3079</v>
      </c>
      <c r="B3731" t="s">
        <v>3722</v>
      </c>
      <c r="C3731" t="s">
        <v>3060</v>
      </c>
      <c r="D3731" t="s">
        <v>3723</v>
      </c>
      <c r="E3731" t="s">
        <v>202</v>
      </c>
    </row>
    <row r="3732" spans="1:5" x14ac:dyDescent="0.25">
      <c r="A3732" t="s">
        <v>3079</v>
      </c>
      <c r="B3732" t="s">
        <v>3724</v>
      </c>
      <c r="C3732" t="s">
        <v>3060</v>
      </c>
      <c r="D3732" t="s">
        <v>3725</v>
      </c>
      <c r="E3732" t="s">
        <v>451</v>
      </c>
    </row>
    <row r="3733" spans="1:5" x14ac:dyDescent="0.25">
      <c r="A3733" t="s">
        <v>3079</v>
      </c>
      <c r="B3733" t="s">
        <v>3726</v>
      </c>
      <c r="C3733" t="s">
        <v>3060</v>
      </c>
      <c r="D3733" t="s">
        <v>3727</v>
      </c>
      <c r="E3733" t="s">
        <v>1846</v>
      </c>
    </row>
    <row r="3734" spans="1:5" x14ac:dyDescent="0.25">
      <c r="A3734" t="s">
        <v>3079</v>
      </c>
      <c r="B3734" t="s">
        <v>3728</v>
      </c>
      <c r="C3734" t="s">
        <v>3060</v>
      </c>
      <c r="D3734" t="s">
        <v>3729</v>
      </c>
      <c r="E3734" t="s">
        <v>3198</v>
      </c>
    </row>
    <row r="3735" spans="1:5" x14ac:dyDescent="0.25">
      <c r="A3735" t="s">
        <v>3079</v>
      </c>
      <c r="B3735" t="s">
        <v>3730</v>
      </c>
      <c r="C3735" t="s">
        <v>3060</v>
      </c>
      <c r="D3735" t="s">
        <v>3731</v>
      </c>
      <c r="E3735" t="s">
        <v>461</v>
      </c>
    </row>
    <row r="3736" spans="1:5" x14ac:dyDescent="0.25">
      <c r="A3736" t="s">
        <v>3079</v>
      </c>
      <c r="B3736" t="s">
        <v>3732</v>
      </c>
      <c r="C3736" t="s">
        <v>3060</v>
      </c>
      <c r="D3736" t="s">
        <v>3733</v>
      </c>
      <c r="E3736" t="s">
        <v>428</v>
      </c>
    </row>
    <row r="3737" spans="1:5" x14ac:dyDescent="0.25">
      <c r="A3737" t="s">
        <v>3079</v>
      </c>
      <c r="B3737" t="s">
        <v>3734</v>
      </c>
      <c r="C3737" t="s">
        <v>3060</v>
      </c>
      <c r="D3737" t="s">
        <v>3735</v>
      </c>
      <c r="E3737" t="s">
        <v>812</v>
      </c>
    </row>
    <row r="3738" spans="1:5" x14ac:dyDescent="0.25">
      <c r="A3738" t="s">
        <v>3079</v>
      </c>
      <c r="B3738" t="s">
        <v>3736</v>
      </c>
      <c r="C3738" t="s">
        <v>3060</v>
      </c>
      <c r="D3738" t="s">
        <v>3737</v>
      </c>
      <c r="E3738" t="s">
        <v>2287</v>
      </c>
    </row>
    <row r="3739" spans="1:5" x14ac:dyDescent="0.25">
      <c r="A3739" t="s">
        <v>3079</v>
      </c>
      <c r="B3739" t="s">
        <v>3699</v>
      </c>
      <c r="C3739" t="s">
        <v>3060</v>
      </c>
      <c r="D3739" t="s">
        <v>3700</v>
      </c>
      <c r="E3739" t="s">
        <v>3701</v>
      </c>
    </row>
    <row r="3740" spans="1:5" x14ac:dyDescent="0.25">
      <c r="A3740" t="s">
        <v>3079</v>
      </c>
      <c r="B3740" t="s">
        <v>3738</v>
      </c>
      <c r="C3740" t="s">
        <v>3060</v>
      </c>
      <c r="D3740" t="s">
        <v>3739</v>
      </c>
      <c r="E3740" t="s">
        <v>361</v>
      </c>
    </row>
    <row r="3741" spans="1:5" x14ac:dyDescent="0.25">
      <c r="A3741" t="s">
        <v>3079</v>
      </c>
      <c r="B3741" t="s">
        <v>3740</v>
      </c>
      <c r="C3741" t="s">
        <v>3060</v>
      </c>
      <c r="D3741" t="s">
        <v>3741</v>
      </c>
      <c r="E3741" t="s">
        <v>479</v>
      </c>
    </row>
    <row r="3742" spans="1:5" x14ac:dyDescent="0.25">
      <c r="A3742" t="s">
        <v>3079</v>
      </c>
      <c r="B3742" t="s">
        <v>3742</v>
      </c>
      <c r="C3742" t="s">
        <v>3060</v>
      </c>
      <c r="D3742" t="s">
        <v>3743</v>
      </c>
      <c r="E3742" t="s">
        <v>529</v>
      </c>
    </row>
    <row r="3743" spans="1:5" x14ac:dyDescent="0.25">
      <c r="A3743" t="s">
        <v>3079</v>
      </c>
      <c r="B3743" t="s">
        <v>3704</v>
      </c>
      <c r="C3743" t="s">
        <v>3060</v>
      </c>
      <c r="D3743" t="s">
        <v>3705</v>
      </c>
      <c r="E3743" t="s">
        <v>461</v>
      </c>
    </row>
    <row r="3744" spans="1:5" x14ac:dyDescent="0.25">
      <c r="A3744" t="s">
        <v>3079</v>
      </c>
      <c r="B3744" t="s">
        <v>2477</v>
      </c>
      <c r="C3744" t="s">
        <v>3060</v>
      </c>
      <c r="D3744" t="s">
        <v>3060</v>
      </c>
      <c r="E3744" t="s">
        <v>1427</v>
      </c>
    </row>
    <row r="3745" spans="1:5" x14ac:dyDescent="0.25">
      <c r="A3745" t="s">
        <v>3079</v>
      </c>
      <c r="B3745" t="s">
        <v>2487</v>
      </c>
      <c r="C3745" t="s">
        <v>3060</v>
      </c>
      <c r="D3745" t="s">
        <v>3744</v>
      </c>
      <c r="E3745" t="s">
        <v>1832</v>
      </c>
    </row>
    <row r="3746" spans="1:5" x14ac:dyDescent="0.25">
      <c r="A3746" t="s">
        <v>3079</v>
      </c>
      <c r="B3746" t="s">
        <v>126</v>
      </c>
      <c r="C3746" t="s">
        <v>3060</v>
      </c>
      <c r="D3746" t="s">
        <v>3745</v>
      </c>
      <c r="E3746" t="s">
        <v>425</v>
      </c>
    </row>
    <row r="3747" spans="1:5" x14ac:dyDescent="0.25">
      <c r="A3747" t="s">
        <v>3079</v>
      </c>
      <c r="B3747" t="s">
        <v>3746</v>
      </c>
      <c r="C3747" t="s">
        <v>3060</v>
      </c>
      <c r="D3747" t="s">
        <v>3747</v>
      </c>
      <c r="E3747" t="s">
        <v>428</v>
      </c>
    </row>
    <row r="3748" spans="1:5" x14ac:dyDescent="0.25">
      <c r="A3748" t="s">
        <v>3079</v>
      </c>
      <c r="B3748" t="s">
        <v>3748</v>
      </c>
      <c r="C3748" t="s">
        <v>3060</v>
      </c>
      <c r="D3748" t="s">
        <v>3749</v>
      </c>
      <c r="E3748" t="s">
        <v>469</v>
      </c>
    </row>
    <row r="3749" spans="1:5" x14ac:dyDescent="0.25">
      <c r="A3749" t="s">
        <v>3079</v>
      </c>
      <c r="B3749" t="s">
        <v>3750</v>
      </c>
      <c r="C3749" t="s">
        <v>3060</v>
      </c>
      <c r="D3749" t="s">
        <v>3751</v>
      </c>
      <c r="E3749" t="s">
        <v>212</v>
      </c>
    </row>
    <row r="3750" spans="1:5" x14ac:dyDescent="0.25">
      <c r="A3750" t="s">
        <v>3079</v>
      </c>
      <c r="B3750" t="s">
        <v>2491</v>
      </c>
      <c r="C3750" t="s">
        <v>3060</v>
      </c>
      <c r="D3750" t="s">
        <v>3752</v>
      </c>
      <c r="E3750" t="s">
        <v>418</v>
      </c>
    </row>
    <row r="3751" spans="1:5" x14ac:dyDescent="0.25">
      <c r="A3751" t="s">
        <v>3079</v>
      </c>
      <c r="B3751" t="s">
        <v>2475</v>
      </c>
      <c r="C3751" t="s">
        <v>3060</v>
      </c>
      <c r="D3751" t="s">
        <v>3753</v>
      </c>
      <c r="E3751" t="s">
        <v>425</v>
      </c>
    </row>
    <row r="3752" spans="1:5" x14ac:dyDescent="0.25">
      <c r="A3752" t="s">
        <v>3079</v>
      </c>
      <c r="B3752" t="s">
        <v>2497</v>
      </c>
      <c r="C3752" t="s">
        <v>3060</v>
      </c>
      <c r="D3752" t="s">
        <v>3706</v>
      </c>
      <c r="E3752" t="s">
        <v>505</v>
      </c>
    </row>
    <row r="3753" spans="1:5" x14ac:dyDescent="0.25">
      <c r="A3753" t="s">
        <v>3079</v>
      </c>
      <c r="B3753" t="s">
        <v>2499</v>
      </c>
      <c r="C3753" t="s">
        <v>3060</v>
      </c>
      <c r="D3753" t="s">
        <v>3754</v>
      </c>
      <c r="E3753" t="s">
        <v>437</v>
      </c>
    </row>
    <row r="3754" spans="1:5" x14ac:dyDescent="0.25">
      <c r="A3754" t="s">
        <v>3079</v>
      </c>
      <c r="B3754" t="s">
        <v>3755</v>
      </c>
      <c r="C3754" t="s">
        <v>3060</v>
      </c>
      <c r="D3754" t="s">
        <v>3756</v>
      </c>
      <c r="E3754" t="s">
        <v>425</v>
      </c>
    </row>
    <row r="3755" spans="1:5" x14ac:dyDescent="0.25">
      <c r="A3755" t="s">
        <v>3079</v>
      </c>
      <c r="B3755" t="s">
        <v>3757</v>
      </c>
      <c r="C3755" t="s">
        <v>3060</v>
      </c>
      <c r="D3755" t="s">
        <v>3758</v>
      </c>
      <c r="E3755" t="s">
        <v>469</v>
      </c>
    </row>
    <row r="3756" spans="1:5" x14ac:dyDescent="0.25">
      <c r="A3756" t="s">
        <v>3079</v>
      </c>
      <c r="B3756" t="s">
        <v>3759</v>
      </c>
      <c r="C3756" t="s">
        <v>3060</v>
      </c>
      <c r="D3756" t="s">
        <v>3760</v>
      </c>
      <c r="E3756" t="s">
        <v>466</v>
      </c>
    </row>
    <row r="3757" spans="1:5" x14ac:dyDescent="0.25">
      <c r="A3757" t="s">
        <v>3079</v>
      </c>
      <c r="B3757" t="s">
        <v>3761</v>
      </c>
      <c r="C3757" t="s">
        <v>3060</v>
      </c>
      <c r="D3757" t="s">
        <v>3762</v>
      </c>
      <c r="E3757" t="s">
        <v>425</v>
      </c>
    </row>
    <row r="3758" spans="1:5" x14ac:dyDescent="0.25">
      <c r="A3758" t="s">
        <v>3079</v>
      </c>
      <c r="B3758" t="s">
        <v>3707</v>
      </c>
      <c r="C3758" t="s">
        <v>3060</v>
      </c>
      <c r="D3758" t="s">
        <v>3708</v>
      </c>
      <c r="E3758" t="s">
        <v>437</v>
      </c>
    </row>
    <row r="3759" spans="1:5" x14ac:dyDescent="0.25">
      <c r="A3759" t="s">
        <v>3079</v>
      </c>
      <c r="B3759" t="s">
        <v>3763</v>
      </c>
      <c r="C3759" t="s">
        <v>3060</v>
      </c>
      <c r="D3759" t="s">
        <v>3764</v>
      </c>
      <c r="E3759" t="s">
        <v>212</v>
      </c>
    </row>
    <row r="3760" spans="1:5" x14ac:dyDescent="0.25">
      <c r="A3760" t="s">
        <v>3079</v>
      </c>
      <c r="B3760" t="s">
        <v>474</v>
      </c>
      <c r="C3760" t="s">
        <v>3060</v>
      </c>
      <c r="D3760" t="s">
        <v>3765</v>
      </c>
      <c r="E3760" t="s">
        <v>437</v>
      </c>
    </row>
    <row r="3761" spans="1:5" x14ac:dyDescent="0.25">
      <c r="A3761" t="s">
        <v>3079</v>
      </c>
      <c r="B3761" t="s">
        <v>3766</v>
      </c>
      <c r="C3761" t="s">
        <v>3060</v>
      </c>
      <c r="D3761" t="s">
        <v>3767</v>
      </c>
      <c r="E3761" t="s">
        <v>437</v>
      </c>
    </row>
    <row r="3762" spans="1:5" x14ac:dyDescent="0.25">
      <c r="A3762" t="s">
        <v>3079</v>
      </c>
      <c r="B3762" t="s">
        <v>3768</v>
      </c>
      <c r="C3762" t="s">
        <v>3060</v>
      </c>
      <c r="D3762" t="s">
        <v>3769</v>
      </c>
      <c r="E3762" t="s">
        <v>401</v>
      </c>
    </row>
    <row r="3763" spans="1:5" x14ac:dyDescent="0.25">
      <c r="A3763" t="s">
        <v>3079</v>
      </c>
      <c r="B3763" t="s">
        <v>3770</v>
      </c>
      <c r="C3763" t="s">
        <v>3060</v>
      </c>
      <c r="D3763" t="s">
        <v>3771</v>
      </c>
      <c r="E3763" t="s">
        <v>466</v>
      </c>
    </row>
    <row r="3764" spans="1:5" x14ac:dyDescent="0.25">
      <c r="A3764" t="s">
        <v>3079</v>
      </c>
      <c r="B3764" t="s">
        <v>2521</v>
      </c>
      <c r="C3764" t="s">
        <v>3060</v>
      </c>
      <c r="D3764" t="s">
        <v>3772</v>
      </c>
      <c r="E3764" t="s">
        <v>258</v>
      </c>
    </row>
    <row r="3765" spans="1:5" x14ac:dyDescent="0.25">
      <c r="A3765" t="s">
        <v>3079</v>
      </c>
      <c r="B3765" t="s">
        <v>2528</v>
      </c>
      <c r="C3765" t="s">
        <v>3060</v>
      </c>
      <c r="D3765" t="s">
        <v>3773</v>
      </c>
      <c r="E3765" t="s">
        <v>258</v>
      </c>
    </row>
    <row r="3766" spans="1:5" x14ac:dyDescent="0.25">
      <c r="A3766" t="s">
        <v>3079</v>
      </c>
      <c r="B3766" t="s">
        <v>3774</v>
      </c>
      <c r="C3766" t="s">
        <v>3060</v>
      </c>
      <c r="D3766" t="s">
        <v>3775</v>
      </c>
      <c r="E3766" t="s">
        <v>425</v>
      </c>
    </row>
    <row r="3767" spans="1:5" x14ac:dyDescent="0.25">
      <c r="A3767" t="s">
        <v>3079</v>
      </c>
      <c r="B3767" t="s">
        <v>3667</v>
      </c>
      <c r="C3767" t="s">
        <v>3060</v>
      </c>
      <c r="D3767" t="s">
        <v>3776</v>
      </c>
      <c r="E3767" t="s">
        <v>258</v>
      </c>
    </row>
    <row r="3768" spans="1:5" x14ac:dyDescent="0.25">
      <c r="A3768" t="s">
        <v>3079</v>
      </c>
      <c r="B3768" t="s">
        <v>3777</v>
      </c>
      <c r="C3768" t="s">
        <v>3060</v>
      </c>
      <c r="D3768" t="s">
        <v>3778</v>
      </c>
      <c r="E3768" t="s">
        <v>469</v>
      </c>
    </row>
    <row r="3769" spans="1:5" x14ac:dyDescent="0.25">
      <c r="A3769" t="s">
        <v>3079</v>
      </c>
      <c r="B3769" t="s">
        <v>3779</v>
      </c>
      <c r="C3769" t="s">
        <v>3060</v>
      </c>
      <c r="D3769" t="s">
        <v>3780</v>
      </c>
      <c r="E3769" t="s">
        <v>212</v>
      </c>
    </row>
    <row r="3770" spans="1:5" x14ac:dyDescent="0.25">
      <c r="A3770" t="s">
        <v>3079</v>
      </c>
      <c r="B3770" t="s">
        <v>2530</v>
      </c>
      <c r="C3770" t="s">
        <v>3060</v>
      </c>
      <c r="D3770" t="s">
        <v>3781</v>
      </c>
      <c r="E3770" t="s">
        <v>418</v>
      </c>
    </row>
    <row r="3771" spans="1:5" x14ac:dyDescent="0.25">
      <c r="A3771" t="s">
        <v>3079</v>
      </c>
      <c r="B3771" t="s">
        <v>3782</v>
      </c>
      <c r="C3771" t="s">
        <v>3060</v>
      </c>
      <c r="D3771" t="s">
        <v>3783</v>
      </c>
      <c r="E3771" t="s">
        <v>2512</v>
      </c>
    </row>
    <row r="3772" spans="1:5" x14ac:dyDescent="0.25">
      <c r="A3772" t="s">
        <v>3079</v>
      </c>
      <c r="B3772" t="s">
        <v>3784</v>
      </c>
      <c r="C3772" t="s">
        <v>3060</v>
      </c>
      <c r="D3772" t="s">
        <v>3785</v>
      </c>
      <c r="E3772" t="s">
        <v>1841</v>
      </c>
    </row>
    <row r="3773" spans="1:5" x14ac:dyDescent="0.25">
      <c r="A3773" t="s">
        <v>3079</v>
      </c>
      <c r="B3773" t="s">
        <v>3786</v>
      </c>
      <c r="C3773" t="s">
        <v>3060</v>
      </c>
      <c r="D3773" t="s">
        <v>3787</v>
      </c>
      <c r="E3773" t="s">
        <v>418</v>
      </c>
    </row>
    <row r="3774" spans="1:5" x14ac:dyDescent="0.25">
      <c r="A3774" t="s">
        <v>3079</v>
      </c>
      <c r="B3774" t="s">
        <v>2546</v>
      </c>
      <c r="C3774" t="s">
        <v>3060</v>
      </c>
      <c r="D3774" t="s">
        <v>3788</v>
      </c>
      <c r="E3774" t="s">
        <v>1832</v>
      </c>
    </row>
    <row r="3775" spans="1:5" x14ac:dyDescent="0.25">
      <c r="A3775" t="s">
        <v>3079</v>
      </c>
      <c r="B3775" t="s">
        <v>3789</v>
      </c>
      <c r="C3775" t="s">
        <v>3060</v>
      </c>
      <c r="D3775" t="s">
        <v>3790</v>
      </c>
      <c r="E3775" t="s">
        <v>418</v>
      </c>
    </row>
    <row r="3776" spans="1:5" x14ac:dyDescent="0.25">
      <c r="A3776" t="s">
        <v>3079</v>
      </c>
      <c r="B3776" t="s">
        <v>2549</v>
      </c>
      <c r="C3776" t="s">
        <v>3060</v>
      </c>
      <c r="D3776" t="s">
        <v>3791</v>
      </c>
      <c r="E3776" t="s">
        <v>1841</v>
      </c>
    </row>
    <row r="3777" spans="1:5" x14ac:dyDescent="0.25">
      <c r="A3777" t="s">
        <v>3079</v>
      </c>
      <c r="B3777" t="s">
        <v>2551</v>
      </c>
      <c r="C3777" t="s">
        <v>3060</v>
      </c>
      <c r="D3777" t="s">
        <v>3792</v>
      </c>
      <c r="E3777" t="s">
        <v>582</v>
      </c>
    </row>
    <row r="3778" spans="1:5" x14ac:dyDescent="0.25">
      <c r="A3778" t="s">
        <v>3079</v>
      </c>
      <c r="B3778" t="s">
        <v>3793</v>
      </c>
      <c r="C3778" t="s">
        <v>3060</v>
      </c>
      <c r="D3778" t="s">
        <v>3794</v>
      </c>
      <c r="E3778" t="s">
        <v>418</v>
      </c>
    </row>
    <row r="3779" spans="1:5" x14ac:dyDescent="0.25">
      <c r="A3779" t="s">
        <v>3079</v>
      </c>
      <c r="B3779" t="s">
        <v>2555</v>
      </c>
      <c r="C3779" t="s">
        <v>3060</v>
      </c>
      <c r="D3779" t="s">
        <v>3795</v>
      </c>
      <c r="E3779" t="s">
        <v>418</v>
      </c>
    </row>
    <row r="3780" spans="1:5" x14ac:dyDescent="0.25">
      <c r="A3780" t="s">
        <v>3079</v>
      </c>
      <c r="B3780" t="s">
        <v>2557</v>
      </c>
      <c r="C3780" t="s">
        <v>3060</v>
      </c>
      <c r="D3780" t="s">
        <v>3796</v>
      </c>
      <c r="E3780" t="s">
        <v>1841</v>
      </c>
    </row>
    <row r="3781" spans="1:5" x14ac:dyDescent="0.25">
      <c r="A3781" t="s">
        <v>3079</v>
      </c>
      <c r="B3781" t="s">
        <v>2559</v>
      </c>
      <c r="C3781" t="s">
        <v>3060</v>
      </c>
      <c r="D3781" t="s">
        <v>3797</v>
      </c>
      <c r="E3781" t="s">
        <v>1832</v>
      </c>
    </row>
    <row r="3782" spans="1:5" x14ac:dyDescent="0.25">
      <c r="A3782" t="s">
        <v>3079</v>
      </c>
      <c r="B3782" t="s">
        <v>2563</v>
      </c>
      <c r="C3782" t="s">
        <v>3060</v>
      </c>
      <c r="D3782" t="s">
        <v>3798</v>
      </c>
      <c r="E3782" t="s">
        <v>425</v>
      </c>
    </row>
    <row r="3783" spans="1:5" x14ac:dyDescent="0.25">
      <c r="A3783" t="s">
        <v>3079</v>
      </c>
      <c r="B3783" t="s">
        <v>2565</v>
      </c>
      <c r="C3783" t="s">
        <v>3060</v>
      </c>
      <c r="D3783" t="s">
        <v>3799</v>
      </c>
      <c r="E3783" t="s">
        <v>1841</v>
      </c>
    </row>
    <row r="3784" spans="1:5" x14ac:dyDescent="0.25">
      <c r="A3784" t="s">
        <v>3079</v>
      </c>
      <c r="B3784" t="s">
        <v>2567</v>
      </c>
      <c r="C3784" t="s">
        <v>3060</v>
      </c>
      <c r="D3784" t="s">
        <v>3800</v>
      </c>
      <c r="E3784" t="s">
        <v>418</v>
      </c>
    </row>
    <row r="3785" spans="1:5" x14ac:dyDescent="0.25">
      <c r="A3785" t="s">
        <v>3079</v>
      </c>
      <c r="B3785" t="s">
        <v>3801</v>
      </c>
      <c r="C3785" t="s">
        <v>3060</v>
      </c>
      <c r="D3785" t="s">
        <v>3802</v>
      </c>
      <c r="E3785" t="s">
        <v>418</v>
      </c>
    </row>
    <row r="3786" spans="1:5" x14ac:dyDescent="0.25">
      <c r="A3786" t="s">
        <v>3079</v>
      </c>
      <c r="B3786" t="s">
        <v>2574</v>
      </c>
      <c r="C3786" t="s">
        <v>3060</v>
      </c>
      <c r="D3786" t="s">
        <v>3803</v>
      </c>
      <c r="E3786" t="s">
        <v>212</v>
      </c>
    </row>
    <row r="3787" spans="1:5" x14ac:dyDescent="0.25">
      <c r="A3787" t="s">
        <v>3079</v>
      </c>
      <c r="B3787" t="s">
        <v>3804</v>
      </c>
      <c r="C3787" t="s">
        <v>3060</v>
      </c>
      <c r="D3787" t="s">
        <v>3805</v>
      </c>
      <c r="E3787" t="s">
        <v>1846</v>
      </c>
    </row>
    <row r="3788" spans="1:5" x14ac:dyDescent="0.25">
      <c r="A3788" t="s">
        <v>3079</v>
      </c>
      <c r="B3788" t="s">
        <v>3806</v>
      </c>
      <c r="C3788" t="s">
        <v>3060</v>
      </c>
      <c r="D3788" t="s">
        <v>3807</v>
      </c>
      <c r="E3788" t="s">
        <v>428</v>
      </c>
    </row>
    <row r="3789" spans="1:5" x14ac:dyDescent="0.25">
      <c r="A3789" t="s">
        <v>3079</v>
      </c>
      <c r="B3789" t="s">
        <v>3808</v>
      </c>
      <c r="C3789" t="s">
        <v>3060</v>
      </c>
      <c r="D3789" t="s">
        <v>3809</v>
      </c>
      <c r="E3789" t="s">
        <v>212</v>
      </c>
    </row>
    <row r="3790" spans="1:5" x14ac:dyDescent="0.25">
      <c r="A3790" t="s">
        <v>3079</v>
      </c>
      <c r="B3790" t="s">
        <v>2577</v>
      </c>
      <c r="C3790" t="s">
        <v>3060</v>
      </c>
      <c r="D3790" t="s">
        <v>3810</v>
      </c>
      <c r="E3790" t="s">
        <v>505</v>
      </c>
    </row>
    <row r="3791" spans="1:5" x14ac:dyDescent="0.25">
      <c r="A3791" t="s">
        <v>3079</v>
      </c>
      <c r="B3791" t="s">
        <v>3811</v>
      </c>
      <c r="C3791" t="s">
        <v>3060</v>
      </c>
      <c r="D3791" t="s">
        <v>3812</v>
      </c>
      <c r="E3791" t="s">
        <v>212</v>
      </c>
    </row>
    <row r="3792" spans="1:5" x14ac:dyDescent="0.25">
      <c r="A3792" t="s">
        <v>3079</v>
      </c>
      <c r="B3792" t="s">
        <v>2578</v>
      </c>
      <c r="C3792" t="s">
        <v>3060</v>
      </c>
      <c r="D3792" t="s">
        <v>3813</v>
      </c>
      <c r="E3792" t="s">
        <v>479</v>
      </c>
    </row>
    <row r="3793" spans="1:5" x14ac:dyDescent="0.25">
      <c r="A3793" t="s">
        <v>3079</v>
      </c>
      <c r="B3793" t="s">
        <v>2579</v>
      </c>
      <c r="C3793" t="s">
        <v>3060</v>
      </c>
      <c r="D3793" t="s">
        <v>3814</v>
      </c>
      <c r="E3793" t="s">
        <v>469</v>
      </c>
    </row>
    <row r="3794" spans="1:5" x14ac:dyDescent="0.25">
      <c r="A3794" t="s">
        <v>3079</v>
      </c>
      <c r="B3794" t="s">
        <v>3815</v>
      </c>
      <c r="C3794" t="s">
        <v>3060</v>
      </c>
      <c r="D3794" t="s">
        <v>3816</v>
      </c>
      <c r="E3794" t="s">
        <v>212</v>
      </c>
    </row>
    <row r="3795" spans="1:5" x14ac:dyDescent="0.25">
      <c r="A3795" t="s">
        <v>3079</v>
      </c>
      <c r="B3795" t="s">
        <v>2581</v>
      </c>
      <c r="C3795" t="s">
        <v>3060</v>
      </c>
      <c r="D3795" t="s">
        <v>3817</v>
      </c>
      <c r="E3795" t="s">
        <v>212</v>
      </c>
    </row>
    <row r="3796" spans="1:5" x14ac:dyDescent="0.25">
      <c r="A3796" t="s">
        <v>3079</v>
      </c>
      <c r="B3796" t="s">
        <v>2582</v>
      </c>
      <c r="C3796" t="s">
        <v>3060</v>
      </c>
      <c r="D3796" t="s">
        <v>3818</v>
      </c>
      <c r="E3796" t="s">
        <v>479</v>
      </c>
    </row>
    <row r="3797" spans="1:5" x14ac:dyDescent="0.25">
      <c r="A3797" t="s">
        <v>3079</v>
      </c>
      <c r="B3797" t="s">
        <v>2583</v>
      </c>
      <c r="C3797" t="s">
        <v>3060</v>
      </c>
      <c r="D3797" t="s">
        <v>3819</v>
      </c>
      <c r="E3797" t="s">
        <v>505</v>
      </c>
    </row>
    <row r="3798" spans="1:5" x14ac:dyDescent="0.25">
      <c r="A3798" t="s">
        <v>3079</v>
      </c>
      <c r="B3798" t="s">
        <v>2585</v>
      </c>
      <c r="C3798" t="s">
        <v>3060</v>
      </c>
      <c r="D3798" t="s">
        <v>3820</v>
      </c>
      <c r="E3798" t="s">
        <v>2512</v>
      </c>
    </row>
    <row r="3799" spans="1:5" x14ac:dyDescent="0.25">
      <c r="A3799" t="s">
        <v>3079</v>
      </c>
      <c r="B3799" t="s">
        <v>2586</v>
      </c>
      <c r="C3799" t="s">
        <v>3060</v>
      </c>
      <c r="D3799" t="s">
        <v>3821</v>
      </c>
      <c r="E3799" t="s">
        <v>479</v>
      </c>
    </row>
    <row r="3800" spans="1:5" x14ac:dyDescent="0.25">
      <c r="A3800" t="s">
        <v>3079</v>
      </c>
      <c r="B3800" t="s">
        <v>2587</v>
      </c>
      <c r="C3800" t="s">
        <v>3060</v>
      </c>
      <c r="D3800" t="s">
        <v>3822</v>
      </c>
      <c r="E3800" t="s">
        <v>212</v>
      </c>
    </row>
    <row r="3801" spans="1:5" x14ac:dyDescent="0.25">
      <c r="A3801" t="s">
        <v>3079</v>
      </c>
      <c r="B3801" t="s">
        <v>3823</v>
      </c>
      <c r="C3801" t="s">
        <v>3060</v>
      </c>
      <c r="D3801" t="s">
        <v>3703</v>
      </c>
      <c r="E3801" t="s">
        <v>212</v>
      </c>
    </row>
    <row r="3802" spans="1:5" x14ac:dyDescent="0.25">
      <c r="A3802" t="s">
        <v>3079</v>
      </c>
      <c r="B3802" t="s">
        <v>2588</v>
      </c>
      <c r="C3802" t="s">
        <v>3060</v>
      </c>
      <c r="D3802" t="s">
        <v>3803</v>
      </c>
      <c r="E3802" t="s">
        <v>256</v>
      </c>
    </row>
    <row r="3803" spans="1:5" x14ac:dyDescent="0.25">
      <c r="A3803" t="s">
        <v>3079</v>
      </c>
      <c r="B3803" t="s">
        <v>3824</v>
      </c>
      <c r="C3803" t="s">
        <v>3060</v>
      </c>
      <c r="D3803" t="s">
        <v>3805</v>
      </c>
      <c r="E3803" t="s">
        <v>529</v>
      </c>
    </row>
    <row r="3804" spans="1:5" x14ac:dyDescent="0.25">
      <c r="A3804" t="s">
        <v>3079</v>
      </c>
      <c r="B3804" t="s">
        <v>3825</v>
      </c>
      <c r="C3804" t="s">
        <v>3060</v>
      </c>
      <c r="D3804" t="s">
        <v>3807</v>
      </c>
      <c r="E3804" t="s">
        <v>372</v>
      </c>
    </row>
    <row r="3805" spans="1:5" x14ac:dyDescent="0.25">
      <c r="A3805" t="s">
        <v>3079</v>
      </c>
      <c r="B3805" t="s">
        <v>3826</v>
      </c>
      <c r="C3805" t="s">
        <v>3060</v>
      </c>
      <c r="D3805" t="s">
        <v>3809</v>
      </c>
      <c r="E3805" t="s">
        <v>256</v>
      </c>
    </row>
    <row r="3806" spans="1:5" x14ac:dyDescent="0.25">
      <c r="A3806" t="s">
        <v>3079</v>
      </c>
      <c r="B3806" t="s">
        <v>2597</v>
      </c>
      <c r="C3806" t="s">
        <v>3060</v>
      </c>
      <c r="D3806" t="s">
        <v>3810</v>
      </c>
      <c r="E3806" t="s">
        <v>264</v>
      </c>
    </row>
    <row r="3807" spans="1:5" x14ac:dyDescent="0.25">
      <c r="A3807" t="s">
        <v>3079</v>
      </c>
      <c r="B3807" t="s">
        <v>3827</v>
      </c>
      <c r="C3807" t="s">
        <v>3060</v>
      </c>
      <c r="D3807" t="s">
        <v>3812</v>
      </c>
      <c r="E3807" t="s">
        <v>256</v>
      </c>
    </row>
    <row r="3808" spans="1:5" x14ac:dyDescent="0.25">
      <c r="A3808" t="s">
        <v>3079</v>
      </c>
      <c r="B3808" t="s">
        <v>2598</v>
      </c>
      <c r="C3808" t="s">
        <v>3060</v>
      </c>
      <c r="D3808" t="s">
        <v>3813</v>
      </c>
      <c r="E3808" t="s">
        <v>2591</v>
      </c>
    </row>
    <row r="3809" spans="1:5" x14ac:dyDescent="0.25">
      <c r="A3809" t="s">
        <v>3079</v>
      </c>
      <c r="B3809" t="s">
        <v>2599</v>
      </c>
      <c r="C3809" t="s">
        <v>3060</v>
      </c>
      <c r="D3809" t="s">
        <v>3814</v>
      </c>
      <c r="E3809" t="s">
        <v>212</v>
      </c>
    </row>
    <row r="3810" spans="1:5" x14ac:dyDescent="0.25">
      <c r="A3810" t="s">
        <v>3079</v>
      </c>
      <c r="B3810" t="s">
        <v>3828</v>
      </c>
      <c r="C3810" t="s">
        <v>3060</v>
      </c>
      <c r="D3810" t="s">
        <v>3816</v>
      </c>
      <c r="E3810" t="s">
        <v>256</v>
      </c>
    </row>
    <row r="3811" spans="1:5" x14ac:dyDescent="0.25">
      <c r="A3811" t="s">
        <v>3079</v>
      </c>
      <c r="B3811" t="s">
        <v>2601</v>
      </c>
      <c r="C3811" t="s">
        <v>3060</v>
      </c>
      <c r="D3811" t="s">
        <v>3817</v>
      </c>
      <c r="E3811" t="s">
        <v>256</v>
      </c>
    </row>
    <row r="3812" spans="1:5" x14ac:dyDescent="0.25">
      <c r="A3812" t="s">
        <v>3079</v>
      </c>
      <c r="B3812" t="s">
        <v>2602</v>
      </c>
      <c r="C3812" t="s">
        <v>3060</v>
      </c>
      <c r="D3812" t="s">
        <v>3818</v>
      </c>
      <c r="E3812" t="s">
        <v>2591</v>
      </c>
    </row>
    <row r="3813" spans="1:5" x14ac:dyDescent="0.25">
      <c r="A3813" t="s">
        <v>3079</v>
      </c>
      <c r="B3813" t="s">
        <v>2603</v>
      </c>
      <c r="C3813" t="s">
        <v>3060</v>
      </c>
      <c r="D3813" t="s">
        <v>3819</v>
      </c>
      <c r="E3813" t="s">
        <v>264</v>
      </c>
    </row>
    <row r="3814" spans="1:5" x14ac:dyDescent="0.25">
      <c r="A3814" t="s">
        <v>3079</v>
      </c>
      <c r="B3814" t="s">
        <v>2605</v>
      </c>
      <c r="C3814" t="s">
        <v>3060</v>
      </c>
      <c r="D3814" t="s">
        <v>3820</v>
      </c>
      <c r="E3814" t="s">
        <v>479</v>
      </c>
    </row>
    <row r="3815" spans="1:5" x14ac:dyDescent="0.25">
      <c r="A3815" t="s">
        <v>3079</v>
      </c>
      <c r="B3815" t="s">
        <v>2606</v>
      </c>
      <c r="C3815" t="s">
        <v>3060</v>
      </c>
      <c r="D3815" t="s">
        <v>3821</v>
      </c>
      <c r="E3815" t="s">
        <v>2591</v>
      </c>
    </row>
    <row r="3816" spans="1:5" x14ac:dyDescent="0.25">
      <c r="A3816" t="s">
        <v>3079</v>
      </c>
      <c r="B3816" t="s">
        <v>2607</v>
      </c>
      <c r="C3816" t="s">
        <v>3060</v>
      </c>
      <c r="D3816" t="s">
        <v>3822</v>
      </c>
      <c r="E3816" t="s">
        <v>256</v>
      </c>
    </row>
    <row r="3817" spans="1:5" x14ac:dyDescent="0.25">
      <c r="A3817" t="s">
        <v>3079</v>
      </c>
      <c r="B3817" t="s">
        <v>3702</v>
      </c>
      <c r="C3817" t="s">
        <v>3060</v>
      </c>
      <c r="D3817" t="s">
        <v>3703</v>
      </c>
      <c r="E3817" t="s">
        <v>256</v>
      </c>
    </row>
    <row r="3818" spans="1:5" x14ac:dyDescent="0.25">
      <c r="A3818" t="s">
        <v>3079</v>
      </c>
      <c r="B3818" t="s">
        <v>1159</v>
      </c>
      <c r="C3818" t="s">
        <v>3060</v>
      </c>
      <c r="D3818" t="s">
        <v>3829</v>
      </c>
      <c r="E3818" t="s">
        <v>269</v>
      </c>
    </row>
    <row r="3819" spans="1:5" x14ac:dyDescent="0.25">
      <c r="A3819" t="s">
        <v>3079</v>
      </c>
      <c r="B3819" t="s">
        <v>3830</v>
      </c>
      <c r="C3819" t="s">
        <v>3060</v>
      </c>
      <c r="D3819" t="s">
        <v>3831</v>
      </c>
      <c r="E3819" t="s">
        <v>469</v>
      </c>
    </row>
    <row r="3820" spans="1:5" x14ac:dyDescent="0.25">
      <c r="A3820" t="s">
        <v>3079</v>
      </c>
      <c r="B3820" t="s">
        <v>3832</v>
      </c>
      <c r="C3820" t="s">
        <v>3060</v>
      </c>
      <c r="D3820" t="s">
        <v>3833</v>
      </c>
      <c r="E3820" t="s">
        <v>425</v>
      </c>
    </row>
    <row r="3821" spans="1:5" x14ac:dyDescent="0.25">
      <c r="A3821" t="s">
        <v>3079</v>
      </c>
      <c r="B3821" t="s">
        <v>142</v>
      </c>
      <c r="C3821" t="s">
        <v>3060</v>
      </c>
      <c r="D3821" t="s">
        <v>3834</v>
      </c>
      <c r="E3821" t="s">
        <v>554</v>
      </c>
    </row>
    <row r="3822" spans="1:5" x14ac:dyDescent="0.25">
      <c r="A3822" t="s">
        <v>3079</v>
      </c>
      <c r="B3822" t="s">
        <v>2610</v>
      </c>
      <c r="C3822" t="s">
        <v>3060</v>
      </c>
      <c r="D3822" t="s">
        <v>3835</v>
      </c>
      <c r="E3822" t="s">
        <v>269</v>
      </c>
    </row>
    <row r="3823" spans="1:5" x14ac:dyDescent="0.25">
      <c r="A3823" t="s">
        <v>3079</v>
      </c>
      <c r="B3823" t="s">
        <v>153</v>
      </c>
      <c r="C3823" t="s">
        <v>3060</v>
      </c>
      <c r="D3823" t="s">
        <v>3836</v>
      </c>
      <c r="E3823" t="s">
        <v>636</v>
      </c>
    </row>
    <row r="3824" spans="1:5" x14ac:dyDescent="0.25">
      <c r="A3824" t="s">
        <v>3079</v>
      </c>
      <c r="B3824" t="s">
        <v>1133</v>
      </c>
      <c r="C3824" t="s">
        <v>3060</v>
      </c>
      <c r="D3824" t="s">
        <v>3837</v>
      </c>
      <c r="E3824" t="s">
        <v>258</v>
      </c>
    </row>
    <row r="3825" spans="1:5" x14ac:dyDescent="0.25">
      <c r="A3825" t="s">
        <v>3079</v>
      </c>
      <c r="B3825" t="s">
        <v>576</v>
      </c>
      <c r="C3825" t="s">
        <v>3060</v>
      </c>
      <c r="D3825" t="s">
        <v>3838</v>
      </c>
      <c r="E3825" t="s">
        <v>241</v>
      </c>
    </row>
    <row r="3826" spans="1:5" x14ac:dyDescent="0.25">
      <c r="A3826" t="s">
        <v>3079</v>
      </c>
      <c r="B3826" t="s">
        <v>3839</v>
      </c>
      <c r="C3826" t="s">
        <v>3060</v>
      </c>
      <c r="D3826" t="s">
        <v>3838</v>
      </c>
      <c r="E3826" t="s">
        <v>2660</v>
      </c>
    </row>
    <row r="3827" spans="1:5" x14ac:dyDescent="0.25">
      <c r="A3827" t="s">
        <v>3079</v>
      </c>
      <c r="B3827" t="s">
        <v>2639</v>
      </c>
      <c r="C3827" t="s">
        <v>3060</v>
      </c>
      <c r="D3827" t="s">
        <v>3838</v>
      </c>
      <c r="E3827" t="s">
        <v>241</v>
      </c>
    </row>
    <row r="3828" spans="1:5" x14ac:dyDescent="0.25">
      <c r="A3828" t="s">
        <v>3079</v>
      </c>
      <c r="B3828" t="s">
        <v>577</v>
      </c>
      <c r="C3828" t="s">
        <v>3060</v>
      </c>
      <c r="D3828" t="s">
        <v>3838</v>
      </c>
      <c r="E3828" t="s">
        <v>286</v>
      </c>
    </row>
    <row r="3829" spans="1:5" x14ac:dyDescent="0.25">
      <c r="A3829" t="s">
        <v>3079</v>
      </c>
      <c r="B3829" t="s">
        <v>3840</v>
      </c>
      <c r="C3829" t="s">
        <v>3060</v>
      </c>
      <c r="D3829" t="s">
        <v>3802</v>
      </c>
      <c r="E3829" t="s">
        <v>207</v>
      </c>
    </row>
    <row r="3830" spans="1:5" x14ac:dyDescent="0.25">
      <c r="A3830" t="s">
        <v>3079</v>
      </c>
      <c r="B3830" t="s">
        <v>1410</v>
      </c>
      <c r="C3830" t="s">
        <v>3060</v>
      </c>
      <c r="D3830" t="s">
        <v>3838</v>
      </c>
      <c r="E3830" t="s">
        <v>287</v>
      </c>
    </row>
    <row r="3831" spans="1:5" x14ac:dyDescent="0.25">
      <c r="A3831" t="s">
        <v>3079</v>
      </c>
      <c r="B3831" t="s">
        <v>2642</v>
      </c>
      <c r="C3831" t="s">
        <v>3060</v>
      </c>
      <c r="D3831" t="s">
        <v>3838</v>
      </c>
      <c r="E3831" t="s">
        <v>287</v>
      </c>
    </row>
    <row r="3832" spans="1:5" x14ac:dyDescent="0.25">
      <c r="A3832" t="s">
        <v>3079</v>
      </c>
      <c r="B3832" t="s">
        <v>2640</v>
      </c>
      <c r="C3832" t="s">
        <v>3060</v>
      </c>
      <c r="D3832" t="s">
        <v>3838</v>
      </c>
      <c r="E3832" t="s">
        <v>406</v>
      </c>
    </row>
    <row r="3833" spans="1:5" x14ac:dyDescent="0.25">
      <c r="A3833" t="s">
        <v>3079</v>
      </c>
      <c r="B3833" t="s">
        <v>2645</v>
      </c>
      <c r="C3833" t="s">
        <v>3060</v>
      </c>
      <c r="D3833" t="s">
        <v>3838</v>
      </c>
      <c r="E3833" t="s">
        <v>287</v>
      </c>
    </row>
    <row r="3834" spans="1:5" x14ac:dyDescent="0.25">
      <c r="A3834" t="s">
        <v>3079</v>
      </c>
      <c r="B3834" t="s">
        <v>573</v>
      </c>
      <c r="C3834" t="s">
        <v>3060</v>
      </c>
      <c r="D3834" t="s">
        <v>3838</v>
      </c>
      <c r="E3834" t="s">
        <v>287</v>
      </c>
    </row>
    <row r="3835" spans="1:5" x14ac:dyDescent="0.25">
      <c r="A3835" t="s">
        <v>3079</v>
      </c>
      <c r="B3835" t="s">
        <v>572</v>
      </c>
      <c r="C3835" t="s">
        <v>3060</v>
      </c>
      <c r="D3835" t="s">
        <v>3838</v>
      </c>
      <c r="E3835" t="s">
        <v>406</v>
      </c>
    </row>
    <row r="3836" spans="1:5" x14ac:dyDescent="0.25">
      <c r="A3836" t="s">
        <v>3079</v>
      </c>
      <c r="B3836" t="s">
        <v>2632</v>
      </c>
      <c r="C3836" t="s">
        <v>3060</v>
      </c>
      <c r="D3836" t="s">
        <v>3841</v>
      </c>
      <c r="E3836" t="s">
        <v>554</v>
      </c>
    </row>
    <row r="3837" spans="1:5" x14ac:dyDescent="0.25">
      <c r="A3837" t="s">
        <v>3079</v>
      </c>
      <c r="B3837" t="s">
        <v>2100</v>
      </c>
      <c r="C3837" t="s">
        <v>3060</v>
      </c>
      <c r="D3837" t="s">
        <v>3060</v>
      </c>
      <c r="E3837" t="s">
        <v>253</v>
      </c>
    </row>
    <row r="3838" spans="1:5" x14ac:dyDescent="0.25">
      <c r="A3838" t="s">
        <v>3079</v>
      </c>
      <c r="B3838" t="s">
        <v>2102</v>
      </c>
      <c r="C3838" t="s">
        <v>3060</v>
      </c>
      <c r="D3838" t="s">
        <v>3842</v>
      </c>
      <c r="E3838" t="s">
        <v>253</v>
      </c>
    </row>
    <row r="3839" spans="1:5" x14ac:dyDescent="0.25">
      <c r="A3839" t="s">
        <v>3079</v>
      </c>
      <c r="B3839" t="s">
        <v>578</v>
      </c>
      <c r="C3839" t="s">
        <v>3060</v>
      </c>
      <c r="D3839" t="s">
        <v>3843</v>
      </c>
      <c r="E3839" t="s">
        <v>636</v>
      </c>
    </row>
    <row r="3840" spans="1:5" x14ac:dyDescent="0.25">
      <c r="A3840" t="s">
        <v>3079</v>
      </c>
      <c r="B3840" t="s">
        <v>585</v>
      </c>
      <c r="C3840" t="s">
        <v>3060</v>
      </c>
      <c r="D3840" t="s">
        <v>3844</v>
      </c>
      <c r="E3840" t="s">
        <v>258</v>
      </c>
    </row>
    <row r="3841" spans="1:5" x14ac:dyDescent="0.25">
      <c r="A3841" t="s">
        <v>3079</v>
      </c>
      <c r="B3841" t="s">
        <v>229</v>
      </c>
      <c r="C3841" t="s">
        <v>3060</v>
      </c>
      <c r="D3841" t="s">
        <v>3060</v>
      </c>
      <c r="E3841" t="s">
        <v>252</v>
      </c>
    </row>
    <row r="3842" spans="1:5" x14ac:dyDescent="0.25">
      <c r="A3842" t="s">
        <v>3079</v>
      </c>
      <c r="B3842" t="s">
        <v>643</v>
      </c>
      <c r="C3842" t="s">
        <v>3060</v>
      </c>
      <c r="D3842" t="s">
        <v>3060</v>
      </c>
      <c r="E3842" t="s">
        <v>252</v>
      </c>
    </row>
    <row r="3843" spans="1:5" x14ac:dyDescent="0.25">
      <c r="A3843" t="s">
        <v>3079</v>
      </c>
      <c r="B3843" t="s">
        <v>876</v>
      </c>
      <c r="C3843" t="s">
        <v>3060</v>
      </c>
      <c r="D3843" t="s">
        <v>3060</v>
      </c>
      <c r="E3843" t="s">
        <v>252</v>
      </c>
    </row>
    <row r="3844" spans="1:5" x14ac:dyDescent="0.25">
      <c r="A3844" t="s">
        <v>3079</v>
      </c>
      <c r="B3844" t="s">
        <v>230</v>
      </c>
      <c r="C3844" t="s">
        <v>3060</v>
      </c>
      <c r="D3844" t="s">
        <v>3060</v>
      </c>
      <c r="E3844" t="s">
        <v>252</v>
      </c>
    </row>
    <row r="3845" spans="1:5" x14ac:dyDescent="0.25">
      <c r="A3845" t="s">
        <v>3079</v>
      </c>
      <c r="B3845" t="s">
        <v>231</v>
      </c>
      <c r="C3845" t="s">
        <v>3060</v>
      </c>
      <c r="D3845" t="s">
        <v>3060</v>
      </c>
      <c r="E3845" t="s">
        <v>252</v>
      </c>
    </row>
    <row r="3846" spans="1:5" x14ac:dyDescent="0.25">
      <c r="A3846" t="s">
        <v>3079</v>
      </c>
      <c r="B3846" t="s">
        <v>233</v>
      </c>
      <c r="C3846" t="s">
        <v>3060</v>
      </c>
      <c r="D3846" t="s">
        <v>3060</v>
      </c>
      <c r="E3846" t="s">
        <v>252</v>
      </c>
    </row>
    <row r="3847" spans="1:5" x14ac:dyDescent="0.25">
      <c r="A3847" t="s">
        <v>3079</v>
      </c>
      <c r="B3847" t="s">
        <v>232</v>
      </c>
      <c r="C3847" t="s">
        <v>3060</v>
      </c>
      <c r="D3847" t="s">
        <v>3060</v>
      </c>
      <c r="E3847" t="s">
        <v>252</v>
      </c>
    </row>
    <row r="3848" spans="1:5" x14ac:dyDescent="0.25">
      <c r="A3848" t="s">
        <v>3079</v>
      </c>
      <c r="B3848" t="s">
        <v>173</v>
      </c>
      <c r="C3848" t="s">
        <v>3060</v>
      </c>
      <c r="D3848" t="s">
        <v>3060</v>
      </c>
      <c r="E3848" t="s">
        <v>279</v>
      </c>
    </row>
    <row r="3849" spans="1:5" x14ac:dyDescent="0.25">
      <c r="A3849" t="s">
        <v>3079</v>
      </c>
      <c r="B3849" t="s">
        <v>178</v>
      </c>
      <c r="C3849" t="s">
        <v>3060</v>
      </c>
      <c r="D3849" t="s">
        <v>3060</v>
      </c>
      <c r="E3849" t="s">
        <v>279</v>
      </c>
    </row>
    <row r="3850" spans="1:5" x14ac:dyDescent="0.25">
      <c r="A3850" t="s">
        <v>3079</v>
      </c>
      <c r="B3850" t="s">
        <v>179</v>
      </c>
      <c r="C3850" t="s">
        <v>3060</v>
      </c>
      <c r="D3850" t="s">
        <v>3060</v>
      </c>
      <c r="E3850" t="s">
        <v>237</v>
      </c>
    </row>
    <row r="3851" spans="1:5" x14ac:dyDescent="0.25">
      <c r="A3851" t="s">
        <v>3079</v>
      </c>
      <c r="B3851" t="s">
        <v>180</v>
      </c>
      <c r="C3851" t="s">
        <v>3060</v>
      </c>
      <c r="D3851" t="s">
        <v>3060</v>
      </c>
      <c r="E3851" t="s">
        <v>235</v>
      </c>
    </row>
    <row r="3852" spans="1:5" x14ac:dyDescent="0.25">
      <c r="A3852" t="s">
        <v>3079</v>
      </c>
      <c r="B3852" t="s">
        <v>181</v>
      </c>
      <c r="C3852" t="s">
        <v>3060</v>
      </c>
      <c r="D3852" t="s">
        <v>3060</v>
      </c>
      <c r="E3852" t="s">
        <v>241</v>
      </c>
    </row>
    <row r="3853" spans="1:5" x14ac:dyDescent="0.25">
      <c r="A3853" t="s">
        <v>3079</v>
      </c>
      <c r="B3853" t="s">
        <v>242</v>
      </c>
      <c r="C3853" t="s">
        <v>3060</v>
      </c>
      <c r="D3853" t="s">
        <v>3060</v>
      </c>
      <c r="E3853" t="s">
        <v>197</v>
      </c>
    </row>
    <row r="3854" spans="1:5" x14ac:dyDescent="0.25">
      <c r="A3854" t="s">
        <v>3079</v>
      </c>
      <c r="B3854" t="s">
        <v>327</v>
      </c>
      <c r="C3854" t="s">
        <v>3060</v>
      </c>
      <c r="D3854" t="s">
        <v>3060</v>
      </c>
      <c r="E3854" t="s">
        <v>197</v>
      </c>
    </row>
    <row r="3855" spans="1:5" x14ac:dyDescent="0.25">
      <c r="A3855" t="s">
        <v>3079</v>
      </c>
      <c r="B3855" t="s">
        <v>3845</v>
      </c>
      <c r="C3855" t="s">
        <v>3060</v>
      </c>
      <c r="D3855" t="s">
        <v>3060</v>
      </c>
      <c r="E3855" t="s">
        <v>253</v>
      </c>
    </row>
    <row r="3856" spans="1:5" x14ac:dyDescent="0.25">
      <c r="A3856" t="s">
        <v>3079</v>
      </c>
      <c r="B3856" t="s">
        <v>3846</v>
      </c>
      <c r="C3856" t="s">
        <v>3060</v>
      </c>
      <c r="D3856" t="s">
        <v>3060</v>
      </c>
      <c r="E3856" t="s">
        <v>253</v>
      </c>
    </row>
    <row r="3857" spans="1:5" x14ac:dyDescent="0.25">
      <c r="A3857" t="s">
        <v>3079</v>
      </c>
      <c r="B3857" t="s">
        <v>1271</v>
      </c>
      <c r="C3857" t="s">
        <v>3060</v>
      </c>
      <c r="D3857" t="s">
        <v>3060</v>
      </c>
      <c r="E3857" t="s">
        <v>241</v>
      </c>
    </row>
    <row r="3858" spans="1:5" x14ac:dyDescent="0.25">
      <c r="A3858" t="s">
        <v>3079</v>
      </c>
      <c r="B3858" t="s">
        <v>556</v>
      </c>
      <c r="C3858" t="s">
        <v>3060</v>
      </c>
      <c r="D3858" t="s">
        <v>3060</v>
      </c>
      <c r="E3858" t="s">
        <v>241</v>
      </c>
    </row>
    <row r="3859" spans="1:5" x14ac:dyDescent="0.25">
      <c r="A3859" t="s">
        <v>3079</v>
      </c>
      <c r="B3859" t="s">
        <v>2371</v>
      </c>
      <c r="C3859" t="s">
        <v>3060</v>
      </c>
      <c r="D3859" t="s">
        <v>3060</v>
      </c>
      <c r="E3859" t="s">
        <v>241</v>
      </c>
    </row>
    <row r="3860" spans="1:5" x14ac:dyDescent="0.25">
      <c r="A3860" t="s">
        <v>3079</v>
      </c>
      <c r="B3860" t="s">
        <v>1270</v>
      </c>
      <c r="C3860" t="s">
        <v>3060</v>
      </c>
      <c r="D3860" t="s">
        <v>3060</v>
      </c>
      <c r="E3860" t="s">
        <v>2660</v>
      </c>
    </row>
    <row r="3861" spans="1:5" x14ac:dyDescent="0.25">
      <c r="A3861" t="s">
        <v>3079</v>
      </c>
      <c r="B3861" t="s">
        <v>1269</v>
      </c>
      <c r="C3861" t="s">
        <v>3060</v>
      </c>
      <c r="D3861" t="s">
        <v>3060</v>
      </c>
      <c r="E3861" t="s">
        <v>2660</v>
      </c>
    </row>
    <row r="3862" spans="1:5" x14ac:dyDescent="0.25">
      <c r="A3862" t="s">
        <v>3079</v>
      </c>
      <c r="B3862" t="s">
        <v>1272</v>
      </c>
      <c r="C3862" t="s">
        <v>3060</v>
      </c>
      <c r="D3862" t="s">
        <v>3060</v>
      </c>
      <c r="E3862" t="s">
        <v>241</v>
      </c>
    </row>
    <row r="3863" spans="1:5" x14ac:dyDescent="0.25">
      <c r="A3863" t="s">
        <v>3079</v>
      </c>
      <c r="B3863" t="s">
        <v>3847</v>
      </c>
      <c r="C3863" t="s">
        <v>3060</v>
      </c>
      <c r="D3863" t="s">
        <v>3060</v>
      </c>
      <c r="E3863" t="s">
        <v>241</v>
      </c>
    </row>
    <row r="3864" spans="1:5" x14ac:dyDescent="0.25">
      <c r="A3864" t="s">
        <v>3079</v>
      </c>
      <c r="B3864" t="s">
        <v>183</v>
      </c>
      <c r="C3864" t="s">
        <v>3060</v>
      </c>
      <c r="D3864" t="s">
        <v>3060</v>
      </c>
      <c r="E3864" t="s">
        <v>184</v>
      </c>
    </row>
    <row r="3865" spans="1:5" x14ac:dyDescent="0.25">
      <c r="A3865" t="s">
        <v>3080</v>
      </c>
      <c r="B3865" t="s">
        <v>3848</v>
      </c>
      <c r="C3865" t="s">
        <v>3060</v>
      </c>
      <c r="D3865" t="s">
        <v>3849</v>
      </c>
      <c r="E3865" t="s">
        <v>212</v>
      </c>
    </row>
    <row r="3866" spans="1:5" x14ac:dyDescent="0.25">
      <c r="A3866" t="s">
        <v>3080</v>
      </c>
      <c r="B3866" t="s">
        <v>1461</v>
      </c>
      <c r="C3866" t="s">
        <v>3060</v>
      </c>
      <c r="D3866" t="s">
        <v>3850</v>
      </c>
      <c r="E3866" t="s">
        <v>418</v>
      </c>
    </row>
    <row r="3867" spans="1:5" x14ac:dyDescent="0.25">
      <c r="A3867" t="s">
        <v>3080</v>
      </c>
      <c r="B3867" t="s">
        <v>3851</v>
      </c>
      <c r="C3867" t="s">
        <v>3060</v>
      </c>
      <c r="D3867" t="s">
        <v>3852</v>
      </c>
      <c r="E3867" t="s">
        <v>466</v>
      </c>
    </row>
    <row r="3868" spans="1:5" x14ac:dyDescent="0.25">
      <c r="A3868" t="s">
        <v>3080</v>
      </c>
      <c r="B3868" t="s">
        <v>3853</v>
      </c>
      <c r="C3868" t="s">
        <v>3060</v>
      </c>
      <c r="D3868" t="s">
        <v>3203</v>
      </c>
      <c r="E3868" t="s">
        <v>812</v>
      </c>
    </row>
    <row r="3869" spans="1:5" x14ac:dyDescent="0.25">
      <c r="A3869" t="s">
        <v>3080</v>
      </c>
      <c r="B3869" t="s">
        <v>335</v>
      </c>
      <c r="C3869" t="s">
        <v>3060</v>
      </c>
      <c r="D3869" t="s">
        <v>3854</v>
      </c>
      <c r="E3869" t="s">
        <v>218</v>
      </c>
    </row>
    <row r="3870" spans="1:5" x14ac:dyDescent="0.25">
      <c r="A3870" t="s">
        <v>3080</v>
      </c>
      <c r="B3870" t="s">
        <v>3855</v>
      </c>
      <c r="C3870" t="s">
        <v>3060</v>
      </c>
      <c r="D3870" t="s">
        <v>3060</v>
      </c>
      <c r="E3870" t="s">
        <v>241</v>
      </c>
    </row>
    <row r="3871" spans="1:5" x14ac:dyDescent="0.25">
      <c r="A3871" t="s">
        <v>3080</v>
      </c>
      <c r="B3871" t="s">
        <v>3856</v>
      </c>
      <c r="C3871" t="s">
        <v>3060</v>
      </c>
      <c r="D3871" t="s">
        <v>3849</v>
      </c>
      <c r="E3871" t="s">
        <v>202</v>
      </c>
    </row>
    <row r="3872" spans="1:5" x14ac:dyDescent="0.25">
      <c r="A3872" t="s">
        <v>3080</v>
      </c>
      <c r="B3872" t="s">
        <v>3848</v>
      </c>
      <c r="C3872" t="s">
        <v>3060</v>
      </c>
      <c r="D3872" t="s">
        <v>3849</v>
      </c>
      <c r="E3872" t="s">
        <v>212</v>
      </c>
    </row>
    <row r="3873" spans="1:5" x14ac:dyDescent="0.25">
      <c r="A3873" t="s">
        <v>3080</v>
      </c>
      <c r="B3873" t="s">
        <v>3857</v>
      </c>
      <c r="C3873" t="s">
        <v>3060</v>
      </c>
      <c r="D3873" t="s">
        <v>3849</v>
      </c>
      <c r="E3873" t="s">
        <v>541</v>
      </c>
    </row>
    <row r="3874" spans="1:5" x14ac:dyDescent="0.25">
      <c r="A3874" t="s">
        <v>3080</v>
      </c>
      <c r="B3874" t="s">
        <v>495</v>
      </c>
      <c r="C3874" t="s">
        <v>3060</v>
      </c>
      <c r="D3874" t="s">
        <v>3858</v>
      </c>
      <c r="E3874" t="s">
        <v>656</v>
      </c>
    </row>
    <row r="3875" spans="1:5" x14ac:dyDescent="0.25">
      <c r="A3875" t="s">
        <v>3080</v>
      </c>
      <c r="B3875" t="s">
        <v>1349</v>
      </c>
      <c r="C3875" t="s">
        <v>3060</v>
      </c>
      <c r="D3875" t="s">
        <v>3859</v>
      </c>
      <c r="E3875" t="s">
        <v>287</v>
      </c>
    </row>
    <row r="3876" spans="1:5" x14ac:dyDescent="0.25">
      <c r="A3876" t="s">
        <v>3080</v>
      </c>
      <c r="B3876" t="s">
        <v>1430</v>
      </c>
      <c r="C3876" t="s">
        <v>3060</v>
      </c>
      <c r="D3876" t="s">
        <v>3860</v>
      </c>
      <c r="E3876" t="s">
        <v>202</v>
      </c>
    </row>
    <row r="3877" spans="1:5" x14ac:dyDescent="0.25">
      <c r="A3877" t="s">
        <v>3080</v>
      </c>
      <c r="B3877" t="s">
        <v>3861</v>
      </c>
      <c r="C3877" t="s">
        <v>3060</v>
      </c>
      <c r="D3877" t="s">
        <v>3862</v>
      </c>
      <c r="E3877" t="s">
        <v>656</v>
      </c>
    </row>
    <row r="3878" spans="1:5" x14ac:dyDescent="0.25">
      <c r="A3878" t="s">
        <v>3080</v>
      </c>
      <c r="B3878" t="s">
        <v>1461</v>
      </c>
      <c r="C3878" t="s">
        <v>3060</v>
      </c>
      <c r="D3878" t="s">
        <v>3850</v>
      </c>
      <c r="E3878" t="s">
        <v>418</v>
      </c>
    </row>
    <row r="3879" spans="1:5" x14ac:dyDescent="0.25">
      <c r="A3879" t="s">
        <v>3080</v>
      </c>
      <c r="B3879" t="s">
        <v>210</v>
      </c>
      <c r="C3879" t="s">
        <v>3060</v>
      </c>
      <c r="D3879" t="s">
        <v>3863</v>
      </c>
      <c r="E3879" t="s">
        <v>269</v>
      </c>
    </row>
    <row r="3880" spans="1:5" x14ac:dyDescent="0.25">
      <c r="A3880" t="s">
        <v>3080</v>
      </c>
      <c r="B3880" t="s">
        <v>294</v>
      </c>
      <c r="C3880" t="s">
        <v>3060</v>
      </c>
      <c r="D3880" t="s">
        <v>3864</v>
      </c>
      <c r="E3880" t="s">
        <v>287</v>
      </c>
    </row>
    <row r="3881" spans="1:5" x14ac:dyDescent="0.25">
      <c r="A3881" t="s">
        <v>3080</v>
      </c>
      <c r="B3881" t="s">
        <v>314</v>
      </c>
      <c r="C3881" t="s">
        <v>3060</v>
      </c>
      <c r="D3881" t="s">
        <v>3865</v>
      </c>
      <c r="E3881" t="s">
        <v>272</v>
      </c>
    </row>
    <row r="3882" spans="1:5" x14ac:dyDescent="0.25">
      <c r="A3882" t="s">
        <v>3080</v>
      </c>
      <c r="B3882" t="s">
        <v>3866</v>
      </c>
      <c r="C3882" t="s">
        <v>3060</v>
      </c>
      <c r="D3882" t="s">
        <v>3867</v>
      </c>
      <c r="E3882" t="s">
        <v>268</v>
      </c>
    </row>
    <row r="3883" spans="1:5" x14ac:dyDescent="0.25">
      <c r="A3883" t="s">
        <v>3080</v>
      </c>
      <c r="B3883" t="s">
        <v>3868</v>
      </c>
      <c r="C3883" t="s">
        <v>3060</v>
      </c>
      <c r="D3883" t="s">
        <v>3869</v>
      </c>
      <c r="E3883" t="s">
        <v>253</v>
      </c>
    </row>
    <row r="3884" spans="1:5" x14ac:dyDescent="0.25">
      <c r="A3884" t="s">
        <v>3080</v>
      </c>
      <c r="B3884" t="s">
        <v>1449</v>
      </c>
      <c r="C3884" t="s">
        <v>3060</v>
      </c>
      <c r="D3884" t="s">
        <v>3870</v>
      </c>
      <c r="E3884" t="s">
        <v>256</v>
      </c>
    </row>
    <row r="3885" spans="1:5" x14ac:dyDescent="0.25">
      <c r="A3885" t="s">
        <v>3080</v>
      </c>
      <c r="B3885" t="s">
        <v>3871</v>
      </c>
      <c r="C3885" t="s">
        <v>3060</v>
      </c>
      <c r="D3885" t="s">
        <v>3872</v>
      </c>
      <c r="E3885" t="s">
        <v>366</v>
      </c>
    </row>
    <row r="3886" spans="1:5" x14ac:dyDescent="0.25">
      <c r="A3886" t="s">
        <v>3080</v>
      </c>
      <c r="B3886" t="s">
        <v>229</v>
      </c>
      <c r="C3886" t="s">
        <v>3060</v>
      </c>
      <c r="D3886" t="s">
        <v>3060</v>
      </c>
      <c r="E3886" t="s">
        <v>207</v>
      </c>
    </row>
    <row r="3887" spans="1:5" x14ac:dyDescent="0.25">
      <c r="A3887" t="s">
        <v>3080</v>
      </c>
      <c r="B3887" t="s">
        <v>230</v>
      </c>
      <c r="C3887" t="s">
        <v>3060</v>
      </c>
      <c r="D3887" t="s">
        <v>3060</v>
      </c>
      <c r="E3887" t="s">
        <v>207</v>
      </c>
    </row>
    <row r="3888" spans="1:5" x14ac:dyDescent="0.25">
      <c r="A3888" t="s">
        <v>3080</v>
      </c>
      <c r="B3888" t="s">
        <v>231</v>
      </c>
      <c r="C3888" t="s">
        <v>3060</v>
      </c>
      <c r="D3888" t="s">
        <v>3060</v>
      </c>
      <c r="E3888" t="s">
        <v>207</v>
      </c>
    </row>
    <row r="3889" spans="1:5" x14ac:dyDescent="0.25">
      <c r="A3889" t="s">
        <v>3080</v>
      </c>
      <c r="B3889" t="s">
        <v>1819</v>
      </c>
      <c r="C3889" t="s">
        <v>3060</v>
      </c>
      <c r="D3889" t="s">
        <v>3060</v>
      </c>
      <c r="E3889" t="s">
        <v>207</v>
      </c>
    </row>
    <row r="3890" spans="1:5" x14ac:dyDescent="0.25">
      <c r="A3890" t="s">
        <v>3080</v>
      </c>
      <c r="B3890" t="s">
        <v>325</v>
      </c>
      <c r="C3890" t="s">
        <v>3060</v>
      </c>
      <c r="D3890" t="s">
        <v>3060</v>
      </c>
      <c r="E3890" t="s">
        <v>279</v>
      </c>
    </row>
    <row r="3891" spans="1:5" x14ac:dyDescent="0.25">
      <c r="A3891" t="s">
        <v>3080</v>
      </c>
      <c r="B3891" t="s">
        <v>178</v>
      </c>
      <c r="C3891" t="s">
        <v>3060</v>
      </c>
      <c r="D3891" t="s">
        <v>3060</v>
      </c>
      <c r="E3891" t="s">
        <v>182</v>
      </c>
    </row>
    <row r="3892" spans="1:5" x14ac:dyDescent="0.25">
      <c r="A3892" t="s">
        <v>3080</v>
      </c>
      <c r="B3892" t="s">
        <v>238</v>
      </c>
      <c r="C3892" t="s">
        <v>3060</v>
      </c>
      <c r="D3892" t="s">
        <v>3060</v>
      </c>
      <c r="E3892" t="s">
        <v>281</v>
      </c>
    </row>
    <row r="3893" spans="1:5" x14ac:dyDescent="0.25">
      <c r="A3893" t="s">
        <v>3080</v>
      </c>
      <c r="B3893" t="s">
        <v>179</v>
      </c>
      <c r="C3893" t="s">
        <v>3060</v>
      </c>
      <c r="D3893" t="s">
        <v>3060</v>
      </c>
      <c r="E3893" t="s">
        <v>235</v>
      </c>
    </row>
    <row r="3894" spans="1:5" x14ac:dyDescent="0.25">
      <c r="A3894" t="s">
        <v>3080</v>
      </c>
      <c r="B3894" t="s">
        <v>180</v>
      </c>
      <c r="C3894" t="s">
        <v>3060</v>
      </c>
      <c r="D3894" t="s">
        <v>3060</v>
      </c>
      <c r="E3894" t="s">
        <v>235</v>
      </c>
    </row>
    <row r="3895" spans="1:5" x14ac:dyDescent="0.25">
      <c r="A3895" t="s">
        <v>3080</v>
      </c>
      <c r="B3895" t="s">
        <v>181</v>
      </c>
      <c r="C3895" t="s">
        <v>3060</v>
      </c>
      <c r="D3895" t="s">
        <v>3060</v>
      </c>
      <c r="E3895" t="s">
        <v>286</v>
      </c>
    </row>
    <row r="3896" spans="1:5" x14ac:dyDescent="0.25">
      <c r="A3896" t="s">
        <v>3080</v>
      </c>
      <c r="B3896" t="s">
        <v>242</v>
      </c>
      <c r="C3896" t="s">
        <v>3060</v>
      </c>
      <c r="D3896" t="s">
        <v>3060</v>
      </c>
      <c r="E3896" t="s">
        <v>197</v>
      </c>
    </row>
    <row r="3897" spans="1:5" x14ac:dyDescent="0.25">
      <c r="A3897" t="s">
        <v>3080</v>
      </c>
      <c r="B3897" t="s">
        <v>327</v>
      </c>
      <c r="C3897" t="s">
        <v>3060</v>
      </c>
      <c r="D3897" t="s">
        <v>3060</v>
      </c>
      <c r="E3897" t="s">
        <v>197</v>
      </c>
    </row>
    <row r="3898" spans="1:5" x14ac:dyDescent="0.25">
      <c r="A3898" t="s">
        <v>3080</v>
      </c>
      <c r="B3898" t="s">
        <v>3873</v>
      </c>
      <c r="C3898" t="s">
        <v>3060</v>
      </c>
      <c r="D3898" t="s">
        <v>3060</v>
      </c>
      <c r="E3898" t="s">
        <v>197</v>
      </c>
    </row>
    <row r="3899" spans="1:5" x14ac:dyDescent="0.25">
      <c r="A3899" t="s">
        <v>3080</v>
      </c>
      <c r="B3899" t="s">
        <v>2229</v>
      </c>
      <c r="C3899" t="s">
        <v>3060</v>
      </c>
      <c r="D3899" t="s">
        <v>3060</v>
      </c>
      <c r="E3899" t="s">
        <v>235</v>
      </c>
    </row>
    <row r="3900" spans="1:5" x14ac:dyDescent="0.25">
      <c r="A3900" t="s">
        <v>3080</v>
      </c>
      <c r="B3900" t="s">
        <v>183</v>
      </c>
      <c r="C3900" t="s">
        <v>3060</v>
      </c>
      <c r="D3900" t="s">
        <v>3060</v>
      </c>
      <c r="E3900" t="s">
        <v>184</v>
      </c>
    </row>
    <row r="3901" spans="1:5" x14ac:dyDescent="0.25">
      <c r="A3901" t="s">
        <v>3081</v>
      </c>
      <c r="B3901" t="s">
        <v>3874</v>
      </c>
      <c r="C3901" t="s">
        <v>3060</v>
      </c>
      <c r="D3901" t="s">
        <v>3060</v>
      </c>
      <c r="E3901" t="s">
        <v>202</v>
      </c>
    </row>
    <row r="3902" spans="1:5" x14ac:dyDescent="0.25">
      <c r="A3902" t="s">
        <v>3081</v>
      </c>
      <c r="B3902" t="s">
        <v>3875</v>
      </c>
      <c r="C3902" t="s">
        <v>3060</v>
      </c>
      <c r="D3902" t="s">
        <v>3060</v>
      </c>
      <c r="E3902" t="s">
        <v>287</v>
      </c>
    </row>
    <row r="3903" spans="1:5" x14ac:dyDescent="0.25">
      <c r="A3903" t="s">
        <v>3081</v>
      </c>
      <c r="B3903" t="s">
        <v>3876</v>
      </c>
      <c r="C3903" t="s">
        <v>3060</v>
      </c>
      <c r="D3903" t="s">
        <v>3877</v>
      </c>
      <c r="E3903" t="s">
        <v>466</v>
      </c>
    </row>
    <row r="3904" spans="1:5" x14ac:dyDescent="0.25">
      <c r="A3904" t="s">
        <v>3081</v>
      </c>
      <c r="B3904" t="s">
        <v>2898</v>
      </c>
      <c r="C3904" t="s">
        <v>3060</v>
      </c>
      <c r="D3904" t="s">
        <v>3878</v>
      </c>
      <c r="E3904" t="s">
        <v>269</v>
      </c>
    </row>
    <row r="3905" spans="1:5" x14ac:dyDescent="0.25">
      <c r="A3905" t="s">
        <v>3081</v>
      </c>
      <c r="B3905" t="s">
        <v>3879</v>
      </c>
      <c r="C3905" t="s">
        <v>3060</v>
      </c>
      <c r="D3905" t="s">
        <v>3880</v>
      </c>
      <c r="E3905" t="s">
        <v>554</v>
      </c>
    </row>
    <row r="3906" spans="1:5" x14ac:dyDescent="0.25">
      <c r="A3906" t="s">
        <v>3081</v>
      </c>
      <c r="B3906" t="s">
        <v>3881</v>
      </c>
      <c r="C3906" t="s">
        <v>3060</v>
      </c>
      <c r="D3906" t="s">
        <v>3882</v>
      </c>
      <c r="E3906" t="s">
        <v>253</v>
      </c>
    </row>
    <row r="3907" spans="1:5" x14ac:dyDescent="0.25">
      <c r="A3907" t="s">
        <v>3081</v>
      </c>
      <c r="B3907" t="s">
        <v>3883</v>
      </c>
      <c r="C3907" t="s">
        <v>3060</v>
      </c>
      <c r="D3907" t="s">
        <v>3884</v>
      </c>
      <c r="E3907" t="s">
        <v>418</v>
      </c>
    </row>
    <row r="3908" spans="1:5" x14ac:dyDescent="0.25">
      <c r="A3908" t="s">
        <v>3081</v>
      </c>
      <c r="B3908" t="s">
        <v>3851</v>
      </c>
      <c r="C3908" t="s">
        <v>3060</v>
      </c>
      <c r="D3908" t="s">
        <v>3852</v>
      </c>
      <c r="E3908" t="s">
        <v>466</v>
      </c>
    </row>
    <row r="3909" spans="1:5" x14ac:dyDescent="0.25">
      <c r="A3909" t="s">
        <v>3081</v>
      </c>
      <c r="B3909" t="s">
        <v>3853</v>
      </c>
      <c r="C3909" t="s">
        <v>3060</v>
      </c>
      <c r="D3909" t="s">
        <v>3885</v>
      </c>
      <c r="E3909" t="s">
        <v>812</v>
      </c>
    </row>
    <row r="3910" spans="1:5" x14ac:dyDescent="0.25">
      <c r="A3910" t="s">
        <v>3081</v>
      </c>
      <c r="B3910" t="s">
        <v>335</v>
      </c>
      <c r="C3910" t="s">
        <v>3060</v>
      </c>
      <c r="D3910" t="s">
        <v>3886</v>
      </c>
      <c r="E3910" t="s">
        <v>218</v>
      </c>
    </row>
    <row r="3911" spans="1:5" x14ac:dyDescent="0.25">
      <c r="A3911" t="s">
        <v>3081</v>
      </c>
      <c r="B3911" t="s">
        <v>3887</v>
      </c>
      <c r="C3911" t="s">
        <v>3060</v>
      </c>
      <c r="D3911" t="s">
        <v>3060</v>
      </c>
      <c r="E3911" t="s">
        <v>197</v>
      </c>
    </row>
    <row r="3912" spans="1:5" x14ac:dyDescent="0.25">
      <c r="A3912" t="s">
        <v>3081</v>
      </c>
      <c r="B3912" t="s">
        <v>3875</v>
      </c>
      <c r="C3912" t="s">
        <v>3060</v>
      </c>
      <c r="D3912" t="s">
        <v>3060</v>
      </c>
      <c r="E3912" t="s">
        <v>287</v>
      </c>
    </row>
    <row r="3913" spans="1:5" x14ac:dyDescent="0.25">
      <c r="A3913" t="s">
        <v>3081</v>
      </c>
      <c r="B3913" t="s">
        <v>3888</v>
      </c>
      <c r="C3913" t="s">
        <v>3060</v>
      </c>
      <c r="D3913" t="s">
        <v>3283</v>
      </c>
      <c r="E3913" t="s">
        <v>253</v>
      </c>
    </row>
    <row r="3914" spans="1:5" x14ac:dyDescent="0.25">
      <c r="A3914" t="s">
        <v>3081</v>
      </c>
      <c r="B3914" t="s">
        <v>3874</v>
      </c>
      <c r="C3914" t="s">
        <v>3060</v>
      </c>
      <c r="D3914" t="s">
        <v>3060</v>
      </c>
      <c r="E3914" t="s">
        <v>202</v>
      </c>
    </row>
    <row r="3915" spans="1:5" x14ac:dyDescent="0.25">
      <c r="A3915" t="s">
        <v>3081</v>
      </c>
      <c r="B3915" t="s">
        <v>3866</v>
      </c>
      <c r="C3915" t="s">
        <v>3060</v>
      </c>
      <c r="D3915" t="s">
        <v>3889</v>
      </c>
      <c r="E3915" t="s">
        <v>268</v>
      </c>
    </row>
    <row r="3916" spans="1:5" x14ac:dyDescent="0.25">
      <c r="A3916" t="s">
        <v>3081</v>
      </c>
      <c r="B3916" t="s">
        <v>294</v>
      </c>
      <c r="C3916" t="s">
        <v>3060</v>
      </c>
      <c r="D3916" t="s">
        <v>3890</v>
      </c>
      <c r="E3916" t="s">
        <v>287</v>
      </c>
    </row>
    <row r="3917" spans="1:5" x14ac:dyDescent="0.25">
      <c r="A3917" t="s">
        <v>3081</v>
      </c>
      <c r="B3917" t="s">
        <v>3868</v>
      </c>
      <c r="C3917" t="s">
        <v>3060</v>
      </c>
      <c r="D3917" t="s">
        <v>3891</v>
      </c>
      <c r="E3917" t="s">
        <v>253</v>
      </c>
    </row>
    <row r="3918" spans="1:5" x14ac:dyDescent="0.25">
      <c r="A3918" t="s">
        <v>3081</v>
      </c>
      <c r="B3918" t="s">
        <v>210</v>
      </c>
      <c r="C3918" t="s">
        <v>3060</v>
      </c>
      <c r="D3918" t="s">
        <v>3863</v>
      </c>
      <c r="E3918" t="s">
        <v>269</v>
      </c>
    </row>
    <row r="3919" spans="1:5" x14ac:dyDescent="0.25">
      <c r="A3919" t="s">
        <v>3081</v>
      </c>
      <c r="B3919" t="s">
        <v>1461</v>
      </c>
      <c r="C3919" t="s">
        <v>3060</v>
      </c>
      <c r="D3919" t="s">
        <v>3850</v>
      </c>
      <c r="E3919" t="s">
        <v>418</v>
      </c>
    </row>
    <row r="3920" spans="1:5" x14ac:dyDescent="0.25">
      <c r="A3920" t="s">
        <v>3081</v>
      </c>
      <c r="B3920" t="s">
        <v>314</v>
      </c>
      <c r="C3920" t="s">
        <v>3060</v>
      </c>
      <c r="D3920" t="s">
        <v>3865</v>
      </c>
      <c r="E3920" t="s">
        <v>272</v>
      </c>
    </row>
    <row r="3921" spans="1:5" x14ac:dyDescent="0.25">
      <c r="A3921" t="s">
        <v>3081</v>
      </c>
      <c r="B3921" t="s">
        <v>3855</v>
      </c>
      <c r="C3921" t="s">
        <v>3060</v>
      </c>
      <c r="D3921" t="s">
        <v>3849</v>
      </c>
      <c r="E3921" t="s">
        <v>241</v>
      </c>
    </row>
    <row r="3922" spans="1:5" x14ac:dyDescent="0.25">
      <c r="A3922" t="s">
        <v>3081</v>
      </c>
      <c r="B3922" t="s">
        <v>3892</v>
      </c>
      <c r="C3922" t="s">
        <v>3060</v>
      </c>
      <c r="D3922" t="s">
        <v>3849</v>
      </c>
      <c r="E3922" t="s">
        <v>2362</v>
      </c>
    </row>
    <row r="3923" spans="1:5" x14ac:dyDescent="0.25">
      <c r="A3923" t="s">
        <v>3081</v>
      </c>
      <c r="B3923" t="s">
        <v>3893</v>
      </c>
      <c r="C3923" t="s">
        <v>3060</v>
      </c>
      <c r="D3923" t="s">
        <v>3849</v>
      </c>
      <c r="E3923" t="s">
        <v>214</v>
      </c>
    </row>
    <row r="3924" spans="1:5" x14ac:dyDescent="0.25">
      <c r="A3924" t="s">
        <v>3081</v>
      </c>
      <c r="B3924" t="s">
        <v>3856</v>
      </c>
      <c r="C3924" t="s">
        <v>3060</v>
      </c>
      <c r="D3924" t="s">
        <v>3849</v>
      </c>
      <c r="E3924" t="s">
        <v>202</v>
      </c>
    </row>
    <row r="3925" spans="1:5" x14ac:dyDescent="0.25">
      <c r="A3925" t="s">
        <v>3081</v>
      </c>
      <c r="B3925" t="s">
        <v>3894</v>
      </c>
      <c r="C3925" t="s">
        <v>3060</v>
      </c>
      <c r="D3925" t="s">
        <v>3849</v>
      </c>
      <c r="E3925" t="s">
        <v>204</v>
      </c>
    </row>
    <row r="3926" spans="1:5" x14ac:dyDescent="0.25">
      <c r="A3926" t="s">
        <v>3081</v>
      </c>
      <c r="B3926" t="s">
        <v>3895</v>
      </c>
      <c r="C3926" t="s">
        <v>3060</v>
      </c>
      <c r="D3926" t="s">
        <v>3849</v>
      </c>
      <c r="E3926" t="s">
        <v>218</v>
      </c>
    </row>
    <row r="3927" spans="1:5" x14ac:dyDescent="0.25">
      <c r="A3927" t="s">
        <v>3081</v>
      </c>
      <c r="B3927" t="s">
        <v>3896</v>
      </c>
      <c r="C3927" t="s">
        <v>3060</v>
      </c>
      <c r="D3927" t="s">
        <v>3849</v>
      </c>
      <c r="E3927" t="s">
        <v>662</v>
      </c>
    </row>
    <row r="3928" spans="1:5" x14ac:dyDescent="0.25">
      <c r="A3928" t="s">
        <v>3081</v>
      </c>
      <c r="B3928" t="s">
        <v>3897</v>
      </c>
      <c r="C3928" t="s">
        <v>3060</v>
      </c>
      <c r="D3928" t="s">
        <v>3849</v>
      </c>
      <c r="E3928" t="s">
        <v>3898</v>
      </c>
    </row>
    <row r="3929" spans="1:5" x14ac:dyDescent="0.25">
      <c r="A3929" t="s">
        <v>3081</v>
      </c>
      <c r="B3929" t="s">
        <v>3899</v>
      </c>
      <c r="C3929" t="s">
        <v>3060</v>
      </c>
      <c r="D3929" t="s">
        <v>3060</v>
      </c>
      <c r="E3929" t="s">
        <v>287</v>
      </c>
    </row>
    <row r="3930" spans="1:5" x14ac:dyDescent="0.25">
      <c r="A3930" t="s">
        <v>3081</v>
      </c>
      <c r="B3930" t="s">
        <v>3900</v>
      </c>
      <c r="C3930" t="s">
        <v>3060</v>
      </c>
      <c r="D3930" t="s">
        <v>3060</v>
      </c>
      <c r="E3930" t="s">
        <v>202</v>
      </c>
    </row>
    <row r="3931" spans="1:5" x14ac:dyDescent="0.25">
      <c r="A3931" t="s">
        <v>3081</v>
      </c>
      <c r="B3931" t="s">
        <v>3901</v>
      </c>
      <c r="C3931" t="s">
        <v>3060</v>
      </c>
      <c r="D3931" t="s">
        <v>3060</v>
      </c>
      <c r="E3931" t="s">
        <v>2660</v>
      </c>
    </row>
    <row r="3932" spans="1:5" x14ac:dyDescent="0.25">
      <c r="A3932" t="s">
        <v>3081</v>
      </c>
      <c r="B3932" t="s">
        <v>3902</v>
      </c>
      <c r="C3932" t="s">
        <v>3060</v>
      </c>
      <c r="D3932" t="s">
        <v>3060</v>
      </c>
      <c r="E3932" t="s">
        <v>2660</v>
      </c>
    </row>
    <row r="3933" spans="1:5" x14ac:dyDescent="0.25">
      <c r="A3933" t="s">
        <v>3081</v>
      </c>
      <c r="B3933" t="s">
        <v>319</v>
      </c>
      <c r="C3933" t="s">
        <v>3060</v>
      </c>
      <c r="D3933" t="s">
        <v>3060</v>
      </c>
      <c r="E3933" t="s">
        <v>2660</v>
      </c>
    </row>
    <row r="3934" spans="1:5" x14ac:dyDescent="0.25">
      <c r="A3934" t="s">
        <v>3081</v>
      </c>
      <c r="B3934" t="s">
        <v>3903</v>
      </c>
      <c r="C3934" t="s">
        <v>3060</v>
      </c>
      <c r="D3934" t="s">
        <v>3060</v>
      </c>
      <c r="E3934" t="s">
        <v>401</v>
      </c>
    </row>
    <row r="3935" spans="1:5" x14ac:dyDescent="0.25">
      <c r="A3935" t="s">
        <v>3081</v>
      </c>
      <c r="B3935" t="s">
        <v>3904</v>
      </c>
      <c r="C3935" t="s">
        <v>3060</v>
      </c>
      <c r="D3935" t="s">
        <v>3060</v>
      </c>
      <c r="E3935" t="s">
        <v>258</v>
      </c>
    </row>
    <row r="3936" spans="1:5" x14ac:dyDescent="0.25">
      <c r="A3936" t="s">
        <v>3081</v>
      </c>
      <c r="B3936" t="s">
        <v>3905</v>
      </c>
      <c r="C3936" t="s">
        <v>3060</v>
      </c>
      <c r="D3936" t="s">
        <v>3060</v>
      </c>
      <c r="E3936" t="s">
        <v>281</v>
      </c>
    </row>
    <row r="3937" spans="1:5" x14ac:dyDescent="0.25">
      <c r="A3937" t="s">
        <v>3081</v>
      </c>
      <c r="B3937" t="s">
        <v>3906</v>
      </c>
      <c r="C3937" t="s">
        <v>3060</v>
      </c>
      <c r="D3937" t="s">
        <v>3060</v>
      </c>
      <c r="E3937" t="s">
        <v>281</v>
      </c>
    </row>
    <row r="3938" spans="1:5" x14ac:dyDescent="0.25">
      <c r="A3938" t="s">
        <v>3081</v>
      </c>
      <c r="B3938" t="s">
        <v>229</v>
      </c>
      <c r="C3938" t="s">
        <v>3060</v>
      </c>
      <c r="D3938" t="s">
        <v>3060</v>
      </c>
      <c r="E3938" t="s">
        <v>207</v>
      </c>
    </row>
    <row r="3939" spans="1:5" x14ac:dyDescent="0.25">
      <c r="A3939" t="s">
        <v>3081</v>
      </c>
      <c r="B3939" t="s">
        <v>230</v>
      </c>
      <c r="C3939" t="s">
        <v>3060</v>
      </c>
      <c r="D3939" t="s">
        <v>3060</v>
      </c>
      <c r="E3939" t="s">
        <v>207</v>
      </c>
    </row>
    <row r="3940" spans="1:5" x14ac:dyDescent="0.25">
      <c r="A3940" t="s">
        <v>3081</v>
      </c>
      <c r="B3940" t="s">
        <v>231</v>
      </c>
      <c r="C3940" t="s">
        <v>3060</v>
      </c>
      <c r="D3940" t="s">
        <v>3060</v>
      </c>
      <c r="E3940" t="s">
        <v>207</v>
      </c>
    </row>
    <row r="3941" spans="1:5" x14ac:dyDescent="0.25">
      <c r="A3941" t="s">
        <v>3081</v>
      </c>
      <c r="B3941" t="s">
        <v>325</v>
      </c>
      <c r="C3941" t="s">
        <v>3060</v>
      </c>
      <c r="D3941" t="s">
        <v>3060</v>
      </c>
      <c r="E3941" t="s">
        <v>235</v>
      </c>
    </row>
    <row r="3942" spans="1:5" x14ac:dyDescent="0.25">
      <c r="A3942" t="s">
        <v>3081</v>
      </c>
      <c r="B3942" t="s">
        <v>234</v>
      </c>
      <c r="C3942" t="s">
        <v>3060</v>
      </c>
      <c r="D3942" t="s">
        <v>3060</v>
      </c>
      <c r="E3942" t="s">
        <v>235</v>
      </c>
    </row>
    <row r="3943" spans="1:5" x14ac:dyDescent="0.25">
      <c r="A3943" t="s">
        <v>3081</v>
      </c>
      <c r="B3943" t="s">
        <v>178</v>
      </c>
      <c r="C3943" t="s">
        <v>3060</v>
      </c>
      <c r="D3943" t="s">
        <v>3060</v>
      </c>
      <c r="E3943" t="s">
        <v>182</v>
      </c>
    </row>
    <row r="3944" spans="1:5" x14ac:dyDescent="0.25">
      <c r="A3944" t="s">
        <v>3081</v>
      </c>
      <c r="B3944" t="s">
        <v>238</v>
      </c>
      <c r="C3944" t="s">
        <v>3060</v>
      </c>
      <c r="D3944" t="s">
        <v>3060</v>
      </c>
      <c r="E3944" t="s">
        <v>281</v>
      </c>
    </row>
    <row r="3945" spans="1:5" x14ac:dyDescent="0.25">
      <c r="A3945" t="s">
        <v>3081</v>
      </c>
      <c r="B3945" t="s">
        <v>284</v>
      </c>
      <c r="C3945" t="s">
        <v>3060</v>
      </c>
      <c r="D3945" t="s">
        <v>3060</v>
      </c>
      <c r="E3945" t="s">
        <v>235</v>
      </c>
    </row>
    <row r="3946" spans="1:5" x14ac:dyDescent="0.25">
      <c r="A3946" t="s">
        <v>3081</v>
      </c>
      <c r="B3946" t="s">
        <v>283</v>
      </c>
      <c r="C3946" t="s">
        <v>3060</v>
      </c>
      <c r="D3946" t="s">
        <v>3060</v>
      </c>
      <c r="E3946" t="s">
        <v>281</v>
      </c>
    </row>
    <row r="3947" spans="1:5" x14ac:dyDescent="0.25">
      <c r="A3947" t="s">
        <v>3081</v>
      </c>
      <c r="B3947" t="s">
        <v>285</v>
      </c>
      <c r="C3947" t="s">
        <v>3060</v>
      </c>
      <c r="D3947" t="s">
        <v>3060</v>
      </c>
      <c r="E3947" t="s">
        <v>286</v>
      </c>
    </row>
    <row r="3948" spans="1:5" x14ac:dyDescent="0.25">
      <c r="A3948" t="s">
        <v>3081</v>
      </c>
      <c r="B3948" t="s">
        <v>242</v>
      </c>
      <c r="C3948" t="s">
        <v>3060</v>
      </c>
      <c r="D3948" t="s">
        <v>3060</v>
      </c>
      <c r="E3948" t="s">
        <v>268</v>
      </c>
    </row>
    <row r="3949" spans="1:5" x14ac:dyDescent="0.25">
      <c r="A3949" t="s">
        <v>3081</v>
      </c>
      <c r="B3949" t="s">
        <v>327</v>
      </c>
      <c r="C3949" t="s">
        <v>3060</v>
      </c>
      <c r="D3949" t="s">
        <v>3060</v>
      </c>
      <c r="E3949" t="s">
        <v>197</v>
      </c>
    </row>
    <row r="3950" spans="1:5" x14ac:dyDescent="0.25">
      <c r="A3950" t="s">
        <v>3081</v>
      </c>
      <c r="B3950" t="s">
        <v>1266</v>
      </c>
      <c r="C3950" t="s">
        <v>3060</v>
      </c>
      <c r="D3950" t="s">
        <v>3060</v>
      </c>
      <c r="E3950" t="s">
        <v>197</v>
      </c>
    </row>
    <row r="3951" spans="1:5" x14ac:dyDescent="0.25">
      <c r="A3951" t="s">
        <v>3081</v>
      </c>
      <c r="B3951" t="s">
        <v>245</v>
      </c>
      <c r="C3951" t="s">
        <v>3060</v>
      </c>
      <c r="D3951" t="s">
        <v>3060</v>
      </c>
      <c r="E3951" t="s">
        <v>252</v>
      </c>
    </row>
    <row r="3952" spans="1:5" x14ac:dyDescent="0.25">
      <c r="A3952" t="s">
        <v>3081</v>
      </c>
      <c r="B3952" t="s">
        <v>691</v>
      </c>
      <c r="C3952" t="s">
        <v>3060</v>
      </c>
      <c r="D3952" t="s">
        <v>3060</v>
      </c>
      <c r="E3952" t="s">
        <v>253</v>
      </c>
    </row>
    <row r="3953" spans="1:5" x14ac:dyDescent="0.25">
      <c r="A3953" t="s">
        <v>3081</v>
      </c>
      <c r="B3953" t="s">
        <v>3907</v>
      </c>
      <c r="C3953" t="s">
        <v>3060</v>
      </c>
      <c r="D3953" t="s">
        <v>3060</v>
      </c>
      <c r="E3953" t="s">
        <v>253</v>
      </c>
    </row>
    <row r="3954" spans="1:5" x14ac:dyDescent="0.25">
      <c r="A3954" t="s">
        <v>3081</v>
      </c>
      <c r="B3954" t="s">
        <v>693</v>
      </c>
      <c r="C3954" t="s">
        <v>3060</v>
      </c>
      <c r="D3954" t="s">
        <v>3060</v>
      </c>
      <c r="E3954" t="s">
        <v>253</v>
      </c>
    </row>
    <row r="3955" spans="1:5" x14ac:dyDescent="0.25">
      <c r="A3955" t="s">
        <v>3081</v>
      </c>
      <c r="B3955" t="s">
        <v>183</v>
      </c>
      <c r="C3955" t="s">
        <v>3060</v>
      </c>
      <c r="D3955" t="s">
        <v>3060</v>
      </c>
      <c r="E3955" t="s">
        <v>184</v>
      </c>
    </row>
    <row r="3956" spans="1:5" x14ac:dyDescent="0.25">
      <c r="A3956" t="s">
        <v>3082</v>
      </c>
      <c r="B3956" t="s">
        <v>605</v>
      </c>
      <c r="C3956" t="s">
        <v>3060</v>
      </c>
      <c r="D3956" t="s">
        <v>3908</v>
      </c>
      <c r="E3956" t="s">
        <v>268</v>
      </c>
    </row>
    <row r="3957" spans="1:5" x14ac:dyDescent="0.25">
      <c r="A3957" t="s">
        <v>3082</v>
      </c>
      <c r="B3957" t="s">
        <v>3909</v>
      </c>
      <c r="C3957" t="s">
        <v>3060</v>
      </c>
      <c r="D3957" t="s">
        <v>3910</v>
      </c>
      <c r="E3957" t="s">
        <v>269</v>
      </c>
    </row>
    <row r="3958" spans="1:5" x14ac:dyDescent="0.25">
      <c r="A3958" t="s">
        <v>3082</v>
      </c>
      <c r="B3958" t="s">
        <v>610</v>
      </c>
      <c r="C3958" t="s">
        <v>3060</v>
      </c>
      <c r="D3958" t="s">
        <v>3060</v>
      </c>
      <c r="E3958" t="s">
        <v>287</v>
      </c>
    </row>
    <row r="3959" spans="1:5" x14ac:dyDescent="0.25">
      <c r="A3959" t="s">
        <v>3082</v>
      </c>
      <c r="B3959" t="s">
        <v>619</v>
      </c>
      <c r="C3959" t="s">
        <v>3060</v>
      </c>
      <c r="D3959" t="s">
        <v>3911</v>
      </c>
      <c r="E3959" t="s">
        <v>505</v>
      </c>
    </row>
    <row r="3960" spans="1:5" x14ac:dyDescent="0.25">
      <c r="A3960" t="s">
        <v>3082</v>
      </c>
      <c r="B3960" t="s">
        <v>627</v>
      </c>
      <c r="C3960" t="s">
        <v>3060</v>
      </c>
      <c r="D3960" t="s">
        <v>3911</v>
      </c>
      <c r="E3960" t="s">
        <v>1929</v>
      </c>
    </row>
    <row r="3961" spans="1:5" x14ac:dyDescent="0.25">
      <c r="A3961" t="s">
        <v>3082</v>
      </c>
      <c r="B3961" t="s">
        <v>610</v>
      </c>
      <c r="C3961" t="s">
        <v>3060</v>
      </c>
      <c r="D3961" t="s">
        <v>3060</v>
      </c>
      <c r="E3961" t="s">
        <v>287</v>
      </c>
    </row>
    <row r="3962" spans="1:5" x14ac:dyDescent="0.25">
      <c r="A3962" t="s">
        <v>3082</v>
      </c>
      <c r="B3962" t="s">
        <v>2185</v>
      </c>
      <c r="C3962" t="s">
        <v>3060</v>
      </c>
      <c r="D3962" t="s">
        <v>3060</v>
      </c>
      <c r="E3962" t="s">
        <v>636</v>
      </c>
    </row>
    <row r="3963" spans="1:5" x14ac:dyDescent="0.25">
      <c r="A3963" t="s">
        <v>3082</v>
      </c>
      <c r="B3963" t="s">
        <v>2186</v>
      </c>
      <c r="C3963" t="s">
        <v>3060</v>
      </c>
      <c r="D3963" t="s">
        <v>3060</v>
      </c>
      <c r="E3963" t="s">
        <v>437</v>
      </c>
    </row>
    <row r="3964" spans="1:5" x14ac:dyDescent="0.25">
      <c r="A3964" t="s">
        <v>3082</v>
      </c>
      <c r="B3964" t="s">
        <v>2184</v>
      </c>
      <c r="C3964" t="s">
        <v>3060</v>
      </c>
      <c r="D3964" t="s">
        <v>3060</v>
      </c>
      <c r="E3964" t="s">
        <v>401</v>
      </c>
    </row>
    <row r="3965" spans="1:5" x14ac:dyDescent="0.25">
      <c r="A3965" t="s">
        <v>3082</v>
      </c>
      <c r="B3965" t="s">
        <v>2182</v>
      </c>
      <c r="C3965" t="s">
        <v>3060</v>
      </c>
      <c r="D3965" t="s">
        <v>3060</v>
      </c>
      <c r="E3965" t="s">
        <v>401</v>
      </c>
    </row>
    <row r="3966" spans="1:5" x14ac:dyDescent="0.25">
      <c r="A3966" t="s">
        <v>3082</v>
      </c>
      <c r="B3966" t="s">
        <v>3912</v>
      </c>
      <c r="C3966" t="s">
        <v>3060</v>
      </c>
      <c r="D3966" t="s">
        <v>3060</v>
      </c>
      <c r="E3966" t="s">
        <v>401</v>
      </c>
    </row>
    <row r="3967" spans="1:5" x14ac:dyDescent="0.25">
      <c r="A3967" t="s">
        <v>3082</v>
      </c>
      <c r="B3967" t="s">
        <v>3913</v>
      </c>
      <c r="C3967" t="s">
        <v>3060</v>
      </c>
      <c r="D3967" t="s">
        <v>3914</v>
      </c>
      <c r="E3967" t="s">
        <v>401</v>
      </c>
    </row>
    <row r="3968" spans="1:5" x14ac:dyDescent="0.25">
      <c r="A3968" t="s">
        <v>3082</v>
      </c>
      <c r="B3968" t="s">
        <v>619</v>
      </c>
      <c r="C3968" t="s">
        <v>3060</v>
      </c>
      <c r="D3968" t="s">
        <v>3911</v>
      </c>
      <c r="E3968" t="s">
        <v>505</v>
      </c>
    </row>
    <row r="3969" spans="1:5" x14ac:dyDescent="0.25">
      <c r="A3969" t="s">
        <v>3082</v>
      </c>
      <c r="B3969" t="s">
        <v>620</v>
      </c>
      <c r="C3969" t="s">
        <v>3060</v>
      </c>
      <c r="D3969" t="s">
        <v>3915</v>
      </c>
      <c r="E3969" t="s">
        <v>256</v>
      </c>
    </row>
    <row r="3970" spans="1:5" x14ac:dyDescent="0.25">
      <c r="A3970" t="s">
        <v>3082</v>
      </c>
      <c r="B3970" t="s">
        <v>628</v>
      </c>
      <c r="C3970" t="s">
        <v>3060</v>
      </c>
      <c r="D3970" t="s">
        <v>3911</v>
      </c>
      <c r="E3970" t="s">
        <v>3916</v>
      </c>
    </row>
    <row r="3971" spans="1:5" x14ac:dyDescent="0.25">
      <c r="A3971" t="s">
        <v>3082</v>
      </c>
      <c r="B3971" t="s">
        <v>627</v>
      </c>
      <c r="C3971" t="s">
        <v>3060</v>
      </c>
      <c r="D3971" t="s">
        <v>3911</v>
      </c>
      <c r="E3971" t="s">
        <v>1929</v>
      </c>
    </row>
    <row r="3972" spans="1:5" x14ac:dyDescent="0.25">
      <c r="A3972" t="s">
        <v>3082</v>
      </c>
      <c r="B3972" t="s">
        <v>3917</v>
      </c>
      <c r="C3972" t="s">
        <v>3060</v>
      </c>
      <c r="D3972" t="s">
        <v>3911</v>
      </c>
      <c r="E3972" t="s">
        <v>212</v>
      </c>
    </row>
    <row r="3973" spans="1:5" x14ac:dyDescent="0.25">
      <c r="A3973" t="s">
        <v>3082</v>
      </c>
      <c r="B3973" t="s">
        <v>625</v>
      </c>
      <c r="C3973" t="s">
        <v>3060</v>
      </c>
      <c r="D3973" t="s">
        <v>3911</v>
      </c>
      <c r="E3973" t="s">
        <v>212</v>
      </c>
    </row>
    <row r="3974" spans="1:5" x14ac:dyDescent="0.25">
      <c r="A3974" t="s">
        <v>3082</v>
      </c>
      <c r="B3974" t="s">
        <v>626</v>
      </c>
      <c r="C3974" t="s">
        <v>3060</v>
      </c>
      <c r="D3974" t="s">
        <v>3911</v>
      </c>
      <c r="E3974" t="s">
        <v>2319</v>
      </c>
    </row>
    <row r="3975" spans="1:5" x14ac:dyDescent="0.25">
      <c r="A3975" t="s">
        <v>3082</v>
      </c>
      <c r="B3975" t="s">
        <v>629</v>
      </c>
      <c r="C3975" t="s">
        <v>3060</v>
      </c>
      <c r="D3975" t="s">
        <v>3918</v>
      </c>
      <c r="E3975" t="s">
        <v>1848</v>
      </c>
    </row>
    <row r="3976" spans="1:5" x14ac:dyDescent="0.25">
      <c r="A3976" t="s">
        <v>3082</v>
      </c>
      <c r="B3976" t="s">
        <v>605</v>
      </c>
      <c r="C3976" t="s">
        <v>3060</v>
      </c>
      <c r="D3976" t="s">
        <v>3908</v>
      </c>
      <c r="E3976" t="s">
        <v>268</v>
      </c>
    </row>
    <row r="3977" spans="1:5" x14ac:dyDescent="0.25">
      <c r="A3977" t="s">
        <v>3082</v>
      </c>
      <c r="B3977" t="s">
        <v>3315</v>
      </c>
      <c r="C3977" t="s">
        <v>3060</v>
      </c>
      <c r="D3977" t="s">
        <v>3919</v>
      </c>
      <c r="E3977" t="s">
        <v>258</v>
      </c>
    </row>
    <row r="3978" spans="1:5" x14ac:dyDescent="0.25">
      <c r="A3978" t="s">
        <v>3082</v>
      </c>
      <c r="B3978" t="s">
        <v>611</v>
      </c>
      <c r="C3978" t="s">
        <v>3060</v>
      </c>
      <c r="D3978" t="s">
        <v>3919</v>
      </c>
      <c r="E3978" t="s">
        <v>554</v>
      </c>
    </row>
    <row r="3979" spans="1:5" x14ac:dyDescent="0.25">
      <c r="A3979" t="s">
        <v>3082</v>
      </c>
      <c r="B3979" t="s">
        <v>617</v>
      </c>
      <c r="C3979" t="s">
        <v>3060</v>
      </c>
      <c r="D3979" t="s">
        <v>3920</v>
      </c>
      <c r="E3979" t="s">
        <v>466</v>
      </c>
    </row>
    <row r="3980" spans="1:5" x14ac:dyDescent="0.25">
      <c r="A3980" t="s">
        <v>3082</v>
      </c>
      <c r="B3980" t="s">
        <v>614</v>
      </c>
      <c r="C3980" t="s">
        <v>3060</v>
      </c>
      <c r="D3980" t="s">
        <v>3919</v>
      </c>
      <c r="E3980" t="s">
        <v>258</v>
      </c>
    </row>
    <row r="3981" spans="1:5" x14ac:dyDescent="0.25">
      <c r="A3981" t="s">
        <v>3082</v>
      </c>
      <c r="B3981" t="s">
        <v>3921</v>
      </c>
      <c r="C3981" t="s">
        <v>3060</v>
      </c>
      <c r="D3981" t="s">
        <v>3919</v>
      </c>
      <c r="E3981" t="s">
        <v>258</v>
      </c>
    </row>
    <row r="3982" spans="1:5" x14ac:dyDescent="0.25">
      <c r="A3982" t="s">
        <v>3082</v>
      </c>
      <c r="B3982" t="s">
        <v>615</v>
      </c>
      <c r="C3982" t="s">
        <v>3060</v>
      </c>
      <c r="D3982" t="s">
        <v>3919</v>
      </c>
      <c r="E3982" t="s">
        <v>1929</v>
      </c>
    </row>
    <row r="3983" spans="1:5" x14ac:dyDescent="0.25">
      <c r="A3983" t="s">
        <v>3082</v>
      </c>
      <c r="B3983" t="s">
        <v>3922</v>
      </c>
      <c r="C3983" t="s">
        <v>3060</v>
      </c>
      <c r="D3983" t="s">
        <v>3923</v>
      </c>
      <c r="E3983" t="s">
        <v>466</v>
      </c>
    </row>
    <row r="3984" spans="1:5" x14ac:dyDescent="0.25">
      <c r="A3984" t="s">
        <v>3082</v>
      </c>
      <c r="B3984" t="s">
        <v>669</v>
      </c>
      <c r="C3984" t="s">
        <v>3060</v>
      </c>
      <c r="D3984" t="s">
        <v>3060</v>
      </c>
      <c r="E3984" t="s">
        <v>1929</v>
      </c>
    </row>
    <row r="3985" spans="1:5" x14ac:dyDescent="0.25">
      <c r="A3985" t="s">
        <v>3082</v>
      </c>
      <c r="B3985" t="s">
        <v>677</v>
      </c>
      <c r="C3985" t="s">
        <v>3060</v>
      </c>
      <c r="D3985" t="s">
        <v>3910</v>
      </c>
      <c r="E3985" t="s">
        <v>202</v>
      </c>
    </row>
    <row r="3986" spans="1:5" x14ac:dyDescent="0.25">
      <c r="A3986" t="s">
        <v>3082</v>
      </c>
      <c r="B3986" t="s">
        <v>3909</v>
      </c>
      <c r="C3986" t="s">
        <v>3060</v>
      </c>
      <c r="D3986" t="s">
        <v>3910</v>
      </c>
      <c r="E3986" t="s">
        <v>269</v>
      </c>
    </row>
    <row r="3987" spans="1:5" x14ac:dyDescent="0.25">
      <c r="A3987" t="s">
        <v>3082</v>
      </c>
      <c r="B3987" t="s">
        <v>637</v>
      </c>
      <c r="C3987" t="s">
        <v>3060</v>
      </c>
      <c r="D3987" t="s">
        <v>3910</v>
      </c>
      <c r="E3987" t="s">
        <v>202</v>
      </c>
    </row>
    <row r="3988" spans="1:5" x14ac:dyDescent="0.25">
      <c r="A3988" t="s">
        <v>3082</v>
      </c>
      <c r="B3988" t="s">
        <v>609</v>
      </c>
      <c r="C3988" t="s">
        <v>3060</v>
      </c>
      <c r="D3988" t="s">
        <v>3910</v>
      </c>
      <c r="E3988" t="s">
        <v>253</v>
      </c>
    </row>
    <row r="3989" spans="1:5" x14ac:dyDescent="0.25">
      <c r="A3989" t="s">
        <v>3082</v>
      </c>
      <c r="B3989" t="s">
        <v>678</v>
      </c>
      <c r="C3989" t="s">
        <v>3060</v>
      </c>
      <c r="D3989" t="s">
        <v>3910</v>
      </c>
      <c r="E3989" t="s">
        <v>202</v>
      </c>
    </row>
    <row r="3990" spans="1:5" x14ac:dyDescent="0.25">
      <c r="A3990" t="s">
        <v>3082</v>
      </c>
      <c r="B3990" t="s">
        <v>3924</v>
      </c>
      <c r="C3990" t="s">
        <v>3060</v>
      </c>
      <c r="D3990" t="s">
        <v>3060</v>
      </c>
      <c r="E3990" t="s">
        <v>258</v>
      </c>
    </row>
    <row r="3991" spans="1:5" x14ac:dyDescent="0.25">
      <c r="A3991" t="s">
        <v>3082</v>
      </c>
      <c r="B3991" t="s">
        <v>688</v>
      </c>
      <c r="C3991" t="s">
        <v>3060</v>
      </c>
      <c r="D3991" t="s">
        <v>3060</v>
      </c>
      <c r="E3991" t="s">
        <v>582</v>
      </c>
    </row>
    <row r="3992" spans="1:5" x14ac:dyDescent="0.25">
      <c r="A3992" t="s">
        <v>3082</v>
      </c>
      <c r="B3992" t="s">
        <v>3424</v>
      </c>
      <c r="C3992" t="s">
        <v>3060</v>
      </c>
      <c r="D3992" t="s">
        <v>3060</v>
      </c>
      <c r="E3992" t="s">
        <v>582</v>
      </c>
    </row>
    <row r="3993" spans="1:5" x14ac:dyDescent="0.25">
      <c r="A3993" t="s">
        <v>3082</v>
      </c>
      <c r="B3993" t="s">
        <v>3925</v>
      </c>
      <c r="C3993" t="s">
        <v>3060</v>
      </c>
      <c r="D3993" t="s">
        <v>3060</v>
      </c>
      <c r="E3993" t="s">
        <v>2008</v>
      </c>
    </row>
    <row r="3994" spans="1:5" x14ac:dyDescent="0.25">
      <c r="A3994" t="s">
        <v>3082</v>
      </c>
      <c r="B3994" t="s">
        <v>229</v>
      </c>
      <c r="C3994" t="s">
        <v>3060</v>
      </c>
      <c r="D3994" t="s">
        <v>3060</v>
      </c>
      <c r="E3994" t="s">
        <v>252</v>
      </c>
    </row>
    <row r="3995" spans="1:5" x14ac:dyDescent="0.25">
      <c r="A3995" t="s">
        <v>3082</v>
      </c>
      <c r="B3995" t="s">
        <v>230</v>
      </c>
      <c r="C3995" t="s">
        <v>3060</v>
      </c>
      <c r="D3995" t="s">
        <v>3060</v>
      </c>
      <c r="E3995" t="s">
        <v>252</v>
      </c>
    </row>
    <row r="3996" spans="1:5" x14ac:dyDescent="0.25">
      <c r="A3996" t="s">
        <v>3082</v>
      </c>
      <c r="B3996" t="s">
        <v>233</v>
      </c>
      <c r="C3996" t="s">
        <v>3060</v>
      </c>
      <c r="D3996" t="s">
        <v>3060</v>
      </c>
      <c r="E3996" t="s">
        <v>207</v>
      </c>
    </row>
    <row r="3997" spans="1:5" x14ac:dyDescent="0.25">
      <c r="A3997" t="s">
        <v>3082</v>
      </c>
      <c r="B3997" t="s">
        <v>234</v>
      </c>
      <c r="C3997" t="s">
        <v>3060</v>
      </c>
      <c r="D3997" t="s">
        <v>3060</v>
      </c>
      <c r="E3997" t="s">
        <v>279</v>
      </c>
    </row>
    <row r="3998" spans="1:5" x14ac:dyDescent="0.25">
      <c r="A3998" t="s">
        <v>3082</v>
      </c>
      <c r="B3998" t="s">
        <v>325</v>
      </c>
      <c r="C3998" t="s">
        <v>3060</v>
      </c>
      <c r="D3998" t="s">
        <v>3060</v>
      </c>
      <c r="E3998" t="s">
        <v>279</v>
      </c>
    </row>
    <row r="3999" spans="1:5" x14ac:dyDescent="0.25">
      <c r="A3999" t="s">
        <v>3082</v>
      </c>
      <c r="B3999" t="s">
        <v>178</v>
      </c>
      <c r="C3999" t="s">
        <v>3060</v>
      </c>
      <c r="D3999" t="s">
        <v>3060</v>
      </c>
      <c r="E3999" t="s">
        <v>286</v>
      </c>
    </row>
    <row r="4000" spans="1:5" x14ac:dyDescent="0.25">
      <c r="A4000" t="s">
        <v>3082</v>
      </c>
      <c r="B4000" t="s">
        <v>3926</v>
      </c>
      <c r="C4000" t="s">
        <v>3060</v>
      </c>
      <c r="D4000" t="s">
        <v>3060</v>
      </c>
      <c r="E4000" t="s">
        <v>279</v>
      </c>
    </row>
    <row r="4001" spans="1:5" x14ac:dyDescent="0.25">
      <c r="A4001" t="s">
        <v>3082</v>
      </c>
      <c r="B4001" t="s">
        <v>183</v>
      </c>
      <c r="C4001" t="s">
        <v>3060</v>
      </c>
      <c r="D4001" t="s">
        <v>3060</v>
      </c>
      <c r="E4001" t="s">
        <v>184</v>
      </c>
    </row>
    <row r="4002" spans="1:5" x14ac:dyDescent="0.25">
      <c r="A4002" t="s">
        <v>3083</v>
      </c>
      <c r="B4002" t="s">
        <v>2173</v>
      </c>
      <c r="C4002" t="s">
        <v>3060</v>
      </c>
      <c r="D4002" t="s">
        <v>3927</v>
      </c>
      <c r="E4002" t="s">
        <v>197</v>
      </c>
    </row>
    <row r="4003" spans="1:5" x14ac:dyDescent="0.25">
      <c r="A4003" t="s">
        <v>3083</v>
      </c>
      <c r="B4003" t="s">
        <v>2190</v>
      </c>
      <c r="C4003" t="s">
        <v>3060</v>
      </c>
      <c r="D4003" t="s">
        <v>3927</v>
      </c>
      <c r="E4003" t="s">
        <v>437</v>
      </c>
    </row>
    <row r="4004" spans="1:5" x14ac:dyDescent="0.25">
      <c r="A4004" t="s">
        <v>3083</v>
      </c>
      <c r="B4004" t="s">
        <v>3928</v>
      </c>
      <c r="C4004" t="s">
        <v>3060</v>
      </c>
      <c r="D4004" t="s">
        <v>3929</v>
      </c>
      <c r="E4004" t="s">
        <v>197</v>
      </c>
    </row>
    <row r="4005" spans="1:5" x14ac:dyDescent="0.25">
      <c r="A4005" t="s">
        <v>3083</v>
      </c>
      <c r="B4005" t="s">
        <v>3930</v>
      </c>
      <c r="C4005" t="s">
        <v>3060</v>
      </c>
      <c r="D4005" t="s">
        <v>3927</v>
      </c>
      <c r="E4005" t="s">
        <v>582</v>
      </c>
    </row>
    <row r="4006" spans="1:5" x14ac:dyDescent="0.25">
      <c r="A4006" t="s">
        <v>3083</v>
      </c>
      <c r="B4006" t="s">
        <v>611</v>
      </c>
      <c r="C4006" t="s">
        <v>3060</v>
      </c>
      <c r="D4006" t="s">
        <v>3931</v>
      </c>
      <c r="E4006" t="s">
        <v>582</v>
      </c>
    </row>
    <row r="4007" spans="1:5" x14ac:dyDescent="0.25">
      <c r="A4007" t="s">
        <v>3083</v>
      </c>
      <c r="B4007" t="s">
        <v>3932</v>
      </c>
      <c r="C4007" t="s">
        <v>3060</v>
      </c>
      <c r="D4007" t="s">
        <v>3933</v>
      </c>
      <c r="E4007" t="s">
        <v>1458</v>
      </c>
    </row>
    <row r="4008" spans="1:5" x14ac:dyDescent="0.25">
      <c r="A4008" t="s">
        <v>3083</v>
      </c>
      <c r="B4008" t="s">
        <v>2173</v>
      </c>
      <c r="C4008" t="s">
        <v>3060</v>
      </c>
      <c r="D4008" t="s">
        <v>3927</v>
      </c>
      <c r="E4008" t="s">
        <v>197</v>
      </c>
    </row>
    <row r="4009" spans="1:5" x14ac:dyDescent="0.25">
      <c r="A4009" t="s">
        <v>3083</v>
      </c>
      <c r="B4009" t="s">
        <v>3928</v>
      </c>
      <c r="C4009" t="s">
        <v>3060</v>
      </c>
      <c r="D4009" t="s">
        <v>3929</v>
      </c>
      <c r="E4009" t="s">
        <v>197</v>
      </c>
    </row>
    <row r="4010" spans="1:5" x14ac:dyDescent="0.25">
      <c r="A4010" t="s">
        <v>3083</v>
      </c>
      <c r="B4010" t="s">
        <v>2190</v>
      </c>
      <c r="C4010" t="s">
        <v>3060</v>
      </c>
      <c r="D4010" t="s">
        <v>3927</v>
      </c>
      <c r="E4010" t="s">
        <v>437</v>
      </c>
    </row>
    <row r="4011" spans="1:5" x14ac:dyDescent="0.25">
      <c r="A4011" t="s">
        <v>3083</v>
      </c>
      <c r="B4011" t="s">
        <v>3930</v>
      </c>
      <c r="C4011" t="s">
        <v>3060</v>
      </c>
      <c r="D4011" t="s">
        <v>3927</v>
      </c>
      <c r="E4011" t="s">
        <v>582</v>
      </c>
    </row>
    <row r="4012" spans="1:5" x14ac:dyDescent="0.25">
      <c r="A4012" t="s">
        <v>3083</v>
      </c>
      <c r="B4012" t="s">
        <v>3934</v>
      </c>
      <c r="C4012" t="s">
        <v>3060</v>
      </c>
      <c r="D4012" t="s">
        <v>3927</v>
      </c>
      <c r="E4012" t="s">
        <v>401</v>
      </c>
    </row>
    <row r="4013" spans="1:5" x14ac:dyDescent="0.25">
      <c r="A4013" t="s">
        <v>3083</v>
      </c>
      <c r="B4013" t="s">
        <v>3935</v>
      </c>
      <c r="C4013" t="s">
        <v>3060</v>
      </c>
      <c r="D4013" t="s">
        <v>3927</v>
      </c>
      <c r="E4013" t="s">
        <v>582</v>
      </c>
    </row>
    <row r="4014" spans="1:5" x14ac:dyDescent="0.25">
      <c r="A4014" t="s">
        <v>3083</v>
      </c>
      <c r="B4014" t="s">
        <v>3936</v>
      </c>
      <c r="C4014" t="s">
        <v>3060</v>
      </c>
      <c r="D4014" t="s">
        <v>3927</v>
      </c>
      <c r="E4014" t="s">
        <v>582</v>
      </c>
    </row>
    <row r="4015" spans="1:5" x14ac:dyDescent="0.25">
      <c r="A4015" t="s">
        <v>3083</v>
      </c>
      <c r="B4015" t="s">
        <v>611</v>
      </c>
      <c r="C4015" t="s">
        <v>3060</v>
      </c>
      <c r="D4015" t="s">
        <v>3931</v>
      </c>
      <c r="E4015" t="s">
        <v>582</v>
      </c>
    </row>
    <row r="4016" spans="1:5" x14ac:dyDescent="0.25">
      <c r="A4016" t="s">
        <v>3083</v>
      </c>
      <c r="B4016" t="s">
        <v>3937</v>
      </c>
      <c r="C4016" t="s">
        <v>3060</v>
      </c>
      <c r="D4016" t="s">
        <v>3938</v>
      </c>
      <c r="E4016" t="s">
        <v>256</v>
      </c>
    </row>
    <row r="4017" spans="1:5" x14ac:dyDescent="0.25">
      <c r="A4017" t="s">
        <v>3083</v>
      </c>
      <c r="B4017" t="s">
        <v>3939</v>
      </c>
      <c r="C4017" t="s">
        <v>3060</v>
      </c>
      <c r="D4017" t="s">
        <v>3938</v>
      </c>
      <c r="E4017" t="s">
        <v>582</v>
      </c>
    </row>
    <row r="4018" spans="1:5" x14ac:dyDescent="0.25">
      <c r="A4018" t="s">
        <v>3083</v>
      </c>
      <c r="B4018" t="s">
        <v>1528</v>
      </c>
      <c r="C4018" t="s">
        <v>3060</v>
      </c>
      <c r="D4018" t="s">
        <v>3931</v>
      </c>
      <c r="E4018" t="s">
        <v>418</v>
      </c>
    </row>
    <row r="4019" spans="1:5" x14ac:dyDescent="0.25">
      <c r="A4019" t="s">
        <v>3083</v>
      </c>
      <c r="B4019" t="s">
        <v>615</v>
      </c>
      <c r="C4019" t="s">
        <v>3060</v>
      </c>
      <c r="D4019" t="s">
        <v>3931</v>
      </c>
      <c r="E4019" t="s">
        <v>401</v>
      </c>
    </row>
    <row r="4020" spans="1:5" x14ac:dyDescent="0.25">
      <c r="A4020" t="s">
        <v>3083</v>
      </c>
      <c r="B4020" t="s">
        <v>1529</v>
      </c>
      <c r="C4020" t="s">
        <v>3060</v>
      </c>
      <c r="D4020" t="s">
        <v>3931</v>
      </c>
      <c r="E4020" t="s">
        <v>212</v>
      </c>
    </row>
    <row r="4021" spans="1:5" x14ac:dyDescent="0.25">
      <c r="A4021" t="s">
        <v>3083</v>
      </c>
      <c r="B4021" t="s">
        <v>1530</v>
      </c>
      <c r="C4021" t="s">
        <v>3060</v>
      </c>
      <c r="D4021" t="s">
        <v>3938</v>
      </c>
      <c r="E4021" t="s">
        <v>437</v>
      </c>
    </row>
    <row r="4022" spans="1:5" x14ac:dyDescent="0.25">
      <c r="A4022" t="s">
        <v>3083</v>
      </c>
      <c r="B4022" t="s">
        <v>3940</v>
      </c>
      <c r="C4022" t="s">
        <v>3060</v>
      </c>
      <c r="D4022" t="s">
        <v>3938</v>
      </c>
      <c r="E4022" t="s">
        <v>258</v>
      </c>
    </row>
    <row r="4023" spans="1:5" x14ac:dyDescent="0.25">
      <c r="A4023" t="s">
        <v>3083</v>
      </c>
      <c r="B4023" t="s">
        <v>3941</v>
      </c>
      <c r="C4023" t="s">
        <v>3060</v>
      </c>
      <c r="D4023" t="s">
        <v>3938</v>
      </c>
      <c r="E4023" t="s">
        <v>582</v>
      </c>
    </row>
    <row r="4024" spans="1:5" x14ac:dyDescent="0.25">
      <c r="A4024" t="s">
        <v>3083</v>
      </c>
      <c r="B4024" t="s">
        <v>614</v>
      </c>
      <c r="C4024" t="s">
        <v>3060</v>
      </c>
      <c r="D4024" t="s">
        <v>3938</v>
      </c>
      <c r="E4024" t="s">
        <v>582</v>
      </c>
    </row>
    <row r="4025" spans="1:5" x14ac:dyDescent="0.25">
      <c r="A4025" t="s">
        <v>3083</v>
      </c>
      <c r="B4025" t="s">
        <v>3942</v>
      </c>
      <c r="C4025" t="s">
        <v>3060</v>
      </c>
      <c r="D4025" t="s">
        <v>3938</v>
      </c>
      <c r="E4025" t="s">
        <v>582</v>
      </c>
    </row>
    <row r="4026" spans="1:5" x14ac:dyDescent="0.25">
      <c r="A4026" t="s">
        <v>3083</v>
      </c>
      <c r="B4026" t="s">
        <v>3943</v>
      </c>
      <c r="C4026" t="s">
        <v>3060</v>
      </c>
      <c r="D4026" t="s">
        <v>3938</v>
      </c>
      <c r="E4026" t="s">
        <v>418</v>
      </c>
    </row>
    <row r="4027" spans="1:5" x14ac:dyDescent="0.25">
      <c r="A4027" t="s">
        <v>3083</v>
      </c>
      <c r="B4027" t="s">
        <v>617</v>
      </c>
      <c r="C4027" t="s">
        <v>3060</v>
      </c>
      <c r="D4027" t="s">
        <v>3944</v>
      </c>
      <c r="E4027" t="s">
        <v>212</v>
      </c>
    </row>
    <row r="4028" spans="1:5" x14ac:dyDescent="0.25">
      <c r="A4028" t="s">
        <v>3083</v>
      </c>
      <c r="B4028" t="s">
        <v>3945</v>
      </c>
      <c r="C4028" t="s">
        <v>3060</v>
      </c>
      <c r="D4028" t="s">
        <v>3946</v>
      </c>
      <c r="E4028" t="s">
        <v>582</v>
      </c>
    </row>
    <row r="4029" spans="1:5" x14ac:dyDescent="0.25">
      <c r="A4029" t="s">
        <v>3083</v>
      </c>
      <c r="B4029" t="s">
        <v>3947</v>
      </c>
      <c r="C4029" t="s">
        <v>3060</v>
      </c>
      <c r="D4029" t="s">
        <v>3946</v>
      </c>
      <c r="E4029" t="s">
        <v>582</v>
      </c>
    </row>
    <row r="4030" spans="1:5" x14ac:dyDescent="0.25">
      <c r="A4030" t="s">
        <v>3083</v>
      </c>
      <c r="B4030" t="s">
        <v>3948</v>
      </c>
      <c r="C4030" t="s">
        <v>3060</v>
      </c>
      <c r="D4030" t="s">
        <v>3060</v>
      </c>
      <c r="E4030" t="s">
        <v>258</v>
      </c>
    </row>
    <row r="4031" spans="1:5" x14ac:dyDescent="0.25">
      <c r="A4031" t="s">
        <v>3083</v>
      </c>
      <c r="B4031" t="s">
        <v>3949</v>
      </c>
      <c r="C4031" t="s">
        <v>3060</v>
      </c>
      <c r="D4031" t="s">
        <v>3060</v>
      </c>
      <c r="E4031" t="s">
        <v>401</v>
      </c>
    </row>
    <row r="4032" spans="1:5" x14ac:dyDescent="0.25">
      <c r="A4032" t="s">
        <v>3083</v>
      </c>
      <c r="B4032" t="s">
        <v>3950</v>
      </c>
      <c r="C4032" t="s">
        <v>3060</v>
      </c>
      <c r="D4032" t="s">
        <v>3060</v>
      </c>
      <c r="E4032" t="s">
        <v>401</v>
      </c>
    </row>
    <row r="4033" spans="1:5" x14ac:dyDescent="0.25">
      <c r="A4033" t="s">
        <v>3083</v>
      </c>
      <c r="B4033" t="s">
        <v>229</v>
      </c>
      <c r="C4033" t="s">
        <v>3060</v>
      </c>
      <c r="D4033" t="s">
        <v>3060</v>
      </c>
      <c r="E4033" t="s">
        <v>207</v>
      </c>
    </row>
    <row r="4034" spans="1:5" x14ac:dyDescent="0.25">
      <c r="A4034" t="s">
        <v>3083</v>
      </c>
      <c r="B4034" t="s">
        <v>643</v>
      </c>
      <c r="C4034" t="s">
        <v>3060</v>
      </c>
      <c r="D4034" t="s">
        <v>3060</v>
      </c>
      <c r="E4034" t="s">
        <v>207</v>
      </c>
    </row>
    <row r="4035" spans="1:5" x14ac:dyDescent="0.25">
      <c r="A4035" t="s">
        <v>3083</v>
      </c>
      <c r="B4035" t="s">
        <v>876</v>
      </c>
      <c r="C4035" t="s">
        <v>3060</v>
      </c>
      <c r="D4035" t="s">
        <v>3060</v>
      </c>
      <c r="E4035" t="s">
        <v>207</v>
      </c>
    </row>
    <row r="4036" spans="1:5" x14ac:dyDescent="0.25">
      <c r="A4036" t="s">
        <v>3083</v>
      </c>
      <c r="B4036" t="s">
        <v>230</v>
      </c>
      <c r="C4036" t="s">
        <v>3060</v>
      </c>
      <c r="D4036" t="s">
        <v>3060</v>
      </c>
      <c r="E4036" t="s">
        <v>207</v>
      </c>
    </row>
    <row r="4037" spans="1:5" x14ac:dyDescent="0.25">
      <c r="A4037" t="s">
        <v>3083</v>
      </c>
      <c r="B4037" t="s">
        <v>233</v>
      </c>
      <c r="C4037" t="s">
        <v>3060</v>
      </c>
      <c r="D4037" t="s">
        <v>3060</v>
      </c>
      <c r="E4037" t="s">
        <v>207</v>
      </c>
    </row>
    <row r="4038" spans="1:5" x14ac:dyDescent="0.25">
      <c r="A4038" t="s">
        <v>3083</v>
      </c>
      <c r="B4038" t="s">
        <v>234</v>
      </c>
      <c r="C4038" t="s">
        <v>3060</v>
      </c>
      <c r="D4038" t="s">
        <v>3060</v>
      </c>
      <c r="E4038" t="s">
        <v>279</v>
      </c>
    </row>
    <row r="4039" spans="1:5" x14ac:dyDescent="0.25">
      <c r="A4039" t="s">
        <v>3083</v>
      </c>
      <c r="B4039" t="s">
        <v>325</v>
      </c>
      <c r="C4039" t="s">
        <v>3060</v>
      </c>
      <c r="D4039" t="s">
        <v>3060</v>
      </c>
      <c r="E4039" t="s">
        <v>279</v>
      </c>
    </row>
    <row r="4040" spans="1:5" x14ac:dyDescent="0.25">
      <c r="A4040" t="s">
        <v>3083</v>
      </c>
      <c r="B4040" t="s">
        <v>1860</v>
      </c>
      <c r="C4040" t="s">
        <v>3060</v>
      </c>
      <c r="D4040" t="s">
        <v>3060</v>
      </c>
      <c r="E4040" t="s">
        <v>235</v>
      </c>
    </row>
    <row r="4041" spans="1:5" x14ac:dyDescent="0.25">
      <c r="A4041" t="s">
        <v>3083</v>
      </c>
      <c r="B4041" t="s">
        <v>179</v>
      </c>
      <c r="C4041" t="s">
        <v>3060</v>
      </c>
      <c r="D4041" t="s">
        <v>3060</v>
      </c>
      <c r="E4041" t="s">
        <v>279</v>
      </c>
    </row>
    <row r="4042" spans="1:5" x14ac:dyDescent="0.25">
      <c r="A4042" t="s">
        <v>3083</v>
      </c>
      <c r="B4042" t="s">
        <v>180</v>
      </c>
      <c r="C4042" t="s">
        <v>3060</v>
      </c>
      <c r="D4042" t="s">
        <v>3060</v>
      </c>
      <c r="E4042" t="s">
        <v>235</v>
      </c>
    </row>
    <row r="4043" spans="1:5" x14ac:dyDescent="0.25">
      <c r="A4043" t="s">
        <v>3083</v>
      </c>
      <c r="B4043" t="s">
        <v>181</v>
      </c>
      <c r="C4043" t="s">
        <v>3060</v>
      </c>
      <c r="D4043" t="s">
        <v>3060</v>
      </c>
      <c r="E4043" t="s">
        <v>286</v>
      </c>
    </row>
    <row r="4044" spans="1:5" x14ac:dyDescent="0.25">
      <c r="A4044" t="s">
        <v>3083</v>
      </c>
      <c r="B4044" t="s">
        <v>242</v>
      </c>
      <c r="C4044" t="s">
        <v>3060</v>
      </c>
      <c r="D4044" t="s">
        <v>3060</v>
      </c>
      <c r="E4044" t="s">
        <v>268</v>
      </c>
    </row>
    <row r="4045" spans="1:5" x14ac:dyDescent="0.25">
      <c r="A4045" t="s">
        <v>3083</v>
      </c>
      <c r="B4045" t="s">
        <v>245</v>
      </c>
      <c r="C4045" t="s">
        <v>3060</v>
      </c>
      <c r="D4045" t="s">
        <v>3060</v>
      </c>
      <c r="E4045" t="s">
        <v>268</v>
      </c>
    </row>
    <row r="4046" spans="1:5" x14ac:dyDescent="0.25">
      <c r="A4046" t="s">
        <v>3083</v>
      </c>
      <c r="B4046" t="s">
        <v>183</v>
      </c>
      <c r="C4046" t="s">
        <v>3060</v>
      </c>
      <c r="D4046" t="s">
        <v>3060</v>
      </c>
      <c r="E4046" t="s">
        <v>184</v>
      </c>
    </row>
    <row r="4047" spans="1:5" x14ac:dyDescent="0.25">
      <c r="A4047" t="s">
        <v>3085</v>
      </c>
      <c r="B4047" t="s">
        <v>605</v>
      </c>
      <c r="C4047" t="s">
        <v>3060</v>
      </c>
      <c r="D4047" t="s">
        <v>3951</v>
      </c>
      <c r="E4047" t="s">
        <v>268</v>
      </c>
    </row>
    <row r="4048" spans="1:5" x14ac:dyDescent="0.25">
      <c r="A4048" t="s">
        <v>3085</v>
      </c>
      <c r="B4048" t="s">
        <v>611</v>
      </c>
      <c r="C4048" t="s">
        <v>3060</v>
      </c>
      <c r="D4048" t="s">
        <v>3951</v>
      </c>
      <c r="E4048" t="s">
        <v>636</v>
      </c>
    </row>
    <row r="4049" spans="1:5" x14ac:dyDescent="0.25">
      <c r="A4049" t="s">
        <v>3085</v>
      </c>
      <c r="B4049" t="s">
        <v>3315</v>
      </c>
      <c r="C4049" t="s">
        <v>3060</v>
      </c>
      <c r="D4049" t="s">
        <v>3951</v>
      </c>
      <c r="E4049" t="s">
        <v>258</v>
      </c>
    </row>
    <row r="4050" spans="1:5" x14ac:dyDescent="0.25">
      <c r="A4050" t="s">
        <v>3085</v>
      </c>
      <c r="B4050" t="s">
        <v>1529</v>
      </c>
      <c r="C4050" t="s">
        <v>3060</v>
      </c>
      <c r="D4050" t="s">
        <v>3951</v>
      </c>
      <c r="E4050" t="s">
        <v>466</v>
      </c>
    </row>
    <row r="4051" spans="1:5" x14ac:dyDescent="0.25">
      <c r="A4051" t="s">
        <v>3085</v>
      </c>
      <c r="B4051" t="s">
        <v>610</v>
      </c>
      <c r="C4051" t="s">
        <v>3060</v>
      </c>
      <c r="D4051" t="s">
        <v>3060</v>
      </c>
      <c r="E4051" t="s">
        <v>287</v>
      </c>
    </row>
    <row r="4052" spans="1:5" x14ac:dyDescent="0.25">
      <c r="A4052" t="s">
        <v>3085</v>
      </c>
      <c r="B4052" t="s">
        <v>610</v>
      </c>
      <c r="C4052" t="s">
        <v>3060</v>
      </c>
      <c r="D4052" t="s">
        <v>3060</v>
      </c>
      <c r="E4052" t="s">
        <v>287</v>
      </c>
    </row>
    <row r="4053" spans="1:5" x14ac:dyDescent="0.25">
      <c r="A4053" t="s">
        <v>3085</v>
      </c>
      <c r="B4053" t="s">
        <v>605</v>
      </c>
      <c r="C4053" t="s">
        <v>3060</v>
      </c>
      <c r="D4053" t="s">
        <v>3951</v>
      </c>
      <c r="E4053" t="s">
        <v>268</v>
      </c>
    </row>
    <row r="4054" spans="1:5" x14ac:dyDescent="0.25">
      <c r="A4054" t="s">
        <v>3085</v>
      </c>
      <c r="B4054" t="s">
        <v>489</v>
      </c>
      <c r="C4054" t="s">
        <v>3060</v>
      </c>
      <c r="D4054" t="s">
        <v>3951</v>
      </c>
      <c r="E4054" t="s">
        <v>406</v>
      </c>
    </row>
    <row r="4055" spans="1:5" x14ac:dyDescent="0.25">
      <c r="A4055" t="s">
        <v>3085</v>
      </c>
      <c r="B4055" t="s">
        <v>611</v>
      </c>
      <c r="C4055" t="s">
        <v>3060</v>
      </c>
      <c r="D4055" t="s">
        <v>3951</v>
      </c>
      <c r="E4055" t="s">
        <v>636</v>
      </c>
    </row>
    <row r="4056" spans="1:5" x14ac:dyDescent="0.25">
      <c r="A4056" t="s">
        <v>3085</v>
      </c>
      <c r="B4056" t="s">
        <v>614</v>
      </c>
      <c r="C4056" t="s">
        <v>3060</v>
      </c>
      <c r="D4056" t="s">
        <v>3951</v>
      </c>
      <c r="E4056" t="s">
        <v>636</v>
      </c>
    </row>
    <row r="4057" spans="1:5" x14ac:dyDescent="0.25">
      <c r="A4057" t="s">
        <v>3085</v>
      </c>
      <c r="B4057" t="s">
        <v>615</v>
      </c>
      <c r="C4057" t="s">
        <v>3060</v>
      </c>
      <c r="D4057" t="s">
        <v>3951</v>
      </c>
      <c r="E4057" t="s">
        <v>418</v>
      </c>
    </row>
    <row r="4058" spans="1:5" x14ac:dyDescent="0.25">
      <c r="A4058" t="s">
        <v>3085</v>
      </c>
      <c r="B4058" t="s">
        <v>3315</v>
      </c>
      <c r="C4058" t="s">
        <v>3060</v>
      </c>
      <c r="D4058" t="s">
        <v>3951</v>
      </c>
      <c r="E4058" t="s">
        <v>258</v>
      </c>
    </row>
    <row r="4059" spans="1:5" x14ac:dyDescent="0.25">
      <c r="A4059" t="s">
        <v>3085</v>
      </c>
      <c r="B4059" t="s">
        <v>2194</v>
      </c>
      <c r="C4059" t="s">
        <v>3060</v>
      </c>
      <c r="D4059" t="s">
        <v>3951</v>
      </c>
      <c r="E4059" t="s">
        <v>258</v>
      </c>
    </row>
    <row r="4060" spans="1:5" x14ac:dyDescent="0.25">
      <c r="A4060" t="s">
        <v>3085</v>
      </c>
      <c r="B4060" t="s">
        <v>617</v>
      </c>
      <c r="C4060" t="s">
        <v>3060</v>
      </c>
      <c r="D4060" t="s">
        <v>3952</v>
      </c>
      <c r="E4060" t="s">
        <v>418</v>
      </c>
    </row>
    <row r="4061" spans="1:5" x14ac:dyDescent="0.25">
      <c r="A4061" t="s">
        <v>3085</v>
      </c>
      <c r="B4061" t="s">
        <v>3322</v>
      </c>
      <c r="C4061" t="s">
        <v>3060</v>
      </c>
      <c r="D4061" t="s">
        <v>3951</v>
      </c>
      <c r="E4061" t="s">
        <v>258</v>
      </c>
    </row>
    <row r="4062" spans="1:5" x14ac:dyDescent="0.25">
      <c r="A4062" t="s">
        <v>3085</v>
      </c>
      <c r="B4062" t="s">
        <v>3321</v>
      </c>
      <c r="C4062" t="s">
        <v>3060</v>
      </c>
      <c r="D4062" t="s">
        <v>3951</v>
      </c>
      <c r="E4062" t="s">
        <v>469</v>
      </c>
    </row>
    <row r="4063" spans="1:5" x14ac:dyDescent="0.25">
      <c r="A4063" t="s">
        <v>3085</v>
      </c>
      <c r="B4063" t="s">
        <v>3320</v>
      </c>
      <c r="C4063" t="s">
        <v>3060</v>
      </c>
      <c r="D4063" t="s">
        <v>3951</v>
      </c>
      <c r="E4063" t="s">
        <v>469</v>
      </c>
    </row>
    <row r="4064" spans="1:5" x14ac:dyDescent="0.25">
      <c r="A4064" t="s">
        <v>3085</v>
      </c>
      <c r="B4064" t="s">
        <v>1529</v>
      </c>
      <c r="C4064" t="s">
        <v>3060</v>
      </c>
      <c r="D4064" t="s">
        <v>3951</v>
      </c>
      <c r="E4064" t="s">
        <v>466</v>
      </c>
    </row>
    <row r="4065" spans="1:5" x14ac:dyDescent="0.25">
      <c r="A4065" t="s">
        <v>3085</v>
      </c>
      <c r="B4065" t="s">
        <v>595</v>
      </c>
      <c r="C4065" t="s">
        <v>3060</v>
      </c>
      <c r="D4065" t="s">
        <v>3060</v>
      </c>
      <c r="E4065" t="s">
        <v>279</v>
      </c>
    </row>
    <row r="4066" spans="1:5" x14ac:dyDescent="0.25">
      <c r="A4066" t="s">
        <v>3085</v>
      </c>
      <c r="B4066" t="s">
        <v>3953</v>
      </c>
      <c r="C4066" t="s">
        <v>3060</v>
      </c>
      <c r="D4066" t="s">
        <v>3060</v>
      </c>
      <c r="E4066" t="s">
        <v>279</v>
      </c>
    </row>
    <row r="4067" spans="1:5" x14ac:dyDescent="0.25">
      <c r="A4067" t="s">
        <v>3085</v>
      </c>
      <c r="B4067" t="s">
        <v>175</v>
      </c>
      <c r="C4067" t="s">
        <v>3060</v>
      </c>
      <c r="D4067" t="s">
        <v>3060</v>
      </c>
      <c r="E4067" t="s">
        <v>279</v>
      </c>
    </row>
    <row r="4068" spans="1:5" x14ac:dyDescent="0.25">
      <c r="A4068" t="s">
        <v>3085</v>
      </c>
      <c r="B4068" t="s">
        <v>238</v>
      </c>
      <c r="C4068" t="s">
        <v>3060</v>
      </c>
      <c r="D4068" t="s">
        <v>3060</v>
      </c>
      <c r="E4068" t="s">
        <v>286</v>
      </c>
    </row>
    <row r="4069" spans="1:5" x14ac:dyDescent="0.25">
      <c r="A4069" t="s">
        <v>3085</v>
      </c>
      <c r="B4069" t="s">
        <v>645</v>
      </c>
      <c r="C4069" t="s">
        <v>3060</v>
      </c>
      <c r="D4069" t="s">
        <v>3060</v>
      </c>
      <c r="E4069" t="s">
        <v>235</v>
      </c>
    </row>
    <row r="4070" spans="1:5" x14ac:dyDescent="0.25">
      <c r="A4070" t="s">
        <v>3085</v>
      </c>
      <c r="B4070" t="s">
        <v>173</v>
      </c>
      <c r="C4070" t="s">
        <v>3060</v>
      </c>
      <c r="D4070" t="s">
        <v>3060</v>
      </c>
      <c r="E4070" t="s">
        <v>279</v>
      </c>
    </row>
    <row r="4071" spans="1:5" x14ac:dyDescent="0.25">
      <c r="A4071" t="s">
        <v>3085</v>
      </c>
      <c r="B4071" t="s">
        <v>180</v>
      </c>
      <c r="C4071" t="s">
        <v>3060</v>
      </c>
      <c r="D4071" t="s">
        <v>3060</v>
      </c>
      <c r="E4071" t="s">
        <v>281</v>
      </c>
    </row>
    <row r="4072" spans="1:5" x14ac:dyDescent="0.25">
      <c r="A4072" t="s">
        <v>3085</v>
      </c>
      <c r="B4072" t="s">
        <v>181</v>
      </c>
      <c r="C4072" t="s">
        <v>3060</v>
      </c>
      <c r="D4072" t="s">
        <v>3060</v>
      </c>
      <c r="E4072" t="s">
        <v>281</v>
      </c>
    </row>
    <row r="4073" spans="1:5" x14ac:dyDescent="0.25">
      <c r="A4073" t="s">
        <v>3086</v>
      </c>
      <c r="B4073" t="s">
        <v>3954</v>
      </c>
      <c r="C4073" t="s">
        <v>3060</v>
      </c>
      <c r="D4073" t="s">
        <v>3955</v>
      </c>
      <c r="E4073" t="s">
        <v>204</v>
      </c>
    </row>
    <row r="4074" spans="1:5" x14ac:dyDescent="0.25">
      <c r="A4074" t="s">
        <v>3086</v>
      </c>
      <c r="B4074" t="s">
        <v>627</v>
      </c>
      <c r="C4074" t="s">
        <v>3060</v>
      </c>
      <c r="D4074" t="s">
        <v>3404</v>
      </c>
      <c r="E4074" t="s">
        <v>3956</v>
      </c>
    </row>
    <row r="4075" spans="1:5" x14ac:dyDescent="0.25">
      <c r="A4075" t="s">
        <v>3086</v>
      </c>
      <c r="B4075" t="s">
        <v>3957</v>
      </c>
      <c r="C4075" t="s">
        <v>3060</v>
      </c>
      <c r="D4075" t="s">
        <v>3958</v>
      </c>
      <c r="E4075" t="s">
        <v>964</v>
      </c>
    </row>
    <row r="4076" spans="1:5" x14ac:dyDescent="0.25">
      <c r="A4076" t="s">
        <v>3086</v>
      </c>
      <c r="B4076" t="s">
        <v>1526</v>
      </c>
      <c r="C4076" t="s">
        <v>3060</v>
      </c>
      <c r="D4076" t="s">
        <v>3404</v>
      </c>
      <c r="E4076" t="s">
        <v>3956</v>
      </c>
    </row>
    <row r="4077" spans="1:5" x14ac:dyDescent="0.25">
      <c r="A4077" t="s">
        <v>3086</v>
      </c>
      <c r="B4077" t="s">
        <v>3959</v>
      </c>
      <c r="C4077" t="s">
        <v>3060</v>
      </c>
      <c r="D4077" t="s">
        <v>3404</v>
      </c>
      <c r="E4077" t="s">
        <v>3956</v>
      </c>
    </row>
    <row r="4078" spans="1:5" x14ac:dyDescent="0.25">
      <c r="A4078" t="s">
        <v>3086</v>
      </c>
      <c r="B4078" t="s">
        <v>3960</v>
      </c>
      <c r="C4078" t="s">
        <v>3060</v>
      </c>
      <c r="D4078" t="s">
        <v>3961</v>
      </c>
      <c r="E4078" t="s">
        <v>425</v>
      </c>
    </row>
    <row r="4079" spans="1:5" x14ac:dyDescent="0.25">
      <c r="A4079" t="s">
        <v>3086</v>
      </c>
      <c r="B4079" t="s">
        <v>3962</v>
      </c>
      <c r="C4079" t="s">
        <v>3060</v>
      </c>
      <c r="D4079" t="s">
        <v>3963</v>
      </c>
      <c r="E4079" t="s">
        <v>456</v>
      </c>
    </row>
    <row r="4080" spans="1:5" x14ac:dyDescent="0.25">
      <c r="A4080" t="s">
        <v>3086</v>
      </c>
      <c r="B4080" t="s">
        <v>3964</v>
      </c>
      <c r="C4080" t="s">
        <v>3060</v>
      </c>
      <c r="D4080" t="s">
        <v>3965</v>
      </c>
      <c r="E4080" t="s">
        <v>779</v>
      </c>
    </row>
    <row r="4081" spans="1:5" x14ac:dyDescent="0.25">
      <c r="A4081" t="s">
        <v>3086</v>
      </c>
      <c r="B4081" t="s">
        <v>3966</v>
      </c>
      <c r="C4081" t="s">
        <v>3060</v>
      </c>
      <c r="D4081" t="s">
        <v>3967</v>
      </c>
      <c r="E4081" t="s">
        <v>369</v>
      </c>
    </row>
    <row r="4082" spans="1:5" x14ac:dyDescent="0.25">
      <c r="A4082" t="s">
        <v>3086</v>
      </c>
      <c r="B4082" t="s">
        <v>2446</v>
      </c>
      <c r="C4082" t="s">
        <v>3060</v>
      </c>
      <c r="D4082" t="s">
        <v>3404</v>
      </c>
      <c r="E4082" t="s">
        <v>3956</v>
      </c>
    </row>
    <row r="4083" spans="1:5" x14ac:dyDescent="0.25">
      <c r="A4083" t="s">
        <v>3086</v>
      </c>
      <c r="B4083" t="s">
        <v>1526</v>
      </c>
      <c r="C4083" t="s">
        <v>3060</v>
      </c>
      <c r="D4083" t="s">
        <v>3404</v>
      </c>
      <c r="E4083" t="s">
        <v>3956</v>
      </c>
    </row>
    <row r="4084" spans="1:5" x14ac:dyDescent="0.25">
      <c r="A4084" t="s">
        <v>3086</v>
      </c>
      <c r="B4084" t="s">
        <v>2836</v>
      </c>
      <c r="C4084" t="s">
        <v>3060</v>
      </c>
      <c r="D4084" t="s">
        <v>3404</v>
      </c>
      <c r="E4084" t="s">
        <v>214</v>
      </c>
    </row>
    <row r="4085" spans="1:5" x14ac:dyDescent="0.25">
      <c r="A4085" t="s">
        <v>3086</v>
      </c>
      <c r="B4085" t="s">
        <v>627</v>
      </c>
      <c r="C4085" t="s">
        <v>3060</v>
      </c>
      <c r="D4085" t="s">
        <v>3404</v>
      </c>
      <c r="E4085" t="s">
        <v>3956</v>
      </c>
    </row>
    <row r="4086" spans="1:5" x14ac:dyDescent="0.25">
      <c r="A4086" t="s">
        <v>3086</v>
      </c>
      <c r="B4086" t="s">
        <v>3968</v>
      </c>
      <c r="C4086" t="s">
        <v>3060</v>
      </c>
      <c r="D4086" t="s">
        <v>3404</v>
      </c>
      <c r="E4086" t="s">
        <v>2393</v>
      </c>
    </row>
    <row r="4087" spans="1:5" x14ac:dyDescent="0.25">
      <c r="A4087" t="s">
        <v>3086</v>
      </c>
      <c r="B4087" t="s">
        <v>3959</v>
      </c>
      <c r="C4087" t="s">
        <v>3060</v>
      </c>
      <c r="D4087" t="s">
        <v>3404</v>
      </c>
      <c r="E4087" t="s">
        <v>3956</v>
      </c>
    </row>
    <row r="4088" spans="1:5" x14ac:dyDescent="0.25">
      <c r="A4088" t="s">
        <v>3086</v>
      </c>
      <c r="B4088" t="s">
        <v>619</v>
      </c>
      <c r="C4088" t="s">
        <v>3060</v>
      </c>
      <c r="D4088" t="s">
        <v>3404</v>
      </c>
      <c r="E4088" t="s">
        <v>212</v>
      </c>
    </row>
    <row r="4089" spans="1:5" x14ac:dyDescent="0.25">
      <c r="A4089" t="s">
        <v>3086</v>
      </c>
      <c r="B4089" t="s">
        <v>3969</v>
      </c>
      <c r="C4089" t="s">
        <v>3060</v>
      </c>
      <c r="D4089" t="s">
        <v>3404</v>
      </c>
      <c r="E4089" t="s">
        <v>3956</v>
      </c>
    </row>
    <row r="4090" spans="1:5" x14ac:dyDescent="0.25">
      <c r="A4090" t="s">
        <v>3086</v>
      </c>
      <c r="B4090" t="s">
        <v>3970</v>
      </c>
      <c r="C4090" t="s">
        <v>3060</v>
      </c>
      <c r="D4090" t="s">
        <v>3404</v>
      </c>
      <c r="E4090" t="s">
        <v>2393</v>
      </c>
    </row>
    <row r="4091" spans="1:5" x14ac:dyDescent="0.25">
      <c r="A4091" t="s">
        <v>3086</v>
      </c>
      <c r="B4091" t="s">
        <v>628</v>
      </c>
      <c r="C4091" t="s">
        <v>3060</v>
      </c>
      <c r="D4091" t="s">
        <v>3404</v>
      </c>
      <c r="E4091" t="s">
        <v>214</v>
      </c>
    </row>
    <row r="4092" spans="1:5" x14ac:dyDescent="0.25">
      <c r="A4092" t="s">
        <v>3086</v>
      </c>
      <c r="B4092" t="s">
        <v>3971</v>
      </c>
      <c r="C4092" t="s">
        <v>3060</v>
      </c>
      <c r="D4092" t="s">
        <v>3972</v>
      </c>
      <c r="E4092" t="s">
        <v>204</v>
      </c>
    </row>
    <row r="4093" spans="1:5" x14ac:dyDescent="0.25">
      <c r="A4093" t="s">
        <v>3086</v>
      </c>
      <c r="B4093" t="s">
        <v>667</v>
      </c>
      <c r="C4093" t="s">
        <v>3060</v>
      </c>
      <c r="D4093" t="s">
        <v>3972</v>
      </c>
      <c r="E4093" t="s">
        <v>212</v>
      </c>
    </row>
    <row r="4094" spans="1:5" x14ac:dyDescent="0.25">
      <c r="A4094" t="s">
        <v>3086</v>
      </c>
      <c r="B4094" t="s">
        <v>3957</v>
      </c>
      <c r="C4094" t="s">
        <v>3060</v>
      </c>
      <c r="D4094" t="s">
        <v>3958</v>
      </c>
      <c r="E4094" t="s">
        <v>964</v>
      </c>
    </row>
    <row r="4095" spans="1:5" x14ac:dyDescent="0.25">
      <c r="A4095" t="s">
        <v>3086</v>
      </c>
      <c r="B4095" t="s">
        <v>607</v>
      </c>
      <c r="C4095" t="s">
        <v>3060</v>
      </c>
      <c r="D4095" t="s">
        <v>3973</v>
      </c>
      <c r="E4095" t="s">
        <v>202</v>
      </c>
    </row>
    <row r="4096" spans="1:5" x14ac:dyDescent="0.25">
      <c r="A4096" t="s">
        <v>3086</v>
      </c>
      <c r="B4096" t="s">
        <v>716</v>
      </c>
      <c r="C4096" t="s">
        <v>3060</v>
      </c>
      <c r="D4096" t="s">
        <v>3973</v>
      </c>
      <c r="E4096" t="s">
        <v>202</v>
      </c>
    </row>
    <row r="4097" spans="1:5" x14ac:dyDescent="0.25">
      <c r="A4097" t="s">
        <v>3086</v>
      </c>
      <c r="B4097" t="s">
        <v>3974</v>
      </c>
      <c r="C4097" t="s">
        <v>3060</v>
      </c>
      <c r="D4097" t="s">
        <v>3973</v>
      </c>
      <c r="E4097" t="s">
        <v>202</v>
      </c>
    </row>
    <row r="4098" spans="1:5" x14ac:dyDescent="0.25">
      <c r="A4098" t="s">
        <v>3086</v>
      </c>
      <c r="B4098" t="s">
        <v>678</v>
      </c>
      <c r="C4098" t="s">
        <v>3060</v>
      </c>
      <c r="D4098" t="s">
        <v>3973</v>
      </c>
      <c r="E4098" t="s">
        <v>202</v>
      </c>
    </row>
    <row r="4099" spans="1:5" x14ac:dyDescent="0.25">
      <c r="A4099" t="s">
        <v>3086</v>
      </c>
      <c r="B4099" t="s">
        <v>2847</v>
      </c>
      <c r="C4099" t="s">
        <v>3060</v>
      </c>
      <c r="D4099" t="s">
        <v>3973</v>
      </c>
      <c r="E4099" t="s">
        <v>2012</v>
      </c>
    </row>
    <row r="4100" spans="1:5" x14ac:dyDescent="0.25">
      <c r="A4100" t="s">
        <v>3086</v>
      </c>
      <c r="B4100" t="s">
        <v>246</v>
      </c>
      <c r="C4100" t="s">
        <v>3060</v>
      </c>
      <c r="D4100" t="s">
        <v>3975</v>
      </c>
      <c r="E4100" t="s">
        <v>202</v>
      </c>
    </row>
    <row r="4101" spans="1:5" x14ac:dyDescent="0.25">
      <c r="A4101" t="s">
        <v>3086</v>
      </c>
      <c r="B4101" t="s">
        <v>314</v>
      </c>
      <c r="C4101" t="s">
        <v>3060</v>
      </c>
      <c r="D4101" t="s">
        <v>3975</v>
      </c>
      <c r="E4101" t="s">
        <v>964</v>
      </c>
    </row>
    <row r="4102" spans="1:5" x14ac:dyDescent="0.25">
      <c r="A4102" t="s">
        <v>3086</v>
      </c>
      <c r="B4102" t="s">
        <v>229</v>
      </c>
      <c r="C4102" t="s">
        <v>3060</v>
      </c>
      <c r="D4102" t="s">
        <v>3060</v>
      </c>
      <c r="E4102" t="s">
        <v>237</v>
      </c>
    </row>
    <row r="4103" spans="1:5" x14ac:dyDescent="0.25">
      <c r="A4103" t="s">
        <v>3086</v>
      </c>
      <c r="B4103" t="s">
        <v>230</v>
      </c>
      <c r="C4103" t="s">
        <v>3060</v>
      </c>
      <c r="D4103" t="s">
        <v>3060</v>
      </c>
      <c r="E4103" t="s">
        <v>237</v>
      </c>
    </row>
    <row r="4104" spans="1:5" x14ac:dyDescent="0.25">
      <c r="A4104" t="s">
        <v>3086</v>
      </c>
      <c r="B4104" t="s">
        <v>234</v>
      </c>
      <c r="C4104" t="s">
        <v>3060</v>
      </c>
      <c r="D4104" t="s">
        <v>3060</v>
      </c>
      <c r="E4104" t="s">
        <v>240</v>
      </c>
    </row>
    <row r="4105" spans="1:5" x14ac:dyDescent="0.25">
      <c r="A4105" t="s">
        <v>3086</v>
      </c>
      <c r="B4105" t="s">
        <v>344</v>
      </c>
      <c r="C4105" t="s">
        <v>3060</v>
      </c>
      <c r="D4105" t="s">
        <v>3060</v>
      </c>
      <c r="E4105" t="s">
        <v>240</v>
      </c>
    </row>
    <row r="4106" spans="1:5" x14ac:dyDescent="0.25">
      <c r="A4106" t="s">
        <v>3086</v>
      </c>
      <c r="B4106" t="s">
        <v>178</v>
      </c>
      <c r="C4106" t="s">
        <v>3060</v>
      </c>
      <c r="D4106" t="s">
        <v>3060</v>
      </c>
      <c r="E4106" t="s">
        <v>240</v>
      </c>
    </row>
    <row r="4107" spans="1:5" x14ac:dyDescent="0.25">
      <c r="A4107" t="s">
        <v>3086</v>
      </c>
      <c r="B4107" t="s">
        <v>238</v>
      </c>
      <c r="C4107" t="s">
        <v>3060</v>
      </c>
      <c r="D4107" t="s">
        <v>3060</v>
      </c>
      <c r="E4107" t="s">
        <v>241</v>
      </c>
    </row>
    <row r="4108" spans="1:5" x14ac:dyDescent="0.25">
      <c r="A4108" t="s">
        <v>3086</v>
      </c>
      <c r="B4108" t="s">
        <v>3954</v>
      </c>
      <c r="C4108" t="s">
        <v>3060</v>
      </c>
      <c r="D4108" t="s">
        <v>3955</v>
      </c>
      <c r="E4108" t="s">
        <v>204</v>
      </c>
    </row>
    <row r="4109" spans="1:5" x14ac:dyDescent="0.25">
      <c r="A4109" t="s">
        <v>3086</v>
      </c>
      <c r="B4109" t="s">
        <v>2460</v>
      </c>
      <c r="C4109" t="s">
        <v>3060</v>
      </c>
      <c r="D4109" t="s">
        <v>3972</v>
      </c>
      <c r="E4109" t="s">
        <v>3312</v>
      </c>
    </row>
    <row r="4110" spans="1:5" x14ac:dyDescent="0.25">
      <c r="A4110" t="s">
        <v>3086</v>
      </c>
      <c r="B4110" t="s">
        <v>388</v>
      </c>
      <c r="C4110" t="s">
        <v>3060</v>
      </c>
      <c r="D4110" t="s">
        <v>3955</v>
      </c>
      <c r="E4110" t="s">
        <v>3976</v>
      </c>
    </row>
    <row r="4111" spans="1:5" x14ac:dyDescent="0.25">
      <c r="A4111" t="s">
        <v>3086</v>
      </c>
      <c r="B4111" t="s">
        <v>3977</v>
      </c>
      <c r="C4111" t="s">
        <v>3060</v>
      </c>
      <c r="D4111" t="s">
        <v>3955</v>
      </c>
      <c r="E4111" t="s">
        <v>3312</v>
      </c>
    </row>
    <row r="4112" spans="1:5" x14ac:dyDescent="0.25">
      <c r="A4112" t="s">
        <v>3086</v>
      </c>
      <c r="B4112" t="s">
        <v>2462</v>
      </c>
      <c r="C4112" t="s">
        <v>3060</v>
      </c>
      <c r="D4112" t="s">
        <v>3955</v>
      </c>
      <c r="E4112" t="s">
        <v>3978</v>
      </c>
    </row>
    <row r="4113" spans="1:5" x14ac:dyDescent="0.25">
      <c r="A4113" t="s">
        <v>3086</v>
      </c>
      <c r="B4113" t="s">
        <v>2466</v>
      </c>
      <c r="C4113" t="s">
        <v>3060</v>
      </c>
      <c r="D4113" t="s">
        <v>3955</v>
      </c>
      <c r="E4113" t="s">
        <v>3978</v>
      </c>
    </row>
    <row r="4114" spans="1:5" x14ac:dyDescent="0.25">
      <c r="A4114" t="s">
        <v>3086</v>
      </c>
      <c r="B4114" t="s">
        <v>2467</v>
      </c>
      <c r="C4114" t="s">
        <v>3060</v>
      </c>
      <c r="D4114" t="s">
        <v>3955</v>
      </c>
      <c r="E4114" t="s">
        <v>3978</v>
      </c>
    </row>
    <row r="4115" spans="1:5" x14ac:dyDescent="0.25">
      <c r="A4115" t="s">
        <v>3086</v>
      </c>
      <c r="B4115" t="s">
        <v>3979</v>
      </c>
      <c r="C4115" t="s">
        <v>3060</v>
      </c>
      <c r="D4115" t="s">
        <v>3980</v>
      </c>
      <c r="E4115" t="s">
        <v>218</v>
      </c>
    </row>
    <row r="4116" spans="1:5" x14ac:dyDescent="0.25">
      <c r="A4116" t="s">
        <v>3086</v>
      </c>
      <c r="B4116" t="s">
        <v>183</v>
      </c>
      <c r="C4116" t="s">
        <v>3060</v>
      </c>
      <c r="D4116" t="s">
        <v>3060</v>
      </c>
      <c r="E4116" t="s">
        <v>184</v>
      </c>
    </row>
    <row r="4117" spans="1:5" x14ac:dyDescent="0.25">
      <c r="A4117" t="s">
        <v>3087</v>
      </c>
      <c r="B4117" t="s">
        <v>612</v>
      </c>
      <c r="C4117" t="s">
        <v>3060</v>
      </c>
      <c r="D4117" t="s">
        <v>3981</v>
      </c>
      <c r="E4117" t="s">
        <v>442</v>
      </c>
    </row>
    <row r="4118" spans="1:5" x14ac:dyDescent="0.25">
      <c r="A4118" t="s">
        <v>3087</v>
      </c>
      <c r="B4118" t="s">
        <v>2183</v>
      </c>
      <c r="C4118" t="s">
        <v>3060</v>
      </c>
      <c r="D4118" t="s">
        <v>3981</v>
      </c>
      <c r="E4118" t="s">
        <v>418</v>
      </c>
    </row>
    <row r="4119" spans="1:5" x14ac:dyDescent="0.25">
      <c r="A4119" t="s">
        <v>3087</v>
      </c>
      <c r="B4119" t="s">
        <v>2184</v>
      </c>
      <c r="C4119" t="s">
        <v>3060</v>
      </c>
      <c r="D4119" t="s">
        <v>3981</v>
      </c>
      <c r="E4119" t="s">
        <v>418</v>
      </c>
    </row>
    <row r="4120" spans="1:5" x14ac:dyDescent="0.25">
      <c r="A4120" t="s">
        <v>3087</v>
      </c>
      <c r="B4120" t="s">
        <v>2180</v>
      </c>
      <c r="C4120" t="s">
        <v>3060</v>
      </c>
      <c r="D4120" t="s">
        <v>3981</v>
      </c>
      <c r="E4120" t="s">
        <v>418</v>
      </c>
    </row>
    <row r="4121" spans="1:5" x14ac:dyDescent="0.25">
      <c r="A4121" t="s">
        <v>3087</v>
      </c>
      <c r="B4121" t="s">
        <v>2185</v>
      </c>
      <c r="C4121" t="s">
        <v>3060</v>
      </c>
      <c r="D4121" t="s">
        <v>3981</v>
      </c>
      <c r="E4121" t="s">
        <v>202</v>
      </c>
    </row>
    <row r="4122" spans="1:5" x14ac:dyDescent="0.25">
      <c r="A4122" t="s">
        <v>3087</v>
      </c>
      <c r="B4122" t="s">
        <v>3982</v>
      </c>
      <c r="C4122" t="s">
        <v>3060</v>
      </c>
      <c r="D4122" t="s">
        <v>3981</v>
      </c>
      <c r="E4122" t="s">
        <v>202</v>
      </c>
    </row>
    <row r="4123" spans="1:5" x14ac:dyDescent="0.25">
      <c r="A4123" t="s">
        <v>3087</v>
      </c>
      <c r="B4123" t="s">
        <v>3983</v>
      </c>
      <c r="C4123" t="s">
        <v>3060</v>
      </c>
      <c r="D4123" t="s">
        <v>3981</v>
      </c>
      <c r="E4123" t="s">
        <v>202</v>
      </c>
    </row>
    <row r="4124" spans="1:5" x14ac:dyDescent="0.25">
      <c r="A4124" t="s">
        <v>3087</v>
      </c>
      <c r="B4124" t="s">
        <v>3984</v>
      </c>
      <c r="C4124" t="s">
        <v>3060</v>
      </c>
      <c r="D4124" t="s">
        <v>3985</v>
      </c>
      <c r="E4124" t="s">
        <v>442</v>
      </c>
    </row>
    <row r="4125" spans="1:5" x14ac:dyDescent="0.25">
      <c r="A4125" t="s">
        <v>3087</v>
      </c>
      <c r="B4125" t="s">
        <v>610</v>
      </c>
      <c r="C4125" t="s">
        <v>3060</v>
      </c>
      <c r="D4125" t="s">
        <v>3060</v>
      </c>
      <c r="E4125" t="s">
        <v>287</v>
      </c>
    </row>
    <row r="4126" spans="1:5" x14ac:dyDescent="0.25">
      <c r="A4126" t="s">
        <v>3087</v>
      </c>
      <c r="B4126" t="s">
        <v>3986</v>
      </c>
      <c r="C4126" t="s">
        <v>3060</v>
      </c>
      <c r="D4126" t="s">
        <v>3987</v>
      </c>
      <c r="E4126" t="s">
        <v>253</v>
      </c>
    </row>
    <row r="4127" spans="1:5" x14ac:dyDescent="0.25">
      <c r="A4127" t="s">
        <v>3087</v>
      </c>
      <c r="B4127" t="s">
        <v>1436</v>
      </c>
      <c r="C4127" t="s">
        <v>3060</v>
      </c>
      <c r="D4127" t="s">
        <v>3987</v>
      </c>
      <c r="E4127" t="s">
        <v>258</v>
      </c>
    </row>
    <row r="4128" spans="1:5" x14ac:dyDescent="0.25">
      <c r="A4128" t="s">
        <v>3087</v>
      </c>
      <c r="B4128" t="s">
        <v>229</v>
      </c>
      <c r="C4128" t="s">
        <v>3060</v>
      </c>
      <c r="D4128" t="s">
        <v>3060</v>
      </c>
      <c r="E4128" t="s">
        <v>279</v>
      </c>
    </row>
    <row r="4129" spans="1:5" x14ac:dyDescent="0.25">
      <c r="A4129" t="s">
        <v>3087</v>
      </c>
      <c r="B4129" t="s">
        <v>230</v>
      </c>
      <c r="C4129" t="s">
        <v>3060</v>
      </c>
      <c r="D4129" t="s">
        <v>3060</v>
      </c>
      <c r="E4129" t="s">
        <v>279</v>
      </c>
    </row>
    <row r="4130" spans="1:5" x14ac:dyDescent="0.25">
      <c r="A4130" t="s">
        <v>3087</v>
      </c>
      <c r="B4130" t="s">
        <v>173</v>
      </c>
      <c r="C4130" t="s">
        <v>3060</v>
      </c>
      <c r="D4130" t="s">
        <v>3060</v>
      </c>
      <c r="E4130" t="s">
        <v>235</v>
      </c>
    </row>
    <row r="4131" spans="1:5" x14ac:dyDescent="0.25">
      <c r="A4131" t="s">
        <v>3087</v>
      </c>
      <c r="B4131" t="s">
        <v>175</v>
      </c>
      <c r="C4131" t="s">
        <v>3060</v>
      </c>
      <c r="D4131" t="s">
        <v>3060</v>
      </c>
      <c r="E4131" t="s">
        <v>235</v>
      </c>
    </row>
    <row r="4132" spans="1:5" x14ac:dyDescent="0.25">
      <c r="A4132" t="s">
        <v>3087</v>
      </c>
      <c r="B4132" t="s">
        <v>180</v>
      </c>
      <c r="C4132" t="s">
        <v>3060</v>
      </c>
      <c r="D4132" t="s">
        <v>3060</v>
      </c>
      <c r="E4132" t="s">
        <v>281</v>
      </c>
    </row>
    <row r="4133" spans="1:5" x14ac:dyDescent="0.25">
      <c r="A4133" t="s">
        <v>3087</v>
      </c>
      <c r="B4133" t="s">
        <v>181</v>
      </c>
      <c r="C4133" t="s">
        <v>3060</v>
      </c>
      <c r="D4133" t="s">
        <v>3060</v>
      </c>
      <c r="E4133" t="s">
        <v>286</v>
      </c>
    </row>
    <row r="4134" spans="1:5" x14ac:dyDescent="0.25">
      <c r="A4134" t="s">
        <v>3087</v>
      </c>
      <c r="B4134" t="s">
        <v>183</v>
      </c>
      <c r="C4134" t="s">
        <v>3060</v>
      </c>
      <c r="D4134" t="s">
        <v>3060</v>
      </c>
      <c r="E4134" t="s">
        <v>184</v>
      </c>
    </row>
    <row r="4135" spans="1:5" x14ac:dyDescent="0.25">
      <c r="A4135" t="s">
        <v>3088</v>
      </c>
      <c r="B4135" t="s">
        <v>3988</v>
      </c>
      <c r="C4135" t="s">
        <v>3060</v>
      </c>
      <c r="D4135" t="s">
        <v>3989</v>
      </c>
      <c r="E4135" t="s">
        <v>1832</v>
      </c>
    </row>
    <row r="4136" spans="1:5" x14ac:dyDescent="0.25">
      <c r="A4136" t="s">
        <v>3088</v>
      </c>
      <c r="B4136" t="s">
        <v>3990</v>
      </c>
      <c r="C4136" t="s">
        <v>3060</v>
      </c>
      <c r="D4136" t="s">
        <v>3991</v>
      </c>
      <c r="E4136" t="s">
        <v>425</v>
      </c>
    </row>
    <row r="4137" spans="1:5" x14ac:dyDescent="0.25">
      <c r="A4137" t="s">
        <v>3088</v>
      </c>
      <c r="B4137" t="s">
        <v>3992</v>
      </c>
      <c r="C4137" t="s">
        <v>3060</v>
      </c>
      <c r="D4137" t="s">
        <v>3503</v>
      </c>
      <c r="E4137" t="s">
        <v>425</v>
      </c>
    </row>
    <row r="4138" spans="1:5" x14ac:dyDescent="0.25">
      <c r="A4138" t="s">
        <v>3088</v>
      </c>
      <c r="B4138" t="s">
        <v>3993</v>
      </c>
      <c r="C4138" t="s">
        <v>3060</v>
      </c>
      <c r="D4138" t="s">
        <v>3994</v>
      </c>
      <c r="E4138" t="s">
        <v>469</v>
      </c>
    </row>
    <row r="4139" spans="1:5" x14ac:dyDescent="0.25">
      <c r="A4139" t="s">
        <v>3088</v>
      </c>
      <c r="B4139" t="s">
        <v>3995</v>
      </c>
      <c r="C4139" t="s">
        <v>3060</v>
      </c>
      <c r="D4139" t="s">
        <v>3508</v>
      </c>
      <c r="E4139" t="s">
        <v>466</v>
      </c>
    </row>
    <row r="4140" spans="1:5" x14ac:dyDescent="0.25">
      <c r="A4140" t="s">
        <v>3088</v>
      </c>
      <c r="B4140" t="s">
        <v>3996</v>
      </c>
      <c r="C4140" t="s">
        <v>3060</v>
      </c>
      <c r="D4140" t="s">
        <v>3505</v>
      </c>
      <c r="E4140" t="s">
        <v>1841</v>
      </c>
    </row>
    <row r="4141" spans="1:5" x14ac:dyDescent="0.25">
      <c r="A4141" t="s">
        <v>3088</v>
      </c>
      <c r="B4141" t="s">
        <v>3997</v>
      </c>
      <c r="C4141" t="s">
        <v>3060</v>
      </c>
      <c r="D4141" t="s">
        <v>3998</v>
      </c>
      <c r="E4141" t="s">
        <v>1841</v>
      </c>
    </row>
    <row r="4142" spans="1:5" x14ac:dyDescent="0.25">
      <c r="A4142" t="s">
        <v>3088</v>
      </c>
      <c r="B4142" t="s">
        <v>3999</v>
      </c>
      <c r="C4142" t="s">
        <v>3060</v>
      </c>
      <c r="D4142" t="s">
        <v>3509</v>
      </c>
      <c r="E4142" t="s">
        <v>456</v>
      </c>
    </row>
    <row r="4143" spans="1:5" x14ac:dyDescent="0.25">
      <c r="A4143" t="s">
        <v>3088</v>
      </c>
      <c r="B4143" t="s">
        <v>4000</v>
      </c>
      <c r="C4143" t="s">
        <v>3060</v>
      </c>
      <c r="D4143" t="s">
        <v>4001</v>
      </c>
      <c r="E4143" t="s">
        <v>88</v>
      </c>
    </row>
    <row r="4144" spans="1:5" x14ac:dyDescent="0.25">
      <c r="A4144" t="s">
        <v>3088</v>
      </c>
      <c r="B4144" t="s">
        <v>912</v>
      </c>
      <c r="C4144" t="s">
        <v>3060</v>
      </c>
      <c r="D4144" t="s">
        <v>4002</v>
      </c>
      <c r="E4144" t="s">
        <v>582</v>
      </c>
    </row>
    <row r="4145" spans="1:5" x14ac:dyDescent="0.25">
      <c r="A4145" t="s">
        <v>3088</v>
      </c>
      <c r="B4145" t="s">
        <v>2164</v>
      </c>
      <c r="C4145" t="s">
        <v>3060</v>
      </c>
      <c r="D4145" t="s">
        <v>4002</v>
      </c>
      <c r="E4145" t="s">
        <v>582</v>
      </c>
    </row>
    <row r="4146" spans="1:5" x14ac:dyDescent="0.25">
      <c r="A4146" t="s">
        <v>3088</v>
      </c>
      <c r="B4146" t="s">
        <v>905</v>
      </c>
      <c r="C4146" t="s">
        <v>3060</v>
      </c>
      <c r="D4146" t="s">
        <v>4002</v>
      </c>
      <c r="E4146" t="s">
        <v>437</v>
      </c>
    </row>
    <row r="4147" spans="1:5" x14ac:dyDescent="0.25">
      <c r="A4147" t="s">
        <v>3088</v>
      </c>
      <c r="B4147" t="s">
        <v>918</v>
      </c>
      <c r="C4147" t="s">
        <v>3060</v>
      </c>
      <c r="D4147" t="s">
        <v>4003</v>
      </c>
      <c r="E4147" t="s">
        <v>466</v>
      </c>
    </row>
    <row r="4148" spans="1:5" x14ac:dyDescent="0.25">
      <c r="A4148" t="s">
        <v>3088</v>
      </c>
      <c r="B4148" t="s">
        <v>916</v>
      </c>
      <c r="C4148" t="s">
        <v>3060</v>
      </c>
      <c r="D4148" t="s">
        <v>4004</v>
      </c>
      <c r="E4148" t="s">
        <v>1841</v>
      </c>
    </row>
    <row r="4149" spans="1:5" x14ac:dyDescent="0.25">
      <c r="A4149" t="s">
        <v>3088</v>
      </c>
      <c r="B4149" t="s">
        <v>672</v>
      </c>
      <c r="C4149" t="s">
        <v>3060</v>
      </c>
      <c r="D4149" t="s">
        <v>4005</v>
      </c>
      <c r="E4149" t="s">
        <v>656</v>
      </c>
    </row>
    <row r="4150" spans="1:5" x14ac:dyDescent="0.25">
      <c r="A4150" t="s">
        <v>3088</v>
      </c>
      <c r="B4150" t="s">
        <v>4006</v>
      </c>
      <c r="C4150" t="s">
        <v>3060</v>
      </c>
      <c r="D4150" t="s">
        <v>4005</v>
      </c>
      <c r="E4150" t="s">
        <v>656</v>
      </c>
    </row>
    <row r="4151" spans="1:5" x14ac:dyDescent="0.25">
      <c r="A4151" t="s">
        <v>3088</v>
      </c>
      <c r="B4151" t="s">
        <v>908</v>
      </c>
      <c r="C4151" t="s">
        <v>3060</v>
      </c>
      <c r="D4151" t="s">
        <v>4005</v>
      </c>
      <c r="E4151" t="s">
        <v>636</v>
      </c>
    </row>
    <row r="4152" spans="1:5" x14ac:dyDescent="0.25">
      <c r="A4152" t="s">
        <v>3088</v>
      </c>
      <c r="B4152" t="s">
        <v>911</v>
      </c>
      <c r="C4152" t="s">
        <v>3060</v>
      </c>
      <c r="D4152" t="s">
        <v>4007</v>
      </c>
      <c r="E4152" t="s">
        <v>1832</v>
      </c>
    </row>
    <row r="4153" spans="1:5" x14ac:dyDescent="0.25">
      <c r="A4153" t="s">
        <v>3088</v>
      </c>
      <c r="B4153" t="s">
        <v>676</v>
      </c>
      <c r="C4153" t="s">
        <v>3060</v>
      </c>
      <c r="D4153" t="s">
        <v>4004</v>
      </c>
      <c r="E4153" t="s">
        <v>418</v>
      </c>
    </row>
    <row r="4154" spans="1:5" x14ac:dyDescent="0.25">
      <c r="A4154" t="s">
        <v>3088</v>
      </c>
      <c r="B4154" t="s">
        <v>573</v>
      </c>
      <c r="C4154" t="s">
        <v>3060</v>
      </c>
      <c r="D4154" t="s">
        <v>3060</v>
      </c>
      <c r="E4154" t="s">
        <v>207</v>
      </c>
    </row>
    <row r="4155" spans="1:5" x14ac:dyDescent="0.25">
      <c r="A4155" t="s">
        <v>3088</v>
      </c>
      <c r="B4155" t="s">
        <v>4008</v>
      </c>
      <c r="C4155" t="s">
        <v>3060</v>
      </c>
      <c r="D4155" t="s">
        <v>3060</v>
      </c>
      <c r="E4155" t="s">
        <v>207</v>
      </c>
    </row>
    <row r="4156" spans="1:5" x14ac:dyDescent="0.25">
      <c r="A4156" t="s">
        <v>3088</v>
      </c>
      <c r="B4156" t="s">
        <v>167</v>
      </c>
      <c r="C4156" t="s">
        <v>3060</v>
      </c>
      <c r="D4156" t="s">
        <v>3060</v>
      </c>
      <c r="E4156" t="s">
        <v>575</v>
      </c>
    </row>
    <row r="4157" spans="1:5" x14ac:dyDescent="0.25">
      <c r="A4157" t="s">
        <v>3088</v>
      </c>
      <c r="B4157" t="s">
        <v>4009</v>
      </c>
      <c r="C4157" t="s">
        <v>3060</v>
      </c>
      <c r="D4157" t="s">
        <v>3060</v>
      </c>
      <c r="E4157" t="s">
        <v>575</v>
      </c>
    </row>
    <row r="4158" spans="1:5" x14ac:dyDescent="0.25">
      <c r="A4158" t="s">
        <v>3088</v>
      </c>
      <c r="B4158" t="s">
        <v>169</v>
      </c>
      <c r="C4158" t="s">
        <v>3060</v>
      </c>
      <c r="D4158" t="s">
        <v>3060</v>
      </c>
      <c r="E4158" t="s">
        <v>575</v>
      </c>
    </row>
    <row r="4159" spans="1:5" x14ac:dyDescent="0.25">
      <c r="A4159" t="s">
        <v>3088</v>
      </c>
      <c r="B4159" t="s">
        <v>175</v>
      </c>
      <c r="C4159" t="s">
        <v>3060</v>
      </c>
      <c r="D4159" t="s">
        <v>3060</v>
      </c>
      <c r="E4159" t="s">
        <v>279</v>
      </c>
    </row>
    <row r="4160" spans="1:5" x14ac:dyDescent="0.25">
      <c r="A4160" t="s">
        <v>3088</v>
      </c>
      <c r="B4160" t="s">
        <v>178</v>
      </c>
      <c r="C4160" t="s">
        <v>3060</v>
      </c>
      <c r="D4160" t="s">
        <v>3060</v>
      </c>
      <c r="E4160" t="s">
        <v>235</v>
      </c>
    </row>
    <row r="4161" spans="1:5" x14ac:dyDescent="0.25">
      <c r="A4161" t="s">
        <v>3088</v>
      </c>
      <c r="B4161" t="s">
        <v>179</v>
      </c>
      <c r="C4161" t="s">
        <v>3060</v>
      </c>
      <c r="D4161" t="s">
        <v>3060</v>
      </c>
      <c r="E4161" t="s">
        <v>235</v>
      </c>
    </row>
    <row r="4162" spans="1:5" x14ac:dyDescent="0.25">
      <c r="A4162" t="s">
        <v>3088</v>
      </c>
      <c r="B4162" t="s">
        <v>183</v>
      </c>
      <c r="C4162" t="s">
        <v>3060</v>
      </c>
      <c r="D4162" t="s">
        <v>3060</v>
      </c>
      <c r="E4162" t="s">
        <v>184</v>
      </c>
    </row>
    <row r="4163" spans="1:5" x14ac:dyDescent="0.25">
      <c r="A4163" t="s">
        <v>3089</v>
      </c>
      <c r="B4163" t="s">
        <v>587</v>
      </c>
      <c r="C4163" t="s">
        <v>3060</v>
      </c>
      <c r="D4163" t="s">
        <v>4010</v>
      </c>
      <c r="E4163" t="s">
        <v>1948</v>
      </c>
    </row>
    <row r="4164" spans="1:5" x14ac:dyDescent="0.25">
      <c r="A4164" t="s">
        <v>3089</v>
      </c>
      <c r="B4164" t="s">
        <v>4011</v>
      </c>
      <c r="C4164" t="s">
        <v>3060</v>
      </c>
      <c r="D4164" t="s">
        <v>4012</v>
      </c>
      <c r="E4164" t="s">
        <v>2512</v>
      </c>
    </row>
    <row r="4165" spans="1:5" x14ac:dyDescent="0.25">
      <c r="A4165" t="s">
        <v>3089</v>
      </c>
      <c r="B4165" t="s">
        <v>340</v>
      </c>
      <c r="C4165" t="s">
        <v>3060</v>
      </c>
      <c r="D4165" t="s">
        <v>4013</v>
      </c>
      <c r="E4165" t="s">
        <v>469</v>
      </c>
    </row>
    <row r="4166" spans="1:5" x14ac:dyDescent="0.25">
      <c r="A4166" t="s">
        <v>3089</v>
      </c>
      <c r="B4166" t="s">
        <v>3240</v>
      </c>
      <c r="C4166" t="s">
        <v>3060</v>
      </c>
      <c r="D4166" t="s">
        <v>4014</v>
      </c>
      <c r="E4166" t="s">
        <v>2512</v>
      </c>
    </row>
    <row r="4167" spans="1:5" x14ac:dyDescent="0.25">
      <c r="A4167" t="s">
        <v>3089</v>
      </c>
      <c r="B4167" t="s">
        <v>2657</v>
      </c>
      <c r="C4167" t="s">
        <v>3060</v>
      </c>
      <c r="D4167" t="s">
        <v>4015</v>
      </c>
      <c r="E4167" t="s">
        <v>469</v>
      </c>
    </row>
    <row r="4168" spans="1:5" x14ac:dyDescent="0.25">
      <c r="A4168" t="s">
        <v>3089</v>
      </c>
      <c r="B4168" t="s">
        <v>3553</v>
      </c>
      <c r="C4168" t="s">
        <v>3060</v>
      </c>
      <c r="D4168" t="s">
        <v>3060</v>
      </c>
      <c r="E4168" t="s">
        <v>888</v>
      </c>
    </row>
    <row r="4169" spans="1:5" x14ac:dyDescent="0.25">
      <c r="A4169" t="s">
        <v>3089</v>
      </c>
      <c r="B4169" t="s">
        <v>3551</v>
      </c>
      <c r="C4169" t="s">
        <v>3060</v>
      </c>
      <c r="D4169" t="s">
        <v>3060</v>
      </c>
      <c r="E4169" t="s">
        <v>1212</v>
      </c>
    </row>
    <row r="4170" spans="1:5" x14ac:dyDescent="0.25">
      <c r="A4170" t="s">
        <v>3089</v>
      </c>
      <c r="B4170" t="s">
        <v>4016</v>
      </c>
      <c r="C4170" t="s">
        <v>3060</v>
      </c>
      <c r="D4170" t="s">
        <v>3060</v>
      </c>
      <c r="E4170" t="s">
        <v>425</v>
      </c>
    </row>
    <row r="4171" spans="1:5" x14ac:dyDescent="0.25">
      <c r="A4171" t="s">
        <v>3089</v>
      </c>
      <c r="B4171" t="s">
        <v>4017</v>
      </c>
      <c r="C4171" t="s">
        <v>3060</v>
      </c>
      <c r="D4171" t="s">
        <v>4018</v>
      </c>
      <c r="E4171" t="s">
        <v>4019</v>
      </c>
    </row>
    <row r="4172" spans="1:5" x14ac:dyDescent="0.25">
      <c r="A4172" t="s">
        <v>3089</v>
      </c>
      <c r="B4172" t="s">
        <v>4020</v>
      </c>
      <c r="C4172" t="s">
        <v>3060</v>
      </c>
      <c r="D4172" t="s">
        <v>4021</v>
      </c>
      <c r="E4172" t="s">
        <v>4022</v>
      </c>
    </row>
    <row r="4173" spans="1:5" x14ac:dyDescent="0.25">
      <c r="A4173" t="s">
        <v>3089</v>
      </c>
      <c r="B4173" t="s">
        <v>4023</v>
      </c>
      <c r="C4173" t="s">
        <v>3060</v>
      </c>
      <c r="D4173" t="s">
        <v>4024</v>
      </c>
      <c r="E4173" t="s">
        <v>1973</v>
      </c>
    </row>
    <row r="4174" spans="1:5" x14ac:dyDescent="0.25">
      <c r="A4174" t="s">
        <v>3089</v>
      </c>
      <c r="B4174" t="s">
        <v>4025</v>
      </c>
      <c r="C4174" t="s">
        <v>3060</v>
      </c>
      <c r="D4174" t="s">
        <v>4026</v>
      </c>
      <c r="E4174" t="s">
        <v>1973</v>
      </c>
    </row>
    <row r="4175" spans="1:5" x14ac:dyDescent="0.25">
      <c r="A4175" t="s">
        <v>3089</v>
      </c>
      <c r="B4175" t="s">
        <v>4027</v>
      </c>
      <c r="C4175" t="s">
        <v>3060</v>
      </c>
      <c r="D4175" t="s">
        <v>4028</v>
      </c>
      <c r="E4175" t="s">
        <v>1093</v>
      </c>
    </row>
    <row r="4176" spans="1:5" x14ac:dyDescent="0.25">
      <c r="A4176" t="s">
        <v>3089</v>
      </c>
      <c r="B4176" t="s">
        <v>4029</v>
      </c>
      <c r="C4176" t="s">
        <v>3060</v>
      </c>
      <c r="D4176" t="s">
        <v>4030</v>
      </c>
      <c r="E4176" t="s">
        <v>1065</v>
      </c>
    </row>
    <row r="4177" spans="1:5" x14ac:dyDescent="0.25">
      <c r="A4177" t="s">
        <v>3089</v>
      </c>
      <c r="B4177" t="s">
        <v>1431</v>
      </c>
      <c r="C4177" t="s">
        <v>3060</v>
      </c>
      <c r="D4177" t="s">
        <v>4031</v>
      </c>
      <c r="E4177" t="s">
        <v>456</v>
      </c>
    </row>
    <row r="4178" spans="1:5" x14ac:dyDescent="0.25">
      <c r="A4178" t="s">
        <v>3089</v>
      </c>
      <c r="B4178" t="s">
        <v>4032</v>
      </c>
      <c r="C4178" t="s">
        <v>3060</v>
      </c>
      <c r="D4178" t="s">
        <v>4033</v>
      </c>
      <c r="E4178" t="s">
        <v>254</v>
      </c>
    </row>
    <row r="4179" spans="1:5" x14ac:dyDescent="0.25">
      <c r="A4179" t="s">
        <v>3089</v>
      </c>
      <c r="B4179" t="s">
        <v>4034</v>
      </c>
      <c r="C4179" t="s">
        <v>3060</v>
      </c>
      <c r="D4179" t="s">
        <v>4035</v>
      </c>
      <c r="E4179" t="s">
        <v>1853</v>
      </c>
    </row>
    <row r="4180" spans="1:5" x14ac:dyDescent="0.25">
      <c r="A4180" t="s">
        <v>3089</v>
      </c>
      <c r="B4180" t="s">
        <v>4036</v>
      </c>
      <c r="C4180" t="s">
        <v>3060</v>
      </c>
      <c r="D4180" t="s">
        <v>4037</v>
      </c>
      <c r="E4180" t="s">
        <v>2287</v>
      </c>
    </row>
    <row r="4181" spans="1:5" x14ac:dyDescent="0.25">
      <c r="A4181" t="s">
        <v>3089</v>
      </c>
      <c r="B4181" t="s">
        <v>4038</v>
      </c>
      <c r="C4181" t="s">
        <v>3060</v>
      </c>
      <c r="D4181" t="s">
        <v>4039</v>
      </c>
      <c r="E4181" t="s">
        <v>2910</v>
      </c>
    </row>
    <row r="4182" spans="1:5" x14ac:dyDescent="0.25">
      <c r="A4182" t="s">
        <v>3089</v>
      </c>
      <c r="B4182" t="s">
        <v>851</v>
      </c>
      <c r="C4182" t="s">
        <v>3060</v>
      </c>
      <c r="D4182" t="s">
        <v>4040</v>
      </c>
      <c r="E4182" t="s">
        <v>2287</v>
      </c>
    </row>
    <row r="4183" spans="1:5" x14ac:dyDescent="0.25">
      <c r="A4183" t="s">
        <v>3089</v>
      </c>
      <c r="B4183" t="s">
        <v>4041</v>
      </c>
      <c r="C4183" t="s">
        <v>3060</v>
      </c>
      <c r="D4183" t="s">
        <v>4042</v>
      </c>
      <c r="E4183" t="s">
        <v>461</v>
      </c>
    </row>
    <row r="4184" spans="1:5" x14ac:dyDescent="0.25">
      <c r="A4184" t="s">
        <v>3089</v>
      </c>
      <c r="B4184" t="s">
        <v>4043</v>
      </c>
      <c r="C4184" t="s">
        <v>3060</v>
      </c>
      <c r="D4184" t="s">
        <v>4044</v>
      </c>
      <c r="E4184" t="s">
        <v>3916</v>
      </c>
    </row>
    <row r="4185" spans="1:5" x14ac:dyDescent="0.25">
      <c r="A4185" t="s">
        <v>3089</v>
      </c>
      <c r="B4185" t="s">
        <v>4045</v>
      </c>
      <c r="C4185" t="s">
        <v>3060</v>
      </c>
      <c r="D4185" t="s">
        <v>4046</v>
      </c>
      <c r="E4185" t="s">
        <v>4019</v>
      </c>
    </row>
    <row r="4186" spans="1:5" x14ac:dyDescent="0.25">
      <c r="A4186" t="s">
        <v>3089</v>
      </c>
      <c r="B4186" t="s">
        <v>4047</v>
      </c>
      <c r="C4186" t="s">
        <v>3060</v>
      </c>
      <c r="D4186" t="s">
        <v>4048</v>
      </c>
      <c r="E4186" t="s">
        <v>2992</v>
      </c>
    </row>
    <row r="4187" spans="1:5" x14ac:dyDescent="0.25">
      <c r="A4187" t="s">
        <v>3089</v>
      </c>
      <c r="B4187" t="s">
        <v>4049</v>
      </c>
      <c r="C4187" t="s">
        <v>3060</v>
      </c>
      <c r="D4187" t="s">
        <v>4050</v>
      </c>
      <c r="E4187" t="s">
        <v>469</v>
      </c>
    </row>
    <row r="4188" spans="1:5" x14ac:dyDescent="0.25">
      <c r="A4188" t="s">
        <v>3089</v>
      </c>
      <c r="B4188" t="s">
        <v>2657</v>
      </c>
      <c r="C4188" t="s">
        <v>3060</v>
      </c>
      <c r="D4188" t="s">
        <v>4015</v>
      </c>
      <c r="E4188" t="s">
        <v>469</v>
      </c>
    </row>
    <row r="4189" spans="1:5" x14ac:dyDescent="0.25">
      <c r="A4189" t="s">
        <v>3089</v>
      </c>
      <c r="B4189" t="s">
        <v>3242</v>
      </c>
      <c r="C4189" t="s">
        <v>3060</v>
      </c>
      <c r="D4189" t="s">
        <v>4051</v>
      </c>
      <c r="E4189" t="s">
        <v>1841</v>
      </c>
    </row>
    <row r="4190" spans="1:5" x14ac:dyDescent="0.25">
      <c r="A4190" t="s">
        <v>3089</v>
      </c>
      <c r="B4190" t="s">
        <v>340</v>
      </c>
      <c r="C4190" t="s">
        <v>3060</v>
      </c>
      <c r="D4190" t="s">
        <v>4013</v>
      </c>
      <c r="E4190" t="s">
        <v>469</v>
      </c>
    </row>
    <row r="4191" spans="1:5" x14ac:dyDescent="0.25">
      <c r="A4191" t="s">
        <v>3089</v>
      </c>
      <c r="B4191" t="s">
        <v>4052</v>
      </c>
      <c r="C4191" t="s">
        <v>3060</v>
      </c>
      <c r="D4191" t="s">
        <v>4053</v>
      </c>
      <c r="E4191" t="s">
        <v>469</v>
      </c>
    </row>
    <row r="4192" spans="1:5" x14ac:dyDescent="0.25">
      <c r="A4192" t="s">
        <v>3089</v>
      </c>
      <c r="B4192" t="s">
        <v>3240</v>
      </c>
      <c r="C4192" t="s">
        <v>3060</v>
      </c>
      <c r="D4192" t="s">
        <v>4014</v>
      </c>
      <c r="E4192" t="s">
        <v>2512</v>
      </c>
    </row>
    <row r="4193" spans="1:5" x14ac:dyDescent="0.25">
      <c r="A4193" t="s">
        <v>3089</v>
      </c>
      <c r="B4193" t="s">
        <v>4054</v>
      </c>
      <c r="C4193" t="s">
        <v>3060</v>
      </c>
      <c r="D4193" t="s">
        <v>4055</v>
      </c>
      <c r="E4193" t="s">
        <v>4056</v>
      </c>
    </row>
    <row r="4194" spans="1:5" x14ac:dyDescent="0.25">
      <c r="A4194" t="s">
        <v>3089</v>
      </c>
      <c r="B4194" t="s">
        <v>4057</v>
      </c>
      <c r="C4194" t="s">
        <v>3060</v>
      </c>
      <c r="D4194" t="s">
        <v>4058</v>
      </c>
      <c r="E4194" t="s">
        <v>469</v>
      </c>
    </row>
    <row r="4195" spans="1:5" x14ac:dyDescent="0.25">
      <c r="A4195" t="s">
        <v>3089</v>
      </c>
      <c r="B4195" t="s">
        <v>4059</v>
      </c>
      <c r="C4195" t="s">
        <v>3060</v>
      </c>
      <c r="D4195" t="s">
        <v>4060</v>
      </c>
      <c r="E4195" t="s">
        <v>1055</v>
      </c>
    </row>
    <row r="4196" spans="1:5" x14ac:dyDescent="0.25">
      <c r="A4196" t="s">
        <v>3089</v>
      </c>
      <c r="B4196" t="s">
        <v>4061</v>
      </c>
      <c r="C4196" t="s">
        <v>3060</v>
      </c>
      <c r="D4196" t="s">
        <v>4062</v>
      </c>
      <c r="E4196" t="s">
        <v>1055</v>
      </c>
    </row>
    <row r="4197" spans="1:5" x14ac:dyDescent="0.25">
      <c r="A4197" t="s">
        <v>3089</v>
      </c>
      <c r="B4197" t="s">
        <v>4063</v>
      </c>
      <c r="C4197" t="s">
        <v>3060</v>
      </c>
      <c r="D4197" t="s">
        <v>4064</v>
      </c>
      <c r="E4197" t="s">
        <v>1055</v>
      </c>
    </row>
    <row r="4198" spans="1:5" x14ac:dyDescent="0.25">
      <c r="A4198" t="s">
        <v>3089</v>
      </c>
      <c r="B4198" t="s">
        <v>4065</v>
      </c>
      <c r="C4198" t="s">
        <v>3060</v>
      </c>
      <c r="D4198" t="s">
        <v>4066</v>
      </c>
      <c r="E4198" t="s">
        <v>1055</v>
      </c>
    </row>
    <row r="4199" spans="1:5" x14ac:dyDescent="0.25">
      <c r="A4199" t="s">
        <v>3089</v>
      </c>
      <c r="B4199" t="s">
        <v>4067</v>
      </c>
      <c r="C4199" t="s">
        <v>3060</v>
      </c>
      <c r="D4199" t="s">
        <v>4068</v>
      </c>
      <c r="E4199" t="s">
        <v>1055</v>
      </c>
    </row>
    <row r="4200" spans="1:5" x14ac:dyDescent="0.25">
      <c r="A4200" t="s">
        <v>3089</v>
      </c>
      <c r="B4200" t="s">
        <v>4069</v>
      </c>
      <c r="C4200" t="s">
        <v>3060</v>
      </c>
      <c r="D4200" t="s">
        <v>4070</v>
      </c>
      <c r="E4200" t="s">
        <v>1055</v>
      </c>
    </row>
    <row r="4201" spans="1:5" x14ac:dyDescent="0.25">
      <c r="A4201" t="s">
        <v>3089</v>
      </c>
      <c r="B4201" t="s">
        <v>4071</v>
      </c>
      <c r="C4201" t="s">
        <v>3060</v>
      </c>
      <c r="D4201" t="s">
        <v>4072</v>
      </c>
      <c r="E4201" t="s">
        <v>1055</v>
      </c>
    </row>
    <row r="4202" spans="1:5" x14ac:dyDescent="0.25">
      <c r="A4202" t="s">
        <v>3089</v>
      </c>
      <c r="B4202" t="s">
        <v>4073</v>
      </c>
      <c r="C4202" t="s">
        <v>3060</v>
      </c>
      <c r="D4202" t="s">
        <v>4074</v>
      </c>
      <c r="E4202" t="s">
        <v>1055</v>
      </c>
    </row>
    <row r="4203" spans="1:5" x14ac:dyDescent="0.25">
      <c r="A4203" t="s">
        <v>3089</v>
      </c>
      <c r="B4203" t="s">
        <v>4075</v>
      </c>
      <c r="C4203" t="s">
        <v>3060</v>
      </c>
      <c r="D4203" t="s">
        <v>4076</v>
      </c>
      <c r="E4203" t="s">
        <v>1055</v>
      </c>
    </row>
    <row r="4204" spans="1:5" x14ac:dyDescent="0.25">
      <c r="A4204" t="s">
        <v>3089</v>
      </c>
      <c r="B4204" t="s">
        <v>4077</v>
      </c>
      <c r="C4204" t="s">
        <v>3060</v>
      </c>
      <c r="D4204" t="s">
        <v>4078</v>
      </c>
      <c r="E4204" t="s">
        <v>305</v>
      </c>
    </row>
    <row r="4205" spans="1:5" x14ac:dyDescent="0.25">
      <c r="A4205" t="s">
        <v>3089</v>
      </c>
      <c r="B4205" t="s">
        <v>4079</v>
      </c>
      <c r="C4205" t="s">
        <v>3060</v>
      </c>
      <c r="D4205" t="s">
        <v>4080</v>
      </c>
      <c r="E4205" t="s">
        <v>479</v>
      </c>
    </row>
    <row r="4206" spans="1:5" x14ac:dyDescent="0.25">
      <c r="A4206" t="s">
        <v>3089</v>
      </c>
      <c r="B4206" t="s">
        <v>4081</v>
      </c>
      <c r="C4206" t="s">
        <v>3060</v>
      </c>
      <c r="D4206" t="s">
        <v>4082</v>
      </c>
      <c r="E4206" t="s">
        <v>479</v>
      </c>
    </row>
    <row r="4207" spans="1:5" x14ac:dyDescent="0.25">
      <c r="A4207" t="s">
        <v>3089</v>
      </c>
      <c r="B4207" t="s">
        <v>4083</v>
      </c>
      <c r="C4207" t="s">
        <v>3060</v>
      </c>
      <c r="D4207" t="s">
        <v>4084</v>
      </c>
      <c r="E4207" t="s">
        <v>428</v>
      </c>
    </row>
    <row r="4208" spans="1:5" x14ac:dyDescent="0.25">
      <c r="A4208" t="s">
        <v>3089</v>
      </c>
      <c r="B4208" t="s">
        <v>4085</v>
      </c>
      <c r="C4208" t="s">
        <v>3060</v>
      </c>
      <c r="D4208" t="s">
        <v>4086</v>
      </c>
      <c r="E4208" t="s">
        <v>428</v>
      </c>
    </row>
    <row r="4209" spans="1:5" x14ac:dyDescent="0.25">
      <c r="A4209" t="s">
        <v>3089</v>
      </c>
      <c r="B4209" t="s">
        <v>4087</v>
      </c>
      <c r="C4209" t="s">
        <v>3060</v>
      </c>
      <c r="D4209" t="s">
        <v>4088</v>
      </c>
      <c r="E4209" t="s">
        <v>428</v>
      </c>
    </row>
    <row r="4210" spans="1:5" x14ac:dyDescent="0.25">
      <c r="A4210" t="s">
        <v>3089</v>
      </c>
      <c r="B4210" t="s">
        <v>4089</v>
      </c>
      <c r="C4210" t="s">
        <v>3060</v>
      </c>
      <c r="D4210" t="s">
        <v>4090</v>
      </c>
      <c r="E4210" t="s">
        <v>428</v>
      </c>
    </row>
    <row r="4211" spans="1:5" x14ac:dyDescent="0.25">
      <c r="A4211" t="s">
        <v>3089</v>
      </c>
      <c r="B4211" t="s">
        <v>4091</v>
      </c>
      <c r="C4211" t="s">
        <v>3060</v>
      </c>
      <c r="D4211" t="s">
        <v>4092</v>
      </c>
      <c r="E4211" t="s">
        <v>1093</v>
      </c>
    </row>
    <row r="4212" spans="1:5" x14ac:dyDescent="0.25">
      <c r="A4212" t="s">
        <v>3089</v>
      </c>
      <c r="B4212" t="s">
        <v>4093</v>
      </c>
      <c r="C4212" t="s">
        <v>3060</v>
      </c>
      <c r="D4212" t="s">
        <v>4094</v>
      </c>
      <c r="E4212" t="s">
        <v>428</v>
      </c>
    </row>
    <row r="4213" spans="1:5" x14ac:dyDescent="0.25">
      <c r="A4213" t="s">
        <v>3089</v>
      </c>
      <c r="B4213" t="s">
        <v>4095</v>
      </c>
      <c r="C4213" t="s">
        <v>3060</v>
      </c>
      <c r="D4213" t="s">
        <v>4096</v>
      </c>
      <c r="E4213" t="s">
        <v>1948</v>
      </c>
    </row>
    <row r="4214" spans="1:5" x14ac:dyDescent="0.25">
      <c r="A4214" t="s">
        <v>3089</v>
      </c>
      <c r="B4214" t="s">
        <v>4097</v>
      </c>
      <c r="C4214" t="s">
        <v>3060</v>
      </c>
      <c r="D4214" t="s">
        <v>4098</v>
      </c>
      <c r="E4214" t="s">
        <v>1948</v>
      </c>
    </row>
    <row r="4215" spans="1:5" x14ac:dyDescent="0.25">
      <c r="A4215" t="s">
        <v>3089</v>
      </c>
      <c r="B4215" t="s">
        <v>4099</v>
      </c>
      <c r="C4215" t="s">
        <v>3060</v>
      </c>
      <c r="D4215" t="s">
        <v>4100</v>
      </c>
      <c r="E4215" t="s">
        <v>1948</v>
      </c>
    </row>
    <row r="4216" spans="1:5" x14ac:dyDescent="0.25">
      <c r="A4216" t="s">
        <v>3089</v>
      </c>
      <c r="B4216" t="s">
        <v>4101</v>
      </c>
      <c r="C4216" t="s">
        <v>3060</v>
      </c>
      <c r="D4216" t="s">
        <v>4102</v>
      </c>
      <c r="E4216" t="s">
        <v>1948</v>
      </c>
    </row>
    <row r="4217" spans="1:5" x14ac:dyDescent="0.25">
      <c r="A4217" t="s">
        <v>3089</v>
      </c>
      <c r="B4217" t="s">
        <v>589</v>
      </c>
      <c r="C4217" t="s">
        <v>3060</v>
      </c>
      <c r="D4217" t="s">
        <v>4103</v>
      </c>
      <c r="E4217" t="s">
        <v>1948</v>
      </c>
    </row>
    <row r="4218" spans="1:5" x14ac:dyDescent="0.25">
      <c r="A4218" t="s">
        <v>3089</v>
      </c>
      <c r="B4218" t="s">
        <v>4104</v>
      </c>
      <c r="C4218" t="s">
        <v>3060</v>
      </c>
      <c r="D4218" t="s">
        <v>4105</v>
      </c>
      <c r="E4218" t="s">
        <v>1948</v>
      </c>
    </row>
    <row r="4219" spans="1:5" x14ac:dyDescent="0.25">
      <c r="A4219" t="s">
        <v>3089</v>
      </c>
      <c r="B4219" t="s">
        <v>4106</v>
      </c>
      <c r="C4219" t="s">
        <v>3060</v>
      </c>
      <c r="D4219" t="s">
        <v>4107</v>
      </c>
      <c r="E4219" t="s">
        <v>1846</v>
      </c>
    </row>
    <row r="4220" spans="1:5" x14ac:dyDescent="0.25">
      <c r="A4220" t="s">
        <v>3089</v>
      </c>
      <c r="B4220" t="s">
        <v>4108</v>
      </c>
      <c r="C4220" t="s">
        <v>3060</v>
      </c>
      <c r="D4220" t="s">
        <v>4109</v>
      </c>
      <c r="E4220" t="s">
        <v>2512</v>
      </c>
    </row>
    <row r="4221" spans="1:5" x14ac:dyDescent="0.25">
      <c r="A4221" t="s">
        <v>3089</v>
      </c>
      <c r="B4221" t="s">
        <v>4011</v>
      </c>
      <c r="C4221" t="s">
        <v>3060</v>
      </c>
      <c r="D4221" t="s">
        <v>4012</v>
      </c>
      <c r="E4221" t="s">
        <v>2512</v>
      </c>
    </row>
    <row r="4222" spans="1:5" x14ac:dyDescent="0.25">
      <c r="A4222" t="s">
        <v>3089</v>
      </c>
      <c r="B4222" t="s">
        <v>4110</v>
      </c>
      <c r="C4222" t="s">
        <v>3060</v>
      </c>
      <c r="D4222" t="s">
        <v>4111</v>
      </c>
      <c r="E4222" t="s">
        <v>2512</v>
      </c>
    </row>
    <row r="4223" spans="1:5" x14ac:dyDescent="0.25">
      <c r="A4223" t="s">
        <v>3089</v>
      </c>
      <c r="B4223" t="s">
        <v>4112</v>
      </c>
      <c r="C4223" t="s">
        <v>3060</v>
      </c>
      <c r="D4223" t="s">
        <v>4113</v>
      </c>
      <c r="E4223" t="s">
        <v>1948</v>
      </c>
    </row>
    <row r="4224" spans="1:5" x14ac:dyDescent="0.25">
      <c r="A4224" t="s">
        <v>3089</v>
      </c>
      <c r="B4224" t="s">
        <v>587</v>
      </c>
      <c r="C4224" t="s">
        <v>3060</v>
      </c>
      <c r="D4224" t="s">
        <v>4010</v>
      </c>
      <c r="E4224" t="s">
        <v>1948</v>
      </c>
    </row>
    <row r="4225" spans="1:5" x14ac:dyDescent="0.25">
      <c r="A4225" t="s">
        <v>3089</v>
      </c>
      <c r="B4225" t="s">
        <v>4114</v>
      </c>
      <c r="C4225" t="s">
        <v>3060</v>
      </c>
      <c r="D4225" t="s">
        <v>4113</v>
      </c>
      <c r="E4225" t="s">
        <v>4115</v>
      </c>
    </row>
    <row r="4226" spans="1:5" x14ac:dyDescent="0.25">
      <c r="A4226" t="s">
        <v>3089</v>
      </c>
      <c r="B4226" t="s">
        <v>4116</v>
      </c>
      <c r="C4226" t="s">
        <v>3060</v>
      </c>
      <c r="D4226" t="s">
        <v>4105</v>
      </c>
      <c r="E4226" t="s">
        <v>4115</v>
      </c>
    </row>
    <row r="4227" spans="1:5" x14ac:dyDescent="0.25">
      <c r="A4227" t="s">
        <v>3089</v>
      </c>
      <c r="B4227" t="s">
        <v>4117</v>
      </c>
      <c r="C4227" t="s">
        <v>3060</v>
      </c>
      <c r="D4227" t="s">
        <v>4118</v>
      </c>
      <c r="E4227" t="s">
        <v>4115</v>
      </c>
    </row>
    <row r="4228" spans="1:5" x14ac:dyDescent="0.25">
      <c r="A4228" t="s">
        <v>3089</v>
      </c>
      <c r="B4228" t="s">
        <v>4119</v>
      </c>
      <c r="C4228" t="s">
        <v>3060</v>
      </c>
      <c r="D4228" t="s">
        <v>4105</v>
      </c>
      <c r="E4228" t="s">
        <v>4120</v>
      </c>
    </row>
    <row r="4229" spans="1:5" x14ac:dyDescent="0.25">
      <c r="A4229" t="s">
        <v>3089</v>
      </c>
      <c r="B4229" t="s">
        <v>4121</v>
      </c>
      <c r="C4229" t="s">
        <v>3060</v>
      </c>
      <c r="D4229" t="s">
        <v>4122</v>
      </c>
      <c r="E4229" t="s">
        <v>4115</v>
      </c>
    </row>
    <row r="4230" spans="1:5" x14ac:dyDescent="0.25">
      <c r="A4230" t="s">
        <v>3089</v>
      </c>
      <c r="B4230" t="s">
        <v>4123</v>
      </c>
      <c r="C4230" t="s">
        <v>3060</v>
      </c>
      <c r="D4230" t="s">
        <v>4107</v>
      </c>
      <c r="E4230" t="s">
        <v>4124</v>
      </c>
    </row>
    <row r="4231" spans="1:5" x14ac:dyDescent="0.25">
      <c r="A4231" t="s">
        <v>3089</v>
      </c>
      <c r="B4231" t="s">
        <v>4125</v>
      </c>
      <c r="C4231" t="s">
        <v>3060</v>
      </c>
      <c r="D4231" t="s">
        <v>4107</v>
      </c>
      <c r="E4231" t="s">
        <v>4126</v>
      </c>
    </row>
    <row r="4232" spans="1:5" x14ac:dyDescent="0.25">
      <c r="A4232" t="s">
        <v>3089</v>
      </c>
      <c r="B4232" t="s">
        <v>4127</v>
      </c>
      <c r="C4232" t="s">
        <v>3060</v>
      </c>
      <c r="D4232" t="s">
        <v>4109</v>
      </c>
      <c r="E4232" t="s">
        <v>4120</v>
      </c>
    </row>
    <row r="4233" spans="1:5" x14ac:dyDescent="0.25">
      <c r="A4233" t="s">
        <v>3089</v>
      </c>
      <c r="B4233" t="s">
        <v>4128</v>
      </c>
      <c r="C4233" t="s">
        <v>3060</v>
      </c>
      <c r="D4233" t="s">
        <v>4109</v>
      </c>
      <c r="E4233" t="s">
        <v>4129</v>
      </c>
    </row>
    <row r="4234" spans="1:5" x14ac:dyDescent="0.25">
      <c r="A4234" t="s">
        <v>3089</v>
      </c>
      <c r="B4234" t="s">
        <v>4130</v>
      </c>
      <c r="C4234" t="s">
        <v>3060</v>
      </c>
      <c r="D4234" t="s">
        <v>4012</v>
      </c>
      <c r="E4234" t="s">
        <v>4120</v>
      </c>
    </row>
    <row r="4235" spans="1:5" x14ac:dyDescent="0.25">
      <c r="A4235" t="s">
        <v>3089</v>
      </c>
      <c r="B4235" t="s">
        <v>4131</v>
      </c>
      <c r="C4235" t="s">
        <v>3060</v>
      </c>
      <c r="D4235" t="s">
        <v>4012</v>
      </c>
      <c r="E4235" t="s">
        <v>4129</v>
      </c>
    </row>
    <row r="4236" spans="1:5" x14ac:dyDescent="0.25">
      <c r="A4236" t="s">
        <v>3089</v>
      </c>
      <c r="B4236" t="s">
        <v>4132</v>
      </c>
      <c r="C4236" t="s">
        <v>3060</v>
      </c>
      <c r="D4236" t="s">
        <v>4111</v>
      </c>
      <c r="E4236" t="s">
        <v>4129</v>
      </c>
    </row>
    <row r="4237" spans="1:5" x14ac:dyDescent="0.25">
      <c r="A4237" t="s">
        <v>3089</v>
      </c>
      <c r="B4237" t="s">
        <v>4133</v>
      </c>
      <c r="C4237" t="s">
        <v>3060</v>
      </c>
      <c r="D4237" t="s">
        <v>4102</v>
      </c>
      <c r="E4237" t="s">
        <v>4115</v>
      </c>
    </row>
    <row r="4238" spans="1:5" x14ac:dyDescent="0.25">
      <c r="A4238" t="s">
        <v>3089</v>
      </c>
      <c r="B4238" t="s">
        <v>4134</v>
      </c>
      <c r="C4238" t="s">
        <v>3060</v>
      </c>
      <c r="D4238" t="s">
        <v>4096</v>
      </c>
      <c r="E4238" t="s">
        <v>4115</v>
      </c>
    </row>
    <row r="4239" spans="1:5" x14ac:dyDescent="0.25">
      <c r="A4239" t="s">
        <v>3089</v>
      </c>
      <c r="B4239" t="s">
        <v>4135</v>
      </c>
      <c r="C4239" t="s">
        <v>3060</v>
      </c>
      <c r="D4239" t="s">
        <v>4113</v>
      </c>
      <c r="E4239" t="s">
        <v>4120</v>
      </c>
    </row>
    <row r="4240" spans="1:5" x14ac:dyDescent="0.25">
      <c r="A4240" t="s">
        <v>3089</v>
      </c>
      <c r="B4240" t="s">
        <v>4136</v>
      </c>
      <c r="C4240" t="s">
        <v>3060</v>
      </c>
      <c r="D4240" t="s">
        <v>4010</v>
      </c>
      <c r="E4240" t="s">
        <v>4115</v>
      </c>
    </row>
    <row r="4241" spans="1:5" x14ac:dyDescent="0.25">
      <c r="A4241" t="s">
        <v>3089</v>
      </c>
      <c r="B4241" t="s">
        <v>4137</v>
      </c>
      <c r="C4241" t="s">
        <v>3060</v>
      </c>
      <c r="D4241" t="s">
        <v>4138</v>
      </c>
      <c r="E4241" t="s">
        <v>4115</v>
      </c>
    </row>
    <row r="4242" spans="1:5" x14ac:dyDescent="0.25">
      <c r="A4242" t="s">
        <v>3089</v>
      </c>
      <c r="B4242" t="s">
        <v>2765</v>
      </c>
      <c r="C4242" t="s">
        <v>3060</v>
      </c>
      <c r="D4242" t="s">
        <v>4139</v>
      </c>
      <c r="E4242" t="s">
        <v>1853</v>
      </c>
    </row>
    <row r="4243" spans="1:5" x14ac:dyDescent="0.25">
      <c r="A4243" t="s">
        <v>3089</v>
      </c>
      <c r="B4243" t="s">
        <v>2760</v>
      </c>
      <c r="C4243" t="s">
        <v>3060</v>
      </c>
      <c r="D4243" t="s">
        <v>3060</v>
      </c>
      <c r="E4243" t="s">
        <v>801</v>
      </c>
    </row>
    <row r="4244" spans="1:5" x14ac:dyDescent="0.25">
      <c r="A4244" t="s">
        <v>3089</v>
      </c>
      <c r="B4244" t="s">
        <v>229</v>
      </c>
      <c r="C4244" t="s">
        <v>3060</v>
      </c>
      <c r="D4244" t="s">
        <v>3060</v>
      </c>
      <c r="E4244" t="s">
        <v>269</v>
      </c>
    </row>
    <row r="4245" spans="1:5" x14ac:dyDescent="0.25">
      <c r="A4245" t="s">
        <v>3089</v>
      </c>
      <c r="B4245" t="s">
        <v>876</v>
      </c>
      <c r="C4245" t="s">
        <v>3060</v>
      </c>
      <c r="D4245" t="s">
        <v>3060</v>
      </c>
      <c r="E4245" t="s">
        <v>269</v>
      </c>
    </row>
    <row r="4246" spans="1:5" x14ac:dyDescent="0.25">
      <c r="A4246" t="s">
        <v>3089</v>
      </c>
      <c r="B4246" t="s">
        <v>230</v>
      </c>
      <c r="C4246" t="s">
        <v>3060</v>
      </c>
      <c r="D4246" t="s">
        <v>3060</v>
      </c>
      <c r="E4246" t="s">
        <v>269</v>
      </c>
    </row>
    <row r="4247" spans="1:5" x14ac:dyDescent="0.25">
      <c r="A4247" t="s">
        <v>3089</v>
      </c>
      <c r="B4247" t="s">
        <v>231</v>
      </c>
      <c r="C4247" t="s">
        <v>3060</v>
      </c>
      <c r="D4247" t="s">
        <v>3060</v>
      </c>
      <c r="E4247" t="s">
        <v>269</v>
      </c>
    </row>
    <row r="4248" spans="1:5" x14ac:dyDescent="0.25">
      <c r="A4248" t="s">
        <v>3089</v>
      </c>
      <c r="B4248" t="s">
        <v>233</v>
      </c>
      <c r="C4248" t="s">
        <v>3060</v>
      </c>
      <c r="D4248" t="s">
        <v>3060</v>
      </c>
      <c r="E4248" t="s">
        <v>269</v>
      </c>
    </row>
    <row r="4249" spans="1:5" x14ac:dyDescent="0.25">
      <c r="A4249" t="s">
        <v>3089</v>
      </c>
      <c r="B4249" t="s">
        <v>232</v>
      </c>
      <c r="C4249" t="s">
        <v>3060</v>
      </c>
      <c r="D4249" t="s">
        <v>3060</v>
      </c>
      <c r="E4249" t="s">
        <v>269</v>
      </c>
    </row>
    <row r="4250" spans="1:5" x14ac:dyDescent="0.25">
      <c r="A4250" t="s">
        <v>3089</v>
      </c>
      <c r="B4250" t="s">
        <v>180</v>
      </c>
      <c r="C4250" t="s">
        <v>3060</v>
      </c>
      <c r="D4250" t="s">
        <v>3060</v>
      </c>
      <c r="E4250" t="s">
        <v>287</v>
      </c>
    </row>
    <row r="4251" spans="1:5" x14ac:dyDescent="0.25">
      <c r="A4251" t="s">
        <v>3089</v>
      </c>
      <c r="B4251" t="s">
        <v>646</v>
      </c>
      <c r="C4251" t="s">
        <v>3060</v>
      </c>
      <c r="D4251" t="s">
        <v>3060</v>
      </c>
      <c r="E4251" t="s">
        <v>268</v>
      </c>
    </row>
    <row r="4252" spans="1:5" x14ac:dyDescent="0.25">
      <c r="A4252" t="s">
        <v>3089</v>
      </c>
      <c r="B4252" t="s">
        <v>4140</v>
      </c>
      <c r="C4252" t="s">
        <v>3060</v>
      </c>
      <c r="D4252" t="s">
        <v>3060</v>
      </c>
      <c r="E4252" t="s">
        <v>1848</v>
      </c>
    </row>
    <row r="4253" spans="1:5" x14ac:dyDescent="0.25">
      <c r="A4253" t="s">
        <v>3089</v>
      </c>
      <c r="B4253" t="s">
        <v>4141</v>
      </c>
      <c r="C4253" t="s">
        <v>3060</v>
      </c>
      <c r="D4253" t="s">
        <v>3060</v>
      </c>
      <c r="E4253" t="s">
        <v>1848</v>
      </c>
    </row>
    <row r="4254" spans="1:5" x14ac:dyDescent="0.25">
      <c r="A4254" t="s">
        <v>3089</v>
      </c>
      <c r="B4254" t="s">
        <v>4142</v>
      </c>
      <c r="C4254" t="s">
        <v>3060</v>
      </c>
      <c r="D4254" t="s">
        <v>3060</v>
      </c>
      <c r="E4254" t="s">
        <v>1848</v>
      </c>
    </row>
    <row r="4255" spans="1:5" x14ac:dyDescent="0.25">
      <c r="A4255" t="s">
        <v>3089</v>
      </c>
      <c r="B4255" t="s">
        <v>4143</v>
      </c>
      <c r="C4255" t="s">
        <v>3060</v>
      </c>
      <c r="D4255" t="s">
        <v>4144</v>
      </c>
      <c r="E4255" t="s">
        <v>469</v>
      </c>
    </row>
    <row r="4256" spans="1:5" x14ac:dyDescent="0.25">
      <c r="A4256" t="s">
        <v>3089</v>
      </c>
      <c r="B4256" t="s">
        <v>4145</v>
      </c>
      <c r="C4256" t="s">
        <v>3060</v>
      </c>
      <c r="D4256" t="s">
        <v>3060</v>
      </c>
      <c r="E4256" t="s">
        <v>1998</v>
      </c>
    </row>
    <row r="4257" spans="1:5" x14ac:dyDescent="0.25">
      <c r="A4257" t="s">
        <v>3089</v>
      </c>
      <c r="B4257" t="s">
        <v>4146</v>
      </c>
      <c r="C4257" t="s">
        <v>3060</v>
      </c>
      <c r="D4257" t="s">
        <v>3060</v>
      </c>
      <c r="E4257" t="s">
        <v>401</v>
      </c>
    </row>
    <row r="4258" spans="1:5" x14ac:dyDescent="0.25">
      <c r="A4258" t="s">
        <v>3089</v>
      </c>
      <c r="B4258" t="s">
        <v>4147</v>
      </c>
      <c r="C4258" t="s">
        <v>3060</v>
      </c>
      <c r="D4258" t="s">
        <v>4148</v>
      </c>
      <c r="E4258" t="s">
        <v>1062</v>
      </c>
    </row>
    <row r="4259" spans="1:5" x14ac:dyDescent="0.25">
      <c r="A4259" t="s">
        <v>3089</v>
      </c>
      <c r="B4259" t="s">
        <v>4149</v>
      </c>
      <c r="C4259" t="s">
        <v>3060</v>
      </c>
      <c r="D4259" t="s">
        <v>3060</v>
      </c>
      <c r="E4259" t="s">
        <v>442</v>
      </c>
    </row>
    <row r="4260" spans="1:5" x14ac:dyDescent="0.25">
      <c r="A4260" t="s">
        <v>3089</v>
      </c>
      <c r="B4260" t="s">
        <v>4150</v>
      </c>
      <c r="C4260" t="s">
        <v>3060</v>
      </c>
      <c r="D4260" t="s">
        <v>3060</v>
      </c>
      <c r="E4260" t="s">
        <v>1427</v>
      </c>
    </row>
    <row r="4261" spans="1:5" x14ac:dyDescent="0.25">
      <c r="A4261" t="s">
        <v>3089</v>
      </c>
      <c r="B4261" t="s">
        <v>4151</v>
      </c>
      <c r="C4261" t="s">
        <v>3060</v>
      </c>
      <c r="D4261" t="s">
        <v>3060</v>
      </c>
      <c r="E4261" t="s">
        <v>437</v>
      </c>
    </row>
    <row r="4262" spans="1:5" x14ac:dyDescent="0.25">
      <c r="A4262" t="s">
        <v>3089</v>
      </c>
      <c r="B4262" t="s">
        <v>4152</v>
      </c>
      <c r="C4262" t="s">
        <v>3060</v>
      </c>
      <c r="D4262" t="s">
        <v>3060</v>
      </c>
      <c r="E4262" t="s">
        <v>505</v>
      </c>
    </row>
    <row r="4263" spans="1:5" x14ac:dyDescent="0.25">
      <c r="A4263" t="s">
        <v>3089</v>
      </c>
      <c r="B4263" t="s">
        <v>4153</v>
      </c>
      <c r="C4263" t="s">
        <v>3060</v>
      </c>
      <c r="D4263" t="s">
        <v>3060</v>
      </c>
      <c r="E4263" t="s">
        <v>4154</v>
      </c>
    </row>
    <row r="4264" spans="1:5" x14ac:dyDescent="0.25">
      <c r="A4264" t="s">
        <v>3089</v>
      </c>
      <c r="B4264" t="s">
        <v>4155</v>
      </c>
      <c r="C4264" t="s">
        <v>3060</v>
      </c>
      <c r="D4264" t="s">
        <v>3060</v>
      </c>
      <c r="E4264" t="s">
        <v>4154</v>
      </c>
    </row>
    <row r="4265" spans="1:5" x14ac:dyDescent="0.25">
      <c r="A4265" t="s">
        <v>3089</v>
      </c>
      <c r="B4265" t="s">
        <v>4156</v>
      </c>
      <c r="C4265" t="s">
        <v>3060</v>
      </c>
      <c r="D4265" t="s">
        <v>3060</v>
      </c>
      <c r="E4265" t="s">
        <v>4157</v>
      </c>
    </row>
    <row r="4266" spans="1:5" x14ac:dyDescent="0.25">
      <c r="A4266" t="s">
        <v>3089</v>
      </c>
      <c r="B4266" t="s">
        <v>4158</v>
      </c>
      <c r="C4266" t="s">
        <v>3060</v>
      </c>
      <c r="D4266" t="s">
        <v>3060</v>
      </c>
      <c r="E4266" t="s">
        <v>4159</v>
      </c>
    </row>
    <row r="4267" spans="1:5" x14ac:dyDescent="0.25">
      <c r="A4267" t="s">
        <v>3089</v>
      </c>
      <c r="B4267" t="s">
        <v>4160</v>
      </c>
      <c r="C4267" t="s">
        <v>3060</v>
      </c>
      <c r="D4267" t="s">
        <v>3060</v>
      </c>
      <c r="E4267" t="s">
        <v>4159</v>
      </c>
    </row>
    <row r="4268" spans="1:5" x14ac:dyDescent="0.25">
      <c r="A4268" t="s">
        <v>3089</v>
      </c>
      <c r="B4268" t="s">
        <v>4161</v>
      </c>
      <c r="C4268" t="s">
        <v>3060</v>
      </c>
      <c r="D4268" t="s">
        <v>3060</v>
      </c>
      <c r="E4268" t="s">
        <v>4157</v>
      </c>
    </row>
    <row r="4269" spans="1:5" x14ac:dyDescent="0.25">
      <c r="A4269" t="s">
        <v>3089</v>
      </c>
      <c r="B4269" t="s">
        <v>3554</v>
      </c>
      <c r="C4269" t="s">
        <v>3060</v>
      </c>
      <c r="D4269" t="s">
        <v>3060</v>
      </c>
      <c r="E4269" t="s">
        <v>3594</v>
      </c>
    </row>
    <row r="4270" spans="1:5" x14ac:dyDescent="0.25">
      <c r="A4270" t="s">
        <v>3089</v>
      </c>
      <c r="B4270" t="s">
        <v>3590</v>
      </c>
      <c r="C4270" t="s">
        <v>3060</v>
      </c>
      <c r="D4270" t="s">
        <v>3060</v>
      </c>
      <c r="E4270" t="s">
        <v>2323</v>
      </c>
    </row>
    <row r="4271" spans="1:5" x14ac:dyDescent="0.25">
      <c r="A4271" t="s">
        <v>3089</v>
      </c>
      <c r="B4271" t="s">
        <v>183</v>
      </c>
      <c r="C4271" t="s">
        <v>3060</v>
      </c>
      <c r="D4271" t="s">
        <v>3060</v>
      </c>
      <c r="E4271" t="s">
        <v>184</v>
      </c>
    </row>
    <row r="4272" spans="1:5" x14ac:dyDescent="0.25">
      <c r="A4272" t="s">
        <v>3090</v>
      </c>
      <c r="B4272" t="s">
        <v>294</v>
      </c>
      <c r="C4272" t="s">
        <v>3060</v>
      </c>
      <c r="D4272" t="s">
        <v>4162</v>
      </c>
      <c r="E4272" t="s">
        <v>252</v>
      </c>
    </row>
    <row r="4273" spans="1:5" x14ac:dyDescent="0.25">
      <c r="A4273" t="s">
        <v>3090</v>
      </c>
      <c r="B4273" t="s">
        <v>2748</v>
      </c>
      <c r="C4273" t="s">
        <v>3060</v>
      </c>
      <c r="D4273" t="s">
        <v>3060</v>
      </c>
      <c r="E4273" t="s">
        <v>286</v>
      </c>
    </row>
    <row r="4274" spans="1:5" x14ac:dyDescent="0.25">
      <c r="A4274" t="s">
        <v>3090</v>
      </c>
      <c r="B4274" t="s">
        <v>4163</v>
      </c>
      <c r="C4274" t="s">
        <v>3060</v>
      </c>
      <c r="D4274" t="s">
        <v>4164</v>
      </c>
      <c r="E4274" t="s">
        <v>888</v>
      </c>
    </row>
    <row r="4275" spans="1:5" x14ac:dyDescent="0.25">
      <c r="A4275" t="s">
        <v>3090</v>
      </c>
      <c r="B4275" t="s">
        <v>4165</v>
      </c>
      <c r="C4275" t="s">
        <v>3060</v>
      </c>
      <c r="D4275" t="s">
        <v>4166</v>
      </c>
      <c r="E4275" t="s">
        <v>197</v>
      </c>
    </row>
    <row r="4276" spans="1:5" x14ac:dyDescent="0.25">
      <c r="A4276" t="s">
        <v>3090</v>
      </c>
      <c r="B4276" t="s">
        <v>4167</v>
      </c>
      <c r="C4276" t="s">
        <v>3060</v>
      </c>
      <c r="D4276" t="s">
        <v>4168</v>
      </c>
      <c r="E4276" t="s">
        <v>582</v>
      </c>
    </row>
    <row r="4277" spans="1:5" x14ac:dyDescent="0.25">
      <c r="A4277" t="s">
        <v>3090</v>
      </c>
      <c r="B4277" t="s">
        <v>4167</v>
      </c>
      <c r="C4277" t="s">
        <v>3060</v>
      </c>
      <c r="D4277" t="s">
        <v>4168</v>
      </c>
      <c r="E4277" t="s">
        <v>582</v>
      </c>
    </row>
    <row r="4278" spans="1:5" x14ac:dyDescent="0.25">
      <c r="A4278" t="s">
        <v>3090</v>
      </c>
      <c r="B4278" t="s">
        <v>4169</v>
      </c>
      <c r="C4278" t="s">
        <v>3060</v>
      </c>
      <c r="D4278" t="s">
        <v>4170</v>
      </c>
      <c r="E4278" t="s">
        <v>202</v>
      </c>
    </row>
    <row r="4279" spans="1:5" x14ac:dyDescent="0.25">
      <c r="A4279" t="s">
        <v>3090</v>
      </c>
      <c r="B4279" t="s">
        <v>4171</v>
      </c>
      <c r="C4279" t="s">
        <v>3060</v>
      </c>
      <c r="D4279" t="s">
        <v>4172</v>
      </c>
      <c r="E4279" t="s">
        <v>554</v>
      </c>
    </row>
    <row r="4280" spans="1:5" x14ac:dyDescent="0.25">
      <c r="A4280" t="s">
        <v>3090</v>
      </c>
      <c r="B4280" t="s">
        <v>4173</v>
      </c>
      <c r="C4280" t="s">
        <v>3060</v>
      </c>
      <c r="D4280" t="s">
        <v>4174</v>
      </c>
      <c r="E4280" t="s">
        <v>1832</v>
      </c>
    </row>
    <row r="4281" spans="1:5" x14ac:dyDescent="0.25">
      <c r="A4281" t="s">
        <v>3090</v>
      </c>
      <c r="B4281" t="s">
        <v>4175</v>
      </c>
      <c r="C4281" t="s">
        <v>3060</v>
      </c>
      <c r="D4281" t="s">
        <v>4176</v>
      </c>
      <c r="E4281" t="s">
        <v>1832</v>
      </c>
    </row>
    <row r="4282" spans="1:5" x14ac:dyDescent="0.25">
      <c r="A4282" t="s">
        <v>3090</v>
      </c>
      <c r="B4282" t="s">
        <v>4177</v>
      </c>
      <c r="C4282" t="s">
        <v>3060</v>
      </c>
      <c r="D4282" t="s">
        <v>4178</v>
      </c>
      <c r="E4282" t="s">
        <v>425</v>
      </c>
    </row>
    <row r="4283" spans="1:5" x14ac:dyDescent="0.25">
      <c r="A4283" t="s">
        <v>3090</v>
      </c>
      <c r="B4283" t="s">
        <v>4179</v>
      </c>
      <c r="C4283" t="s">
        <v>3060</v>
      </c>
      <c r="D4283" t="s">
        <v>4180</v>
      </c>
      <c r="E4283" t="s">
        <v>1841</v>
      </c>
    </row>
    <row r="4284" spans="1:5" x14ac:dyDescent="0.25">
      <c r="A4284" t="s">
        <v>3090</v>
      </c>
      <c r="B4284" t="s">
        <v>4181</v>
      </c>
      <c r="C4284" t="s">
        <v>3060</v>
      </c>
      <c r="D4284" t="s">
        <v>3209</v>
      </c>
      <c r="E4284" t="s">
        <v>267</v>
      </c>
    </row>
    <row r="4285" spans="1:5" x14ac:dyDescent="0.25">
      <c r="A4285" t="s">
        <v>3090</v>
      </c>
      <c r="B4285" t="s">
        <v>4182</v>
      </c>
      <c r="C4285" t="s">
        <v>3060</v>
      </c>
      <c r="D4285" t="s">
        <v>4183</v>
      </c>
      <c r="E4285" t="s">
        <v>575</v>
      </c>
    </row>
    <row r="4286" spans="1:5" x14ac:dyDescent="0.25">
      <c r="A4286" t="s">
        <v>3090</v>
      </c>
      <c r="B4286" t="s">
        <v>294</v>
      </c>
      <c r="C4286" t="s">
        <v>3060</v>
      </c>
      <c r="D4286" t="s">
        <v>4162</v>
      </c>
      <c r="E4286" t="s">
        <v>252</v>
      </c>
    </row>
    <row r="4287" spans="1:5" x14ac:dyDescent="0.25">
      <c r="A4287" t="s">
        <v>3090</v>
      </c>
      <c r="B4287" t="s">
        <v>4165</v>
      </c>
      <c r="C4287" t="s">
        <v>3060</v>
      </c>
      <c r="D4287" t="s">
        <v>4166</v>
      </c>
      <c r="E4287" t="s">
        <v>197</v>
      </c>
    </row>
    <row r="4288" spans="1:5" x14ac:dyDescent="0.25">
      <c r="A4288" t="s">
        <v>3090</v>
      </c>
      <c r="B4288" t="s">
        <v>210</v>
      </c>
      <c r="C4288" t="s">
        <v>3060</v>
      </c>
      <c r="D4288" t="s">
        <v>4184</v>
      </c>
      <c r="E4288" t="s">
        <v>582</v>
      </c>
    </row>
    <row r="4289" spans="1:5" x14ac:dyDescent="0.25">
      <c r="A4289" t="s">
        <v>3090</v>
      </c>
      <c r="B4289" t="s">
        <v>4185</v>
      </c>
      <c r="C4289" t="s">
        <v>3060</v>
      </c>
      <c r="D4289" t="s">
        <v>4184</v>
      </c>
      <c r="E4289" t="s">
        <v>469</v>
      </c>
    </row>
    <row r="4290" spans="1:5" x14ac:dyDescent="0.25">
      <c r="A4290" t="s">
        <v>3090</v>
      </c>
      <c r="B4290" t="s">
        <v>198</v>
      </c>
      <c r="C4290" t="s">
        <v>3060</v>
      </c>
      <c r="D4290" t="s">
        <v>4184</v>
      </c>
      <c r="E4290" t="s">
        <v>428</v>
      </c>
    </row>
    <row r="4291" spans="1:5" x14ac:dyDescent="0.25">
      <c r="A4291" t="s">
        <v>3090</v>
      </c>
      <c r="B4291" t="s">
        <v>298</v>
      </c>
      <c r="C4291" t="s">
        <v>3060</v>
      </c>
      <c r="D4291" t="s">
        <v>4184</v>
      </c>
      <c r="E4291" t="s">
        <v>2304</v>
      </c>
    </row>
    <row r="4292" spans="1:5" x14ac:dyDescent="0.25">
      <c r="A4292" t="s">
        <v>3090</v>
      </c>
      <c r="B4292" t="s">
        <v>314</v>
      </c>
      <c r="C4292" t="s">
        <v>3060</v>
      </c>
      <c r="D4292" t="s">
        <v>4184</v>
      </c>
      <c r="E4292" t="s">
        <v>218</v>
      </c>
    </row>
    <row r="4293" spans="1:5" x14ac:dyDescent="0.25">
      <c r="A4293" t="s">
        <v>3090</v>
      </c>
      <c r="B4293" t="s">
        <v>2748</v>
      </c>
      <c r="C4293" t="s">
        <v>3060</v>
      </c>
      <c r="D4293" t="s">
        <v>3060</v>
      </c>
      <c r="E4293" t="s">
        <v>286</v>
      </c>
    </row>
    <row r="4294" spans="1:5" x14ac:dyDescent="0.25">
      <c r="A4294" t="s">
        <v>3090</v>
      </c>
      <c r="B4294" t="s">
        <v>2749</v>
      </c>
      <c r="C4294" t="s">
        <v>3060</v>
      </c>
      <c r="D4294" t="s">
        <v>3060</v>
      </c>
      <c r="E4294" t="s">
        <v>281</v>
      </c>
    </row>
    <row r="4295" spans="1:5" x14ac:dyDescent="0.25">
      <c r="A4295" t="s">
        <v>3090</v>
      </c>
      <c r="B4295" t="s">
        <v>2750</v>
      </c>
      <c r="C4295" t="s">
        <v>3060</v>
      </c>
      <c r="D4295" t="s">
        <v>3060</v>
      </c>
      <c r="E4295" t="s">
        <v>235</v>
      </c>
    </row>
    <row r="4296" spans="1:5" x14ac:dyDescent="0.25">
      <c r="A4296" t="s">
        <v>3090</v>
      </c>
      <c r="B4296" t="s">
        <v>4186</v>
      </c>
      <c r="C4296" t="s">
        <v>3060</v>
      </c>
      <c r="D4296" t="s">
        <v>3849</v>
      </c>
      <c r="E4296" t="s">
        <v>442</v>
      </c>
    </row>
    <row r="4297" spans="1:5" x14ac:dyDescent="0.25">
      <c r="A4297" t="s">
        <v>3090</v>
      </c>
      <c r="B4297" t="s">
        <v>4187</v>
      </c>
      <c r="C4297" t="s">
        <v>3060</v>
      </c>
      <c r="D4297" t="s">
        <v>3849</v>
      </c>
      <c r="E4297" t="s">
        <v>212</v>
      </c>
    </row>
    <row r="4298" spans="1:5" x14ac:dyDescent="0.25">
      <c r="A4298" t="s">
        <v>3090</v>
      </c>
      <c r="B4298" t="s">
        <v>4188</v>
      </c>
      <c r="C4298" t="s">
        <v>3060</v>
      </c>
      <c r="D4298" t="s">
        <v>3849</v>
      </c>
      <c r="E4298" t="s">
        <v>272</v>
      </c>
    </row>
    <row r="4299" spans="1:5" x14ac:dyDescent="0.25">
      <c r="A4299" t="s">
        <v>3090</v>
      </c>
      <c r="B4299" t="s">
        <v>4189</v>
      </c>
      <c r="C4299" t="s">
        <v>3060</v>
      </c>
      <c r="D4299" t="s">
        <v>3849</v>
      </c>
      <c r="E4299" t="s">
        <v>254</v>
      </c>
    </row>
    <row r="4300" spans="1:5" x14ac:dyDescent="0.25">
      <c r="A4300" t="s">
        <v>3090</v>
      </c>
      <c r="B4300" t="s">
        <v>3893</v>
      </c>
      <c r="C4300" t="s">
        <v>3060</v>
      </c>
      <c r="D4300" t="s">
        <v>3849</v>
      </c>
      <c r="E4300" t="s">
        <v>218</v>
      </c>
    </row>
    <row r="4301" spans="1:5" x14ac:dyDescent="0.25">
      <c r="A4301" t="s">
        <v>3090</v>
      </c>
      <c r="B4301" t="s">
        <v>3895</v>
      </c>
      <c r="C4301" t="s">
        <v>3060</v>
      </c>
      <c r="D4301" t="s">
        <v>3849</v>
      </c>
      <c r="E4301" t="s">
        <v>451</v>
      </c>
    </row>
    <row r="4302" spans="1:5" x14ac:dyDescent="0.25">
      <c r="A4302" t="s">
        <v>3090</v>
      </c>
      <c r="B4302" t="s">
        <v>3896</v>
      </c>
      <c r="C4302" t="s">
        <v>3060</v>
      </c>
      <c r="D4302" t="s">
        <v>3849</v>
      </c>
      <c r="E4302" t="s">
        <v>3439</v>
      </c>
    </row>
    <row r="4303" spans="1:5" x14ac:dyDescent="0.25">
      <c r="A4303" t="s">
        <v>3090</v>
      </c>
      <c r="B4303" t="s">
        <v>4190</v>
      </c>
      <c r="C4303" t="s">
        <v>3060</v>
      </c>
      <c r="D4303" t="s">
        <v>3060</v>
      </c>
      <c r="E4303" t="s">
        <v>279</v>
      </c>
    </row>
    <row r="4304" spans="1:5" x14ac:dyDescent="0.25">
      <c r="A4304" t="s">
        <v>3090</v>
      </c>
      <c r="B4304" t="s">
        <v>4163</v>
      </c>
      <c r="C4304" t="s">
        <v>3060</v>
      </c>
      <c r="D4304" t="s">
        <v>4164</v>
      </c>
      <c r="E4304" t="s">
        <v>888</v>
      </c>
    </row>
    <row r="4305" spans="1:5" x14ac:dyDescent="0.25">
      <c r="A4305" t="s">
        <v>3090</v>
      </c>
      <c r="B4305" t="s">
        <v>229</v>
      </c>
      <c r="C4305" t="s">
        <v>3060</v>
      </c>
      <c r="D4305" t="s">
        <v>3060</v>
      </c>
      <c r="E4305" t="s">
        <v>575</v>
      </c>
    </row>
    <row r="4306" spans="1:5" x14ac:dyDescent="0.25">
      <c r="A4306" t="s">
        <v>3090</v>
      </c>
      <c r="B4306" t="s">
        <v>643</v>
      </c>
      <c r="C4306" t="s">
        <v>3060</v>
      </c>
      <c r="D4306" t="s">
        <v>3060</v>
      </c>
      <c r="E4306" t="s">
        <v>575</v>
      </c>
    </row>
    <row r="4307" spans="1:5" x14ac:dyDescent="0.25">
      <c r="A4307" t="s">
        <v>3090</v>
      </c>
      <c r="B4307" t="s">
        <v>876</v>
      </c>
      <c r="C4307" t="s">
        <v>3060</v>
      </c>
      <c r="D4307" t="s">
        <v>3060</v>
      </c>
      <c r="E4307" t="s">
        <v>575</v>
      </c>
    </row>
    <row r="4308" spans="1:5" x14ac:dyDescent="0.25">
      <c r="A4308" t="s">
        <v>3090</v>
      </c>
      <c r="B4308" t="s">
        <v>230</v>
      </c>
      <c r="C4308" t="s">
        <v>3060</v>
      </c>
      <c r="D4308" t="s">
        <v>3060</v>
      </c>
      <c r="E4308" t="s">
        <v>575</v>
      </c>
    </row>
    <row r="4309" spans="1:5" x14ac:dyDescent="0.25">
      <c r="A4309" t="s">
        <v>3090</v>
      </c>
      <c r="B4309" t="s">
        <v>231</v>
      </c>
      <c r="C4309" t="s">
        <v>3060</v>
      </c>
      <c r="D4309" t="s">
        <v>3060</v>
      </c>
      <c r="E4309" t="s">
        <v>279</v>
      </c>
    </row>
    <row r="4310" spans="1:5" x14ac:dyDescent="0.25">
      <c r="A4310" t="s">
        <v>3090</v>
      </c>
      <c r="B4310" t="s">
        <v>233</v>
      </c>
      <c r="C4310" t="s">
        <v>3060</v>
      </c>
      <c r="D4310" t="s">
        <v>3060</v>
      </c>
      <c r="E4310" t="s">
        <v>575</v>
      </c>
    </row>
    <row r="4311" spans="1:5" x14ac:dyDescent="0.25">
      <c r="A4311" t="s">
        <v>3090</v>
      </c>
      <c r="B4311" t="s">
        <v>232</v>
      </c>
      <c r="C4311" t="s">
        <v>3060</v>
      </c>
      <c r="D4311" t="s">
        <v>3060</v>
      </c>
      <c r="E4311" t="s">
        <v>575</v>
      </c>
    </row>
    <row r="4312" spans="1:5" x14ac:dyDescent="0.25">
      <c r="A4312" t="s">
        <v>3090</v>
      </c>
      <c r="B4312" t="s">
        <v>177</v>
      </c>
      <c r="C4312" t="s">
        <v>3060</v>
      </c>
      <c r="D4312" t="s">
        <v>3060</v>
      </c>
      <c r="E4312" t="s">
        <v>575</v>
      </c>
    </row>
    <row r="4313" spans="1:5" x14ac:dyDescent="0.25">
      <c r="A4313" t="s">
        <v>3090</v>
      </c>
      <c r="B4313" t="s">
        <v>325</v>
      </c>
      <c r="C4313" t="s">
        <v>3060</v>
      </c>
      <c r="D4313" t="s">
        <v>3060</v>
      </c>
      <c r="E4313" t="s">
        <v>279</v>
      </c>
    </row>
    <row r="4314" spans="1:5" x14ac:dyDescent="0.25">
      <c r="A4314" t="s">
        <v>3090</v>
      </c>
      <c r="B4314" t="s">
        <v>4191</v>
      </c>
      <c r="C4314" t="s">
        <v>3060</v>
      </c>
      <c r="D4314" t="s">
        <v>3060</v>
      </c>
      <c r="E4314" t="s">
        <v>287</v>
      </c>
    </row>
    <row r="4315" spans="1:5" x14ac:dyDescent="0.25">
      <c r="A4315" t="s">
        <v>3090</v>
      </c>
      <c r="B4315" t="s">
        <v>4192</v>
      </c>
      <c r="C4315" t="s">
        <v>3060</v>
      </c>
      <c r="D4315" t="s">
        <v>3060</v>
      </c>
      <c r="E4315" t="s">
        <v>252</v>
      </c>
    </row>
    <row r="4316" spans="1:5" x14ac:dyDescent="0.25">
      <c r="A4316" t="s">
        <v>3090</v>
      </c>
      <c r="B4316" t="s">
        <v>178</v>
      </c>
      <c r="C4316" t="s">
        <v>3060</v>
      </c>
      <c r="D4316" t="s">
        <v>3060</v>
      </c>
      <c r="E4316" t="s">
        <v>182</v>
      </c>
    </row>
    <row r="4317" spans="1:5" x14ac:dyDescent="0.25">
      <c r="A4317" t="s">
        <v>3090</v>
      </c>
      <c r="B4317" t="s">
        <v>284</v>
      </c>
      <c r="C4317" t="s">
        <v>3060</v>
      </c>
      <c r="D4317" t="s">
        <v>3060</v>
      </c>
      <c r="E4317" t="s">
        <v>235</v>
      </c>
    </row>
    <row r="4318" spans="1:5" x14ac:dyDescent="0.25">
      <c r="A4318" t="s">
        <v>3090</v>
      </c>
      <c r="B4318" t="s">
        <v>285</v>
      </c>
      <c r="C4318" t="s">
        <v>3060</v>
      </c>
      <c r="D4318" t="s">
        <v>3060</v>
      </c>
      <c r="E4318" t="s">
        <v>286</v>
      </c>
    </row>
    <row r="4319" spans="1:5" x14ac:dyDescent="0.25">
      <c r="A4319" t="s">
        <v>3090</v>
      </c>
      <c r="B4319" t="s">
        <v>242</v>
      </c>
      <c r="C4319" t="s">
        <v>3060</v>
      </c>
      <c r="D4319" t="s">
        <v>3060</v>
      </c>
      <c r="E4319" t="s">
        <v>268</v>
      </c>
    </row>
    <row r="4320" spans="1:5" x14ac:dyDescent="0.25">
      <c r="A4320" t="s">
        <v>3090</v>
      </c>
      <c r="B4320" t="s">
        <v>1264</v>
      </c>
      <c r="C4320" t="s">
        <v>3060</v>
      </c>
      <c r="D4320" t="s">
        <v>3060</v>
      </c>
      <c r="E4320" t="s">
        <v>268</v>
      </c>
    </row>
    <row r="4321" spans="1:5" x14ac:dyDescent="0.25">
      <c r="A4321" t="s">
        <v>3090</v>
      </c>
      <c r="B4321" t="s">
        <v>2167</v>
      </c>
      <c r="C4321" t="s">
        <v>3060</v>
      </c>
      <c r="D4321" t="s">
        <v>3060</v>
      </c>
      <c r="E4321" t="s">
        <v>268</v>
      </c>
    </row>
    <row r="4322" spans="1:5" x14ac:dyDescent="0.25">
      <c r="A4322" t="s">
        <v>3090</v>
      </c>
      <c r="B4322" t="s">
        <v>327</v>
      </c>
      <c r="C4322" t="s">
        <v>3060</v>
      </c>
      <c r="D4322" t="s">
        <v>3060</v>
      </c>
      <c r="E4322" t="s">
        <v>268</v>
      </c>
    </row>
    <row r="4323" spans="1:5" x14ac:dyDescent="0.25">
      <c r="A4323" t="s">
        <v>3090</v>
      </c>
      <c r="B4323" t="s">
        <v>1266</v>
      </c>
      <c r="C4323" t="s">
        <v>3060</v>
      </c>
      <c r="D4323" t="s">
        <v>3060</v>
      </c>
      <c r="E4323" t="s">
        <v>243</v>
      </c>
    </row>
    <row r="4324" spans="1:5" x14ac:dyDescent="0.25">
      <c r="A4324" t="s">
        <v>3090</v>
      </c>
      <c r="B4324" t="s">
        <v>691</v>
      </c>
      <c r="C4324" t="s">
        <v>3060</v>
      </c>
      <c r="D4324" t="s">
        <v>3060</v>
      </c>
      <c r="E4324" t="s">
        <v>253</v>
      </c>
    </row>
    <row r="4325" spans="1:5" x14ac:dyDescent="0.25">
      <c r="A4325" t="s">
        <v>3090</v>
      </c>
      <c r="B4325" t="s">
        <v>4193</v>
      </c>
      <c r="C4325" t="s">
        <v>3060</v>
      </c>
      <c r="D4325" t="s">
        <v>3060</v>
      </c>
      <c r="E4325" t="s">
        <v>575</v>
      </c>
    </row>
    <row r="4326" spans="1:5" x14ac:dyDescent="0.25">
      <c r="A4326" t="s">
        <v>3090</v>
      </c>
      <c r="B4326" t="s">
        <v>4194</v>
      </c>
      <c r="C4326" t="s">
        <v>3060</v>
      </c>
      <c r="D4326" t="s">
        <v>3060</v>
      </c>
      <c r="E4326" t="s">
        <v>287</v>
      </c>
    </row>
    <row r="4327" spans="1:5" x14ac:dyDescent="0.25">
      <c r="A4327" t="s">
        <v>3090</v>
      </c>
      <c r="B4327" t="s">
        <v>4195</v>
      </c>
      <c r="C4327" t="s">
        <v>3060</v>
      </c>
      <c r="D4327" t="s">
        <v>3060</v>
      </c>
      <c r="E4327" t="s">
        <v>202</v>
      </c>
    </row>
    <row r="4328" spans="1:5" x14ac:dyDescent="0.25">
      <c r="A4328" t="s">
        <v>3090</v>
      </c>
      <c r="B4328" t="s">
        <v>4196</v>
      </c>
      <c r="C4328" t="s">
        <v>3060</v>
      </c>
      <c r="D4328" t="s">
        <v>3060</v>
      </c>
      <c r="E4328" t="s">
        <v>202</v>
      </c>
    </row>
    <row r="4329" spans="1:5" x14ac:dyDescent="0.25">
      <c r="A4329" t="s">
        <v>3090</v>
      </c>
      <c r="B4329" t="s">
        <v>183</v>
      </c>
      <c r="C4329" t="s">
        <v>3060</v>
      </c>
      <c r="D4329" t="s">
        <v>3060</v>
      </c>
      <c r="E4329" t="s">
        <v>184</v>
      </c>
    </row>
    <row r="4330" spans="1:5" x14ac:dyDescent="0.25">
      <c r="A4330" t="s">
        <v>3091</v>
      </c>
      <c r="B4330" t="s">
        <v>4197</v>
      </c>
      <c r="C4330" t="s">
        <v>3060</v>
      </c>
      <c r="D4330" t="s">
        <v>4198</v>
      </c>
      <c r="E4330" t="s">
        <v>256</v>
      </c>
    </row>
    <row r="4331" spans="1:5" x14ac:dyDescent="0.25">
      <c r="A4331" t="s">
        <v>3091</v>
      </c>
      <c r="B4331" t="s">
        <v>4199</v>
      </c>
      <c r="C4331" t="s">
        <v>3060</v>
      </c>
      <c r="D4331" t="s">
        <v>4200</v>
      </c>
      <c r="E4331" t="s">
        <v>202</v>
      </c>
    </row>
    <row r="4332" spans="1:5" x14ac:dyDescent="0.25">
      <c r="A4332" t="s">
        <v>3091</v>
      </c>
      <c r="B4332" t="s">
        <v>4201</v>
      </c>
      <c r="C4332" t="s">
        <v>3060</v>
      </c>
      <c r="D4332" t="s">
        <v>4200</v>
      </c>
      <c r="E4332" t="s">
        <v>202</v>
      </c>
    </row>
    <row r="4333" spans="1:5" x14ac:dyDescent="0.25">
      <c r="A4333" t="s">
        <v>3091</v>
      </c>
      <c r="B4333" t="s">
        <v>4202</v>
      </c>
      <c r="C4333" t="s">
        <v>3060</v>
      </c>
      <c r="D4333" t="s">
        <v>4203</v>
      </c>
      <c r="E4333" t="s">
        <v>272</v>
      </c>
    </row>
    <row r="4334" spans="1:5" x14ac:dyDescent="0.25">
      <c r="A4334" t="s">
        <v>3091</v>
      </c>
      <c r="B4334" t="s">
        <v>4204</v>
      </c>
      <c r="C4334" t="s">
        <v>3060</v>
      </c>
      <c r="D4334" t="s">
        <v>4200</v>
      </c>
      <c r="E4334" t="s">
        <v>2362</v>
      </c>
    </row>
    <row r="4335" spans="1:5" x14ac:dyDescent="0.25">
      <c r="A4335" t="s">
        <v>3091</v>
      </c>
      <c r="B4335" t="s">
        <v>4205</v>
      </c>
      <c r="C4335" t="s">
        <v>3060</v>
      </c>
      <c r="D4335" t="s">
        <v>4206</v>
      </c>
      <c r="E4335" t="s">
        <v>1832</v>
      </c>
    </row>
    <row r="4336" spans="1:5" x14ac:dyDescent="0.25">
      <c r="A4336" t="s">
        <v>3091</v>
      </c>
      <c r="B4336" t="s">
        <v>4207</v>
      </c>
      <c r="C4336" t="s">
        <v>3060</v>
      </c>
      <c r="D4336" t="s">
        <v>4208</v>
      </c>
      <c r="E4336" t="s">
        <v>418</v>
      </c>
    </row>
    <row r="4337" spans="1:5" x14ac:dyDescent="0.25">
      <c r="A4337" t="s">
        <v>3091</v>
      </c>
      <c r="B4337" t="s">
        <v>4209</v>
      </c>
      <c r="C4337" t="s">
        <v>3060</v>
      </c>
      <c r="D4337" t="s">
        <v>4210</v>
      </c>
      <c r="E4337" t="s">
        <v>418</v>
      </c>
    </row>
    <row r="4338" spans="1:5" x14ac:dyDescent="0.25">
      <c r="A4338" t="s">
        <v>3091</v>
      </c>
      <c r="B4338" t="s">
        <v>4211</v>
      </c>
      <c r="C4338" t="s">
        <v>3060</v>
      </c>
      <c r="D4338" t="s">
        <v>4212</v>
      </c>
      <c r="E4338" t="s">
        <v>801</v>
      </c>
    </row>
    <row r="4339" spans="1:5" x14ac:dyDescent="0.25">
      <c r="A4339" t="s">
        <v>3091</v>
      </c>
      <c r="B4339" t="s">
        <v>4213</v>
      </c>
      <c r="C4339" t="s">
        <v>3060</v>
      </c>
      <c r="D4339" t="s">
        <v>4214</v>
      </c>
      <c r="E4339" t="s">
        <v>801</v>
      </c>
    </row>
    <row r="4340" spans="1:5" x14ac:dyDescent="0.25">
      <c r="A4340" t="s">
        <v>3091</v>
      </c>
      <c r="B4340" t="s">
        <v>4215</v>
      </c>
      <c r="C4340" t="s">
        <v>3060</v>
      </c>
      <c r="D4340" t="s">
        <v>4216</v>
      </c>
      <c r="E4340" t="s">
        <v>662</v>
      </c>
    </row>
    <row r="4341" spans="1:5" x14ac:dyDescent="0.25">
      <c r="A4341" t="s">
        <v>3091</v>
      </c>
      <c r="B4341" t="s">
        <v>4217</v>
      </c>
      <c r="C4341" t="s">
        <v>3060</v>
      </c>
      <c r="D4341" t="s">
        <v>4218</v>
      </c>
      <c r="E4341" t="s">
        <v>762</v>
      </c>
    </row>
    <row r="4342" spans="1:5" x14ac:dyDescent="0.25">
      <c r="A4342" t="s">
        <v>3091</v>
      </c>
      <c r="B4342" t="s">
        <v>4199</v>
      </c>
      <c r="C4342" t="s">
        <v>3060</v>
      </c>
      <c r="D4342" t="s">
        <v>4200</v>
      </c>
      <c r="E4342" t="s">
        <v>202</v>
      </c>
    </row>
    <row r="4343" spans="1:5" x14ac:dyDescent="0.25">
      <c r="A4343" t="s">
        <v>3091</v>
      </c>
      <c r="B4343" t="s">
        <v>4219</v>
      </c>
      <c r="C4343" t="s">
        <v>3060</v>
      </c>
      <c r="D4343" t="s">
        <v>4200</v>
      </c>
      <c r="E4343" t="s">
        <v>466</v>
      </c>
    </row>
    <row r="4344" spans="1:5" x14ac:dyDescent="0.25">
      <c r="A4344" t="s">
        <v>3091</v>
      </c>
      <c r="B4344" t="s">
        <v>4220</v>
      </c>
      <c r="C4344" t="s">
        <v>3060</v>
      </c>
      <c r="D4344" t="s">
        <v>4200</v>
      </c>
      <c r="E4344" t="s">
        <v>212</v>
      </c>
    </row>
    <row r="4345" spans="1:5" x14ac:dyDescent="0.25">
      <c r="A4345" t="s">
        <v>3091</v>
      </c>
      <c r="B4345" t="s">
        <v>4221</v>
      </c>
      <c r="C4345" t="s">
        <v>3060</v>
      </c>
      <c r="D4345" t="s">
        <v>4200</v>
      </c>
      <c r="E4345" t="s">
        <v>582</v>
      </c>
    </row>
    <row r="4346" spans="1:5" x14ac:dyDescent="0.25">
      <c r="A4346" t="s">
        <v>3091</v>
      </c>
      <c r="B4346" t="s">
        <v>4222</v>
      </c>
      <c r="C4346" t="s">
        <v>3060</v>
      </c>
      <c r="D4346" t="s">
        <v>4200</v>
      </c>
      <c r="E4346" t="s">
        <v>258</v>
      </c>
    </row>
    <row r="4347" spans="1:5" x14ac:dyDescent="0.25">
      <c r="A4347" t="s">
        <v>3091</v>
      </c>
      <c r="B4347" t="s">
        <v>4223</v>
      </c>
      <c r="C4347" t="s">
        <v>3060</v>
      </c>
      <c r="D4347" t="s">
        <v>4200</v>
      </c>
      <c r="E4347" t="s">
        <v>258</v>
      </c>
    </row>
    <row r="4348" spans="1:5" x14ac:dyDescent="0.25">
      <c r="A4348" t="s">
        <v>3091</v>
      </c>
      <c r="B4348" t="s">
        <v>4224</v>
      </c>
      <c r="C4348" t="s">
        <v>3060</v>
      </c>
      <c r="D4348" t="s">
        <v>4200</v>
      </c>
      <c r="E4348" t="s">
        <v>202</v>
      </c>
    </row>
    <row r="4349" spans="1:5" x14ac:dyDescent="0.25">
      <c r="A4349" t="s">
        <v>3091</v>
      </c>
      <c r="B4349" t="s">
        <v>4201</v>
      </c>
      <c r="C4349" t="s">
        <v>3060</v>
      </c>
      <c r="D4349" t="s">
        <v>4200</v>
      </c>
      <c r="E4349" t="s">
        <v>202</v>
      </c>
    </row>
    <row r="4350" spans="1:5" x14ac:dyDescent="0.25">
      <c r="A4350" t="s">
        <v>3091</v>
      </c>
      <c r="B4350" t="s">
        <v>4225</v>
      </c>
      <c r="C4350" t="s">
        <v>3060</v>
      </c>
      <c r="D4350" t="s">
        <v>4200</v>
      </c>
      <c r="E4350" t="s">
        <v>2362</v>
      </c>
    </row>
    <row r="4351" spans="1:5" x14ac:dyDescent="0.25">
      <c r="A4351" t="s">
        <v>3091</v>
      </c>
      <c r="B4351" t="s">
        <v>4204</v>
      </c>
      <c r="C4351" t="s">
        <v>3060</v>
      </c>
      <c r="D4351" t="s">
        <v>4200</v>
      </c>
      <c r="E4351" t="s">
        <v>2362</v>
      </c>
    </row>
    <row r="4352" spans="1:5" x14ac:dyDescent="0.25">
      <c r="A4352" t="s">
        <v>3091</v>
      </c>
      <c r="B4352" t="s">
        <v>4226</v>
      </c>
      <c r="C4352" t="s">
        <v>3060</v>
      </c>
      <c r="D4352" t="s">
        <v>4200</v>
      </c>
      <c r="E4352" t="s">
        <v>212</v>
      </c>
    </row>
    <row r="4353" spans="1:5" x14ac:dyDescent="0.25">
      <c r="A4353" t="s">
        <v>3091</v>
      </c>
      <c r="B4353" t="s">
        <v>4227</v>
      </c>
      <c r="C4353" t="s">
        <v>3060</v>
      </c>
      <c r="D4353" t="s">
        <v>4200</v>
      </c>
      <c r="E4353" t="s">
        <v>2362</v>
      </c>
    </row>
    <row r="4354" spans="1:5" x14ac:dyDescent="0.25">
      <c r="A4354" t="s">
        <v>3091</v>
      </c>
      <c r="B4354" t="s">
        <v>4228</v>
      </c>
      <c r="C4354" t="s">
        <v>3060</v>
      </c>
      <c r="D4354" t="s">
        <v>4229</v>
      </c>
      <c r="E4354" t="s">
        <v>258</v>
      </c>
    </row>
    <row r="4355" spans="1:5" x14ac:dyDescent="0.25">
      <c r="A4355" t="s">
        <v>3091</v>
      </c>
      <c r="B4355" t="s">
        <v>4230</v>
      </c>
      <c r="C4355" t="s">
        <v>3060</v>
      </c>
      <c r="D4355" t="s">
        <v>4198</v>
      </c>
      <c r="E4355" t="s">
        <v>256</v>
      </c>
    </row>
    <row r="4356" spans="1:5" x14ac:dyDescent="0.25">
      <c r="A4356" t="s">
        <v>3091</v>
      </c>
      <c r="B4356" t="s">
        <v>4231</v>
      </c>
      <c r="C4356" t="s">
        <v>3060</v>
      </c>
      <c r="D4356" t="s">
        <v>4203</v>
      </c>
      <c r="E4356" t="s">
        <v>254</v>
      </c>
    </row>
    <row r="4357" spans="1:5" x14ac:dyDescent="0.25">
      <c r="A4357" t="s">
        <v>3091</v>
      </c>
      <c r="B4357" t="s">
        <v>4202</v>
      </c>
      <c r="C4357" t="s">
        <v>3060</v>
      </c>
      <c r="D4357" t="s">
        <v>4203</v>
      </c>
      <c r="E4357" t="s">
        <v>272</v>
      </c>
    </row>
    <row r="4358" spans="1:5" x14ac:dyDescent="0.25">
      <c r="A4358" t="s">
        <v>3091</v>
      </c>
      <c r="B4358" t="s">
        <v>4232</v>
      </c>
      <c r="C4358" t="s">
        <v>3060</v>
      </c>
      <c r="D4358" t="s">
        <v>4203</v>
      </c>
      <c r="E4358" t="s">
        <v>218</v>
      </c>
    </row>
    <row r="4359" spans="1:5" x14ac:dyDescent="0.25">
      <c r="A4359" t="s">
        <v>3091</v>
      </c>
      <c r="B4359" t="s">
        <v>4233</v>
      </c>
      <c r="C4359" t="s">
        <v>3060</v>
      </c>
      <c r="D4359" t="s">
        <v>4203</v>
      </c>
      <c r="E4359" t="s">
        <v>254</v>
      </c>
    </row>
    <row r="4360" spans="1:5" x14ac:dyDescent="0.25">
      <c r="A4360" t="s">
        <v>3091</v>
      </c>
      <c r="B4360" t="s">
        <v>4234</v>
      </c>
      <c r="C4360" t="s">
        <v>3060</v>
      </c>
      <c r="D4360" t="s">
        <v>4198</v>
      </c>
      <c r="E4360" t="s">
        <v>256</v>
      </c>
    </row>
    <row r="4361" spans="1:5" x14ac:dyDescent="0.25">
      <c r="A4361" t="s">
        <v>3091</v>
      </c>
      <c r="B4361" t="s">
        <v>4235</v>
      </c>
      <c r="C4361" t="s">
        <v>3060</v>
      </c>
      <c r="D4361" t="s">
        <v>4198</v>
      </c>
      <c r="E4361" t="s">
        <v>272</v>
      </c>
    </row>
    <row r="4362" spans="1:5" x14ac:dyDescent="0.25">
      <c r="A4362" t="s">
        <v>3091</v>
      </c>
      <c r="B4362" t="s">
        <v>4197</v>
      </c>
      <c r="C4362" t="s">
        <v>3060</v>
      </c>
      <c r="D4362" t="s">
        <v>4198</v>
      </c>
      <c r="E4362" t="s">
        <v>256</v>
      </c>
    </row>
    <row r="4363" spans="1:5" x14ac:dyDescent="0.25">
      <c r="A4363" t="s">
        <v>3091</v>
      </c>
      <c r="B4363" t="s">
        <v>4236</v>
      </c>
      <c r="C4363" t="s">
        <v>3060</v>
      </c>
      <c r="D4363" t="s">
        <v>4203</v>
      </c>
      <c r="E4363" t="s">
        <v>254</v>
      </c>
    </row>
    <row r="4364" spans="1:5" x14ac:dyDescent="0.25">
      <c r="A4364" t="s">
        <v>3091</v>
      </c>
      <c r="B4364" t="s">
        <v>4237</v>
      </c>
      <c r="C4364" t="s">
        <v>3060</v>
      </c>
      <c r="D4364" t="s">
        <v>4198</v>
      </c>
      <c r="E4364" t="s">
        <v>218</v>
      </c>
    </row>
    <row r="4365" spans="1:5" x14ac:dyDescent="0.25">
      <c r="A4365" t="s">
        <v>3091</v>
      </c>
      <c r="B4365" t="s">
        <v>4238</v>
      </c>
      <c r="C4365" t="s">
        <v>3060</v>
      </c>
      <c r="D4365" t="s">
        <v>4203</v>
      </c>
      <c r="E4365" t="s">
        <v>254</v>
      </c>
    </row>
    <row r="4366" spans="1:5" x14ac:dyDescent="0.25">
      <c r="A4366" t="s">
        <v>3091</v>
      </c>
      <c r="B4366" t="s">
        <v>4239</v>
      </c>
      <c r="C4366" t="s">
        <v>3060</v>
      </c>
      <c r="D4366" t="s">
        <v>4198</v>
      </c>
      <c r="E4366" t="s">
        <v>272</v>
      </c>
    </row>
    <row r="4367" spans="1:5" x14ac:dyDescent="0.25">
      <c r="A4367" t="s">
        <v>3091</v>
      </c>
      <c r="B4367" t="s">
        <v>4240</v>
      </c>
      <c r="C4367" t="s">
        <v>3060</v>
      </c>
      <c r="D4367" t="s">
        <v>4198</v>
      </c>
      <c r="E4367" t="s">
        <v>272</v>
      </c>
    </row>
    <row r="4368" spans="1:5" x14ac:dyDescent="0.25">
      <c r="A4368" t="s">
        <v>3091</v>
      </c>
      <c r="B4368" t="s">
        <v>4241</v>
      </c>
      <c r="C4368" t="s">
        <v>3060</v>
      </c>
      <c r="D4368" t="s">
        <v>4203</v>
      </c>
      <c r="E4368" t="s">
        <v>214</v>
      </c>
    </row>
    <row r="4369" spans="1:5" x14ac:dyDescent="0.25">
      <c r="A4369" t="s">
        <v>3091</v>
      </c>
      <c r="B4369" t="s">
        <v>642</v>
      </c>
      <c r="C4369" t="s">
        <v>3060</v>
      </c>
      <c r="D4369" t="s">
        <v>3060</v>
      </c>
      <c r="E4369" t="s">
        <v>268</v>
      </c>
    </row>
    <row r="4370" spans="1:5" x14ac:dyDescent="0.25">
      <c r="A4370" t="s">
        <v>3091</v>
      </c>
      <c r="B4370" t="s">
        <v>229</v>
      </c>
      <c r="C4370" t="s">
        <v>3060</v>
      </c>
      <c r="D4370" t="s">
        <v>3060</v>
      </c>
      <c r="E4370" t="s">
        <v>268</v>
      </c>
    </row>
    <row r="4371" spans="1:5" x14ac:dyDescent="0.25">
      <c r="A4371" t="s">
        <v>3091</v>
      </c>
      <c r="B4371" t="s">
        <v>643</v>
      </c>
      <c r="C4371" t="s">
        <v>3060</v>
      </c>
      <c r="D4371" t="s">
        <v>3060</v>
      </c>
      <c r="E4371" t="s">
        <v>268</v>
      </c>
    </row>
    <row r="4372" spans="1:5" x14ac:dyDescent="0.25">
      <c r="A4372" t="s">
        <v>3091</v>
      </c>
      <c r="B4372" t="s">
        <v>230</v>
      </c>
      <c r="C4372" t="s">
        <v>3060</v>
      </c>
      <c r="D4372" t="s">
        <v>3060</v>
      </c>
      <c r="E4372" t="s">
        <v>268</v>
      </c>
    </row>
    <row r="4373" spans="1:5" x14ac:dyDescent="0.25">
      <c r="A4373" t="s">
        <v>3091</v>
      </c>
      <c r="B4373" t="s">
        <v>233</v>
      </c>
      <c r="C4373" t="s">
        <v>3060</v>
      </c>
      <c r="D4373" t="s">
        <v>3060</v>
      </c>
      <c r="E4373" t="s">
        <v>268</v>
      </c>
    </row>
    <row r="4374" spans="1:5" x14ac:dyDescent="0.25">
      <c r="A4374" t="s">
        <v>3091</v>
      </c>
      <c r="B4374" t="s">
        <v>232</v>
      </c>
      <c r="C4374" t="s">
        <v>3060</v>
      </c>
      <c r="D4374" t="s">
        <v>3060</v>
      </c>
      <c r="E4374" t="s">
        <v>268</v>
      </c>
    </row>
    <row r="4375" spans="1:5" x14ac:dyDescent="0.25">
      <c r="A4375" t="s">
        <v>3091</v>
      </c>
      <c r="B4375" t="s">
        <v>177</v>
      </c>
      <c r="C4375" t="s">
        <v>3060</v>
      </c>
      <c r="D4375" t="s">
        <v>3060</v>
      </c>
      <c r="E4375" t="s">
        <v>268</v>
      </c>
    </row>
    <row r="4376" spans="1:5" x14ac:dyDescent="0.25">
      <c r="A4376" t="s">
        <v>3091</v>
      </c>
      <c r="B4376" t="s">
        <v>173</v>
      </c>
      <c r="C4376" t="s">
        <v>3060</v>
      </c>
      <c r="D4376" t="s">
        <v>3060</v>
      </c>
      <c r="E4376" t="s">
        <v>279</v>
      </c>
    </row>
    <row r="4377" spans="1:5" x14ac:dyDescent="0.25">
      <c r="A4377" t="s">
        <v>3091</v>
      </c>
      <c r="B4377" t="s">
        <v>236</v>
      </c>
      <c r="C4377" t="s">
        <v>3060</v>
      </c>
      <c r="D4377" t="s">
        <v>3060</v>
      </c>
      <c r="E4377" t="s">
        <v>279</v>
      </c>
    </row>
    <row r="4378" spans="1:5" x14ac:dyDescent="0.25">
      <c r="A4378" t="s">
        <v>3091</v>
      </c>
      <c r="B4378" t="s">
        <v>179</v>
      </c>
      <c r="C4378" t="s">
        <v>3060</v>
      </c>
      <c r="D4378" t="s">
        <v>3060</v>
      </c>
      <c r="E4378" t="s">
        <v>279</v>
      </c>
    </row>
    <row r="4379" spans="1:5" x14ac:dyDescent="0.25">
      <c r="A4379" t="s">
        <v>3091</v>
      </c>
      <c r="B4379" t="s">
        <v>180</v>
      </c>
      <c r="C4379" t="s">
        <v>3060</v>
      </c>
      <c r="D4379" t="s">
        <v>3060</v>
      </c>
      <c r="E4379" t="s">
        <v>235</v>
      </c>
    </row>
    <row r="4380" spans="1:5" x14ac:dyDescent="0.25">
      <c r="A4380" t="s">
        <v>3091</v>
      </c>
      <c r="B4380" t="s">
        <v>181</v>
      </c>
      <c r="C4380" t="s">
        <v>3060</v>
      </c>
      <c r="D4380" t="s">
        <v>3060</v>
      </c>
      <c r="E4380" t="s">
        <v>286</v>
      </c>
    </row>
    <row r="4381" spans="1:5" x14ac:dyDescent="0.25">
      <c r="A4381" t="s">
        <v>3091</v>
      </c>
      <c r="B4381" t="s">
        <v>242</v>
      </c>
      <c r="C4381" t="s">
        <v>3060</v>
      </c>
      <c r="D4381" t="s">
        <v>3060</v>
      </c>
      <c r="E4381" t="s">
        <v>287</v>
      </c>
    </row>
    <row r="4382" spans="1:5" x14ac:dyDescent="0.25">
      <c r="A4382" t="s">
        <v>3091</v>
      </c>
      <c r="B4382" t="s">
        <v>1264</v>
      </c>
      <c r="C4382" t="s">
        <v>3060</v>
      </c>
      <c r="D4382" t="s">
        <v>3060</v>
      </c>
      <c r="E4382" t="s">
        <v>287</v>
      </c>
    </row>
    <row r="4383" spans="1:5" x14ac:dyDescent="0.25">
      <c r="A4383" t="s">
        <v>3091</v>
      </c>
      <c r="B4383" t="s">
        <v>1265</v>
      </c>
      <c r="C4383" t="s">
        <v>3060</v>
      </c>
      <c r="D4383" t="s">
        <v>3060</v>
      </c>
      <c r="E4383" t="s">
        <v>287</v>
      </c>
    </row>
    <row r="4384" spans="1:5" x14ac:dyDescent="0.25">
      <c r="A4384" t="s">
        <v>3091</v>
      </c>
      <c r="B4384" t="s">
        <v>327</v>
      </c>
      <c r="C4384" t="s">
        <v>3060</v>
      </c>
      <c r="D4384" t="s">
        <v>3060</v>
      </c>
      <c r="E4384" t="s">
        <v>287</v>
      </c>
    </row>
    <row r="4385" spans="1:5" x14ac:dyDescent="0.25">
      <c r="A4385" t="s">
        <v>3091</v>
      </c>
      <c r="B4385" t="s">
        <v>183</v>
      </c>
      <c r="C4385" t="s">
        <v>3060</v>
      </c>
      <c r="D4385" t="s">
        <v>3060</v>
      </c>
      <c r="E4385" t="s">
        <v>184</v>
      </c>
    </row>
    <row r="4386" spans="1:5" x14ac:dyDescent="0.25">
      <c r="A4386" t="s">
        <v>3092</v>
      </c>
      <c r="B4386" t="s">
        <v>4242</v>
      </c>
      <c r="C4386" t="s">
        <v>3060</v>
      </c>
      <c r="D4386" t="s">
        <v>4243</v>
      </c>
      <c r="E4386" t="s">
        <v>4244</v>
      </c>
    </row>
    <row r="4387" spans="1:5" x14ac:dyDescent="0.25">
      <c r="A4387" t="s">
        <v>3092</v>
      </c>
      <c r="B4387" t="s">
        <v>4245</v>
      </c>
      <c r="C4387" t="s">
        <v>3060</v>
      </c>
      <c r="D4387" t="s">
        <v>4246</v>
      </c>
      <c r="E4387" t="s">
        <v>88</v>
      </c>
    </row>
    <row r="4388" spans="1:5" x14ac:dyDescent="0.25">
      <c r="A4388" t="s">
        <v>3092</v>
      </c>
      <c r="B4388" t="s">
        <v>4247</v>
      </c>
      <c r="C4388" t="s">
        <v>3060</v>
      </c>
      <c r="D4388" t="s">
        <v>4248</v>
      </c>
      <c r="E4388" t="s">
        <v>4249</v>
      </c>
    </row>
    <row r="4389" spans="1:5" x14ac:dyDescent="0.25">
      <c r="A4389" t="s">
        <v>3092</v>
      </c>
      <c r="B4389" t="s">
        <v>4250</v>
      </c>
      <c r="C4389" t="s">
        <v>3060</v>
      </c>
      <c r="D4389" t="s">
        <v>4251</v>
      </c>
      <c r="E4389" t="s">
        <v>4252</v>
      </c>
    </row>
    <row r="4390" spans="1:5" x14ac:dyDescent="0.25">
      <c r="A4390" t="s">
        <v>3092</v>
      </c>
      <c r="B4390" t="s">
        <v>4253</v>
      </c>
      <c r="C4390" t="s">
        <v>3060</v>
      </c>
      <c r="D4390" t="s">
        <v>4254</v>
      </c>
      <c r="E4390" t="s">
        <v>4255</v>
      </c>
    </row>
    <row r="4391" spans="1:5" x14ac:dyDescent="0.25">
      <c r="A4391" t="s">
        <v>3092</v>
      </c>
      <c r="B4391" t="s">
        <v>4256</v>
      </c>
      <c r="C4391" t="s">
        <v>3060</v>
      </c>
      <c r="D4391" t="s">
        <v>4257</v>
      </c>
      <c r="E4391" t="s">
        <v>4258</v>
      </c>
    </row>
    <row r="4392" spans="1:5" x14ac:dyDescent="0.25">
      <c r="A4392" t="s">
        <v>3092</v>
      </c>
      <c r="B4392" t="s">
        <v>4259</v>
      </c>
      <c r="C4392" t="s">
        <v>3060</v>
      </c>
      <c r="D4392" t="s">
        <v>4260</v>
      </c>
      <c r="E4392" t="s">
        <v>4261</v>
      </c>
    </row>
    <row r="4393" spans="1:5" x14ac:dyDescent="0.25">
      <c r="A4393" t="s">
        <v>3092</v>
      </c>
      <c r="B4393" t="s">
        <v>4262</v>
      </c>
      <c r="C4393" t="s">
        <v>3060</v>
      </c>
      <c r="D4393" t="s">
        <v>4263</v>
      </c>
      <c r="E4393" t="s">
        <v>2329</v>
      </c>
    </row>
    <row r="4394" spans="1:5" x14ac:dyDescent="0.25">
      <c r="A4394" t="s">
        <v>3092</v>
      </c>
      <c r="B4394" t="s">
        <v>4264</v>
      </c>
      <c r="C4394" t="s">
        <v>3060</v>
      </c>
      <c r="D4394" t="s">
        <v>4265</v>
      </c>
      <c r="E4394" t="s">
        <v>4266</v>
      </c>
    </row>
    <row r="4395" spans="1:5" x14ac:dyDescent="0.25">
      <c r="A4395" t="s">
        <v>3092</v>
      </c>
      <c r="B4395" t="s">
        <v>4267</v>
      </c>
      <c r="C4395" t="s">
        <v>3060</v>
      </c>
      <c r="D4395" t="s">
        <v>4268</v>
      </c>
      <c r="E4395" t="s">
        <v>4269</v>
      </c>
    </row>
    <row r="4396" spans="1:5" x14ac:dyDescent="0.25">
      <c r="A4396" t="s">
        <v>3092</v>
      </c>
      <c r="B4396" t="s">
        <v>4270</v>
      </c>
      <c r="C4396" t="s">
        <v>3060</v>
      </c>
      <c r="D4396" t="s">
        <v>4271</v>
      </c>
      <c r="E4396" t="s">
        <v>4272</v>
      </c>
    </row>
    <row r="4397" spans="1:5" x14ac:dyDescent="0.25">
      <c r="A4397" t="s">
        <v>3092</v>
      </c>
      <c r="B4397" t="s">
        <v>4273</v>
      </c>
      <c r="C4397" t="s">
        <v>3060</v>
      </c>
      <c r="D4397" t="s">
        <v>4274</v>
      </c>
      <c r="E4397" t="s">
        <v>4275</v>
      </c>
    </row>
    <row r="4398" spans="1:5" x14ac:dyDescent="0.25">
      <c r="A4398" t="s">
        <v>3092</v>
      </c>
      <c r="B4398" t="s">
        <v>4276</v>
      </c>
      <c r="C4398" t="s">
        <v>3060</v>
      </c>
      <c r="D4398" t="s">
        <v>4277</v>
      </c>
      <c r="E4398" t="s">
        <v>4278</v>
      </c>
    </row>
    <row r="4399" spans="1:5" x14ac:dyDescent="0.25">
      <c r="A4399" t="s">
        <v>3092</v>
      </c>
      <c r="B4399" t="s">
        <v>3333</v>
      </c>
      <c r="C4399" t="s">
        <v>3060</v>
      </c>
      <c r="D4399" t="s">
        <v>4279</v>
      </c>
      <c r="E4399" t="s">
        <v>4280</v>
      </c>
    </row>
    <row r="4400" spans="1:5" x14ac:dyDescent="0.25">
      <c r="A4400" t="s">
        <v>3092</v>
      </c>
      <c r="B4400" t="s">
        <v>4281</v>
      </c>
      <c r="C4400" t="s">
        <v>3060</v>
      </c>
      <c r="D4400" t="s">
        <v>4282</v>
      </c>
      <c r="E4400" t="s">
        <v>4283</v>
      </c>
    </row>
    <row r="4401" spans="1:5" x14ac:dyDescent="0.25">
      <c r="A4401" t="s">
        <v>3092</v>
      </c>
      <c r="B4401" t="s">
        <v>4284</v>
      </c>
      <c r="C4401" t="s">
        <v>3060</v>
      </c>
      <c r="D4401" t="s">
        <v>4285</v>
      </c>
      <c r="E4401" t="s">
        <v>4252</v>
      </c>
    </row>
    <row r="4402" spans="1:5" x14ac:dyDescent="0.25">
      <c r="A4402" t="s">
        <v>3092</v>
      </c>
      <c r="B4402" t="s">
        <v>4286</v>
      </c>
      <c r="C4402" t="s">
        <v>3060</v>
      </c>
      <c r="D4402" t="s">
        <v>4287</v>
      </c>
      <c r="E4402" t="s">
        <v>4283</v>
      </c>
    </row>
    <row r="4403" spans="1:5" x14ac:dyDescent="0.25">
      <c r="A4403" t="s">
        <v>3092</v>
      </c>
      <c r="B4403" t="s">
        <v>474</v>
      </c>
      <c r="C4403" t="s">
        <v>3060</v>
      </c>
      <c r="D4403" t="s">
        <v>4288</v>
      </c>
      <c r="E4403" t="s">
        <v>4280</v>
      </c>
    </row>
    <row r="4404" spans="1:5" x14ac:dyDescent="0.25">
      <c r="A4404" t="s">
        <v>3092</v>
      </c>
      <c r="B4404" t="s">
        <v>3766</v>
      </c>
      <c r="C4404" t="s">
        <v>3060</v>
      </c>
      <c r="D4404" t="s">
        <v>4289</v>
      </c>
      <c r="E4404" t="s">
        <v>4280</v>
      </c>
    </row>
    <row r="4405" spans="1:5" x14ac:dyDescent="0.25">
      <c r="A4405" t="s">
        <v>3092</v>
      </c>
      <c r="B4405" t="s">
        <v>4290</v>
      </c>
      <c r="C4405" t="s">
        <v>3060</v>
      </c>
      <c r="D4405" t="s">
        <v>4291</v>
      </c>
      <c r="E4405" t="s">
        <v>4292</v>
      </c>
    </row>
    <row r="4406" spans="1:5" x14ac:dyDescent="0.25">
      <c r="A4406" t="s">
        <v>3092</v>
      </c>
      <c r="B4406" t="s">
        <v>4293</v>
      </c>
      <c r="C4406" t="s">
        <v>3060</v>
      </c>
      <c r="D4406" t="s">
        <v>4294</v>
      </c>
      <c r="E4406" t="s">
        <v>4295</v>
      </c>
    </row>
    <row r="4407" spans="1:5" x14ac:dyDescent="0.25">
      <c r="A4407" t="s">
        <v>3092</v>
      </c>
      <c r="B4407" t="s">
        <v>4296</v>
      </c>
      <c r="C4407" t="s">
        <v>3060</v>
      </c>
      <c r="D4407" t="s">
        <v>4297</v>
      </c>
      <c r="E4407" t="s">
        <v>4280</v>
      </c>
    </row>
    <row r="4408" spans="1:5" x14ac:dyDescent="0.25">
      <c r="A4408" t="s">
        <v>3092</v>
      </c>
      <c r="B4408" t="s">
        <v>4298</v>
      </c>
      <c r="C4408" t="s">
        <v>3060</v>
      </c>
      <c r="D4408" t="s">
        <v>4299</v>
      </c>
      <c r="E4408" t="s">
        <v>4295</v>
      </c>
    </row>
    <row r="4409" spans="1:5" x14ac:dyDescent="0.25">
      <c r="A4409" t="s">
        <v>3092</v>
      </c>
      <c r="B4409" t="s">
        <v>4300</v>
      </c>
      <c r="C4409" t="s">
        <v>3060</v>
      </c>
      <c r="D4409" t="s">
        <v>4301</v>
      </c>
      <c r="E4409" t="s">
        <v>4302</v>
      </c>
    </row>
    <row r="4410" spans="1:5" x14ac:dyDescent="0.25">
      <c r="A4410" t="s">
        <v>3092</v>
      </c>
      <c r="B4410" t="s">
        <v>4303</v>
      </c>
      <c r="C4410" t="s">
        <v>3060</v>
      </c>
      <c r="D4410" t="s">
        <v>4304</v>
      </c>
      <c r="E4410" t="s">
        <v>4305</v>
      </c>
    </row>
    <row r="4411" spans="1:5" x14ac:dyDescent="0.25">
      <c r="A4411" t="s">
        <v>3092</v>
      </c>
      <c r="B4411" t="s">
        <v>4306</v>
      </c>
      <c r="C4411" t="s">
        <v>3060</v>
      </c>
      <c r="D4411" t="s">
        <v>4307</v>
      </c>
      <c r="E4411" t="s">
        <v>4308</v>
      </c>
    </row>
    <row r="4412" spans="1:5" x14ac:dyDescent="0.25">
      <c r="A4412" t="s">
        <v>3092</v>
      </c>
      <c r="B4412" t="s">
        <v>4309</v>
      </c>
      <c r="C4412" t="s">
        <v>3060</v>
      </c>
      <c r="D4412" t="s">
        <v>4310</v>
      </c>
      <c r="E4412" t="s">
        <v>4311</v>
      </c>
    </row>
    <row r="4413" spans="1:5" x14ac:dyDescent="0.25">
      <c r="A4413" t="s">
        <v>3092</v>
      </c>
      <c r="B4413" t="s">
        <v>4312</v>
      </c>
      <c r="C4413" t="s">
        <v>3060</v>
      </c>
      <c r="D4413" t="s">
        <v>4313</v>
      </c>
      <c r="E4413" t="s">
        <v>4292</v>
      </c>
    </row>
    <row r="4414" spans="1:5" x14ac:dyDescent="0.25">
      <c r="A4414" t="s">
        <v>3092</v>
      </c>
      <c r="B4414" t="s">
        <v>4314</v>
      </c>
      <c r="C4414" t="s">
        <v>3060</v>
      </c>
      <c r="D4414" t="s">
        <v>4315</v>
      </c>
      <c r="E4414" t="s">
        <v>4280</v>
      </c>
    </row>
    <row r="4415" spans="1:5" x14ac:dyDescent="0.25">
      <c r="A4415" t="s">
        <v>3092</v>
      </c>
      <c r="B4415" t="s">
        <v>4316</v>
      </c>
      <c r="C4415" t="s">
        <v>3060</v>
      </c>
      <c r="D4415" t="s">
        <v>4317</v>
      </c>
      <c r="E4415" t="s">
        <v>4280</v>
      </c>
    </row>
    <row r="4416" spans="1:5" x14ac:dyDescent="0.25">
      <c r="A4416" t="s">
        <v>3092</v>
      </c>
      <c r="B4416" t="s">
        <v>4318</v>
      </c>
      <c r="C4416" t="s">
        <v>3060</v>
      </c>
      <c r="D4416" t="s">
        <v>4319</v>
      </c>
      <c r="E4416" t="s">
        <v>4252</v>
      </c>
    </row>
    <row r="4417" spans="1:5" x14ac:dyDescent="0.25">
      <c r="A4417" t="s">
        <v>3092</v>
      </c>
      <c r="B4417" t="s">
        <v>4320</v>
      </c>
      <c r="C4417" t="s">
        <v>3060</v>
      </c>
      <c r="D4417" t="s">
        <v>4321</v>
      </c>
      <c r="E4417" t="s">
        <v>4252</v>
      </c>
    </row>
    <row r="4418" spans="1:5" x14ac:dyDescent="0.25">
      <c r="A4418" t="s">
        <v>3092</v>
      </c>
      <c r="B4418" t="s">
        <v>4322</v>
      </c>
      <c r="C4418" t="s">
        <v>3060</v>
      </c>
      <c r="D4418" t="s">
        <v>4323</v>
      </c>
      <c r="E4418" t="s">
        <v>4269</v>
      </c>
    </row>
    <row r="4419" spans="1:5" x14ac:dyDescent="0.25">
      <c r="A4419" t="s">
        <v>3092</v>
      </c>
      <c r="B4419" t="s">
        <v>4324</v>
      </c>
      <c r="C4419" t="s">
        <v>3060</v>
      </c>
      <c r="D4419" t="s">
        <v>4325</v>
      </c>
      <c r="E4419" t="s">
        <v>4280</v>
      </c>
    </row>
    <row r="4420" spans="1:5" x14ac:dyDescent="0.25">
      <c r="A4420" t="s">
        <v>3092</v>
      </c>
      <c r="B4420" t="s">
        <v>4326</v>
      </c>
      <c r="C4420" t="s">
        <v>3060</v>
      </c>
      <c r="D4420" t="s">
        <v>4327</v>
      </c>
      <c r="E4420" t="s">
        <v>4269</v>
      </c>
    </row>
    <row r="4421" spans="1:5" x14ac:dyDescent="0.25">
      <c r="A4421" t="s">
        <v>3092</v>
      </c>
      <c r="B4421" t="s">
        <v>4328</v>
      </c>
      <c r="C4421" t="s">
        <v>3060</v>
      </c>
      <c r="D4421" t="s">
        <v>4329</v>
      </c>
      <c r="E4421" t="s">
        <v>4330</v>
      </c>
    </row>
    <row r="4422" spans="1:5" x14ac:dyDescent="0.25">
      <c r="A4422" t="s">
        <v>3092</v>
      </c>
      <c r="B4422" t="s">
        <v>4331</v>
      </c>
      <c r="C4422" t="s">
        <v>3060</v>
      </c>
      <c r="D4422" t="s">
        <v>4332</v>
      </c>
      <c r="E4422" t="s">
        <v>4292</v>
      </c>
    </row>
    <row r="4423" spans="1:5" x14ac:dyDescent="0.25">
      <c r="A4423" t="s">
        <v>3092</v>
      </c>
      <c r="B4423" t="s">
        <v>4333</v>
      </c>
      <c r="C4423" t="s">
        <v>3060</v>
      </c>
      <c r="D4423" t="s">
        <v>4334</v>
      </c>
      <c r="E4423" t="s">
        <v>4302</v>
      </c>
    </row>
    <row r="4424" spans="1:5" x14ac:dyDescent="0.25">
      <c r="A4424" t="s">
        <v>3092</v>
      </c>
      <c r="B4424" t="s">
        <v>4335</v>
      </c>
      <c r="C4424" t="s">
        <v>3060</v>
      </c>
      <c r="D4424" t="s">
        <v>4336</v>
      </c>
      <c r="E4424" t="s">
        <v>4275</v>
      </c>
    </row>
    <row r="4425" spans="1:5" x14ac:dyDescent="0.25">
      <c r="A4425" t="s">
        <v>3092</v>
      </c>
      <c r="B4425" t="s">
        <v>4337</v>
      </c>
      <c r="C4425" t="s">
        <v>3060</v>
      </c>
      <c r="D4425" t="s">
        <v>4338</v>
      </c>
      <c r="E4425" t="s">
        <v>4308</v>
      </c>
    </row>
    <row r="4426" spans="1:5" x14ac:dyDescent="0.25">
      <c r="A4426" t="s">
        <v>3092</v>
      </c>
      <c r="B4426" t="s">
        <v>4339</v>
      </c>
      <c r="C4426" t="s">
        <v>3060</v>
      </c>
      <c r="D4426" t="s">
        <v>4340</v>
      </c>
      <c r="E4426" t="s">
        <v>4280</v>
      </c>
    </row>
    <row r="4427" spans="1:5" x14ac:dyDescent="0.25">
      <c r="A4427" t="s">
        <v>3092</v>
      </c>
      <c r="B4427" t="s">
        <v>4341</v>
      </c>
      <c r="C4427" t="s">
        <v>3060</v>
      </c>
      <c r="D4427" t="s">
        <v>4342</v>
      </c>
      <c r="E4427" t="s">
        <v>4330</v>
      </c>
    </row>
    <row r="4428" spans="1:5" x14ac:dyDescent="0.25">
      <c r="A4428" t="s">
        <v>3092</v>
      </c>
      <c r="B4428" t="s">
        <v>4343</v>
      </c>
      <c r="C4428" t="s">
        <v>3060</v>
      </c>
      <c r="D4428" t="s">
        <v>4344</v>
      </c>
      <c r="E4428" t="s">
        <v>4345</v>
      </c>
    </row>
    <row r="4429" spans="1:5" x14ac:dyDescent="0.25">
      <c r="A4429" t="s">
        <v>3092</v>
      </c>
      <c r="B4429" t="s">
        <v>4346</v>
      </c>
      <c r="C4429" t="s">
        <v>3060</v>
      </c>
      <c r="D4429" t="s">
        <v>4347</v>
      </c>
      <c r="E4429" t="s">
        <v>4345</v>
      </c>
    </row>
    <row r="4430" spans="1:5" x14ac:dyDescent="0.25">
      <c r="A4430" t="s">
        <v>3092</v>
      </c>
      <c r="B4430" t="s">
        <v>4348</v>
      </c>
      <c r="C4430" t="s">
        <v>3060</v>
      </c>
      <c r="D4430" t="s">
        <v>4349</v>
      </c>
      <c r="E4430" t="s">
        <v>4252</v>
      </c>
    </row>
    <row r="4431" spans="1:5" x14ac:dyDescent="0.25">
      <c r="A4431" t="s">
        <v>3092</v>
      </c>
      <c r="B4431" t="s">
        <v>4350</v>
      </c>
      <c r="C4431" t="s">
        <v>3060</v>
      </c>
      <c r="D4431" t="s">
        <v>4351</v>
      </c>
      <c r="E4431" t="s">
        <v>4352</v>
      </c>
    </row>
    <row r="4432" spans="1:5" x14ac:dyDescent="0.25">
      <c r="A4432" t="s">
        <v>3092</v>
      </c>
      <c r="B4432" t="s">
        <v>4353</v>
      </c>
      <c r="C4432" t="s">
        <v>3060</v>
      </c>
      <c r="D4432" t="s">
        <v>4313</v>
      </c>
      <c r="E4432" t="s">
        <v>4354</v>
      </c>
    </row>
    <row r="4433" spans="1:5" x14ac:dyDescent="0.25">
      <c r="A4433" t="s">
        <v>3092</v>
      </c>
      <c r="B4433" t="s">
        <v>4355</v>
      </c>
      <c r="C4433" t="s">
        <v>3060</v>
      </c>
      <c r="D4433" t="s">
        <v>4315</v>
      </c>
      <c r="E4433" t="s">
        <v>4356</v>
      </c>
    </row>
    <row r="4434" spans="1:5" x14ac:dyDescent="0.25">
      <c r="A4434" t="s">
        <v>3092</v>
      </c>
      <c r="B4434" t="s">
        <v>4357</v>
      </c>
      <c r="C4434" t="s">
        <v>3060</v>
      </c>
      <c r="D4434" t="s">
        <v>4317</v>
      </c>
      <c r="E4434" t="s">
        <v>4356</v>
      </c>
    </row>
    <row r="4435" spans="1:5" x14ac:dyDescent="0.25">
      <c r="A4435" t="s">
        <v>3092</v>
      </c>
      <c r="B4435" t="s">
        <v>4358</v>
      </c>
      <c r="C4435" t="s">
        <v>3060</v>
      </c>
      <c r="D4435" t="s">
        <v>4319</v>
      </c>
      <c r="E4435" t="s">
        <v>4272</v>
      </c>
    </row>
    <row r="4436" spans="1:5" x14ac:dyDescent="0.25">
      <c r="A4436" t="s">
        <v>3092</v>
      </c>
      <c r="B4436" t="s">
        <v>4359</v>
      </c>
      <c r="C4436" t="s">
        <v>3060</v>
      </c>
      <c r="D4436" t="s">
        <v>4321</v>
      </c>
      <c r="E4436" t="s">
        <v>4272</v>
      </c>
    </row>
    <row r="4437" spans="1:5" x14ac:dyDescent="0.25">
      <c r="A4437" t="s">
        <v>3092</v>
      </c>
      <c r="B4437" t="s">
        <v>4360</v>
      </c>
      <c r="C4437" t="s">
        <v>3060</v>
      </c>
      <c r="D4437" t="s">
        <v>4323</v>
      </c>
      <c r="E4437" t="s">
        <v>4272</v>
      </c>
    </row>
    <row r="4438" spans="1:5" x14ac:dyDescent="0.25">
      <c r="A4438" t="s">
        <v>3092</v>
      </c>
      <c r="B4438" t="s">
        <v>4361</v>
      </c>
      <c r="C4438" t="s">
        <v>3060</v>
      </c>
      <c r="D4438" t="s">
        <v>4325</v>
      </c>
      <c r="E4438" t="s">
        <v>4356</v>
      </c>
    </row>
    <row r="4439" spans="1:5" x14ac:dyDescent="0.25">
      <c r="A4439" t="s">
        <v>3092</v>
      </c>
      <c r="B4439" t="s">
        <v>4362</v>
      </c>
      <c r="C4439" t="s">
        <v>3060</v>
      </c>
      <c r="D4439" t="s">
        <v>4327</v>
      </c>
      <c r="E4439" t="s">
        <v>4272</v>
      </c>
    </row>
    <row r="4440" spans="1:5" x14ac:dyDescent="0.25">
      <c r="A4440" t="s">
        <v>3092</v>
      </c>
      <c r="B4440" t="s">
        <v>4363</v>
      </c>
      <c r="C4440" t="s">
        <v>3060</v>
      </c>
      <c r="D4440" t="s">
        <v>4329</v>
      </c>
      <c r="E4440" t="s">
        <v>4364</v>
      </c>
    </row>
    <row r="4441" spans="1:5" x14ac:dyDescent="0.25">
      <c r="A4441" t="s">
        <v>3092</v>
      </c>
      <c r="B4441" t="s">
        <v>4365</v>
      </c>
      <c r="C4441" t="s">
        <v>3060</v>
      </c>
      <c r="D4441" t="s">
        <v>4332</v>
      </c>
      <c r="E4441" t="s">
        <v>4305</v>
      </c>
    </row>
    <row r="4442" spans="1:5" x14ac:dyDescent="0.25">
      <c r="A4442" t="s">
        <v>3092</v>
      </c>
      <c r="B4442" t="s">
        <v>4366</v>
      </c>
      <c r="C4442" t="s">
        <v>3060</v>
      </c>
      <c r="D4442" t="s">
        <v>4334</v>
      </c>
      <c r="E4442" t="s">
        <v>4364</v>
      </c>
    </row>
    <row r="4443" spans="1:5" x14ac:dyDescent="0.25">
      <c r="A4443" t="s">
        <v>3092</v>
      </c>
      <c r="B4443" t="s">
        <v>4367</v>
      </c>
      <c r="C4443" t="s">
        <v>3060</v>
      </c>
      <c r="D4443" t="s">
        <v>4336</v>
      </c>
      <c r="E4443" t="s">
        <v>4311</v>
      </c>
    </row>
    <row r="4444" spans="1:5" x14ac:dyDescent="0.25">
      <c r="A4444" t="s">
        <v>3092</v>
      </c>
      <c r="B4444" t="s">
        <v>4368</v>
      </c>
      <c r="C4444" t="s">
        <v>3060</v>
      </c>
      <c r="D4444" t="s">
        <v>4338</v>
      </c>
      <c r="E4444" t="s">
        <v>4369</v>
      </c>
    </row>
    <row r="4445" spans="1:5" x14ac:dyDescent="0.25">
      <c r="A4445" t="s">
        <v>3092</v>
      </c>
      <c r="B4445" t="s">
        <v>4370</v>
      </c>
      <c r="C4445" t="s">
        <v>3060</v>
      </c>
      <c r="D4445" t="s">
        <v>4340</v>
      </c>
      <c r="E4445" t="s">
        <v>4364</v>
      </c>
    </row>
    <row r="4446" spans="1:5" x14ac:dyDescent="0.25">
      <c r="A4446" t="s">
        <v>3092</v>
      </c>
      <c r="B4446" t="s">
        <v>4371</v>
      </c>
      <c r="C4446" t="s">
        <v>3060</v>
      </c>
      <c r="D4446" t="s">
        <v>4342</v>
      </c>
      <c r="E4446" t="s">
        <v>4372</v>
      </c>
    </row>
    <row r="4447" spans="1:5" x14ac:dyDescent="0.25">
      <c r="A4447" t="s">
        <v>3092</v>
      </c>
      <c r="B4447" t="s">
        <v>4373</v>
      </c>
      <c r="C4447" t="s">
        <v>3060</v>
      </c>
      <c r="D4447" t="s">
        <v>4344</v>
      </c>
      <c r="E4447" t="s">
        <v>4364</v>
      </c>
    </row>
    <row r="4448" spans="1:5" x14ac:dyDescent="0.25">
      <c r="A4448" t="s">
        <v>3092</v>
      </c>
      <c r="B4448" t="s">
        <v>4374</v>
      </c>
      <c r="C4448" t="s">
        <v>3060</v>
      </c>
      <c r="D4448" t="s">
        <v>4347</v>
      </c>
      <c r="E4448" t="s">
        <v>4283</v>
      </c>
    </row>
    <row r="4449" spans="1:5" x14ac:dyDescent="0.25">
      <c r="A4449" t="s">
        <v>3092</v>
      </c>
      <c r="B4449" t="s">
        <v>4375</v>
      </c>
      <c r="C4449" t="s">
        <v>3060</v>
      </c>
      <c r="D4449" t="s">
        <v>4349</v>
      </c>
      <c r="E4449" t="s">
        <v>4283</v>
      </c>
    </row>
    <row r="4450" spans="1:5" x14ac:dyDescent="0.25">
      <c r="A4450" t="s">
        <v>3092</v>
      </c>
      <c r="B4450" t="s">
        <v>4376</v>
      </c>
      <c r="C4450" t="s">
        <v>3060</v>
      </c>
      <c r="D4450" t="s">
        <v>4351</v>
      </c>
      <c r="E4450" t="s">
        <v>4377</v>
      </c>
    </row>
    <row r="4451" spans="1:5" x14ac:dyDescent="0.25">
      <c r="A4451" t="s">
        <v>3092</v>
      </c>
      <c r="B4451" t="s">
        <v>4378</v>
      </c>
      <c r="C4451" t="s">
        <v>3060</v>
      </c>
      <c r="D4451" t="s">
        <v>4313</v>
      </c>
      <c r="E4451" t="s">
        <v>4255</v>
      </c>
    </row>
    <row r="4452" spans="1:5" x14ac:dyDescent="0.25">
      <c r="A4452" t="s">
        <v>3092</v>
      </c>
      <c r="B4452" t="s">
        <v>4379</v>
      </c>
      <c r="C4452" t="s">
        <v>3060</v>
      </c>
      <c r="D4452" t="s">
        <v>4315</v>
      </c>
      <c r="E4452" t="s">
        <v>4377</v>
      </c>
    </row>
    <row r="4453" spans="1:5" x14ac:dyDescent="0.25">
      <c r="A4453" t="s">
        <v>3092</v>
      </c>
      <c r="B4453" t="s">
        <v>4380</v>
      </c>
      <c r="C4453" t="s">
        <v>3060</v>
      </c>
      <c r="D4453" t="s">
        <v>4317</v>
      </c>
      <c r="E4453" t="s">
        <v>4381</v>
      </c>
    </row>
    <row r="4454" spans="1:5" x14ac:dyDescent="0.25">
      <c r="A4454" t="s">
        <v>3092</v>
      </c>
      <c r="B4454" t="s">
        <v>4382</v>
      </c>
      <c r="C4454" t="s">
        <v>3060</v>
      </c>
      <c r="D4454" t="s">
        <v>4319</v>
      </c>
      <c r="E4454" t="s">
        <v>4305</v>
      </c>
    </row>
    <row r="4455" spans="1:5" x14ac:dyDescent="0.25">
      <c r="A4455" t="s">
        <v>3092</v>
      </c>
      <c r="B4455" t="s">
        <v>4383</v>
      </c>
      <c r="C4455" t="s">
        <v>3060</v>
      </c>
      <c r="D4455" t="s">
        <v>4321</v>
      </c>
      <c r="E4455" t="s">
        <v>4305</v>
      </c>
    </row>
    <row r="4456" spans="1:5" x14ac:dyDescent="0.25">
      <c r="A4456" t="s">
        <v>3092</v>
      </c>
      <c r="B4456" t="s">
        <v>4384</v>
      </c>
      <c r="C4456" t="s">
        <v>3060</v>
      </c>
      <c r="D4456" t="s">
        <v>4323</v>
      </c>
      <c r="E4456" t="s">
        <v>4305</v>
      </c>
    </row>
    <row r="4457" spans="1:5" x14ac:dyDescent="0.25">
      <c r="A4457" t="s">
        <v>3092</v>
      </c>
      <c r="B4457" t="s">
        <v>4385</v>
      </c>
      <c r="C4457" t="s">
        <v>3060</v>
      </c>
      <c r="D4457" t="s">
        <v>4325</v>
      </c>
      <c r="E4457" t="s">
        <v>4381</v>
      </c>
    </row>
    <row r="4458" spans="1:5" x14ac:dyDescent="0.25">
      <c r="A4458" t="s">
        <v>3092</v>
      </c>
      <c r="B4458" t="s">
        <v>4386</v>
      </c>
      <c r="C4458" t="s">
        <v>3060</v>
      </c>
      <c r="D4458" t="s">
        <v>4327</v>
      </c>
      <c r="E4458" t="s">
        <v>4305</v>
      </c>
    </row>
    <row r="4459" spans="1:5" x14ac:dyDescent="0.25">
      <c r="A4459" t="s">
        <v>3092</v>
      </c>
      <c r="B4459" t="s">
        <v>4387</v>
      </c>
      <c r="C4459" t="s">
        <v>3060</v>
      </c>
      <c r="D4459" t="s">
        <v>4329</v>
      </c>
      <c r="E4459" t="s">
        <v>4388</v>
      </c>
    </row>
    <row r="4460" spans="1:5" x14ac:dyDescent="0.25">
      <c r="A4460" t="s">
        <v>3092</v>
      </c>
      <c r="B4460" t="s">
        <v>4389</v>
      </c>
      <c r="C4460" t="s">
        <v>3060</v>
      </c>
      <c r="D4460" t="s">
        <v>4332</v>
      </c>
      <c r="E4460" t="s">
        <v>4388</v>
      </c>
    </row>
    <row r="4461" spans="1:5" x14ac:dyDescent="0.25">
      <c r="A4461" t="s">
        <v>3092</v>
      </c>
      <c r="B4461" t="s">
        <v>4390</v>
      </c>
      <c r="C4461" t="s">
        <v>3060</v>
      </c>
      <c r="D4461" t="s">
        <v>4334</v>
      </c>
      <c r="E4461" t="s">
        <v>4391</v>
      </c>
    </row>
    <row r="4462" spans="1:5" x14ac:dyDescent="0.25">
      <c r="A4462" t="s">
        <v>3092</v>
      </c>
      <c r="B4462" t="s">
        <v>4392</v>
      </c>
      <c r="C4462" t="s">
        <v>3060</v>
      </c>
      <c r="D4462" t="s">
        <v>4336</v>
      </c>
      <c r="E4462" t="s">
        <v>4393</v>
      </c>
    </row>
    <row r="4463" spans="1:5" x14ac:dyDescent="0.25">
      <c r="A4463" t="s">
        <v>3092</v>
      </c>
      <c r="B4463" t="s">
        <v>4394</v>
      </c>
      <c r="C4463" t="s">
        <v>3060</v>
      </c>
      <c r="D4463" t="s">
        <v>4338</v>
      </c>
      <c r="E4463" t="s">
        <v>4395</v>
      </c>
    </row>
    <row r="4464" spans="1:5" x14ac:dyDescent="0.25">
      <c r="A4464" t="s">
        <v>3092</v>
      </c>
      <c r="B4464" t="s">
        <v>4396</v>
      </c>
      <c r="C4464" t="s">
        <v>3060</v>
      </c>
      <c r="D4464" t="s">
        <v>4340</v>
      </c>
      <c r="E4464" t="s">
        <v>4381</v>
      </c>
    </row>
    <row r="4465" spans="1:5" x14ac:dyDescent="0.25">
      <c r="A4465" t="s">
        <v>3092</v>
      </c>
      <c r="B4465" t="s">
        <v>4397</v>
      </c>
      <c r="C4465" t="s">
        <v>3060</v>
      </c>
      <c r="D4465" t="s">
        <v>4342</v>
      </c>
      <c r="E4465" t="s">
        <v>4398</v>
      </c>
    </row>
    <row r="4466" spans="1:5" x14ac:dyDescent="0.25">
      <c r="A4466" t="s">
        <v>3092</v>
      </c>
      <c r="B4466" t="s">
        <v>4399</v>
      </c>
      <c r="C4466" t="s">
        <v>3060</v>
      </c>
      <c r="D4466" t="s">
        <v>4344</v>
      </c>
      <c r="E4466" t="s">
        <v>4398</v>
      </c>
    </row>
    <row r="4467" spans="1:5" x14ac:dyDescent="0.25">
      <c r="A4467" t="s">
        <v>3092</v>
      </c>
      <c r="B4467" t="s">
        <v>4400</v>
      </c>
      <c r="C4467" t="s">
        <v>3060</v>
      </c>
      <c r="D4467" t="s">
        <v>4347</v>
      </c>
      <c r="E4467" t="s">
        <v>4401</v>
      </c>
    </row>
    <row r="4468" spans="1:5" x14ac:dyDescent="0.25">
      <c r="A4468" t="s">
        <v>3092</v>
      </c>
      <c r="B4468" t="s">
        <v>4402</v>
      </c>
      <c r="C4468" t="s">
        <v>3060</v>
      </c>
      <c r="D4468" t="s">
        <v>4349</v>
      </c>
      <c r="E4468" t="s">
        <v>4403</v>
      </c>
    </row>
    <row r="4469" spans="1:5" x14ac:dyDescent="0.25">
      <c r="A4469" t="s">
        <v>3092</v>
      </c>
      <c r="B4469" t="s">
        <v>4404</v>
      </c>
      <c r="C4469" t="s">
        <v>3060</v>
      </c>
      <c r="D4469" t="s">
        <v>4351</v>
      </c>
      <c r="E4469" t="s">
        <v>4381</v>
      </c>
    </row>
    <row r="4470" spans="1:5" x14ac:dyDescent="0.25">
      <c r="A4470" t="s">
        <v>3092</v>
      </c>
      <c r="B4470" t="s">
        <v>4405</v>
      </c>
      <c r="C4470" t="s">
        <v>3060</v>
      </c>
      <c r="D4470" t="s">
        <v>4317</v>
      </c>
      <c r="E4470" t="s">
        <v>4406</v>
      </c>
    </row>
    <row r="4471" spans="1:5" x14ac:dyDescent="0.25">
      <c r="A4471" t="s">
        <v>3092</v>
      </c>
      <c r="B4471" t="s">
        <v>4407</v>
      </c>
      <c r="C4471" t="s">
        <v>3060</v>
      </c>
      <c r="D4471" t="s">
        <v>4319</v>
      </c>
      <c r="E4471" t="s">
        <v>4408</v>
      </c>
    </row>
    <row r="4472" spans="1:5" x14ac:dyDescent="0.25">
      <c r="A4472" t="s">
        <v>3092</v>
      </c>
      <c r="B4472" t="s">
        <v>4409</v>
      </c>
      <c r="C4472" t="s">
        <v>3060</v>
      </c>
      <c r="D4472" t="s">
        <v>4323</v>
      </c>
      <c r="E4472" t="s">
        <v>4408</v>
      </c>
    </row>
    <row r="4473" spans="1:5" x14ac:dyDescent="0.25">
      <c r="A4473" t="s">
        <v>3092</v>
      </c>
      <c r="B4473" t="s">
        <v>4410</v>
      </c>
      <c r="C4473" t="s">
        <v>3060</v>
      </c>
      <c r="D4473" t="s">
        <v>4325</v>
      </c>
      <c r="E4473" t="s">
        <v>4408</v>
      </c>
    </row>
    <row r="4474" spans="1:5" x14ac:dyDescent="0.25">
      <c r="A4474" t="s">
        <v>3092</v>
      </c>
      <c r="B4474" t="s">
        <v>4411</v>
      </c>
      <c r="C4474" t="s">
        <v>3060</v>
      </c>
      <c r="D4474" t="s">
        <v>4327</v>
      </c>
      <c r="E4474" t="s">
        <v>4408</v>
      </c>
    </row>
    <row r="4475" spans="1:5" x14ac:dyDescent="0.25">
      <c r="A4475" t="s">
        <v>3092</v>
      </c>
      <c r="B4475" t="s">
        <v>4412</v>
      </c>
      <c r="C4475" t="s">
        <v>3060</v>
      </c>
      <c r="D4475" t="s">
        <v>4329</v>
      </c>
      <c r="E4475" t="s">
        <v>4413</v>
      </c>
    </row>
    <row r="4476" spans="1:5" x14ac:dyDescent="0.25">
      <c r="A4476" t="s">
        <v>3092</v>
      </c>
      <c r="B4476" t="s">
        <v>4414</v>
      </c>
      <c r="C4476" t="s">
        <v>3060</v>
      </c>
      <c r="D4476" t="s">
        <v>4332</v>
      </c>
      <c r="E4476" t="s">
        <v>4415</v>
      </c>
    </row>
    <row r="4477" spans="1:5" x14ac:dyDescent="0.25">
      <c r="A4477" t="s">
        <v>3092</v>
      </c>
      <c r="B4477" t="s">
        <v>4416</v>
      </c>
      <c r="C4477" t="s">
        <v>3060</v>
      </c>
      <c r="D4477" t="s">
        <v>4336</v>
      </c>
      <c r="E4477" t="s">
        <v>4417</v>
      </c>
    </row>
    <row r="4478" spans="1:5" x14ac:dyDescent="0.25">
      <c r="A4478" t="s">
        <v>3092</v>
      </c>
      <c r="B4478" t="s">
        <v>4418</v>
      </c>
      <c r="C4478" t="s">
        <v>3060</v>
      </c>
      <c r="D4478" t="s">
        <v>4338</v>
      </c>
      <c r="E4478" t="s">
        <v>4419</v>
      </c>
    </row>
    <row r="4479" spans="1:5" x14ac:dyDescent="0.25">
      <c r="A4479" t="s">
        <v>3092</v>
      </c>
      <c r="B4479" t="s">
        <v>4420</v>
      </c>
      <c r="C4479" t="s">
        <v>3060</v>
      </c>
      <c r="D4479" t="s">
        <v>4340</v>
      </c>
      <c r="E4479" t="s">
        <v>4421</v>
      </c>
    </row>
    <row r="4480" spans="1:5" x14ac:dyDescent="0.25">
      <c r="A4480" t="s">
        <v>3092</v>
      </c>
      <c r="B4480" t="s">
        <v>4422</v>
      </c>
      <c r="C4480" t="s">
        <v>3060</v>
      </c>
      <c r="D4480" t="s">
        <v>4342</v>
      </c>
      <c r="E4480" t="s">
        <v>4423</v>
      </c>
    </row>
    <row r="4481" spans="1:5" x14ac:dyDescent="0.25">
      <c r="A4481" t="s">
        <v>3092</v>
      </c>
      <c r="B4481" t="s">
        <v>4424</v>
      </c>
      <c r="C4481" t="s">
        <v>3060</v>
      </c>
      <c r="D4481" t="s">
        <v>4344</v>
      </c>
      <c r="E4481" t="s">
        <v>4425</v>
      </c>
    </row>
    <row r="4482" spans="1:5" x14ac:dyDescent="0.25">
      <c r="A4482" t="s">
        <v>3092</v>
      </c>
      <c r="B4482" t="s">
        <v>4426</v>
      </c>
      <c r="C4482" t="s">
        <v>3060</v>
      </c>
      <c r="D4482" t="s">
        <v>4349</v>
      </c>
      <c r="E4482" t="s">
        <v>4425</v>
      </c>
    </row>
    <row r="4483" spans="1:5" x14ac:dyDescent="0.25">
      <c r="A4483" t="s">
        <v>3092</v>
      </c>
      <c r="B4483" t="s">
        <v>4427</v>
      </c>
      <c r="C4483" t="s">
        <v>3060</v>
      </c>
      <c r="D4483" t="s">
        <v>4351</v>
      </c>
      <c r="E4483" t="s">
        <v>4425</v>
      </c>
    </row>
    <row r="4484" spans="1:5" x14ac:dyDescent="0.25">
      <c r="A4484" t="s">
        <v>3092</v>
      </c>
      <c r="B4484" t="s">
        <v>2610</v>
      </c>
      <c r="C4484" t="s">
        <v>3060</v>
      </c>
      <c r="D4484" t="s">
        <v>4428</v>
      </c>
      <c r="E4484" t="s">
        <v>4429</v>
      </c>
    </row>
    <row r="4485" spans="1:5" x14ac:dyDescent="0.25">
      <c r="A4485" t="s">
        <v>3092</v>
      </c>
      <c r="B4485" t="s">
        <v>153</v>
      </c>
      <c r="C4485" t="s">
        <v>3060</v>
      </c>
      <c r="D4485" t="s">
        <v>4430</v>
      </c>
      <c r="E4485" t="s">
        <v>4431</v>
      </c>
    </row>
    <row r="4486" spans="1:5" x14ac:dyDescent="0.25">
      <c r="A4486" t="s">
        <v>3092</v>
      </c>
      <c r="B4486" t="s">
        <v>1159</v>
      </c>
      <c r="C4486" t="s">
        <v>3060</v>
      </c>
      <c r="D4486" t="s">
        <v>4432</v>
      </c>
      <c r="E4486" t="s">
        <v>4433</v>
      </c>
    </row>
    <row r="4487" spans="1:5" x14ac:dyDescent="0.25">
      <c r="A4487" t="s">
        <v>3092</v>
      </c>
      <c r="B4487" t="s">
        <v>4434</v>
      </c>
      <c r="C4487" t="s">
        <v>3060</v>
      </c>
      <c r="D4487" t="s">
        <v>4435</v>
      </c>
      <c r="E4487" t="s">
        <v>4436</v>
      </c>
    </row>
    <row r="4488" spans="1:5" x14ac:dyDescent="0.25">
      <c r="A4488" t="s">
        <v>3092</v>
      </c>
      <c r="B4488" t="s">
        <v>4437</v>
      </c>
      <c r="C4488" t="s">
        <v>3060</v>
      </c>
      <c r="D4488" t="s">
        <v>4438</v>
      </c>
      <c r="E4488" t="s">
        <v>4295</v>
      </c>
    </row>
    <row r="4489" spans="1:5" x14ac:dyDescent="0.25">
      <c r="A4489" t="s">
        <v>3092</v>
      </c>
      <c r="B4489" t="s">
        <v>4439</v>
      </c>
      <c r="C4489" t="s">
        <v>3060</v>
      </c>
      <c r="D4489" t="s">
        <v>4440</v>
      </c>
      <c r="E4489" t="s">
        <v>4398</v>
      </c>
    </row>
    <row r="4490" spans="1:5" x14ac:dyDescent="0.25">
      <c r="A4490" t="s">
        <v>3092</v>
      </c>
      <c r="B4490" t="s">
        <v>4441</v>
      </c>
      <c r="C4490" t="s">
        <v>3060</v>
      </c>
      <c r="D4490" t="s">
        <v>4442</v>
      </c>
      <c r="E4490" t="s">
        <v>4252</v>
      </c>
    </row>
    <row r="4491" spans="1:5" x14ac:dyDescent="0.25">
      <c r="A4491" t="s">
        <v>3092</v>
      </c>
      <c r="B4491" t="s">
        <v>4443</v>
      </c>
      <c r="C4491" t="s">
        <v>3060</v>
      </c>
      <c r="D4491" t="s">
        <v>4444</v>
      </c>
      <c r="E4491" t="s">
        <v>4354</v>
      </c>
    </row>
    <row r="4492" spans="1:5" x14ac:dyDescent="0.25">
      <c r="A4492" t="s">
        <v>3092</v>
      </c>
      <c r="B4492" t="s">
        <v>4445</v>
      </c>
      <c r="C4492" t="s">
        <v>3060</v>
      </c>
      <c r="D4492" t="s">
        <v>4446</v>
      </c>
      <c r="E4492" t="s">
        <v>4369</v>
      </c>
    </row>
    <row r="4493" spans="1:5" x14ac:dyDescent="0.25">
      <c r="A4493" t="s">
        <v>3092</v>
      </c>
      <c r="B4493" t="s">
        <v>573</v>
      </c>
      <c r="C4493" t="s">
        <v>3060</v>
      </c>
      <c r="D4493" t="s">
        <v>3060</v>
      </c>
      <c r="E4493" t="s">
        <v>4447</v>
      </c>
    </row>
    <row r="4494" spans="1:5" x14ac:dyDescent="0.25">
      <c r="A4494" t="s">
        <v>3092</v>
      </c>
      <c r="B4494" t="s">
        <v>4448</v>
      </c>
      <c r="C4494" t="s">
        <v>3060</v>
      </c>
      <c r="D4494" t="s">
        <v>3060</v>
      </c>
      <c r="E4494" t="s">
        <v>4449</v>
      </c>
    </row>
    <row r="4495" spans="1:5" x14ac:dyDescent="0.25">
      <c r="A4495" t="s">
        <v>3092</v>
      </c>
      <c r="B4495" t="s">
        <v>4450</v>
      </c>
      <c r="C4495" t="s">
        <v>3060</v>
      </c>
      <c r="D4495" t="s">
        <v>3060</v>
      </c>
      <c r="E4495" t="s">
        <v>4451</v>
      </c>
    </row>
    <row r="4496" spans="1:5" x14ac:dyDescent="0.25">
      <c r="A4496" t="s">
        <v>3092</v>
      </c>
      <c r="B4496" t="s">
        <v>4452</v>
      </c>
      <c r="C4496" t="s">
        <v>3060</v>
      </c>
      <c r="D4496" t="s">
        <v>3060</v>
      </c>
      <c r="E4496" t="s">
        <v>4453</v>
      </c>
    </row>
    <row r="4497" spans="1:5" x14ac:dyDescent="0.25">
      <c r="A4497" t="s">
        <v>3092</v>
      </c>
      <c r="B4497" t="s">
        <v>4454</v>
      </c>
      <c r="C4497" t="s">
        <v>3060</v>
      </c>
      <c r="D4497" t="s">
        <v>3060</v>
      </c>
      <c r="E4497" t="s">
        <v>4455</v>
      </c>
    </row>
    <row r="4498" spans="1:5" x14ac:dyDescent="0.25">
      <c r="A4498" t="s">
        <v>3092</v>
      </c>
      <c r="B4498" t="s">
        <v>4456</v>
      </c>
      <c r="C4498" t="s">
        <v>3060</v>
      </c>
      <c r="D4498" t="s">
        <v>3060</v>
      </c>
      <c r="E4498" t="s">
        <v>4433</v>
      </c>
    </row>
    <row r="4499" spans="1:5" x14ac:dyDescent="0.25">
      <c r="A4499" t="s">
        <v>3092</v>
      </c>
      <c r="B4499" t="s">
        <v>4457</v>
      </c>
      <c r="C4499" t="s">
        <v>3060</v>
      </c>
      <c r="D4499" t="s">
        <v>3060</v>
      </c>
      <c r="E4499" t="s">
        <v>4453</v>
      </c>
    </row>
    <row r="4500" spans="1:5" x14ac:dyDescent="0.25">
      <c r="A4500" t="s">
        <v>3092</v>
      </c>
      <c r="B4500" t="s">
        <v>4458</v>
      </c>
      <c r="C4500" t="s">
        <v>3060</v>
      </c>
      <c r="D4500" t="s">
        <v>3060</v>
      </c>
      <c r="E4500" t="s">
        <v>4459</v>
      </c>
    </row>
    <row r="4501" spans="1:5" x14ac:dyDescent="0.25">
      <c r="A4501" t="s">
        <v>3092</v>
      </c>
      <c r="B4501" t="s">
        <v>4460</v>
      </c>
      <c r="C4501" t="s">
        <v>3060</v>
      </c>
      <c r="D4501" t="s">
        <v>3060</v>
      </c>
      <c r="E4501" t="s">
        <v>4292</v>
      </c>
    </row>
    <row r="4502" spans="1:5" x14ac:dyDescent="0.25">
      <c r="A4502" t="s">
        <v>3092</v>
      </c>
      <c r="B4502" t="s">
        <v>578</v>
      </c>
      <c r="C4502" t="s">
        <v>3060</v>
      </c>
      <c r="D4502" t="s">
        <v>4461</v>
      </c>
      <c r="E4502" t="s">
        <v>4252</v>
      </c>
    </row>
    <row r="4503" spans="1:5" x14ac:dyDescent="0.25">
      <c r="A4503" t="s">
        <v>3092</v>
      </c>
      <c r="B4503" t="s">
        <v>4462</v>
      </c>
      <c r="C4503" t="s">
        <v>3060</v>
      </c>
      <c r="D4503" t="s">
        <v>4463</v>
      </c>
      <c r="E4503" t="s">
        <v>4352</v>
      </c>
    </row>
    <row r="4504" spans="1:5" x14ac:dyDescent="0.25">
      <c r="A4504" t="s">
        <v>3092</v>
      </c>
      <c r="B4504" t="s">
        <v>585</v>
      </c>
      <c r="C4504" t="s">
        <v>3060</v>
      </c>
      <c r="D4504" t="s">
        <v>4464</v>
      </c>
      <c r="E4504" t="s">
        <v>4459</v>
      </c>
    </row>
    <row r="4505" spans="1:5" x14ac:dyDescent="0.25">
      <c r="A4505" t="s">
        <v>3092</v>
      </c>
      <c r="B4505" t="s">
        <v>4465</v>
      </c>
      <c r="C4505" t="s">
        <v>3060</v>
      </c>
      <c r="D4505" t="s">
        <v>4466</v>
      </c>
      <c r="E4505" t="s">
        <v>4252</v>
      </c>
    </row>
    <row r="4506" spans="1:5" x14ac:dyDescent="0.25">
      <c r="A4506" t="s">
        <v>3092</v>
      </c>
      <c r="B4506" t="s">
        <v>4467</v>
      </c>
      <c r="C4506" t="s">
        <v>3060</v>
      </c>
      <c r="D4506" t="s">
        <v>4468</v>
      </c>
      <c r="E4506" t="s">
        <v>4280</v>
      </c>
    </row>
    <row r="4507" spans="1:5" x14ac:dyDescent="0.25">
      <c r="A4507" t="s">
        <v>3092</v>
      </c>
      <c r="B4507" t="s">
        <v>4469</v>
      </c>
      <c r="C4507" t="s">
        <v>3060</v>
      </c>
      <c r="D4507" t="s">
        <v>4470</v>
      </c>
      <c r="E4507" t="s">
        <v>4352</v>
      </c>
    </row>
    <row r="4508" spans="1:5" x14ac:dyDescent="0.25">
      <c r="A4508" t="s">
        <v>3092</v>
      </c>
      <c r="B4508" t="s">
        <v>4471</v>
      </c>
      <c r="C4508" t="s">
        <v>3060</v>
      </c>
      <c r="D4508" t="s">
        <v>4472</v>
      </c>
      <c r="E4508" t="s">
        <v>4330</v>
      </c>
    </row>
    <row r="4509" spans="1:5" x14ac:dyDescent="0.25">
      <c r="A4509" t="s">
        <v>3092</v>
      </c>
      <c r="B4509" t="s">
        <v>4473</v>
      </c>
      <c r="C4509" t="s">
        <v>3060</v>
      </c>
      <c r="D4509" t="s">
        <v>4474</v>
      </c>
      <c r="E4509" t="s">
        <v>4475</v>
      </c>
    </row>
    <row r="4510" spans="1:5" x14ac:dyDescent="0.25">
      <c r="A4510" t="s">
        <v>3092</v>
      </c>
      <c r="B4510" t="s">
        <v>4476</v>
      </c>
      <c r="C4510" t="s">
        <v>3060</v>
      </c>
      <c r="D4510" t="s">
        <v>4474</v>
      </c>
      <c r="E4510" t="s">
        <v>4477</v>
      </c>
    </row>
    <row r="4511" spans="1:5" x14ac:dyDescent="0.25">
      <c r="A4511" t="s">
        <v>3092</v>
      </c>
      <c r="B4511" t="s">
        <v>688</v>
      </c>
      <c r="C4511" t="s">
        <v>3060</v>
      </c>
      <c r="D4511" t="s">
        <v>3060</v>
      </c>
      <c r="E4511" t="s">
        <v>4478</v>
      </c>
    </row>
    <row r="4512" spans="1:5" x14ac:dyDescent="0.25">
      <c r="A4512" t="s">
        <v>3092</v>
      </c>
      <c r="B4512" t="s">
        <v>4479</v>
      </c>
      <c r="C4512" t="s">
        <v>3060</v>
      </c>
      <c r="D4512" t="s">
        <v>3060</v>
      </c>
      <c r="E4512" t="s">
        <v>4453</v>
      </c>
    </row>
    <row r="4513" spans="1:5" x14ac:dyDescent="0.25">
      <c r="A4513" t="s">
        <v>3092</v>
      </c>
      <c r="B4513" t="s">
        <v>167</v>
      </c>
      <c r="C4513" t="s">
        <v>3060</v>
      </c>
      <c r="D4513" t="s">
        <v>3060</v>
      </c>
      <c r="E4513" t="s">
        <v>194</v>
      </c>
    </row>
    <row r="4514" spans="1:5" x14ac:dyDescent="0.25">
      <c r="A4514" t="s">
        <v>3092</v>
      </c>
      <c r="B4514" t="s">
        <v>168</v>
      </c>
      <c r="C4514" t="s">
        <v>3060</v>
      </c>
      <c r="D4514" t="s">
        <v>3060</v>
      </c>
      <c r="E4514" t="s">
        <v>194</v>
      </c>
    </row>
    <row r="4515" spans="1:5" x14ac:dyDescent="0.25">
      <c r="A4515" t="s">
        <v>3092</v>
      </c>
      <c r="B4515" t="s">
        <v>169</v>
      </c>
      <c r="C4515" t="s">
        <v>3060</v>
      </c>
      <c r="D4515" t="s">
        <v>3060</v>
      </c>
      <c r="E4515" t="s">
        <v>194</v>
      </c>
    </row>
    <row r="4516" spans="1:5" x14ac:dyDescent="0.25">
      <c r="A4516" t="s">
        <v>3092</v>
      </c>
      <c r="B4516" t="s">
        <v>896</v>
      </c>
      <c r="C4516" t="s">
        <v>3060</v>
      </c>
      <c r="D4516" t="s">
        <v>3060</v>
      </c>
      <c r="E4516" t="s">
        <v>194</v>
      </c>
    </row>
    <row r="4517" spans="1:5" x14ac:dyDescent="0.25">
      <c r="A4517" t="s">
        <v>3092</v>
      </c>
      <c r="B4517" t="s">
        <v>170</v>
      </c>
      <c r="C4517" t="s">
        <v>3060</v>
      </c>
      <c r="D4517" t="s">
        <v>3060</v>
      </c>
      <c r="E4517" t="s">
        <v>194</v>
      </c>
    </row>
    <row r="4518" spans="1:5" x14ac:dyDescent="0.25">
      <c r="A4518" t="s">
        <v>3092</v>
      </c>
      <c r="B4518" t="s">
        <v>177</v>
      </c>
      <c r="C4518" t="s">
        <v>3060</v>
      </c>
      <c r="D4518" t="s">
        <v>3060</v>
      </c>
      <c r="E4518" t="s">
        <v>194</v>
      </c>
    </row>
    <row r="4519" spans="1:5" x14ac:dyDescent="0.25">
      <c r="A4519" t="s">
        <v>3092</v>
      </c>
      <c r="B4519" t="s">
        <v>172</v>
      </c>
      <c r="C4519" t="s">
        <v>3060</v>
      </c>
      <c r="D4519" t="s">
        <v>3060</v>
      </c>
      <c r="E4519" t="s">
        <v>194</v>
      </c>
    </row>
    <row r="4520" spans="1:5" x14ac:dyDescent="0.25">
      <c r="A4520" t="s">
        <v>3092</v>
      </c>
      <c r="B4520" t="s">
        <v>238</v>
      </c>
      <c r="C4520" t="s">
        <v>3060</v>
      </c>
      <c r="D4520" t="s">
        <v>3060</v>
      </c>
      <c r="E4520" t="s">
        <v>240</v>
      </c>
    </row>
    <row r="4521" spans="1:5" x14ac:dyDescent="0.25">
      <c r="A4521" t="s">
        <v>3092</v>
      </c>
      <c r="B4521" t="s">
        <v>180</v>
      </c>
      <c r="C4521" t="s">
        <v>3060</v>
      </c>
      <c r="D4521" t="s">
        <v>3060</v>
      </c>
      <c r="E4521" t="s">
        <v>240</v>
      </c>
    </row>
    <row r="4522" spans="1:5" x14ac:dyDescent="0.25">
      <c r="A4522" t="s">
        <v>3092</v>
      </c>
      <c r="B4522" t="s">
        <v>181</v>
      </c>
      <c r="C4522" t="s">
        <v>3060</v>
      </c>
      <c r="D4522" t="s">
        <v>3060</v>
      </c>
      <c r="E4522" t="s">
        <v>239</v>
      </c>
    </row>
    <row r="4523" spans="1:5" x14ac:dyDescent="0.25">
      <c r="A4523" t="s">
        <v>3092</v>
      </c>
      <c r="B4523" t="s">
        <v>345</v>
      </c>
      <c r="C4523" t="s">
        <v>3060</v>
      </c>
      <c r="D4523" t="s">
        <v>3060</v>
      </c>
      <c r="E4523" t="s">
        <v>4480</v>
      </c>
    </row>
    <row r="4524" spans="1:5" x14ac:dyDescent="0.25">
      <c r="A4524" t="s">
        <v>3092</v>
      </c>
      <c r="B4524" t="s">
        <v>2168</v>
      </c>
      <c r="C4524" t="s">
        <v>3060</v>
      </c>
      <c r="D4524" t="s">
        <v>3060</v>
      </c>
      <c r="E4524" t="s">
        <v>4480</v>
      </c>
    </row>
    <row r="4525" spans="1:5" x14ac:dyDescent="0.25">
      <c r="A4525" t="s">
        <v>3092</v>
      </c>
      <c r="B4525" t="s">
        <v>599</v>
      </c>
      <c r="C4525" t="s">
        <v>3060</v>
      </c>
      <c r="D4525" t="s">
        <v>3060</v>
      </c>
      <c r="E4525" t="s">
        <v>4480</v>
      </c>
    </row>
    <row r="4526" spans="1:5" x14ac:dyDescent="0.25">
      <c r="A4526" t="s">
        <v>3092</v>
      </c>
      <c r="B4526" t="s">
        <v>346</v>
      </c>
      <c r="C4526" t="s">
        <v>3060</v>
      </c>
      <c r="D4526" t="s">
        <v>3060</v>
      </c>
      <c r="E4526" t="s">
        <v>4480</v>
      </c>
    </row>
    <row r="4527" spans="1:5" x14ac:dyDescent="0.25">
      <c r="A4527" t="s">
        <v>3092</v>
      </c>
      <c r="B4527" t="s">
        <v>4481</v>
      </c>
      <c r="C4527" t="s">
        <v>3060</v>
      </c>
      <c r="D4527" t="s">
        <v>3060</v>
      </c>
      <c r="E4527" t="s">
        <v>4480</v>
      </c>
    </row>
    <row r="4528" spans="1:5" x14ac:dyDescent="0.25">
      <c r="A4528" t="s">
        <v>3092</v>
      </c>
      <c r="B4528" t="s">
        <v>1271</v>
      </c>
      <c r="C4528" t="s">
        <v>3060</v>
      </c>
      <c r="D4528" t="s">
        <v>3060</v>
      </c>
      <c r="E4528" t="s">
        <v>4482</v>
      </c>
    </row>
    <row r="4529" spans="1:5" x14ac:dyDescent="0.25">
      <c r="A4529" t="s">
        <v>3092</v>
      </c>
      <c r="B4529" t="s">
        <v>556</v>
      </c>
      <c r="C4529" t="s">
        <v>3060</v>
      </c>
      <c r="D4529" t="s">
        <v>3060</v>
      </c>
      <c r="E4529" t="s">
        <v>4482</v>
      </c>
    </row>
    <row r="4530" spans="1:5" x14ac:dyDescent="0.25">
      <c r="A4530" t="s">
        <v>3092</v>
      </c>
      <c r="B4530" t="s">
        <v>1272</v>
      </c>
      <c r="C4530" t="s">
        <v>3060</v>
      </c>
      <c r="D4530" t="s">
        <v>3060</v>
      </c>
      <c r="E4530" t="s">
        <v>4482</v>
      </c>
    </row>
    <row r="4531" spans="1:5" x14ac:dyDescent="0.25">
      <c r="A4531" t="s">
        <v>3092</v>
      </c>
      <c r="B4531" t="s">
        <v>3847</v>
      </c>
      <c r="C4531" t="s">
        <v>3060</v>
      </c>
      <c r="D4531" t="s">
        <v>3060</v>
      </c>
      <c r="E4531" t="s">
        <v>4482</v>
      </c>
    </row>
    <row r="4532" spans="1:5" x14ac:dyDescent="0.25">
      <c r="A4532" t="s">
        <v>3092</v>
      </c>
      <c r="B4532" t="s">
        <v>183</v>
      </c>
      <c r="C4532" t="s">
        <v>3060</v>
      </c>
      <c r="D4532" t="s">
        <v>3060</v>
      </c>
      <c r="E4532" t="s">
        <v>184</v>
      </c>
    </row>
    <row r="4533" spans="1:5" x14ac:dyDescent="0.25">
      <c r="A4533" t="s">
        <v>3093</v>
      </c>
      <c r="B4533" t="s">
        <v>4483</v>
      </c>
      <c r="C4533" t="s">
        <v>3060</v>
      </c>
      <c r="D4533" t="s">
        <v>4484</v>
      </c>
      <c r="E4533" t="s">
        <v>268</v>
      </c>
    </row>
    <row r="4534" spans="1:5" x14ac:dyDescent="0.25">
      <c r="A4534" t="s">
        <v>3093</v>
      </c>
      <c r="B4534" t="s">
        <v>4485</v>
      </c>
      <c r="C4534" t="s">
        <v>3060</v>
      </c>
      <c r="D4534" t="s">
        <v>4484</v>
      </c>
      <c r="E4534" t="s">
        <v>269</v>
      </c>
    </row>
    <row r="4535" spans="1:5" x14ac:dyDescent="0.25">
      <c r="A4535" t="s">
        <v>3093</v>
      </c>
      <c r="B4535" t="s">
        <v>607</v>
      </c>
      <c r="C4535" t="s">
        <v>3060</v>
      </c>
      <c r="D4535" t="s">
        <v>4484</v>
      </c>
      <c r="E4535" t="s">
        <v>269</v>
      </c>
    </row>
    <row r="4536" spans="1:5" x14ac:dyDescent="0.25">
      <c r="A4536" t="s">
        <v>3093</v>
      </c>
      <c r="B4536" t="s">
        <v>4486</v>
      </c>
      <c r="C4536" t="s">
        <v>3060</v>
      </c>
      <c r="D4536" t="s">
        <v>4484</v>
      </c>
      <c r="E4536" t="s">
        <v>406</v>
      </c>
    </row>
    <row r="4537" spans="1:5" x14ac:dyDescent="0.25">
      <c r="A4537" t="s">
        <v>3093</v>
      </c>
      <c r="B4537" t="s">
        <v>610</v>
      </c>
      <c r="C4537" t="s">
        <v>3060</v>
      </c>
      <c r="D4537" t="s">
        <v>4487</v>
      </c>
      <c r="E4537" t="s">
        <v>287</v>
      </c>
    </row>
    <row r="4538" spans="1:5" x14ac:dyDescent="0.25">
      <c r="A4538" t="s">
        <v>3093</v>
      </c>
      <c r="B4538" t="s">
        <v>607</v>
      </c>
      <c r="C4538" t="s">
        <v>3060</v>
      </c>
      <c r="D4538" t="s">
        <v>4484</v>
      </c>
      <c r="E4538" t="s">
        <v>269</v>
      </c>
    </row>
    <row r="4539" spans="1:5" x14ac:dyDescent="0.25">
      <c r="A4539" t="s">
        <v>3093</v>
      </c>
      <c r="B4539" t="s">
        <v>609</v>
      </c>
      <c r="C4539" t="s">
        <v>3060</v>
      </c>
      <c r="D4539" t="s">
        <v>4484</v>
      </c>
      <c r="E4539" t="s">
        <v>253</v>
      </c>
    </row>
    <row r="4540" spans="1:5" x14ac:dyDescent="0.25">
      <c r="A4540" t="s">
        <v>3093</v>
      </c>
      <c r="B4540" t="s">
        <v>637</v>
      </c>
      <c r="C4540" t="s">
        <v>3060</v>
      </c>
      <c r="D4540" t="s">
        <v>4484</v>
      </c>
      <c r="E4540" t="s">
        <v>269</v>
      </c>
    </row>
    <row r="4541" spans="1:5" x14ac:dyDescent="0.25">
      <c r="A4541" t="s">
        <v>3093</v>
      </c>
      <c r="B4541" t="s">
        <v>2213</v>
      </c>
      <c r="C4541" t="s">
        <v>3060</v>
      </c>
      <c r="D4541" t="s">
        <v>4484</v>
      </c>
      <c r="E4541" t="s">
        <v>269</v>
      </c>
    </row>
    <row r="4542" spans="1:5" x14ac:dyDescent="0.25">
      <c r="A4542" t="s">
        <v>3093</v>
      </c>
      <c r="B4542" t="s">
        <v>192</v>
      </c>
      <c r="C4542" t="s">
        <v>3060</v>
      </c>
      <c r="D4542" t="s">
        <v>4488</v>
      </c>
      <c r="E4542" t="s">
        <v>207</v>
      </c>
    </row>
    <row r="4543" spans="1:5" x14ac:dyDescent="0.25">
      <c r="A4543" t="s">
        <v>3093</v>
      </c>
      <c r="B4543" t="s">
        <v>4489</v>
      </c>
      <c r="C4543" t="s">
        <v>3060</v>
      </c>
      <c r="D4543" t="s">
        <v>4488</v>
      </c>
      <c r="E4543" t="s">
        <v>253</v>
      </c>
    </row>
    <row r="4544" spans="1:5" x14ac:dyDescent="0.25">
      <c r="A4544" t="s">
        <v>3093</v>
      </c>
      <c r="B4544" t="s">
        <v>619</v>
      </c>
      <c r="C4544" t="s">
        <v>3060</v>
      </c>
      <c r="D4544" t="s">
        <v>4490</v>
      </c>
      <c r="E4544" t="s">
        <v>212</v>
      </c>
    </row>
    <row r="4545" spans="1:5" x14ac:dyDescent="0.25">
      <c r="A4545" t="s">
        <v>3093</v>
      </c>
      <c r="B4545" t="s">
        <v>626</v>
      </c>
      <c r="C4545" t="s">
        <v>3060</v>
      </c>
      <c r="D4545" t="s">
        <v>4491</v>
      </c>
      <c r="E4545" t="s">
        <v>401</v>
      </c>
    </row>
    <row r="4546" spans="1:5" x14ac:dyDescent="0.25">
      <c r="A4546" t="s">
        <v>3093</v>
      </c>
      <c r="B4546" t="s">
        <v>4492</v>
      </c>
      <c r="C4546" t="s">
        <v>3060</v>
      </c>
      <c r="D4546" t="s">
        <v>4493</v>
      </c>
      <c r="E4546" t="s">
        <v>212</v>
      </c>
    </row>
    <row r="4547" spans="1:5" x14ac:dyDescent="0.25">
      <c r="A4547" t="s">
        <v>3093</v>
      </c>
      <c r="B4547" t="s">
        <v>625</v>
      </c>
      <c r="C4547" t="s">
        <v>3060</v>
      </c>
      <c r="D4547" t="s">
        <v>4494</v>
      </c>
      <c r="E4547" t="s">
        <v>212</v>
      </c>
    </row>
    <row r="4548" spans="1:5" x14ac:dyDescent="0.25">
      <c r="A4548" t="s">
        <v>3093</v>
      </c>
      <c r="B4548" t="s">
        <v>4485</v>
      </c>
      <c r="C4548" t="s">
        <v>3060</v>
      </c>
      <c r="D4548" t="s">
        <v>4484</v>
      </c>
      <c r="E4548" t="s">
        <v>269</v>
      </c>
    </row>
    <row r="4549" spans="1:5" x14ac:dyDescent="0.25">
      <c r="A4549" t="s">
        <v>3093</v>
      </c>
      <c r="B4549" t="s">
        <v>4495</v>
      </c>
      <c r="C4549" t="s">
        <v>3060</v>
      </c>
      <c r="D4549" t="s">
        <v>4484</v>
      </c>
      <c r="E4549" t="s">
        <v>406</v>
      </c>
    </row>
    <row r="4550" spans="1:5" x14ac:dyDescent="0.25">
      <c r="A4550" t="s">
        <v>3093</v>
      </c>
      <c r="B4550" t="s">
        <v>4486</v>
      </c>
      <c r="C4550" t="s">
        <v>3060</v>
      </c>
      <c r="D4550" t="s">
        <v>4484</v>
      </c>
      <c r="E4550" t="s">
        <v>406</v>
      </c>
    </row>
    <row r="4551" spans="1:5" x14ac:dyDescent="0.25">
      <c r="A4551" t="s">
        <v>3093</v>
      </c>
      <c r="B4551" t="s">
        <v>4483</v>
      </c>
      <c r="C4551" t="s">
        <v>3060</v>
      </c>
      <c r="D4551" t="s">
        <v>4484</v>
      </c>
      <c r="E4551" t="s">
        <v>268</v>
      </c>
    </row>
    <row r="4552" spans="1:5" x14ac:dyDescent="0.25">
      <c r="A4552" t="s">
        <v>3093</v>
      </c>
      <c r="B4552" t="s">
        <v>725</v>
      </c>
      <c r="C4552" t="s">
        <v>3060</v>
      </c>
      <c r="D4552" t="s">
        <v>4496</v>
      </c>
      <c r="E4552" t="s">
        <v>656</v>
      </c>
    </row>
    <row r="4553" spans="1:5" x14ac:dyDescent="0.25">
      <c r="A4553" t="s">
        <v>3093</v>
      </c>
      <c r="B4553" t="s">
        <v>610</v>
      </c>
      <c r="C4553" t="s">
        <v>3060</v>
      </c>
      <c r="D4553" t="s">
        <v>4487</v>
      </c>
      <c r="E4553" t="s">
        <v>287</v>
      </c>
    </row>
    <row r="4554" spans="1:5" x14ac:dyDescent="0.25">
      <c r="A4554" t="s">
        <v>3093</v>
      </c>
      <c r="B4554" t="s">
        <v>4497</v>
      </c>
      <c r="C4554" t="s">
        <v>3060</v>
      </c>
      <c r="D4554" t="s">
        <v>4498</v>
      </c>
      <c r="E4554" t="s">
        <v>466</v>
      </c>
    </row>
    <row r="4555" spans="1:5" x14ac:dyDescent="0.25">
      <c r="A4555" t="s">
        <v>3093</v>
      </c>
      <c r="B4555" t="s">
        <v>4499</v>
      </c>
      <c r="C4555" t="s">
        <v>3060</v>
      </c>
      <c r="D4555" t="s">
        <v>4500</v>
      </c>
      <c r="E4555" t="s">
        <v>212</v>
      </c>
    </row>
    <row r="4556" spans="1:5" x14ac:dyDescent="0.25">
      <c r="A4556" t="s">
        <v>3093</v>
      </c>
      <c r="B4556" t="s">
        <v>4501</v>
      </c>
      <c r="C4556" t="s">
        <v>3060</v>
      </c>
      <c r="D4556" t="s">
        <v>4502</v>
      </c>
      <c r="E4556" t="s">
        <v>466</v>
      </c>
    </row>
    <row r="4557" spans="1:5" x14ac:dyDescent="0.25">
      <c r="A4557" t="s">
        <v>3093</v>
      </c>
      <c r="B4557" t="s">
        <v>4503</v>
      </c>
      <c r="C4557" t="s">
        <v>3060</v>
      </c>
      <c r="D4557" t="s">
        <v>4502</v>
      </c>
      <c r="E4557" t="s">
        <v>401</v>
      </c>
    </row>
    <row r="4558" spans="1:5" x14ac:dyDescent="0.25">
      <c r="A4558" t="s">
        <v>3093</v>
      </c>
      <c r="B4558" t="s">
        <v>314</v>
      </c>
      <c r="C4558" t="s">
        <v>3060</v>
      </c>
      <c r="D4558" t="s">
        <v>4504</v>
      </c>
      <c r="E4558" t="s">
        <v>254</v>
      </c>
    </row>
    <row r="4559" spans="1:5" x14ac:dyDescent="0.25">
      <c r="A4559" t="s">
        <v>3093</v>
      </c>
      <c r="B4559" t="s">
        <v>4505</v>
      </c>
      <c r="C4559" t="s">
        <v>3060</v>
      </c>
      <c r="D4559" t="s">
        <v>3060</v>
      </c>
      <c r="E4559" t="s">
        <v>212</v>
      </c>
    </row>
    <row r="4560" spans="1:5" x14ac:dyDescent="0.25">
      <c r="A4560" t="s">
        <v>3093</v>
      </c>
      <c r="B4560" t="s">
        <v>229</v>
      </c>
      <c r="C4560" t="s">
        <v>3060</v>
      </c>
      <c r="D4560" t="s">
        <v>3060</v>
      </c>
      <c r="E4560" t="s">
        <v>207</v>
      </c>
    </row>
    <row r="4561" spans="1:5" x14ac:dyDescent="0.25">
      <c r="A4561" t="s">
        <v>3093</v>
      </c>
      <c r="B4561" t="s">
        <v>167</v>
      </c>
      <c r="C4561" t="s">
        <v>3060</v>
      </c>
      <c r="D4561" t="s">
        <v>3060</v>
      </c>
      <c r="E4561" t="s">
        <v>207</v>
      </c>
    </row>
    <row r="4562" spans="1:5" x14ac:dyDescent="0.25">
      <c r="A4562" t="s">
        <v>3093</v>
      </c>
      <c r="B4562" t="s">
        <v>595</v>
      </c>
      <c r="C4562" t="s">
        <v>3060</v>
      </c>
      <c r="D4562" t="s">
        <v>3060</v>
      </c>
      <c r="E4562" t="s">
        <v>279</v>
      </c>
    </row>
    <row r="4563" spans="1:5" x14ac:dyDescent="0.25">
      <c r="A4563" t="s">
        <v>3093</v>
      </c>
      <c r="B4563" t="s">
        <v>170</v>
      </c>
      <c r="C4563" t="s">
        <v>3060</v>
      </c>
      <c r="D4563" t="s">
        <v>3060</v>
      </c>
      <c r="E4563" t="s">
        <v>207</v>
      </c>
    </row>
    <row r="4564" spans="1:5" x14ac:dyDescent="0.25">
      <c r="A4564" t="s">
        <v>3093</v>
      </c>
      <c r="B4564" t="s">
        <v>596</v>
      </c>
      <c r="C4564" t="s">
        <v>3060</v>
      </c>
      <c r="D4564" t="s">
        <v>3060</v>
      </c>
      <c r="E4564" t="s">
        <v>279</v>
      </c>
    </row>
    <row r="4565" spans="1:5" x14ac:dyDescent="0.25">
      <c r="A4565" t="s">
        <v>3093</v>
      </c>
      <c r="B4565" t="s">
        <v>230</v>
      </c>
      <c r="C4565" t="s">
        <v>3060</v>
      </c>
      <c r="D4565" t="s">
        <v>3060</v>
      </c>
      <c r="E4565" t="s">
        <v>207</v>
      </c>
    </row>
    <row r="4566" spans="1:5" x14ac:dyDescent="0.25">
      <c r="A4566" t="s">
        <v>3093</v>
      </c>
      <c r="B4566" t="s">
        <v>325</v>
      </c>
      <c r="C4566" t="s">
        <v>3060</v>
      </c>
      <c r="D4566" t="s">
        <v>3060</v>
      </c>
      <c r="E4566" t="s">
        <v>575</v>
      </c>
    </row>
    <row r="4567" spans="1:5" x14ac:dyDescent="0.25">
      <c r="A4567" t="s">
        <v>3093</v>
      </c>
      <c r="B4567" t="s">
        <v>234</v>
      </c>
      <c r="C4567" t="s">
        <v>3060</v>
      </c>
      <c r="D4567" t="s">
        <v>3060</v>
      </c>
      <c r="E4567" t="s">
        <v>279</v>
      </c>
    </row>
    <row r="4568" spans="1:5" x14ac:dyDescent="0.25">
      <c r="A4568" t="s">
        <v>3093</v>
      </c>
      <c r="B4568" t="s">
        <v>4506</v>
      </c>
      <c r="C4568" t="s">
        <v>3060</v>
      </c>
      <c r="D4568" t="s">
        <v>3060</v>
      </c>
      <c r="E4568" t="s">
        <v>182</v>
      </c>
    </row>
    <row r="4569" spans="1:5" x14ac:dyDescent="0.25">
      <c r="A4569" t="s">
        <v>3093</v>
      </c>
      <c r="B4569" t="s">
        <v>280</v>
      </c>
      <c r="C4569" t="s">
        <v>3060</v>
      </c>
      <c r="D4569" t="s">
        <v>3060</v>
      </c>
      <c r="E4569" t="s">
        <v>286</v>
      </c>
    </row>
    <row r="4570" spans="1:5" x14ac:dyDescent="0.25">
      <c r="A4570" t="s">
        <v>3093</v>
      </c>
      <c r="B4570" t="s">
        <v>646</v>
      </c>
      <c r="C4570" t="s">
        <v>3060</v>
      </c>
      <c r="D4570" t="s">
        <v>3060</v>
      </c>
      <c r="E4570" t="s">
        <v>241</v>
      </c>
    </row>
    <row r="4571" spans="1:5" x14ac:dyDescent="0.25">
      <c r="A4571" t="s">
        <v>3093</v>
      </c>
      <c r="B4571" t="s">
        <v>242</v>
      </c>
      <c r="C4571" t="s">
        <v>3060</v>
      </c>
      <c r="D4571" t="s">
        <v>3060</v>
      </c>
      <c r="E4571" t="s">
        <v>197</v>
      </c>
    </row>
    <row r="4572" spans="1:5" x14ac:dyDescent="0.25">
      <c r="A4572" t="s">
        <v>3093</v>
      </c>
      <c r="B4572" t="s">
        <v>327</v>
      </c>
      <c r="C4572" t="s">
        <v>3060</v>
      </c>
      <c r="D4572" t="s">
        <v>3060</v>
      </c>
      <c r="E4572" t="s">
        <v>197</v>
      </c>
    </row>
    <row r="4573" spans="1:5" x14ac:dyDescent="0.25">
      <c r="A4573" t="s">
        <v>3093</v>
      </c>
      <c r="B4573" t="s">
        <v>183</v>
      </c>
      <c r="C4573" t="s">
        <v>3060</v>
      </c>
      <c r="D4573" t="s">
        <v>3060</v>
      </c>
      <c r="E4573" t="s">
        <v>184</v>
      </c>
    </row>
    <row r="4574" spans="1:5" x14ac:dyDescent="0.25">
      <c r="A4574" t="s">
        <v>3094</v>
      </c>
      <c r="B4574" t="s">
        <v>192</v>
      </c>
      <c r="C4574" t="s">
        <v>3060</v>
      </c>
      <c r="D4574" t="s">
        <v>4507</v>
      </c>
      <c r="E4574" t="s">
        <v>207</v>
      </c>
    </row>
    <row r="4575" spans="1:5" x14ac:dyDescent="0.25">
      <c r="A4575" t="s">
        <v>3094</v>
      </c>
      <c r="B4575" t="s">
        <v>294</v>
      </c>
      <c r="C4575" t="s">
        <v>3060</v>
      </c>
      <c r="D4575" t="s">
        <v>4508</v>
      </c>
      <c r="E4575" t="s">
        <v>197</v>
      </c>
    </row>
    <row r="4576" spans="1:5" x14ac:dyDescent="0.25">
      <c r="A4576" t="s">
        <v>3094</v>
      </c>
      <c r="B4576" t="s">
        <v>4509</v>
      </c>
      <c r="C4576" t="s">
        <v>3060</v>
      </c>
      <c r="D4576" t="s">
        <v>4510</v>
      </c>
      <c r="E4576" t="s">
        <v>253</v>
      </c>
    </row>
    <row r="4577" spans="1:5" x14ac:dyDescent="0.25">
      <c r="A4577" t="s">
        <v>3094</v>
      </c>
      <c r="B4577" t="s">
        <v>1459</v>
      </c>
      <c r="C4577" t="s">
        <v>3060</v>
      </c>
      <c r="D4577" t="s">
        <v>4511</v>
      </c>
      <c r="E4577" t="s">
        <v>202</v>
      </c>
    </row>
    <row r="4578" spans="1:5" x14ac:dyDescent="0.25">
      <c r="A4578" t="s">
        <v>3094</v>
      </c>
      <c r="B4578" t="s">
        <v>198</v>
      </c>
      <c r="C4578" t="s">
        <v>3060</v>
      </c>
      <c r="D4578" t="s">
        <v>4512</v>
      </c>
      <c r="E4578" t="s">
        <v>401</v>
      </c>
    </row>
    <row r="4579" spans="1:5" x14ac:dyDescent="0.25">
      <c r="A4579" t="s">
        <v>3094</v>
      </c>
      <c r="B4579" t="s">
        <v>298</v>
      </c>
      <c r="C4579" t="s">
        <v>3060</v>
      </c>
      <c r="D4579" t="s">
        <v>4513</v>
      </c>
      <c r="E4579" t="s">
        <v>256</v>
      </c>
    </row>
    <row r="4580" spans="1:5" x14ac:dyDescent="0.25">
      <c r="A4580" t="s">
        <v>3094</v>
      </c>
      <c r="B4580" t="s">
        <v>314</v>
      </c>
      <c r="C4580" t="s">
        <v>3060</v>
      </c>
      <c r="D4580" t="s">
        <v>4514</v>
      </c>
      <c r="E4580" t="s">
        <v>214</v>
      </c>
    </row>
    <row r="4581" spans="1:5" x14ac:dyDescent="0.25">
      <c r="A4581" t="s">
        <v>3094</v>
      </c>
      <c r="B4581" t="s">
        <v>4515</v>
      </c>
      <c r="C4581" t="s">
        <v>3060</v>
      </c>
      <c r="D4581" t="s">
        <v>3060</v>
      </c>
      <c r="E4581" t="s">
        <v>202</v>
      </c>
    </row>
    <row r="4582" spans="1:5" x14ac:dyDescent="0.25">
      <c r="A4582" t="s">
        <v>3094</v>
      </c>
      <c r="B4582" t="s">
        <v>275</v>
      </c>
      <c r="C4582" t="s">
        <v>3060</v>
      </c>
      <c r="D4582" t="s">
        <v>3060</v>
      </c>
      <c r="E4582" t="s">
        <v>401</v>
      </c>
    </row>
    <row r="4583" spans="1:5" x14ac:dyDescent="0.25">
      <c r="A4583" t="s">
        <v>3094</v>
      </c>
      <c r="B4583" t="s">
        <v>4516</v>
      </c>
      <c r="C4583" t="s">
        <v>3060</v>
      </c>
      <c r="D4583" t="s">
        <v>3060</v>
      </c>
      <c r="E4583" t="s">
        <v>214</v>
      </c>
    </row>
    <row r="4584" spans="1:5" x14ac:dyDescent="0.25">
      <c r="A4584" t="s">
        <v>3094</v>
      </c>
      <c r="B4584" t="s">
        <v>229</v>
      </c>
      <c r="C4584" t="s">
        <v>3060</v>
      </c>
      <c r="D4584" t="s">
        <v>3060</v>
      </c>
      <c r="E4584" t="s">
        <v>575</v>
      </c>
    </row>
    <row r="4585" spans="1:5" x14ac:dyDescent="0.25">
      <c r="A4585" t="s">
        <v>3094</v>
      </c>
      <c r="B4585" t="s">
        <v>876</v>
      </c>
      <c r="C4585" t="s">
        <v>3060</v>
      </c>
      <c r="D4585" t="s">
        <v>3060</v>
      </c>
      <c r="E4585" t="s">
        <v>575</v>
      </c>
    </row>
    <row r="4586" spans="1:5" x14ac:dyDescent="0.25">
      <c r="A4586" t="s">
        <v>3094</v>
      </c>
      <c r="B4586" t="s">
        <v>706</v>
      </c>
      <c r="C4586" t="s">
        <v>3060</v>
      </c>
      <c r="D4586" t="s">
        <v>3060</v>
      </c>
      <c r="E4586" t="s">
        <v>279</v>
      </c>
    </row>
    <row r="4587" spans="1:5" x14ac:dyDescent="0.25">
      <c r="A4587" t="s">
        <v>3094</v>
      </c>
      <c r="B4587" t="s">
        <v>4517</v>
      </c>
      <c r="C4587" t="s">
        <v>3060</v>
      </c>
      <c r="D4587" t="s">
        <v>3060</v>
      </c>
      <c r="E4587" t="s">
        <v>279</v>
      </c>
    </row>
    <row r="4588" spans="1:5" x14ac:dyDescent="0.25">
      <c r="A4588" t="s">
        <v>3094</v>
      </c>
      <c r="B4588" t="s">
        <v>230</v>
      </c>
      <c r="C4588" t="s">
        <v>3060</v>
      </c>
      <c r="D4588" t="s">
        <v>3060</v>
      </c>
      <c r="E4588" t="s">
        <v>575</v>
      </c>
    </row>
    <row r="4589" spans="1:5" x14ac:dyDescent="0.25">
      <c r="A4589" t="s">
        <v>3094</v>
      </c>
      <c r="B4589" t="s">
        <v>707</v>
      </c>
      <c r="C4589" t="s">
        <v>3060</v>
      </c>
      <c r="D4589" t="s">
        <v>3060</v>
      </c>
      <c r="E4589" t="s">
        <v>575</v>
      </c>
    </row>
    <row r="4590" spans="1:5" x14ac:dyDescent="0.25">
      <c r="A4590" t="s">
        <v>3094</v>
      </c>
      <c r="B4590" t="s">
        <v>325</v>
      </c>
      <c r="C4590" t="s">
        <v>3060</v>
      </c>
      <c r="D4590" t="s">
        <v>3060</v>
      </c>
      <c r="E4590" t="s">
        <v>279</v>
      </c>
    </row>
    <row r="4591" spans="1:5" x14ac:dyDescent="0.25">
      <c r="A4591" t="s">
        <v>3094</v>
      </c>
      <c r="B4591" t="s">
        <v>178</v>
      </c>
      <c r="C4591" t="s">
        <v>3060</v>
      </c>
      <c r="D4591" t="s">
        <v>3060</v>
      </c>
      <c r="E4591" t="s">
        <v>279</v>
      </c>
    </row>
    <row r="4592" spans="1:5" x14ac:dyDescent="0.25">
      <c r="A4592" t="s">
        <v>3094</v>
      </c>
      <c r="B4592" t="s">
        <v>238</v>
      </c>
      <c r="C4592" t="s">
        <v>3060</v>
      </c>
      <c r="D4592" t="s">
        <v>3060</v>
      </c>
      <c r="E4592" t="s">
        <v>235</v>
      </c>
    </row>
    <row r="4593" spans="1:5" x14ac:dyDescent="0.25">
      <c r="A4593" t="s">
        <v>3094</v>
      </c>
      <c r="B4593" t="s">
        <v>180</v>
      </c>
      <c r="C4593" t="s">
        <v>3060</v>
      </c>
      <c r="D4593" t="s">
        <v>3060</v>
      </c>
      <c r="E4593" t="s">
        <v>286</v>
      </c>
    </row>
    <row r="4594" spans="1:5" x14ac:dyDescent="0.25">
      <c r="A4594" t="s">
        <v>3094</v>
      </c>
      <c r="B4594" t="s">
        <v>181</v>
      </c>
      <c r="C4594" t="s">
        <v>3060</v>
      </c>
      <c r="D4594" t="s">
        <v>3060</v>
      </c>
      <c r="E4594" t="s">
        <v>286</v>
      </c>
    </row>
    <row r="4595" spans="1:5" x14ac:dyDescent="0.25">
      <c r="A4595" t="s">
        <v>3094</v>
      </c>
      <c r="B4595" t="s">
        <v>242</v>
      </c>
      <c r="C4595" t="s">
        <v>3060</v>
      </c>
      <c r="D4595" t="s">
        <v>3060</v>
      </c>
      <c r="E4595" t="s">
        <v>252</v>
      </c>
    </row>
    <row r="4596" spans="1:5" x14ac:dyDescent="0.25">
      <c r="A4596" t="s">
        <v>3094</v>
      </c>
      <c r="B4596" t="s">
        <v>2167</v>
      </c>
      <c r="C4596" t="s">
        <v>3060</v>
      </c>
      <c r="D4596" t="s">
        <v>3060</v>
      </c>
      <c r="E4596" t="s">
        <v>252</v>
      </c>
    </row>
    <row r="4597" spans="1:5" x14ac:dyDescent="0.25">
      <c r="A4597" t="s">
        <v>3094</v>
      </c>
      <c r="B4597" t="s">
        <v>327</v>
      </c>
      <c r="C4597" t="s">
        <v>3060</v>
      </c>
      <c r="D4597" t="s">
        <v>3060</v>
      </c>
      <c r="E4597" t="s">
        <v>252</v>
      </c>
    </row>
    <row r="4598" spans="1:5" x14ac:dyDescent="0.25">
      <c r="A4598" t="s">
        <v>3094</v>
      </c>
      <c r="B4598" t="s">
        <v>244</v>
      </c>
      <c r="C4598" t="s">
        <v>3060</v>
      </c>
      <c r="D4598" t="s">
        <v>3060</v>
      </c>
      <c r="E4598" t="s">
        <v>252</v>
      </c>
    </row>
    <row r="4599" spans="1:5" x14ac:dyDescent="0.25">
      <c r="A4599" t="s">
        <v>3094</v>
      </c>
      <c r="B4599" t="s">
        <v>245</v>
      </c>
      <c r="C4599" t="s">
        <v>3060</v>
      </c>
      <c r="D4599" t="s">
        <v>3060</v>
      </c>
      <c r="E4599" t="s">
        <v>252</v>
      </c>
    </row>
    <row r="4600" spans="1:5" x14ac:dyDescent="0.25">
      <c r="A4600" t="s">
        <v>3094</v>
      </c>
      <c r="B4600" t="s">
        <v>691</v>
      </c>
      <c r="C4600" t="s">
        <v>3060</v>
      </c>
      <c r="D4600" t="s">
        <v>3060</v>
      </c>
      <c r="E4600" t="s">
        <v>253</v>
      </c>
    </row>
    <row r="4601" spans="1:5" x14ac:dyDescent="0.25">
      <c r="A4601" t="s">
        <v>3094</v>
      </c>
      <c r="B4601" t="s">
        <v>693</v>
      </c>
      <c r="C4601" t="s">
        <v>3060</v>
      </c>
      <c r="D4601" t="s">
        <v>3060</v>
      </c>
      <c r="E4601" t="s">
        <v>253</v>
      </c>
    </row>
    <row r="4602" spans="1:5" x14ac:dyDescent="0.25">
      <c r="A4602" t="s">
        <v>3094</v>
      </c>
      <c r="B4602" t="s">
        <v>183</v>
      </c>
      <c r="C4602" t="s">
        <v>3060</v>
      </c>
      <c r="D4602" t="s">
        <v>3060</v>
      </c>
      <c r="E4602" t="s">
        <v>184</v>
      </c>
    </row>
    <row r="4603" spans="1:5" x14ac:dyDescent="0.25">
      <c r="A4603" t="s">
        <v>3096</v>
      </c>
      <c r="B4603" t="s">
        <v>294</v>
      </c>
      <c r="C4603" t="s">
        <v>3060</v>
      </c>
      <c r="D4603" t="s">
        <v>4518</v>
      </c>
      <c r="E4603" t="s">
        <v>4519</v>
      </c>
    </row>
    <row r="4604" spans="1:5" x14ac:dyDescent="0.25">
      <c r="A4604" t="s">
        <v>3096</v>
      </c>
      <c r="B4604" t="s">
        <v>198</v>
      </c>
      <c r="C4604" t="s">
        <v>3060</v>
      </c>
      <c r="D4604" t="s">
        <v>4520</v>
      </c>
      <c r="E4604" t="s">
        <v>1998</v>
      </c>
    </row>
    <row r="4605" spans="1:5" x14ac:dyDescent="0.25">
      <c r="A4605" t="s">
        <v>3096</v>
      </c>
      <c r="B4605" t="s">
        <v>4521</v>
      </c>
      <c r="C4605" t="s">
        <v>3060</v>
      </c>
      <c r="D4605" t="s">
        <v>3060</v>
      </c>
      <c r="E4605" t="s">
        <v>182</v>
      </c>
    </row>
    <row r="4606" spans="1:5" x14ac:dyDescent="0.25">
      <c r="A4606" t="s">
        <v>3096</v>
      </c>
      <c r="B4606" t="s">
        <v>298</v>
      </c>
      <c r="C4606" t="s">
        <v>3060</v>
      </c>
      <c r="D4606" t="s">
        <v>4522</v>
      </c>
      <c r="E4606" t="s">
        <v>4523</v>
      </c>
    </row>
    <row r="4607" spans="1:5" x14ac:dyDescent="0.25">
      <c r="A4607" t="s">
        <v>3096</v>
      </c>
      <c r="B4607" t="s">
        <v>1487</v>
      </c>
      <c r="C4607" t="s">
        <v>3060</v>
      </c>
      <c r="D4607" t="s">
        <v>4524</v>
      </c>
      <c r="E4607" t="s">
        <v>358</v>
      </c>
    </row>
    <row r="4608" spans="1:5" x14ac:dyDescent="0.25">
      <c r="A4608" t="s">
        <v>3096</v>
      </c>
      <c r="B4608" t="s">
        <v>1456</v>
      </c>
      <c r="C4608" t="s">
        <v>3060</v>
      </c>
      <c r="D4608" t="s">
        <v>4525</v>
      </c>
      <c r="E4608" t="s">
        <v>287</v>
      </c>
    </row>
    <row r="4609" spans="1:5" x14ac:dyDescent="0.25">
      <c r="A4609" t="s">
        <v>3096</v>
      </c>
      <c r="B4609" t="s">
        <v>1485</v>
      </c>
      <c r="C4609" t="s">
        <v>3060</v>
      </c>
      <c r="D4609" t="s">
        <v>4526</v>
      </c>
      <c r="E4609" t="s">
        <v>4527</v>
      </c>
    </row>
    <row r="4610" spans="1:5" x14ac:dyDescent="0.25">
      <c r="A4610" t="s">
        <v>3096</v>
      </c>
      <c r="B4610" t="s">
        <v>1487</v>
      </c>
      <c r="C4610" t="s">
        <v>3060</v>
      </c>
      <c r="D4610" t="s">
        <v>4524</v>
      </c>
      <c r="E4610" t="s">
        <v>358</v>
      </c>
    </row>
    <row r="4611" spans="1:5" x14ac:dyDescent="0.25">
      <c r="A4611" t="s">
        <v>3096</v>
      </c>
      <c r="B4611" t="s">
        <v>4528</v>
      </c>
      <c r="C4611" t="s">
        <v>3060</v>
      </c>
      <c r="D4611" t="s">
        <v>4529</v>
      </c>
      <c r="E4611" t="s">
        <v>4530</v>
      </c>
    </row>
    <row r="4612" spans="1:5" x14ac:dyDescent="0.25">
      <c r="A4612" t="s">
        <v>3096</v>
      </c>
      <c r="B4612" t="s">
        <v>2898</v>
      </c>
      <c r="C4612" t="s">
        <v>3060</v>
      </c>
      <c r="D4612" t="s">
        <v>4531</v>
      </c>
      <c r="E4612" t="s">
        <v>888</v>
      </c>
    </row>
    <row r="4613" spans="1:5" x14ac:dyDescent="0.25">
      <c r="A4613" t="s">
        <v>3096</v>
      </c>
      <c r="B4613" t="s">
        <v>4532</v>
      </c>
      <c r="C4613" t="s">
        <v>3060</v>
      </c>
      <c r="D4613" t="s">
        <v>4533</v>
      </c>
      <c r="E4613" t="s">
        <v>4534</v>
      </c>
    </row>
    <row r="4614" spans="1:5" x14ac:dyDescent="0.25">
      <c r="A4614" t="s">
        <v>3096</v>
      </c>
      <c r="B4614" t="s">
        <v>4535</v>
      </c>
      <c r="C4614" t="s">
        <v>3060</v>
      </c>
      <c r="D4614" t="s">
        <v>4536</v>
      </c>
      <c r="E4614" t="s">
        <v>4537</v>
      </c>
    </row>
    <row r="4615" spans="1:5" x14ac:dyDescent="0.25">
      <c r="A4615" t="s">
        <v>3096</v>
      </c>
      <c r="B4615" t="s">
        <v>192</v>
      </c>
      <c r="C4615" t="s">
        <v>3060</v>
      </c>
      <c r="D4615" t="s">
        <v>4538</v>
      </c>
      <c r="E4615" t="s">
        <v>4539</v>
      </c>
    </row>
    <row r="4616" spans="1:5" x14ac:dyDescent="0.25">
      <c r="A4616" t="s">
        <v>3096</v>
      </c>
      <c r="B4616" t="s">
        <v>1498</v>
      </c>
      <c r="C4616" t="s">
        <v>3060</v>
      </c>
      <c r="D4616" t="s">
        <v>4540</v>
      </c>
      <c r="E4616" t="s">
        <v>505</v>
      </c>
    </row>
    <row r="4617" spans="1:5" x14ac:dyDescent="0.25">
      <c r="A4617" t="s">
        <v>3096</v>
      </c>
      <c r="B4617" t="s">
        <v>4541</v>
      </c>
      <c r="C4617" t="s">
        <v>3060</v>
      </c>
      <c r="D4617" t="s">
        <v>4542</v>
      </c>
      <c r="E4617" t="s">
        <v>4543</v>
      </c>
    </row>
    <row r="4618" spans="1:5" x14ac:dyDescent="0.25">
      <c r="A4618" t="s">
        <v>3096</v>
      </c>
      <c r="B4618" t="s">
        <v>4509</v>
      </c>
      <c r="C4618" t="s">
        <v>3060</v>
      </c>
      <c r="D4618" t="s">
        <v>4544</v>
      </c>
      <c r="E4618" t="s">
        <v>4530</v>
      </c>
    </row>
    <row r="4619" spans="1:5" x14ac:dyDescent="0.25">
      <c r="A4619" t="s">
        <v>3096</v>
      </c>
      <c r="B4619" t="s">
        <v>294</v>
      </c>
      <c r="C4619" t="s">
        <v>3060</v>
      </c>
      <c r="D4619" t="s">
        <v>4518</v>
      </c>
      <c r="E4619" t="s">
        <v>4519</v>
      </c>
    </row>
    <row r="4620" spans="1:5" x14ac:dyDescent="0.25">
      <c r="A4620" t="s">
        <v>3096</v>
      </c>
      <c r="B4620" t="s">
        <v>210</v>
      </c>
      <c r="C4620" t="s">
        <v>3060</v>
      </c>
      <c r="D4620" t="s">
        <v>4545</v>
      </c>
      <c r="E4620" t="s">
        <v>4546</v>
      </c>
    </row>
    <row r="4621" spans="1:5" x14ac:dyDescent="0.25">
      <c r="A4621" t="s">
        <v>3096</v>
      </c>
      <c r="B4621" t="s">
        <v>4547</v>
      </c>
      <c r="C4621" t="s">
        <v>3060</v>
      </c>
      <c r="D4621" t="s">
        <v>3060</v>
      </c>
      <c r="E4621" t="s">
        <v>269</v>
      </c>
    </row>
    <row r="4622" spans="1:5" x14ac:dyDescent="0.25">
      <c r="A4622" t="s">
        <v>3096</v>
      </c>
      <c r="B4622" t="s">
        <v>4548</v>
      </c>
      <c r="C4622" t="s">
        <v>3060</v>
      </c>
      <c r="D4622" t="s">
        <v>3060</v>
      </c>
      <c r="E4622" t="s">
        <v>888</v>
      </c>
    </row>
    <row r="4623" spans="1:5" x14ac:dyDescent="0.25">
      <c r="A4623" t="s">
        <v>3096</v>
      </c>
      <c r="B4623" t="s">
        <v>198</v>
      </c>
      <c r="C4623" t="s">
        <v>3060</v>
      </c>
      <c r="D4623" t="s">
        <v>4520</v>
      </c>
      <c r="E4623" t="s">
        <v>1998</v>
      </c>
    </row>
    <row r="4624" spans="1:5" x14ac:dyDescent="0.25">
      <c r="A4624" t="s">
        <v>3096</v>
      </c>
      <c r="B4624" t="s">
        <v>1493</v>
      </c>
      <c r="C4624" t="s">
        <v>3060</v>
      </c>
      <c r="D4624" t="s">
        <v>3060</v>
      </c>
      <c r="E4624" t="s">
        <v>505</v>
      </c>
    </row>
    <row r="4625" spans="1:5" x14ac:dyDescent="0.25">
      <c r="A4625" t="s">
        <v>3096</v>
      </c>
      <c r="B4625" t="s">
        <v>4549</v>
      </c>
      <c r="C4625" t="s">
        <v>3060</v>
      </c>
      <c r="D4625" t="s">
        <v>3060</v>
      </c>
      <c r="E4625" t="s">
        <v>256</v>
      </c>
    </row>
    <row r="4626" spans="1:5" x14ac:dyDescent="0.25">
      <c r="A4626" t="s">
        <v>3096</v>
      </c>
      <c r="B4626" t="s">
        <v>298</v>
      </c>
      <c r="C4626" t="s">
        <v>3060</v>
      </c>
      <c r="D4626" t="s">
        <v>4522</v>
      </c>
      <c r="E4626" t="s">
        <v>4523</v>
      </c>
    </row>
    <row r="4627" spans="1:5" x14ac:dyDescent="0.25">
      <c r="A4627" t="s">
        <v>3096</v>
      </c>
      <c r="B4627" t="s">
        <v>314</v>
      </c>
      <c r="C4627" t="s">
        <v>3060</v>
      </c>
      <c r="D4627" t="s">
        <v>4550</v>
      </c>
      <c r="E4627" t="s">
        <v>4551</v>
      </c>
    </row>
    <row r="4628" spans="1:5" x14ac:dyDescent="0.25">
      <c r="A4628" t="s">
        <v>3096</v>
      </c>
      <c r="B4628" t="s">
        <v>319</v>
      </c>
      <c r="C4628" t="s">
        <v>3060</v>
      </c>
      <c r="D4628" t="s">
        <v>3060</v>
      </c>
      <c r="E4628" t="s">
        <v>4552</v>
      </c>
    </row>
    <row r="4629" spans="1:5" x14ac:dyDescent="0.25">
      <c r="A4629" t="s">
        <v>3096</v>
      </c>
      <c r="B4629" t="s">
        <v>4553</v>
      </c>
      <c r="C4629" t="s">
        <v>3060</v>
      </c>
      <c r="D4629" t="s">
        <v>3060</v>
      </c>
      <c r="E4629" t="s">
        <v>4552</v>
      </c>
    </row>
    <row r="4630" spans="1:5" x14ac:dyDescent="0.25">
      <c r="A4630" t="s">
        <v>3096</v>
      </c>
      <c r="B4630" t="s">
        <v>4554</v>
      </c>
      <c r="C4630" t="s">
        <v>3060</v>
      </c>
      <c r="D4630" t="s">
        <v>3060</v>
      </c>
      <c r="E4630" t="s">
        <v>4552</v>
      </c>
    </row>
    <row r="4631" spans="1:5" x14ac:dyDescent="0.25">
      <c r="A4631" t="s">
        <v>3096</v>
      </c>
      <c r="B4631" t="s">
        <v>1271</v>
      </c>
      <c r="C4631" t="s">
        <v>3060</v>
      </c>
      <c r="D4631" t="s">
        <v>3060</v>
      </c>
      <c r="E4631" t="s">
        <v>4552</v>
      </c>
    </row>
    <row r="4632" spans="1:5" x14ac:dyDescent="0.25">
      <c r="A4632" t="s">
        <v>3096</v>
      </c>
      <c r="B4632" t="s">
        <v>322</v>
      </c>
      <c r="C4632" t="s">
        <v>3060</v>
      </c>
      <c r="D4632" t="s">
        <v>3060</v>
      </c>
      <c r="E4632" t="s">
        <v>269</v>
      </c>
    </row>
    <row r="4633" spans="1:5" x14ac:dyDescent="0.25">
      <c r="A4633" t="s">
        <v>3096</v>
      </c>
      <c r="B4633" t="s">
        <v>4555</v>
      </c>
      <c r="C4633" t="s">
        <v>3060</v>
      </c>
      <c r="D4633" t="s">
        <v>3060</v>
      </c>
      <c r="E4633" t="s">
        <v>2458</v>
      </c>
    </row>
    <row r="4634" spans="1:5" x14ac:dyDescent="0.25">
      <c r="A4634" t="s">
        <v>3096</v>
      </c>
      <c r="B4634" t="s">
        <v>4556</v>
      </c>
      <c r="C4634" t="s">
        <v>3060</v>
      </c>
      <c r="D4634" t="s">
        <v>3060</v>
      </c>
      <c r="E4634" t="s">
        <v>4539</v>
      </c>
    </row>
    <row r="4635" spans="1:5" x14ac:dyDescent="0.25">
      <c r="A4635" t="s">
        <v>3096</v>
      </c>
      <c r="B4635" t="s">
        <v>4557</v>
      </c>
      <c r="C4635" t="s">
        <v>3060</v>
      </c>
      <c r="D4635" t="s">
        <v>3060</v>
      </c>
      <c r="E4635" t="s">
        <v>182</v>
      </c>
    </row>
    <row r="4636" spans="1:5" x14ac:dyDescent="0.25">
      <c r="A4636" t="s">
        <v>3096</v>
      </c>
      <c r="B4636" t="s">
        <v>4521</v>
      </c>
      <c r="C4636" t="s">
        <v>3060</v>
      </c>
      <c r="D4636" t="s">
        <v>3060</v>
      </c>
      <c r="E4636" t="s">
        <v>182</v>
      </c>
    </row>
    <row r="4637" spans="1:5" x14ac:dyDescent="0.25">
      <c r="A4637" t="s">
        <v>3096</v>
      </c>
      <c r="B4637" t="s">
        <v>4558</v>
      </c>
      <c r="C4637" t="s">
        <v>3060</v>
      </c>
      <c r="D4637" t="s">
        <v>3060</v>
      </c>
      <c r="E4637" t="s">
        <v>182</v>
      </c>
    </row>
    <row r="4638" spans="1:5" x14ac:dyDescent="0.25">
      <c r="A4638" t="s">
        <v>3096</v>
      </c>
      <c r="B4638" t="s">
        <v>642</v>
      </c>
      <c r="C4638" t="s">
        <v>3060</v>
      </c>
      <c r="D4638" t="s">
        <v>3060</v>
      </c>
      <c r="E4638" t="s">
        <v>4559</v>
      </c>
    </row>
    <row r="4639" spans="1:5" x14ac:dyDescent="0.25">
      <c r="A4639" t="s">
        <v>3096</v>
      </c>
      <c r="B4639" t="s">
        <v>229</v>
      </c>
      <c r="C4639" t="s">
        <v>3060</v>
      </c>
      <c r="D4639" t="s">
        <v>3060</v>
      </c>
      <c r="E4639" t="s">
        <v>4559</v>
      </c>
    </row>
    <row r="4640" spans="1:5" x14ac:dyDescent="0.25">
      <c r="A4640" t="s">
        <v>3096</v>
      </c>
      <c r="B4640" t="s">
        <v>706</v>
      </c>
      <c r="C4640" t="s">
        <v>3060</v>
      </c>
      <c r="D4640" t="s">
        <v>3060</v>
      </c>
      <c r="E4640" t="s">
        <v>182</v>
      </c>
    </row>
    <row r="4641" spans="1:5" x14ac:dyDescent="0.25">
      <c r="A4641" t="s">
        <v>3096</v>
      </c>
      <c r="B4641" t="s">
        <v>4560</v>
      </c>
      <c r="C4641" t="s">
        <v>3060</v>
      </c>
      <c r="D4641" t="s">
        <v>3060</v>
      </c>
      <c r="E4641" t="s">
        <v>182</v>
      </c>
    </row>
    <row r="4642" spans="1:5" x14ac:dyDescent="0.25">
      <c r="A4642" t="s">
        <v>3096</v>
      </c>
      <c r="B4642" t="s">
        <v>325</v>
      </c>
      <c r="C4642" t="s">
        <v>3060</v>
      </c>
      <c r="D4642" t="s">
        <v>3060</v>
      </c>
      <c r="E4642" t="s">
        <v>182</v>
      </c>
    </row>
    <row r="4643" spans="1:5" x14ac:dyDescent="0.25">
      <c r="A4643" t="s">
        <v>3096</v>
      </c>
      <c r="B4643" t="s">
        <v>178</v>
      </c>
      <c r="C4643" t="s">
        <v>3060</v>
      </c>
      <c r="D4643" t="s">
        <v>3060</v>
      </c>
      <c r="E4643" t="s">
        <v>4561</v>
      </c>
    </row>
    <row r="4644" spans="1:5" x14ac:dyDescent="0.25">
      <c r="A4644" t="s">
        <v>3096</v>
      </c>
      <c r="B4644" t="s">
        <v>238</v>
      </c>
      <c r="C4644" t="s">
        <v>3060</v>
      </c>
      <c r="D4644" t="s">
        <v>3060</v>
      </c>
      <c r="E4644" t="s">
        <v>2459</v>
      </c>
    </row>
    <row r="4645" spans="1:5" x14ac:dyDescent="0.25">
      <c r="A4645" t="s">
        <v>3096</v>
      </c>
      <c r="B4645" t="s">
        <v>179</v>
      </c>
      <c r="C4645" t="s">
        <v>3060</v>
      </c>
      <c r="D4645" t="s">
        <v>3060</v>
      </c>
      <c r="E4645" t="s">
        <v>182</v>
      </c>
    </row>
    <row r="4646" spans="1:5" x14ac:dyDescent="0.25">
      <c r="A4646" t="s">
        <v>3096</v>
      </c>
      <c r="B4646" t="s">
        <v>180</v>
      </c>
      <c r="C4646" t="s">
        <v>3060</v>
      </c>
      <c r="D4646" t="s">
        <v>3060</v>
      </c>
      <c r="E4646" t="s">
        <v>2423</v>
      </c>
    </row>
    <row r="4647" spans="1:5" x14ac:dyDescent="0.25">
      <c r="A4647" t="s">
        <v>3096</v>
      </c>
      <c r="B4647" t="s">
        <v>181</v>
      </c>
      <c r="C4647" t="s">
        <v>3060</v>
      </c>
      <c r="D4647" t="s">
        <v>3060</v>
      </c>
      <c r="E4647" t="s">
        <v>2459</v>
      </c>
    </row>
    <row r="4648" spans="1:5" x14ac:dyDescent="0.25">
      <c r="A4648" t="s">
        <v>3096</v>
      </c>
      <c r="B4648" t="s">
        <v>242</v>
      </c>
      <c r="C4648" t="s">
        <v>3060</v>
      </c>
      <c r="D4648" t="s">
        <v>3060</v>
      </c>
      <c r="E4648" t="s">
        <v>4519</v>
      </c>
    </row>
    <row r="4649" spans="1:5" x14ac:dyDescent="0.25">
      <c r="A4649" t="s">
        <v>3096</v>
      </c>
      <c r="B4649" t="s">
        <v>327</v>
      </c>
      <c r="C4649" t="s">
        <v>3060</v>
      </c>
      <c r="D4649" t="s">
        <v>3060</v>
      </c>
      <c r="E4649" t="s">
        <v>4519</v>
      </c>
    </row>
    <row r="4650" spans="1:5" x14ac:dyDescent="0.25">
      <c r="A4650" t="s">
        <v>3096</v>
      </c>
      <c r="B4650" t="s">
        <v>245</v>
      </c>
      <c r="C4650" t="s">
        <v>3060</v>
      </c>
      <c r="D4650" t="s">
        <v>3060</v>
      </c>
      <c r="E4650" t="s">
        <v>4519</v>
      </c>
    </row>
    <row r="4651" spans="1:5" x14ac:dyDescent="0.25">
      <c r="A4651" t="s">
        <v>3096</v>
      </c>
      <c r="B4651" t="s">
        <v>4562</v>
      </c>
      <c r="C4651" t="s">
        <v>3060</v>
      </c>
      <c r="D4651" t="s">
        <v>3060</v>
      </c>
      <c r="E4651" t="s">
        <v>269</v>
      </c>
    </row>
    <row r="4652" spans="1:5" x14ac:dyDescent="0.25">
      <c r="A4652" t="s">
        <v>3096</v>
      </c>
      <c r="B4652" t="s">
        <v>4563</v>
      </c>
      <c r="C4652" t="s">
        <v>3060</v>
      </c>
      <c r="D4652" t="s">
        <v>3060</v>
      </c>
      <c r="E4652" t="s">
        <v>174</v>
      </c>
    </row>
    <row r="4653" spans="1:5" x14ac:dyDescent="0.25">
      <c r="A4653" t="s">
        <v>3096</v>
      </c>
      <c r="B4653" t="s">
        <v>691</v>
      </c>
      <c r="C4653" t="s">
        <v>3060</v>
      </c>
      <c r="D4653" t="s">
        <v>3060</v>
      </c>
      <c r="E4653" t="s">
        <v>2175</v>
      </c>
    </row>
    <row r="4654" spans="1:5" x14ac:dyDescent="0.25">
      <c r="A4654" t="s">
        <v>3096</v>
      </c>
      <c r="B4654" t="s">
        <v>693</v>
      </c>
      <c r="C4654" t="s">
        <v>3060</v>
      </c>
      <c r="D4654" t="s">
        <v>3060</v>
      </c>
      <c r="E4654" t="s">
        <v>2175</v>
      </c>
    </row>
    <row r="4655" spans="1:5" x14ac:dyDescent="0.25">
      <c r="A4655" t="s">
        <v>3096</v>
      </c>
      <c r="B4655" t="s">
        <v>183</v>
      </c>
      <c r="C4655" t="s">
        <v>3060</v>
      </c>
      <c r="D4655" t="s">
        <v>3060</v>
      </c>
      <c r="E4655" t="s">
        <v>184</v>
      </c>
    </row>
    <row r="4656" spans="1:5" x14ac:dyDescent="0.25">
      <c r="A4656" t="s">
        <v>3097</v>
      </c>
      <c r="B4656" t="s">
        <v>605</v>
      </c>
      <c r="C4656" t="s">
        <v>3060</v>
      </c>
      <c r="D4656" t="s">
        <v>4564</v>
      </c>
      <c r="E4656" t="s">
        <v>287</v>
      </c>
    </row>
    <row r="4657" spans="1:5" x14ac:dyDescent="0.25">
      <c r="A4657" t="s">
        <v>3097</v>
      </c>
      <c r="B4657" t="s">
        <v>607</v>
      </c>
      <c r="C4657" t="s">
        <v>3060</v>
      </c>
      <c r="D4657" t="s">
        <v>4565</v>
      </c>
      <c r="E4657" t="s">
        <v>582</v>
      </c>
    </row>
    <row r="4658" spans="1:5" x14ac:dyDescent="0.25">
      <c r="A4658" t="s">
        <v>3097</v>
      </c>
      <c r="B4658" t="s">
        <v>653</v>
      </c>
      <c r="C4658" t="s">
        <v>3060</v>
      </c>
      <c r="D4658" t="s">
        <v>4566</v>
      </c>
      <c r="E4658" t="s">
        <v>505</v>
      </c>
    </row>
    <row r="4659" spans="1:5" x14ac:dyDescent="0.25">
      <c r="A4659" t="s">
        <v>3097</v>
      </c>
      <c r="B4659" t="s">
        <v>613</v>
      </c>
      <c r="C4659" t="s">
        <v>3060</v>
      </c>
      <c r="D4659" t="s">
        <v>4564</v>
      </c>
      <c r="E4659" t="s">
        <v>258</v>
      </c>
    </row>
    <row r="4660" spans="1:5" x14ac:dyDescent="0.25">
      <c r="A4660" t="s">
        <v>3097</v>
      </c>
      <c r="B4660" t="s">
        <v>2173</v>
      </c>
      <c r="C4660" t="s">
        <v>3060</v>
      </c>
      <c r="D4660" t="s">
        <v>4564</v>
      </c>
      <c r="E4660" t="s">
        <v>287</v>
      </c>
    </row>
    <row r="4661" spans="1:5" x14ac:dyDescent="0.25">
      <c r="A4661" t="s">
        <v>3097</v>
      </c>
      <c r="B4661" t="s">
        <v>4567</v>
      </c>
      <c r="C4661" t="s">
        <v>3060</v>
      </c>
      <c r="D4661" t="s">
        <v>4568</v>
      </c>
      <c r="E4661" t="s">
        <v>4569</v>
      </c>
    </row>
    <row r="4662" spans="1:5" x14ac:dyDescent="0.25">
      <c r="A4662" t="s">
        <v>3097</v>
      </c>
      <c r="B4662" t="s">
        <v>4570</v>
      </c>
      <c r="C4662" t="s">
        <v>3060</v>
      </c>
      <c r="D4662" t="s">
        <v>4571</v>
      </c>
      <c r="E4662" t="s">
        <v>1427</v>
      </c>
    </row>
    <row r="4663" spans="1:5" x14ac:dyDescent="0.25">
      <c r="A4663" t="s">
        <v>3097</v>
      </c>
      <c r="B4663" t="s">
        <v>4572</v>
      </c>
      <c r="C4663" t="s">
        <v>3060</v>
      </c>
      <c r="D4663" t="s">
        <v>4573</v>
      </c>
      <c r="E4663" t="s">
        <v>4574</v>
      </c>
    </row>
    <row r="4664" spans="1:5" x14ac:dyDescent="0.25">
      <c r="A4664" t="s">
        <v>3097</v>
      </c>
      <c r="B4664" t="s">
        <v>4575</v>
      </c>
      <c r="C4664" t="s">
        <v>3060</v>
      </c>
      <c r="D4664" t="s">
        <v>4576</v>
      </c>
      <c r="E4664" t="s">
        <v>437</v>
      </c>
    </row>
    <row r="4665" spans="1:5" x14ac:dyDescent="0.25">
      <c r="A4665" t="s">
        <v>3097</v>
      </c>
      <c r="B4665" t="s">
        <v>4577</v>
      </c>
      <c r="C4665" t="s">
        <v>3060</v>
      </c>
      <c r="D4665" t="s">
        <v>4578</v>
      </c>
      <c r="E4665" t="s">
        <v>456</v>
      </c>
    </row>
    <row r="4666" spans="1:5" x14ac:dyDescent="0.25">
      <c r="A4666" t="s">
        <v>3097</v>
      </c>
      <c r="B4666" t="s">
        <v>4579</v>
      </c>
      <c r="C4666" t="s">
        <v>3060</v>
      </c>
      <c r="D4666" t="s">
        <v>4580</v>
      </c>
      <c r="E4666" t="s">
        <v>461</v>
      </c>
    </row>
    <row r="4667" spans="1:5" x14ac:dyDescent="0.25">
      <c r="A4667" t="s">
        <v>3097</v>
      </c>
      <c r="B4667" t="s">
        <v>4581</v>
      </c>
      <c r="C4667" t="s">
        <v>3060</v>
      </c>
      <c r="D4667" t="s">
        <v>4582</v>
      </c>
      <c r="E4667" t="s">
        <v>254</v>
      </c>
    </row>
    <row r="4668" spans="1:5" x14ac:dyDescent="0.25">
      <c r="A4668" t="s">
        <v>3097</v>
      </c>
      <c r="B4668" t="s">
        <v>4583</v>
      </c>
      <c r="C4668" t="s">
        <v>3060</v>
      </c>
      <c r="D4668" t="s">
        <v>4584</v>
      </c>
      <c r="E4668" t="s">
        <v>461</v>
      </c>
    </row>
    <row r="4669" spans="1:5" x14ac:dyDescent="0.25">
      <c r="A4669" t="s">
        <v>3097</v>
      </c>
      <c r="B4669" t="s">
        <v>4585</v>
      </c>
      <c r="C4669" t="s">
        <v>3060</v>
      </c>
      <c r="D4669" t="s">
        <v>4586</v>
      </c>
      <c r="E4669" t="s">
        <v>461</v>
      </c>
    </row>
    <row r="4670" spans="1:5" x14ac:dyDescent="0.25">
      <c r="A4670" t="s">
        <v>3097</v>
      </c>
      <c r="B4670" t="s">
        <v>4587</v>
      </c>
      <c r="C4670" t="s">
        <v>3060</v>
      </c>
      <c r="D4670" t="s">
        <v>4588</v>
      </c>
      <c r="E4670" t="s">
        <v>461</v>
      </c>
    </row>
    <row r="4671" spans="1:5" x14ac:dyDescent="0.25">
      <c r="A4671" t="s">
        <v>3097</v>
      </c>
      <c r="B4671" t="s">
        <v>613</v>
      </c>
      <c r="C4671" t="s">
        <v>3060</v>
      </c>
      <c r="D4671" t="s">
        <v>4564</v>
      </c>
      <c r="E4671" t="s">
        <v>258</v>
      </c>
    </row>
    <row r="4672" spans="1:5" x14ac:dyDescent="0.25">
      <c r="A4672" t="s">
        <v>3097</v>
      </c>
      <c r="B4672" t="s">
        <v>4589</v>
      </c>
      <c r="C4672" t="s">
        <v>3060</v>
      </c>
      <c r="D4672" t="s">
        <v>4564</v>
      </c>
      <c r="E4672" t="s">
        <v>469</v>
      </c>
    </row>
    <row r="4673" spans="1:5" x14ac:dyDescent="0.25">
      <c r="A4673" t="s">
        <v>3097</v>
      </c>
      <c r="B4673" t="s">
        <v>617</v>
      </c>
      <c r="C4673" t="s">
        <v>3060</v>
      </c>
      <c r="D4673" t="s">
        <v>4590</v>
      </c>
      <c r="E4673" t="s">
        <v>505</v>
      </c>
    </row>
    <row r="4674" spans="1:5" x14ac:dyDescent="0.25">
      <c r="A4674" t="s">
        <v>3097</v>
      </c>
      <c r="B4674" t="s">
        <v>615</v>
      </c>
      <c r="C4674" t="s">
        <v>3060</v>
      </c>
      <c r="D4674" t="s">
        <v>4564</v>
      </c>
      <c r="E4674" t="s">
        <v>505</v>
      </c>
    </row>
    <row r="4675" spans="1:5" x14ac:dyDescent="0.25">
      <c r="A4675" t="s">
        <v>3097</v>
      </c>
      <c r="B4675" t="s">
        <v>614</v>
      </c>
      <c r="C4675" t="s">
        <v>3060</v>
      </c>
      <c r="D4675" t="s">
        <v>4591</v>
      </c>
      <c r="E4675" t="s">
        <v>418</v>
      </c>
    </row>
    <row r="4676" spans="1:5" x14ac:dyDescent="0.25">
      <c r="A4676" t="s">
        <v>3097</v>
      </c>
      <c r="B4676" t="s">
        <v>4592</v>
      </c>
      <c r="C4676" t="s">
        <v>3060</v>
      </c>
      <c r="D4676" t="s">
        <v>4564</v>
      </c>
      <c r="E4676" t="s">
        <v>469</v>
      </c>
    </row>
    <row r="4677" spans="1:5" x14ac:dyDescent="0.25">
      <c r="A4677" t="s">
        <v>3097</v>
      </c>
      <c r="B4677" t="s">
        <v>4593</v>
      </c>
      <c r="C4677" t="s">
        <v>3060</v>
      </c>
      <c r="D4677" t="s">
        <v>4564</v>
      </c>
      <c r="E4677" t="s">
        <v>264</v>
      </c>
    </row>
    <row r="4678" spans="1:5" x14ac:dyDescent="0.25">
      <c r="A4678" t="s">
        <v>3097</v>
      </c>
      <c r="B4678" t="s">
        <v>670</v>
      </c>
      <c r="C4678" t="s">
        <v>3060</v>
      </c>
      <c r="D4678" t="s">
        <v>4564</v>
      </c>
      <c r="E4678" t="s">
        <v>505</v>
      </c>
    </row>
    <row r="4679" spans="1:5" x14ac:dyDescent="0.25">
      <c r="A4679" t="s">
        <v>3097</v>
      </c>
      <c r="B4679" t="s">
        <v>605</v>
      </c>
      <c r="C4679" t="s">
        <v>3060</v>
      </c>
      <c r="D4679" t="s">
        <v>4564</v>
      </c>
      <c r="E4679" t="s">
        <v>287</v>
      </c>
    </row>
    <row r="4680" spans="1:5" x14ac:dyDescent="0.25">
      <c r="A4680" t="s">
        <v>3097</v>
      </c>
      <c r="B4680" t="s">
        <v>2173</v>
      </c>
      <c r="C4680" t="s">
        <v>3060</v>
      </c>
      <c r="D4680" t="s">
        <v>4564</v>
      </c>
      <c r="E4680" t="s">
        <v>287</v>
      </c>
    </row>
    <row r="4681" spans="1:5" x14ac:dyDescent="0.25">
      <c r="A4681" t="s">
        <v>3097</v>
      </c>
      <c r="B4681" t="s">
        <v>4594</v>
      </c>
      <c r="C4681" t="s">
        <v>3060</v>
      </c>
      <c r="D4681" t="s">
        <v>4564</v>
      </c>
      <c r="E4681" t="s">
        <v>469</v>
      </c>
    </row>
    <row r="4682" spans="1:5" x14ac:dyDescent="0.25">
      <c r="A4682" t="s">
        <v>3097</v>
      </c>
      <c r="B4682" t="s">
        <v>653</v>
      </c>
      <c r="C4682" t="s">
        <v>3060</v>
      </c>
      <c r="D4682" t="s">
        <v>4566</v>
      </c>
      <c r="E4682" t="s">
        <v>505</v>
      </c>
    </row>
    <row r="4683" spans="1:5" x14ac:dyDescent="0.25">
      <c r="A4683" t="s">
        <v>3097</v>
      </c>
      <c r="B4683" t="s">
        <v>4595</v>
      </c>
      <c r="C4683" t="s">
        <v>3060</v>
      </c>
      <c r="D4683" t="s">
        <v>4596</v>
      </c>
      <c r="E4683" t="s">
        <v>212</v>
      </c>
    </row>
    <row r="4684" spans="1:5" x14ac:dyDescent="0.25">
      <c r="A4684" t="s">
        <v>3097</v>
      </c>
      <c r="B4684" t="s">
        <v>4597</v>
      </c>
      <c r="C4684" t="s">
        <v>3060</v>
      </c>
      <c r="D4684" t="s">
        <v>4564</v>
      </c>
      <c r="E4684" t="s">
        <v>212</v>
      </c>
    </row>
    <row r="4685" spans="1:5" x14ac:dyDescent="0.25">
      <c r="A4685" t="s">
        <v>3097</v>
      </c>
      <c r="B4685" t="s">
        <v>619</v>
      </c>
      <c r="C4685" t="s">
        <v>3060</v>
      </c>
      <c r="D4685" t="s">
        <v>4598</v>
      </c>
      <c r="E4685" t="s">
        <v>256</v>
      </c>
    </row>
    <row r="4686" spans="1:5" x14ac:dyDescent="0.25">
      <c r="A4686" t="s">
        <v>3097</v>
      </c>
      <c r="B4686" t="s">
        <v>623</v>
      </c>
      <c r="C4686" t="s">
        <v>3060</v>
      </c>
      <c r="D4686" t="s">
        <v>4598</v>
      </c>
      <c r="E4686" t="s">
        <v>256</v>
      </c>
    </row>
    <row r="4687" spans="1:5" x14ac:dyDescent="0.25">
      <c r="A4687" t="s">
        <v>3097</v>
      </c>
      <c r="B4687" t="s">
        <v>626</v>
      </c>
      <c r="C4687" t="s">
        <v>3060</v>
      </c>
      <c r="D4687" t="s">
        <v>4598</v>
      </c>
      <c r="E4687" t="s">
        <v>212</v>
      </c>
    </row>
    <row r="4688" spans="1:5" x14ac:dyDescent="0.25">
      <c r="A4688" t="s">
        <v>3097</v>
      </c>
      <c r="B4688" t="s">
        <v>4599</v>
      </c>
      <c r="C4688" t="s">
        <v>3060</v>
      </c>
      <c r="D4688" t="s">
        <v>4598</v>
      </c>
      <c r="E4688" t="s">
        <v>264</v>
      </c>
    </row>
    <row r="4689" spans="1:5" x14ac:dyDescent="0.25">
      <c r="A4689" t="s">
        <v>3097</v>
      </c>
      <c r="B4689" t="s">
        <v>1525</v>
      </c>
      <c r="C4689" t="s">
        <v>3060</v>
      </c>
      <c r="D4689" t="s">
        <v>4598</v>
      </c>
      <c r="E4689" t="s">
        <v>3198</v>
      </c>
    </row>
    <row r="4690" spans="1:5" x14ac:dyDescent="0.25">
      <c r="A4690" t="s">
        <v>3097</v>
      </c>
      <c r="B4690" t="s">
        <v>3970</v>
      </c>
      <c r="C4690" t="s">
        <v>3060</v>
      </c>
      <c r="D4690" t="s">
        <v>4598</v>
      </c>
      <c r="E4690" t="s">
        <v>3198</v>
      </c>
    </row>
    <row r="4691" spans="1:5" x14ac:dyDescent="0.25">
      <c r="A4691" t="s">
        <v>3097</v>
      </c>
      <c r="B4691" t="s">
        <v>4600</v>
      </c>
      <c r="C4691" t="s">
        <v>3060</v>
      </c>
      <c r="D4691" t="s">
        <v>4601</v>
      </c>
      <c r="E4691" t="s">
        <v>267</v>
      </c>
    </row>
    <row r="4692" spans="1:5" x14ac:dyDescent="0.25">
      <c r="A4692" t="s">
        <v>3097</v>
      </c>
      <c r="B4692" t="s">
        <v>607</v>
      </c>
      <c r="C4692" t="s">
        <v>3060</v>
      </c>
      <c r="D4692" t="s">
        <v>4565</v>
      </c>
      <c r="E4692" t="s">
        <v>582</v>
      </c>
    </row>
    <row r="4693" spans="1:5" x14ac:dyDescent="0.25">
      <c r="A4693" t="s">
        <v>3097</v>
      </c>
      <c r="B4693" t="s">
        <v>638</v>
      </c>
      <c r="C4693" t="s">
        <v>3060</v>
      </c>
      <c r="D4693" t="s">
        <v>4565</v>
      </c>
      <c r="E4693" t="s">
        <v>582</v>
      </c>
    </row>
    <row r="4694" spans="1:5" x14ac:dyDescent="0.25">
      <c r="A4694" t="s">
        <v>3097</v>
      </c>
      <c r="B4694" t="s">
        <v>2847</v>
      </c>
      <c r="C4694" t="s">
        <v>3060</v>
      </c>
      <c r="D4694" t="s">
        <v>4565</v>
      </c>
      <c r="E4694" t="s">
        <v>554</v>
      </c>
    </row>
    <row r="4695" spans="1:5" x14ac:dyDescent="0.25">
      <c r="A4695" t="s">
        <v>3097</v>
      </c>
      <c r="B4695" t="s">
        <v>2212</v>
      </c>
      <c r="C4695" t="s">
        <v>3060</v>
      </c>
      <c r="D4695" t="s">
        <v>4565</v>
      </c>
      <c r="E4695" t="s">
        <v>418</v>
      </c>
    </row>
    <row r="4696" spans="1:5" x14ac:dyDescent="0.25">
      <c r="A4696" t="s">
        <v>3097</v>
      </c>
      <c r="B4696" t="s">
        <v>4602</v>
      </c>
      <c r="C4696" t="s">
        <v>3060</v>
      </c>
      <c r="D4696" t="s">
        <v>4565</v>
      </c>
      <c r="E4696" t="s">
        <v>418</v>
      </c>
    </row>
    <row r="4697" spans="1:5" x14ac:dyDescent="0.25">
      <c r="A4697" t="s">
        <v>3097</v>
      </c>
      <c r="B4697" t="s">
        <v>229</v>
      </c>
      <c r="C4697" t="s">
        <v>3060</v>
      </c>
      <c r="D4697" t="s">
        <v>3060</v>
      </c>
      <c r="E4697" t="s">
        <v>252</v>
      </c>
    </row>
    <row r="4698" spans="1:5" x14ac:dyDescent="0.25">
      <c r="A4698" t="s">
        <v>3097</v>
      </c>
      <c r="B4698" t="s">
        <v>230</v>
      </c>
      <c r="C4698" t="s">
        <v>3060</v>
      </c>
      <c r="D4698" t="s">
        <v>3060</v>
      </c>
      <c r="E4698" t="s">
        <v>252</v>
      </c>
    </row>
    <row r="4699" spans="1:5" x14ac:dyDescent="0.25">
      <c r="A4699" t="s">
        <v>3097</v>
      </c>
      <c r="B4699" t="s">
        <v>167</v>
      </c>
      <c r="C4699" t="s">
        <v>3060</v>
      </c>
      <c r="D4699" t="s">
        <v>3060</v>
      </c>
      <c r="E4699" t="s">
        <v>252</v>
      </c>
    </row>
    <row r="4700" spans="1:5" x14ac:dyDescent="0.25">
      <c r="A4700" t="s">
        <v>3097</v>
      </c>
      <c r="B4700" t="s">
        <v>170</v>
      </c>
      <c r="C4700" t="s">
        <v>3060</v>
      </c>
      <c r="D4700" t="s">
        <v>3060</v>
      </c>
      <c r="E4700" t="s">
        <v>252</v>
      </c>
    </row>
    <row r="4701" spans="1:5" x14ac:dyDescent="0.25">
      <c r="A4701" t="s">
        <v>3097</v>
      </c>
      <c r="B4701" t="s">
        <v>238</v>
      </c>
      <c r="C4701" t="s">
        <v>3060</v>
      </c>
      <c r="D4701" t="s">
        <v>3060</v>
      </c>
      <c r="E4701" t="s">
        <v>235</v>
      </c>
    </row>
    <row r="4702" spans="1:5" x14ac:dyDescent="0.25">
      <c r="A4702" t="s">
        <v>3097</v>
      </c>
      <c r="B4702" t="s">
        <v>4603</v>
      </c>
      <c r="C4702" t="s">
        <v>3060</v>
      </c>
      <c r="D4702" t="s">
        <v>3060</v>
      </c>
      <c r="E4702" t="s">
        <v>252</v>
      </c>
    </row>
    <row r="4703" spans="1:5" x14ac:dyDescent="0.25">
      <c r="A4703" t="s">
        <v>3097</v>
      </c>
      <c r="B4703" t="s">
        <v>179</v>
      </c>
      <c r="C4703" t="s">
        <v>3060</v>
      </c>
      <c r="D4703" t="s">
        <v>3060</v>
      </c>
      <c r="E4703" t="s">
        <v>207</v>
      </c>
    </row>
    <row r="4704" spans="1:5" x14ac:dyDescent="0.25">
      <c r="A4704" t="s">
        <v>3097</v>
      </c>
      <c r="B4704" t="s">
        <v>180</v>
      </c>
      <c r="C4704" t="s">
        <v>3060</v>
      </c>
      <c r="D4704" t="s">
        <v>3060</v>
      </c>
      <c r="E4704" t="s">
        <v>207</v>
      </c>
    </row>
    <row r="4705" spans="1:5" x14ac:dyDescent="0.25">
      <c r="A4705" t="s">
        <v>3097</v>
      </c>
      <c r="B4705" t="s">
        <v>181</v>
      </c>
      <c r="C4705" t="s">
        <v>3060</v>
      </c>
      <c r="D4705" t="s">
        <v>3060</v>
      </c>
      <c r="E4705" t="s">
        <v>235</v>
      </c>
    </row>
    <row r="4706" spans="1:5" x14ac:dyDescent="0.25">
      <c r="A4706" t="s">
        <v>3097</v>
      </c>
      <c r="B4706" t="s">
        <v>183</v>
      </c>
      <c r="C4706" t="s">
        <v>3060</v>
      </c>
      <c r="D4706" t="s">
        <v>3060</v>
      </c>
      <c r="E4706" t="s">
        <v>184</v>
      </c>
    </row>
    <row r="4707" spans="1:5" x14ac:dyDescent="0.25">
      <c r="A4707" t="s">
        <v>3098</v>
      </c>
      <c r="B4707" t="s">
        <v>294</v>
      </c>
      <c r="C4707" t="s">
        <v>3060</v>
      </c>
      <c r="D4707" t="s">
        <v>4604</v>
      </c>
      <c r="E4707" t="s">
        <v>1257</v>
      </c>
    </row>
    <row r="4708" spans="1:5" x14ac:dyDescent="0.25">
      <c r="A4708" t="s">
        <v>3098</v>
      </c>
      <c r="B4708" t="s">
        <v>192</v>
      </c>
      <c r="C4708" t="s">
        <v>3060</v>
      </c>
      <c r="D4708" t="s">
        <v>4604</v>
      </c>
      <c r="E4708" t="s">
        <v>207</v>
      </c>
    </row>
    <row r="4709" spans="1:5" x14ac:dyDescent="0.25">
      <c r="A4709" t="s">
        <v>3098</v>
      </c>
      <c r="B4709" t="s">
        <v>4185</v>
      </c>
      <c r="C4709" t="s">
        <v>3060</v>
      </c>
      <c r="D4709" t="s">
        <v>4605</v>
      </c>
      <c r="E4709" t="s">
        <v>2362</v>
      </c>
    </row>
    <row r="4710" spans="1:5" x14ac:dyDescent="0.25">
      <c r="A4710" t="s">
        <v>3098</v>
      </c>
      <c r="B4710" t="s">
        <v>4606</v>
      </c>
      <c r="C4710" t="s">
        <v>3060</v>
      </c>
      <c r="D4710" t="s">
        <v>3849</v>
      </c>
      <c r="E4710" t="s">
        <v>582</v>
      </c>
    </row>
    <row r="4711" spans="1:5" x14ac:dyDescent="0.25">
      <c r="A4711" t="s">
        <v>3098</v>
      </c>
      <c r="B4711" t="s">
        <v>210</v>
      </c>
      <c r="C4711" t="s">
        <v>3060</v>
      </c>
      <c r="D4711" t="s">
        <v>4607</v>
      </c>
      <c r="E4711" t="s">
        <v>202</v>
      </c>
    </row>
    <row r="4712" spans="1:5" x14ac:dyDescent="0.25">
      <c r="A4712" t="s">
        <v>3098</v>
      </c>
      <c r="B4712" t="s">
        <v>4608</v>
      </c>
      <c r="C4712" t="s">
        <v>3060</v>
      </c>
      <c r="D4712" t="s">
        <v>4609</v>
      </c>
      <c r="E4712" t="s">
        <v>256</v>
      </c>
    </row>
    <row r="4713" spans="1:5" x14ac:dyDescent="0.25">
      <c r="A4713" t="s">
        <v>3098</v>
      </c>
      <c r="B4713" t="s">
        <v>4610</v>
      </c>
      <c r="C4713" t="s">
        <v>3060</v>
      </c>
      <c r="D4713" t="s">
        <v>4611</v>
      </c>
      <c r="E4713" t="s">
        <v>4056</v>
      </c>
    </row>
    <row r="4714" spans="1:5" x14ac:dyDescent="0.25">
      <c r="A4714" t="s">
        <v>3098</v>
      </c>
      <c r="B4714" t="s">
        <v>4612</v>
      </c>
      <c r="C4714" t="s">
        <v>3060</v>
      </c>
      <c r="D4714" t="s">
        <v>4613</v>
      </c>
      <c r="E4714" t="s">
        <v>4614</v>
      </c>
    </row>
    <row r="4715" spans="1:5" x14ac:dyDescent="0.25">
      <c r="A4715" t="s">
        <v>3098</v>
      </c>
      <c r="B4715" t="s">
        <v>4615</v>
      </c>
      <c r="C4715" t="s">
        <v>3060</v>
      </c>
      <c r="D4715" t="s">
        <v>4616</v>
      </c>
      <c r="E4715" t="s">
        <v>451</v>
      </c>
    </row>
    <row r="4716" spans="1:5" x14ac:dyDescent="0.25">
      <c r="A4716" t="s">
        <v>3098</v>
      </c>
      <c r="B4716" t="s">
        <v>4617</v>
      </c>
      <c r="C4716" t="s">
        <v>3060</v>
      </c>
      <c r="D4716" t="s">
        <v>4618</v>
      </c>
      <c r="E4716" t="s">
        <v>801</v>
      </c>
    </row>
    <row r="4717" spans="1:5" x14ac:dyDescent="0.25">
      <c r="A4717" t="s">
        <v>3098</v>
      </c>
      <c r="B4717" t="s">
        <v>131</v>
      </c>
      <c r="C4717" t="s">
        <v>3060</v>
      </c>
      <c r="D4717" t="s">
        <v>4619</v>
      </c>
      <c r="E4717" t="s">
        <v>1483</v>
      </c>
    </row>
    <row r="4718" spans="1:5" x14ac:dyDescent="0.25">
      <c r="A4718" t="s">
        <v>3098</v>
      </c>
      <c r="B4718" t="s">
        <v>4620</v>
      </c>
      <c r="C4718" t="s">
        <v>3060</v>
      </c>
      <c r="D4718" t="s">
        <v>4621</v>
      </c>
      <c r="E4718" t="s">
        <v>1848</v>
      </c>
    </row>
    <row r="4719" spans="1:5" x14ac:dyDescent="0.25">
      <c r="A4719" t="s">
        <v>3098</v>
      </c>
      <c r="B4719" t="s">
        <v>192</v>
      </c>
      <c r="C4719" t="s">
        <v>3060</v>
      </c>
      <c r="D4719" t="s">
        <v>4604</v>
      </c>
      <c r="E4719" t="s">
        <v>207</v>
      </c>
    </row>
    <row r="4720" spans="1:5" x14ac:dyDescent="0.25">
      <c r="A4720" t="s">
        <v>3098</v>
      </c>
      <c r="B4720" t="s">
        <v>4622</v>
      </c>
      <c r="C4720" t="s">
        <v>3060</v>
      </c>
      <c r="D4720" t="s">
        <v>4623</v>
      </c>
      <c r="E4720" t="s">
        <v>197</v>
      </c>
    </row>
    <row r="4721" spans="1:5" x14ac:dyDescent="0.25">
      <c r="A4721" t="s">
        <v>3098</v>
      </c>
      <c r="B4721" t="s">
        <v>4624</v>
      </c>
      <c r="C4721" t="s">
        <v>3060</v>
      </c>
      <c r="D4721" t="s">
        <v>4623</v>
      </c>
      <c r="E4721" t="s">
        <v>1458</v>
      </c>
    </row>
    <row r="4722" spans="1:5" x14ac:dyDescent="0.25">
      <c r="A4722" t="s">
        <v>3098</v>
      </c>
      <c r="B4722" t="s">
        <v>4625</v>
      </c>
      <c r="C4722" t="s">
        <v>3060</v>
      </c>
      <c r="D4722" t="s">
        <v>4623</v>
      </c>
      <c r="E4722" t="s">
        <v>202</v>
      </c>
    </row>
    <row r="4723" spans="1:5" x14ac:dyDescent="0.25">
      <c r="A4723" t="s">
        <v>3098</v>
      </c>
      <c r="B4723" t="s">
        <v>4626</v>
      </c>
      <c r="C4723" t="s">
        <v>3060</v>
      </c>
      <c r="D4723" t="s">
        <v>4623</v>
      </c>
      <c r="E4723" t="s">
        <v>582</v>
      </c>
    </row>
    <row r="4724" spans="1:5" x14ac:dyDescent="0.25">
      <c r="A4724" t="s">
        <v>3098</v>
      </c>
      <c r="B4724" t="s">
        <v>294</v>
      </c>
      <c r="C4724" t="s">
        <v>3060</v>
      </c>
      <c r="D4724" t="s">
        <v>4604</v>
      </c>
      <c r="E4724" t="s">
        <v>1257</v>
      </c>
    </row>
    <row r="4725" spans="1:5" x14ac:dyDescent="0.25">
      <c r="A4725" t="s">
        <v>3098</v>
      </c>
      <c r="B4725" t="s">
        <v>4627</v>
      </c>
      <c r="C4725" t="s">
        <v>3060</v>
      </c>
      <c r="D4725" t="s">
        <v>4604</v>
      </c>
      <c r="E4725" t="s">
        <v>253</v>
      </c>
    </row>
    <row r="4726" spans="1:5" x14ac:dyDescent="0.25">
      <c r="A4726" t="s">
        <v>3098</v>
      </c>
      <c r="B4726" t="s">
        <v>4628</v>
      </c>
      <c r="C4726" t="s">
        <v>3060</v>
      </c>
      <c r="D4726" t="s">
        <v>4604</v>
      </c>
      <c r="E4726" t="s">
        <v>202</v>
      </c>
    </row>
    <row r="4727" spans="1:5" x14ac:dyDescent="0.25">
      <c r="A4727" t="s">
        <v>3098</v>
      </c>
      <c r="B4727" t="s">
        <v>210</v>
      </c>
      <c r="C4727" t="s">
        <v>3060</v>
      </c>
      <c r="D4727" t="s">
        <v>4607</v>
      </c>
      <c r="E4727" t="s">
        <v>202</v>
      </c>
    </row>
    <row r="4728" spans="1:5" x14ac:dyDescent="0.25">
      <c r="A4728" t="s">
        <v>3098</v>
      </c>
      <c r="B4728" t="s">
        <v>4185</v>
      </c>
      <c r="C4728" t="s">
        <v>3060</v>
      </c>
      <c r="D4728" t="s">
        <v>4605</v>
      </c>
      <c r="E4728" t="s">
        <v>2362</v>
      </c>
    </row>
    <row r="4729" spans="1:5" x14ac:dyDescent="0.25">
      <c r="A4729" t="s">
        <v>3098</v>
      </c>
      <c r="B4729" t="s">
        <v>198</v>
      </c>
      <c r="C4729" t="s">
        <v>3060</v>
      </c>
      <c r="D4729" t="s">
        <v>4629</v>
      </c>
      <c r="E4729" t="s">
        <v>212</v>
      </c>
    </row>
    <row r="4730" spans="1:5" x14ac:dyDescent="0.25">
      <c r="A4730" t="s">
        <v>3098</v>
      </c>
      <c r="B4730" t="s">
        <v>298</v>
      </c>
      <c r="C4730" t="s">
        <v>3060</v>
      </c>
      <c r="D4730" t="s">
        <v>4630</v>
      </c>
      <c r="E4730" t="s">
        <v>214</v>
      </c>
    </row>
    <row r="4731" spans="1:5" x14ac:dyDescent="0.25">
      <c r="A4731" t="s">
        <v>3098</v>
      </c>
      <c r="B4731" t="s">
        <v>314</v>
      </c>
      <c r="C4731" t="s">
        <v>3060</v>
      </c>
      <c r="D4731" t="s">
        <v>4631</v>
      </c>
      <c r="E4731" t="s">
        <v>218</v>
      </c>
    </row>
    <row r="4732" spans="1:5" x14ac:dyDescent="0.25">
      <c r="A4732" t="s">
        <v>3098</v>
      </c>
      <c r="B4732" t="s">
        <v>4632</v>
      </c>
      <c r="C4732" t="s">
        <v>3060</v>
      </c>
      <c r="D4732" t="s">
        <v>3849</v>
      </c>
      <c r="E4732" t="s">
        <v>286</v>
      </c>
    </row>
    <row r="4733" spans="1:5" x14ac:dyDescent="0.25">
      <c r="A4733" t="s">
        <v>3098</v>
      </c>
      <c r="B4733" t="s">
        <v>4606</v>
      </c>
      <c r="C4733" t="s">
        <v>3060</v>
      </c>
      <c r="D4733" t="s">
        <v>3849</v>
      </c>
      <c r="E4733" t="s">
        <v>582</v>
      </c>
    </row>
    <row r="4734" spans="1:5" x14ac:dyDescent="0.25">
      <c r="A4734" t="s">
        <v>3098</v>
      </c>
      <c r="B4734" t="s">
        <v>4633</v>
      </c>
      <c r="C4734" t="s">
        <v>3060</v>
      </c>
      <c r="D4734" t="s">
        <v>3849</v>
      </c>
      <c r="E4734" t="s">
        <v>256</v>
      </c>
    </row>
    <row r="4735" spans="1:5" x14ac:dyDescent="0.25">
      <c r="A4735" t="s">
        <v>3098</v>
      </c>
      <c r="B4735" t="s">
        <v>4634</v>
      </c>
      <c r="C4735" t="s">
        <v>3060</v>
      </c>
      <c r="D4735" t="s">
        <v>3849</v>
      </c>
      <c r="E4735" t="s">
        <v>308</v>
      </c>
    </row>
    <row r="4736" spans="1:5" x14ac:dyDescent="0.25">
      <c r="A4736" t="s">
        <v>3098</v>
      </c>
      <c r="B4736" t="s">
        <v>4635</v>
      </c>
      <c r="C4736" t="s">
        <v>3060</v>
      </c>
      <c r="D4736" t="s">
        <v>3849</v>
      </c>
      <c r="E4736" t="s">
        <v>369</v>
      </c>
    </row>
    <row r="4737" spans="1:5" x14ac:dyDescent="0.25">
      <c r="A4737" t="s">
        <v>3098</v>
      </c>
      <c r="B4737" t="s">
        <v>4636</v>
      </c>
      <c r="C4737" t="s">
        <v>3060</v>
      </c>
      <c r="D4737" t="s">
        <v>3849</v>
      </c>
      <c r="E4737" t="s">
        <v>2139</v>
      </c>
    </row>
    <row r="4738" spans="1:5" x14ac:dyDescent="0.25">
      <c r="A4738" t="s">
        <v>3098</v>
      </c>
      <c r="B4738" t="s">
        <v>4637</v>
      </c>
      <c r="C4738" t="s">
        <v>3060</v>
      </c>
      <c r="D4738" t="s">
        <v>3849</v>
      </c>
      <c r="E4738" t="s">
        <v>220</v>
      </c>
    </row>
    <row r="4739" spans="1:5" x14ac:dyDescent="0.25">
      <c r="A4739" t="s">
        <v>3098</v>
      </c>
      <c r="B4739" t="s">
        <v>4638</v>
      </c>
      <c r="C4739" t="s">
        <v>3060</v>
      </c>
      <c r="D4739" t="s">
        <v>3849</v>
      </c>
      <c r="E4739" t="s">
        <v>466</v>
      </c>
    </row>
    <row r="4740" spans="1:5" x14ac:dyDescent="0.25">
      <c r="A4740" t="s">
        <v>3098</v>
      </c>
      <c r="B4740" t="s">
        <v>4639</v>
      </c>
      <c r="C4740" t="s">
        <v>3060</v>
      </c>
      <c r="D4740" t="s">
        <v>3849</v>
      </c>
      <c r="E4740" t="s">
        <v>272</v>
      </c>
    </row>
    <row r="4741" spans="1:5" x14ac:dyDescent="0.25">
      <c r="A4741" t="s">
        <v>3098</v>
      </c>
      <c r="B4741" t="s">
        <v>4640</v>
      </c>
      <c r="C4741" t="s">
        <v>3060</v>
      </c>
      <c r="D4741" t="s">
        <v>3849</v>
      </c>
      <c r="E4741" t="s">
        <v>361</v>
      </c>
    </row>
    <row r="4742" spans="1:5" x14ac:dyDescent="0.25">
      <c r="A4742" t="s">
        <v>3098</v>
      </c>
      <c r="B4742" t="s">
        <v>4641</v>
      </c>
      <c r="C4742" t="s">
        <v>3060</v>
      </c>
      <c r="D4742" t="s">
        <v>3849</v>
      </c>
      <c r="E4742" t="s">
        <v>267</v>
      </c>
    </row>
    <row r="4743" spans="1:5" x14ac:dyDescent="0.25">
      <c r="A4743" t="s">
        <v>3098</v>
      </c>
      <c r="B4743" t="s">
        <v>4642</v>
      </c>
      <c r="C4743" t="s">
        <v>3060</v>
      </c>
      <c r="D4743" t="s">
        <v>3849</v>
      </c>
      <c r="E4743" t="s">
        <v>281</v>
      </c>
    </row>
    <row r="4744" spans="1:5" x14ac:dyDescent="0.25">
      <c r="A4744" t="s">
        <v>3098</v>
      </c>
      <c r="B4744" t="s">
        <v>4643</v>
      </c>
      <c r="C4744" t="s">
        <v>3060</v>
      </c>
      <c r="D4744" t="s">
        <v>3849</v>
      </c>
      <c r="E4744" t="s">
        <v>212</v>
      </c>
    </row>
    <row r="4745" spans="1:5" x14ac:dyDescent="0.25">
      <c r="A4745" t="s">
        <v>3098</v>
      </c>
      <c r="B4745" t="s">
        <v>4644</v>
      </c>
      <c r="C4745" t="s">
        <v>3060</v>
      </c>
      <c r="D4745" t="s">
        <v>3849</v>
      </c>
      <c r="E4745" t="s">
        <v>214</v>
      </c>
    </row>
    <row r="4746" spans="1:5" x14ac:dyDescent="0.25">
      <c r="A4746" t="s">
        <v>3098</v>
      </c>
      <c r="B4746" t="s">
        <v>4645</v>
      </c>
      <c r="C4746" t="s">
        <v>3060</v>
      </c>
      <c r="D4746" t="s">
        <v>3849</v>
      </c>
      <c r="E4746" t="s">
        <v>539</v>
      </c>
    </row>
    <row r="4747" spans="1:5" x14ac:dyDescent="0.25">
      <c r="A4747" t="s">
        <v>3098</v>
      </c>
      <c r="B4747" t="s">
        <v>4646</v>
      </c>
      <c r="C4747" t="s">
        <v>3060</v>
      </c>
      <c r="D4747" t="s">
        <v>3849</v>
      </c>
      <c r="E4747" t="s">
        <v>308</v>
      </c>
    </row>
    <row r="4748" spans="1:5" x14ac:dyDescent="0.25">
      <c r="A4748" t="s">
        <v>3098</v>
      </c>
      <c r="B4748" t="s">
        <v>4647</v>
      </c>
      <c r="C4748" t="s">
        <v>3060</v>
      </c>
      <c r="D4748" t="s">
        <v>3060</v>
      </c>
      <c r="E4748" t="s">
        <v>241</v>
      </c>
    </row>
    <row r="4749" spans="1:5" x14ac:dyDescent="0.25">
      <c r="A4749" t="s">
        <v>3098</v>
      </c>
      <c r="B4749" t="s">
        <v>4648</v>
      </c>
      <c r="C4749" t="s">
        <v>3060</v>
      </c>
      <c r="D4749" t="s">
        <v>3060</v>
      </c>
      <c r="E4749" t="s">
        <v>241</v>
      </c>
    </row>
    <row r="4750" spans="1:5" x14ac:dyDescent="0.25">
      <c r="A4750" t="s">
        <v>3098</v>
      </c>
      <c r="B4750" t="s">
        <v>4649</v>
      </c>
      <c r="C4750" t="s">
        <v>3060</v>
      </c>
      <c r="D4750" t="s">
        <v>3060</v>
      </c>
      <c r="E4750" t="s">
        <v>241</v>
      </c>
    </row>
    <row r="4751" spans="1:5" x14ac:dyDescent="0.25">
      <c r="A4751" t="s">
        <v>3098</v>
      </c>
      <c r="B4751" t="s">
        <v>4553</v>
      </c>
      <c r="C4751" t="s">
        <v>3060</v>
      </c>
      <c r="D4751" t="s">
        <v>3060</v>
      </c>
      <c r="E4751" t="s">
        <v>286</v>
      </c>
    </row>
    <row r="4752" spans="1:5" x14ac:dyDescent="0.25">
      <c r="A4752" t="s">
        <v>3098</v>
      </c>
      <c r="B4752" t="s">
        <v>4650</v>
      </c>
      <c r="C4752" t="s">
        <v>3060</v>
      </c>
      <c r="D4752" t="s">
        <v>4651</v>
      </c>
      <c r="E4752" t="s">
        <v>235</v>
      </c>
    </row>
    <row r="4753" spans="1:5" x14ac:dyDescent="0.25">
      <c r="A4753" t="s">
        <v>3098</v>
      </c>
      <c r="B4753" t="s">
        <v>4652</v>
      </c>
      <c r="C4753" t="s">
        <v>3060</v>
      </c>
      <c r="D4753" t="s">
        <v>3060</v>
      </c>
      <c r="E4753" t="s">
        <v>279</v>
      </c>
    </row>
    <row r="4754" spans="1:5" x14ac:dyDescent="0.25">
      <c r="A4754" t="s">
        <v>3098</v>
      </c>
      <c r="B4754" t="s">
        <v>4653</v>
      </c>
      <c r="C4754" t="s">
        <v>3060</v>
      </c>
      <c r="D4754" t="s">
        <v>3060</v>
      </c>
      <c r="E4754" t="s">
        <v>279</v>
      </c>
    </row>
    <row r="4755" spans="1:5" x14ac:dyDescent="0.25">
      <c r="A4755" t="s">
        <v>3098</v>
      </c>
      <c r="B4755" t="s">
        <v>4654</v>
      </c>
      <c r="C4755" t="s">
        <v>3060</v>
      </c>
      <c r="D4755" t="s">
        <v>3060</v>
      </c>
      <c r="E4755" t="s">
        <v>575</v>
      </c>
    </row>
    <row r="4756" spans="1:5" x14ac:dyDescent="0.25">
      <c r="A4756" t="s">
        <v>3098</v>
      </c>
      <c r="B4756" t="s">
        <v>167</v>
      </c>
      <c r="C4756" t="s">
        <v>3060</v>
      </c>
      <c r="D4756" t="s">
        <v>3060</v>
      </c>
      <c r="E4756" t="s">
        <v>252</v>
      </c>
    </row>
    <row r="4757" spans="1:5" x14ac:dyDescent="0.25">
      <c r="A4757" t="s">
        <v>3098</v>
      </c>
      <c r="B4757" t="s">
        <v>234</v>
      </c>
      <c r="C4757" t="s">
        <v>3060</v>
      </c>
      <c r="D4757" t="s">
        <v>3060</v>
      </c>
      <c r="E4757" t="s">
        <v>279</v>
      </c>
    </row>
    <row r="4758" spans="1:5" x14ac:dyDescent="0.25">
      <c r="A4758" t="s">
        <v>3098</v>
      </c>
      <c r="B4758" t="s">
        <v>177</v>
      </c>
      <c r="C4758" t="s">
        <v>3060</v>
      </c>
      <c r="D4758" t="s">
        <v>3060</v>
      </c>
      <c r="E4758" t="s">
        <v>252</v>
      </c>
    </row>
    <row r="4759" spans="1:5" x14ac:dyDescent="0.25">
      <c r="A4759" t="s">
        <v>3098</v>
      </c>
      <c r="B4759" t="s">
        <v>4655</v>
      </c>
      <c r="C4759" t="s">
        <v>3060</v>
      </c>
      <c r="D4759" t="s">
        <v>4656</v>
      </c>
      <c r="E4759" t="s">
        <v>279</v>
      </c>
    </row>
    <row r="4760" spans="1:5" x14ac:dyDescent="0.25">
      <c r="A4760" t="s">
        <v>3098</v>
      </c>
      <c r="B4760" t="s">
        <v>282</v>
      </c>
      <c r="C4760" t="s">
        <v>3060</v>
      </c>
      <c r="D4760" t="s">
        <v>3060</v>
      </c>
      <c r="E4760" t="s">
        <v>279</v>
      </c>
    </row>
    <row r="4761" spans="1:5" x14ac:dyDescent="0.25">
      <c r="A4761" t="s">
        <v>3098</v>
      </c>
      <c r="B4761" t="s">
        <v>284</v>
      </c>
      <c r="C4761" t="s">
        <v>3060</v>
      </c>
      <c r="D4761" t="s">
        <v>3060</v>
      </c>
      <c r="E4761" t="s">
        <v>279</v>
      </c>
    </row>
    <row r="4762" spans="1:5" x14ac:dyDescent="0.25">
      <c r="A4762" t="s">
        <v>3098</v>
      </c>
      <c r="B4762" t="s">
        <v>283</v>
      </c>
      <c r="C4762" t="s">
        <v>3060</v>
      </c>
      <c r="D4762" t="s">
        <v>3060</v>
      </c>
      <c r="E4762" t="s">
        <v>281</v>
      </c>
    </row>
    <row r="4763" spans="1:5" x14ac:dyDescent="0.25">
      <c r="A4763" t="s">
        <v>3098</v>
      </c>
      <c r="B4763" t="s">
        <v>285</v>
      </c>
      <c r="C4763" t="s">
        <v>3060</v>
      </c>
      <c r="D4763" t="s">
        <v>3060</v>
      </c>
      <c r="E4763" t="s">
        <v>286</v>
      </c>
    </row>
    <row r="4764" spans="1:5" x14ac:dyDescent="0.25">
      <c r="A4764" t="s">
        <v>3098</v>
      </c>
      <c r="B4764" t="s">
        <v>345</v>
      </c>
      <c r="C4764" t="s">
        <v>3060</v>
      </c>
      <c r="D4764" t="s">
        <v>3060</v>
      </c>
      <c r="E4764" t="s">
        <v>287</v>
      </c>
    </row>
    <row r="4765" spans="1:5" x14ac:dyDescent="0.25">
      <c r="A4765" t="s">
        <v>3098</v>
      </c>
      <c r="B4765" t="s">
        <v>1477</v>
      </c>
      <c r="C4765" t="s">
        <v>3060</v>
      </c>
      <c r="D4765" t="s">
        <v>3060</v>
      </c>
      <c r="E4765" t="s">
        <v>287</v>
      </c>
    </row>
    <row r="4766" spans="1:5" x14ac:dyDescent="0.25">
      <c r="A4766" t="s">
        <v>3098</v>
      </c>
      <c r="B4766" t="s">
        <v>348</v>
      </c>
      <c r="C4766" t="s">
        <v>3060</v>
      </c>
      <c r="D4766" t="s">
        <v>3060</v>
      </c>
      <c r="E4766" t="s">
        <v>269</v>
      </c>
    </row>
    <row r="4767" spans="1:5" x14ac:dyDescent="0.25">
      <c r="A4767" t="s">
        <v>3099</v>
      </c>
      <c r="B4767" t="s">
        <v>666</v>
      </c>
      <c r="C4767" t="s">
        <v>3060</v>
      </c>
      <c r="D4767" t="s">
        <v>4657</v>
      </c>
      <c r="E4767" t="s">
        <v>2910</v>
      </c>
    </row>
    <row r="4768" spans="1:5" x14ac:dyDescent="0.25">
      <c r="A4768" t="s">
        <v>3099</v>
      </c>
      <c r="B4768" t="s">
        <v>619</v>
      </c>
      <c r="C4768" t="s">
        <v>3060</v>
      </c>
      <c r="D4768" t="s">
        <v>4657</v>
      </c>
      <c r="E4768" t="s">
        <v>2287</v>
      </c>
    </row>
    <row r="4769" spans="1:5" x14ac:dyDescent="0.25">
      <c r="A4769" t="s">
        <v>3099</v>
      </c>
      <c r="B4769" t="s">
        <v>2173</v>
      </c>
      <c r="C4769" t="s">
        <v>3060</v>
      </c>
      <c r="D4769" t="s">
        <v>4658</v>
      </c>
      <c r="E4769" t="s">
        <v>636</v>
      </c>
    </row>
    <row r="4770" spans="1:5" x14ac:dyDescent="0.25">
      <c r="A4770" t="s">
        <v>3099</v>
      </c>
      <c r="B4770" t="s">
        <v>626</v>
      </c>
      <c r="C4770" t="s">
        <v>3060</v>
      </c>
      <c r="D4770" t="s">
        <v>4659</v>
      </c>
      <c r="E4770" t="s">
        <v>2287</v>
      </c>
    </row>
    <row r="4771" spans="1:5" x14ac:dyDescent="0.25">
      <c r="A4771" t="s">
        <v>3099</v>
      </c>
      <c r="B4771" t="s">
        <v>4660</v>
      </c>
      <c r="C4771" t="s">
        <v>3060</v>
      </c>
      <c r="D4771" t="s">
        <v>4661</v>
      </c>
      <c r="E4771" t="s">
        <v>4662</v>
      </c>
    </row>
    <row r="4772" spans="1:5" x14ac:dyDescent="0.25">
      <c r="A4772" t="s">
        <v>3099</v>
      </c>
      <c r="B4772" t="s">
        <v>4663</v>
      </c>
      <c r="C4772" t="s">
        <v>3060</v>
      </c>
      <c r="D4772" t="s">
        <v>4664</v>
      </c>
      <c r="E4772" t="s">
        <v>305</v>
      </c>
    </row>
    <row r="4773" spans="1:5" x14ac:dyDescent="0.25">
      <c r="A4773" t="s">
        <v>3099</v>
      </c>
      <c r="B4773" t="s">
        <v>4665</v>
      </c>
      <c r="C4773" t="s">
        <v>3060</v>
      </c>
      <c r="D4773" t="s">
        <v>4666</v>
      </c>
      <c r="E4773" t="s">
        <v>2591</v>
      </c>
    </row>
    <row r="4774" spans="1:5" x14ac:dyDescent="0.25">
      <c r="A4774" t="s">
        <v>3099</v>
      </c>
      <c r="B4774" t="s">
        <v>4660</v>
      </c>
      <c r="C4774" t="s">
        <v>3060</v>
      </c>
      <c r="D4774" t="s">
        <v>4661</v>
      </c>
      <c r="E4774" t="s">
        <v>4662</v>
      </c>
    </row>
    <row r="4775" spans="1:5" x14ac:dyDescent="0.25">
      <c r="A4775" t="s">
        <v>3099</v>
      </c>
      <c r="B4775" t="s">
        <v>619</v>
      </c>
      <c r="C4775" t="s">
        <v>3060</v>
      </c>
      <c r="D4775" t="s">
        <v>4657</v>
      </c>
      <c r="E4775" t="s">
        <v>2287</v>
      </c>
    </row>
    <row r="4776" spans="1:5" x14ac:dyDescent="0.25">
      <c r="A4776" t="s">
        <v>3099</v>
      </c>
      <c r="B4776" t="s">
        <v>623</v>
      </c>
      <c r="C4776" t="s">
        <v>3060</v>
      </c>
      <c r="D4776" t="s">
        <v>4667</v>
      </c>
      <c r="E4776" t="s">
        <v>2287</v>
      </c>
    </row>
    <row r="4777" spans="1:5" x14ac:dyDescent="0.25">
      <c r="A4777" t="s">
        <v>3099</v>
      </c>
      <c r="B4777" t="s">
        <v>4668</v>
      </c>
      <c r="C4777" t="s">
        <v>3060</v>
      </c>
      <c r="D4777" t="s">
        <v>4669</v>
      </c>
      <c r="E4777" t="s">
        <v>4670</v>
      </c>
    </row>
    <row r="4778" spans="1:5" x14ac:dyDescent="0.25">
      <c r="A4778" t="s">
        <v>3099</v>
      </c>
      <c r="B4778" t="s">
        <v>666</v>
      </c>
      <c r="C4778" t="s">
        <v>3060</v>
      </c>
      <c r="D4778" t="s">
        <v>4657</v>
      </c>
      <c r="E4778" t="s">
        <v>2910</v>
      </c>
    </row>
    <row r="4779" spans="1:5" x14ac:dyDescent="0.25">
      <c r="A4779" t="s">
        <v>3099</v>
      </c>
      <c r="B4779" t="s">
        <v>626</v>
      </c>
      <c r="C4779" t="s">
        <v>3060</v>
      </c>
      <c r="D4779" t="s">
        <v>4659</v>
      </c>
      <c r="E4779" t="s">
        <v>2287</v>
      </c>
    </row>
    <row r="4780" spans="1:5" x14ac:dyDescent="0.25">
      <c r="A4780" t="s">
        <v>3099</v>
      </c>
      <c r="B4780" t="s">
        <v>4671</v>
      </c>
      <c r="C4780" t="s">
        <v>3060</v>
      </c>
      <c r="D4780" t="s">
        <v>4667</v>
      </c>
      <c r="E4780" t="s">
        <v>2287</v>
      </c>
    </row>
    <row r="4781" spans="1:5" x14ac:dyDescent="0.25">
      <c r="A4781" t="s">
        <v>3099</v>
      </c>
      <c r="B4781" t="s">
        <v>667</v>
      </c>
      <c r="C4781" t="s">
        <v>3060</v>
      </c>
      <c r="D4781" t="s">
        <v>4672</v>
      </c>
      <c r="E4781" t="s">
        <v>2339</v>
      </c>
    </row>
    <row r="4782" spans="1:5" x14ac:dyDescent="0.25">
      <c r="A4782" t="s">
        <v>3099</v>
      </c>
      <c r="B4782" t="s">
        <v>628</v>
      </c>
      <c r="C4782" t="s">
        <v>3060</v>
      </c>
      <c r="D4782" t="s">
        <v>4661</v>
      </c>
      <c r="E4782" t="s">
        <v>3598</v>
      </c>
    </row>
    <row r="4783" spans="1:5" x14ac:dyDescent="0.25">
      <c r="A4783" t="s">
        <v>3099</v>
      </c>
      <c r="B4783" t="s">
        <v>4673</v>
      </c>
      <c r="C4783" t="s">
        <v>3060</v>
      </c>
      <c r="D4783" t="s">
        <v>4661</v>
      </c>
      <c r="E4783" t="s">
        <v>4120</v>
      </c>
    </row>
    <row r="4784" spans="1:5" x14ac:dyDescent="0.25">
      <c r="A4784" t="s">
        <v>3099</v>
      </c>
      <c r="B4784" t="s">
        <v>2173</v>
      </c>
      <c r="C4784" t="s">
        <v>3060</v>
      </c>
      <c r="D4784" t="s">
        <v>4658</v>
      </c>
      <c r="E4784" t="s">
        <v>636</v>
      </c>
    </row>
    <row r="4785" spans="1:5" x14ac:dyDescent="0.25">
      <c r="A4785" t="s">
        <v>3099</v>
      </c>
      <c r="B4785" t="s">
        <v>4674</v>
      </c>
      <c r="C4785" t="s">
        <v>3060</v>
      </c>
      <c r="D4785" t="s">
        <v>3060</v>
      </c>
      <c r="E4785" t="s">
        <v>2287</v>
      </c>
    </row>
    <row r="4786" spans="1:5" x14ac:dyDescent="0.25">
      <c r="A4786" t="s">
        <v>3099</v>
      </c>
      <c r="B4786" t="s">
        <v>615</v>
      </c>
      <c r="C4786" t="s">
        <v>3060</v>
      </c>
      <c r="D4786" t="s">
        <v>3060</v>
      </c>
      <c r="E4786" t="s">
        <v>2304</v>
      </c>
    </row>
    <row r="4787" spans="1:5" x14ac:dyDescent="0.25">
      <c r="A4787" t="s">
        <v>3099</v>
      </c>
      <c r="B4787" t="s">
        <v>3315</v>
      </c>
      <c r="C4787" t="s">
        <v>3060</v>
      </c>
      <c r="D4787" t="s">
        <v>4675</v>
      </c>
      <c r="E4787" t="s">
        <v>358</v>
      </c>
    </row>
    <row r="4788" spans="1:5" x14ac:dyDescent="0.25">
      <c r="A4788" t="s">
        <v>3099</v>
      </c>
      <c r="B4788" t="s">
        <v>614</v>
      </c>
      <c r="C4788" t="s">
        <v>3060</v>
      </c>
      <c r="D4788" t="s">
        <v>3060</v>
      </c>
      <c r="E4788" t="s">
        <v>2287</v>
      </c>
    </row>
    <row r="4789" spans="1:5" x14ac:dyDescent="0.25">
      <c r="A4789" t="s">
        <v>3099</v>
      </c>
      <c r="B4789" t="s">
        <v>617</v>
      </c>
      <c r="C4789" t="s">
        <v>3060</v>
      </c>
      <c r="D4789" t="s">
        <v>4676</v>
      </c>
      <c r="E4789" t="s">
        <v>218</v>
      </c>
    </row>
    <row r="4790" spans="1:5" x14ac:dyDescent="0.25">
      <c r="A4790" t="s">
        <v>3099</v>
      </c>
      <c r="B4790" t="s">
        <v>246</v>
      </c>
      <c r="C4790" t="s">
        <v>3060</v>
      </c>
      <c r="D4790" t="s">
        <v>4677</v>
      </c>
      <c r="E4790" t="s">
        <v>466</v>
      </c>
    </row>
    <row r="4791" spans="1:5" x14ac:dyDescent="0.25">
      <c r="A4791" t="s">
        <v>3099</v>
      </c>
      <c r="B4791" t="s">
        <v>4678</v>
      </c>
      <c r="C4791" t="s">
        <v>3060</v>
      </c>
      <c r="D4791" t="s">
        <v>3060</v>
      </c>
      <c r="E4791" t="s">
        <v>469</v>
      </c>
    </row>
    <row r="4792" spans="1:5" x14ac:dyDescent="0.25">
      <c r="A4792" t="s">
        <v>3099</v>
      </c>
      <c r="B4792" t="s">
        <v>2223</v>
      </c>
      <c r="C4792" t="s">
        <v>3060</v>
      </c>
      <c r="D4792" t="s">
        <v>3060</v>
      </c>
      <c r="E4792" t="s">
        <v>456</v>
      </c>
    </row>
    <row r="4793" spans="1:5" x14ac:dyDescent="0.25">
      <c r="A4793" t="s">
        <v>3099</v>
      </c>
      <c r="B4793" t="s">
        <v>642</v>
      </c>
      <c r="C4793" t="s">
        <v>3060</v>
      </c>
      <c r="D4793" t="s">
        <v>3060</v>
      </c>
      <c r="E4793" t="s">
        <v>197</v>
      </c>
    </row>
    <row r="4794" spans="1:5" x14ac:dyDescent="0.25">
      <c r="A4794" t="s">
        <v>3099</v>
      </c>
      <c r="B4794" t="s">
        <v>229</v>
      </c>
      <c r="C4794" t="s">
        <v>3060</v>
      </c>
      <c r="D4794" t="s">
        <v>3060</v>
      </c>
      <c r="E4794" t="s">
        <v>197</v>
      </c>
    </row>
    <row r="4795" spans="1:5" x14ac:dyDescent="0.25">
      <c r="A4795" t="s">
        <v>3099</v>
      </c>
      <c r="B4795" t="s">
        <v>230</v>
      </c>
      <c r="C4795" t="s">
        <v>3060</v>
      </c>
      <c r="D4795" t="s">
        <v>3060</v>
      </c>
      <c r="E4795" t="s">
        <v>197</v>
      </c>
    </row>
    <row r="4796" spans="1:5" x14ac:dyDescent="0.25">
      <c r="A4796" t="s">
        <v>3099</v>
      </c>
      <c r="B4796" t="s">
        <v>231</v>
      </c>
      <c r="C4796" t="s">
        <v>3060</v>
      </c>
      <c r="D4796" t="s">
        <v>3060</v>
      </c>
      <c r="E4796" t="s">
        <v>197</v>
      </c>
    </row>
    <row r="4797" spans="1:5" x14ac:dyDescent="0.25">
      <c r="A4797" t="s">
        <v>3099</v>
      </c>
      <c r="B4797" t="s">
        <v>178</v>
      </c>
      <c r="C4797" t="s">
        <v>3060</v>
      </c>
      <c r="D4797" t="s">
        <v>3060</v>
      </c>
      <c r="E4797" t="s">
        <v>268</v>
      </c>
    </row>
    <row r="4798" spans="1:5" x14ac:dyDescent="0.25">
      <c r="A4798" t="s">
        <v>3099</v>
      </c>
      <c r="B4798" t="s">
        <v>183</v>
      </c>
      <c r="C4798" t="s">
        <v>3060</v>
      </c>
      <c r="D4798" t="s">
        <v>3060</v>
      </c>
      <c r="E4798" t="s">
        <v>184</v>
      </c>
    </row>
    <row r="4799" spans="1:5" x14ac:dyDescent="0.25">
      <c r="A4799" t="s">
        <v>3100</v>
      </c>
      <c r="B4799" t="s">
        <v>4679</v>
      </c>
      <c r="C4799" t="s">
        <v>3060</v>
      </c>
      <c r="D4799" t="s">
        <v>4680</v>
      </c>
      <c r="E4799" t="s">
        <v>4681</v>
      </c>
    </row>
    <row r="4800" spans="1:5" x14ac:dyDescent="0.25">
      <c r="A4800" t="s">
        <v>3100</v>
      </c>
      <c r="B4800" t="s">
        <v>4682</v>
      </c>
      <c r="C4800" t="s">
        <v>3060</v>
      </c>
      <c r="D4800" t="s">
        <v>4683</v>
      </c>
      <c r="E4800" t="s">
        <v>4681</v>
      </c>
    </row>
    <row r="4801" spans="1:5" x14ac:dyDescent="0.25">
      <c r="A4801" t="s">
        <v>3100</v>
      </c>
      <c r="B4801" t="s">
        <v>4682</v>
      </c>
      <c r="C4801" t="s">
        <v>3060</v>
      </c>
      <c r="D4801" t="s">
        <v>4683</v>
      </c>
      <c r="E4801" t="s">
        <v>4681</v>
      </c>
    </row>
    <row r="4802" spans="1:5" x14ac:dyDescent="0.25">
      <c r="A4802" t="s">
        <v>3100</v>
      </c>
      <c r="B4802" t="s">
        <v>589</v>
      </c>
      <c r="C4802" t="s">
        <v>3060</v>
      </c>
      <c r="D4802" t="s">
        <v>4684</v>
      </c>
      <c r="E4802" t="s">
        <v>4681</v>
      </c>
    </row>
    <row r="4803" spans="1:5" x14ac:dyDescent="0.25">
      <c r="A4803" t="s">
        <v>3100</v>
      </c>
      <c r="B4803" t="s">
        <v>4679</v>
      </c>
      <c r="C4803" t="s">
        <v>3060</v>
      </c>
      <c r="D4803" t="s">
        <v>4680</v>
      </c>
      <c r="E4803" t="s">
        <v>4681</v>
      </c>
    </row>
    <row r="4804" spans="1:5" x14ac:dyDescent="0.25">
      <c r="A4804" t="s">
        <v>3100</v>
      </c>
      <c r="B4804" t="s">
        <v>4685</v>
      </c>
      <c r="C4804" t="s">
        <v>3060</v>
      </c>
      <c r="D4804" t="s">
        <v>4686</v>
      </c>
      <c r="E4804" t="s">
        <v>4681</v>
      </c>
    </row>
    <row r="4805" spans="1:5" x14ac:dyDescent="0.25">
      <c r="A4805" t="s">
        <v>3100</v>
      </c>
      <c r="B4805" t="s">
        <v>4687</v>
      </c>
      <c r="C4805" t="s">
        <v>3060</v>
      </c>
      <c r="D4805" t="s">
        <v>4688</v>
      </c>
      <c r="E4805" t="s">
        <v>4689</v>
      </c>
    </row>
    <row r="4806" spans="1:5" x14ac:dyDescent="0.25">
      <c r="A4806" t="s">
        <v>3100</v>
      </c>
      <c r="B4806" t="s">
        <v>4690</v>
      </c>
      <c r="C4806" t="s">
        <v>3060</v>
      </c>
      <c r="D4806" t="s">
        <v>3060</v>
      </c>
      <c r="E4806" t="s">
        <v>4689</v>
      </c>
    </row>
    <row r="4807" spans="1:5" x14ac:dyDescent="0.25">
      <c r="A4807" t="s">
        <v>3100</v>
      </c>
      <c r="B4807" t="s">
        <v>4691</v>
      </c>
      <c r="C4807" t="s">
        <v>3060</v>
      </c>
      <c r="D4807" t="s">
        <v>4692</v>
      </c>
      <c r="E4807" t="s">
        <v>4689</v>
      </c>
    </row>
    <row r="4808" spans="1:5" x14ac:dyDescent="0.25">
      <c r="A4808" t="s">
        <v>3100</v>
      </c>
      <c r="B4808" t="s">
        <v>4693</v>
      </c>
      <c r="C4808" t="s">
        <v>3060</v>
      </c>
      <c r="D4808" t="s">
        <v>4694</v>
      </c>
      <c r="E4808" t="s">
        <v>4689</v>
      </c>
    </row>
    <row r="4809" spans="1:5" x14ac:dyDescent="0.25">
      <c r="A4809" t="s">
        <v>3100</v>
      </c>
      <c r="B4809" t="s">
        <v>4695</v>
      </c>
      <c r="C4809" t="s">
        <v>3060</v>
      </c>
      <c r="D4809" t="s">
        <v>3060</v>
      </c>
      <c r="E4809" t="s">
        <v>4689</v>
      </c>
    </row>
    <row r="4810" spans="1:5" x14ac:dyDescent="0.25">
      <c r="A4810" t="s">
        <v>3100</v>
      </c>
      <c r="B4810" t="s">
        <v>4696</v>
      </c>
      <c r="C4810" t="s">
        <v>3060</v>
      </c>
      <c r="D4810" t="s">
        <v>3060</v>
      </c>
      <c r="E4810" t="s">
        <v>4689</v>
      </c>
    </row>
    <row r="4811" spans="1:5" x14ac:dyDescent="0.25">
      <c r="A4811" t="s">
        <v>3100</v>
      </c>
      <c r="B4811" t="s">
        <v>4697</v>
      </c>
      <c r="C4811" t="s">
        <v>3060</v>
      </c>
      <c r="D4811" t="s">
        <v>4698</v>
      </c>
      <c r="E4811" t="s">
        <v>4699</v>
      </c>
    </row>
    <row r="4812" spans="1:5" x14ac:dyDescent="0.25">
      <c r="A4812" t="s">
        <v>3100</v>
      </c>
      <c r="B4812" t="s">
        <v>4700</v>
      </c>
      <c r="C4812" t="s">
        <v>3060</v>
      </c>
      <c r="D4812" t="s">
        <v>4701</v>
      </c>
      <c r="E4812" t="s">
        <v>4689</v>
      </c>
    </row>
    <row r="4813" spans="1:5" x14ac:dyDescent="0.25">
      <c r="A4813" t="s">
        <v>3100</v>
      </c>
      <c r="B4813" t="s">
        <v>4702</v>
      </c>
      <c r="C4813" t="s">
        <v>3060</v>
      </c>
      <c r="D4813" t="s">
        <v>3060</v>
      </c>
      <c r="E4813" t="s">
        <v>4689</v>
      </c>
    </row>
    <row r="4814" spans="1:5" x14ac:dyDescent="0.25">
      <c r="A4814" t="s">
        <v>3100</v>
      </c>
      <c r="B4814" t="s">
        <v>4703</v>
      </c>
      <c r="C4814" t="s">
        <v>3060</v>
      </c>
      <c r="D4814" t="s">
        <v>3060</v>
      </c>
      <c r="E4814" t="s">
        <v>4689</v>
      </c>
    </row>
    <row r="4815" spans="1:5" x14ac:dyDescent="0.25">
      <c r="A4815" t="s">
        <v>3100</v>
      </c>
      <c r="B4815" t="s">
        <v>4704</v>
      </c>
      <c r="C4815" t="s">
        <v>3060</v>
      </c>
      <c r="D4815" t="s">
        <v>4705</v>
      </c>
      <c r="E4815" t="s">
        <v>4689</v>
      </c>
    </row>
    <row r="4816" spans="1:5" x14ac:dyDescent="0.25">
      <c r="A4816" t="s">
        <v>3100</v>
      </c>
      <c r="B4816" t="s">
        <v>4706</v>
      </c>
      <c r="C4816" t="s">
        <v>3060</v>
      </c>
      <c r="D4816" t="s">
        <v>3060</v>
      </c>
      <c r="E4816" t="s">
        <v>4689</v>
      </c>
    </row>
    <row r="4817" spans="1:5" x14ac:dyDescent="0.25">
      <c r="A4817" t="s">
        <v>3100</v>
      </c>
      <c r="B4817" t="s">
        <v>4149</v>
      </c>
      <c r="C4817" t="s">
        <v>3060</v>
      </c>
      <c r="D4817" t="s">
        <v>3060</v>
      </c>
      <c r="E4817" t="s">
        <v>4689</v>
      </c>
    </row>
    <row r="4818" spans="1:5" x14ac:dyDescent="0.25">
      <c r="A4818" t="s">
        <v>3100</v>
      </c>
      <c r="B4818" t="s">
        <v>4707</v>
      </c>
      <c r="C4818" t="s">
        <v>3060</v>
      </c>
      <c r="D4818" t="s">
        <v>4708</v>
      </c>
      <c r="E4818" t="s">
        <v>4689</v>
      </c>
    </row>
    <row r="4819" spans="1:5" x14ac:dyDescent="0.25">
      <c r="A4819" t="s">
        <v>3100</v>
      </c>
      <c r="B4819" t="s">
        <v>4709</v>
      </c>
      <c r="C4819" t="s">
        <v>3060</v>
      </c>
      <c r="D4819" t="s">
        <v>3060</v>
      </c>
      <c r="E4819" t="s">
        <v>4699</v>
      </c>
    </row>
    <row r="4820" spans="1:5" x14ac:dyDescent="0.25">
      <c r="A4820" t="s">
        <v>3100</v>
      </c>
      <c r="B4820" t="s">
        <v>4150</v>
      </c>
      <c r="C4820" t="s">
        <v>3060</v>
      </c>
      <c r="D4820" t="s">
        <v>3060</v>
      </c>
      <c r="E4820" t="s">
        <v>4699</v>
      </c>
    </row>
    <row r="4821" spans="1:5" x14ac:dyDescent="0.25">
      <c r="A4821" t="s">
        <v>3100</v>
      </c>
      <c r="B4821" t="s">
        <v>4710</v>
      </c>
      <c r="C4821" t="s">
        <v>3060</v>
      </c>
      <c r="D4821" t="s">
        <v>3060</v>
      </c>
      <c r="E4821" t="s">
        <v>4699</v>
      </c>
    </row>
    <row r="4822" spans="1:5" x14ac:dyDescent="0.25">
      <c r="A4822" t="s">
        <v>3100</v>
      </c>
      <c r="B4822" t="s">
        <v>4711</v>
      </c>
      <c r="C4822" t="s">
        <v>3060</v>
      </c>
      <c r="D4822" t="s">
        <v>3060</v>
      </c>
      <c r="E4822" t="s">
        <v>4689</v>
      </c>
    </row>
    <row r="4823" spans="1:5" x14ac:dyDescent="0.25">
      <c r="A4823" t="s">
        <v>3100</v>
      </c>
      <c r="B4823" t="s">
        <v>4712</v>
      </c>
      <c r="C4823" t="s">
        <v>3060</v>
      </c>
      <c r="D4823" t="s">
        <v>3060</v>
      </c>
      <c r="E4823" t="s">
        <v>4699</v>
      </c>
    </row>
    <row r="4824" spans="1:5" x14ac:dyDescent="0.25">
      <c r="A4824" t="s">
        <v>3100</v>
      </c>
      <c r="B4824" t="s">
        <v>4713</v>
      </c>
      <c r="C4824" t="s">
        <v>3060</v>
      </c>
      <c r="D4824" t="s">
        <v>3060</v>
      </c>
      <c r="E4824" t="s">
        <v>4689</v>
      </c>
    </row>
    <row r="4825" spans="1:5" x14ac:dyDescent="0.25">
      <c r="A4825" t="s">
        <v>3100</v>
      </c>
      <c r="B4825" t="s">
        <v>4714</v>
      </c>
      <c r="C4825" t="s">
        <v>3060</v>
      </c>
      <c r="D4825" t="s">
        <v>3060</v>
      </c>
      <c r="E4825" t="s">
        <v>4689</v>
      </c>
    </row>
    <row r="4826" spans="1:5" x14ac:dyDescent="0.25">
      <c r="A4826" t="s">
        <v>3100</v>
      </c>
      <c r="B4826" t="s">
        <v>4715</v>
      </c>
      <c r="C4826" t="s">
        <v>3060</v>
      </c>
      <c r="D4826" t="s">
        <v>3060</v>
      </c>
      <c r="E4826" t="s">
        <v>4689</v>
      </c>
    </row>
    <row r="4827" spans="1:5" x14ac:dyDescent="0.25">
      <c r="A4827" t="s">
        <v>3100</v>
      </c>
      <c r="B4827" t="s">
        <v>4716</v>
      </c>
      <c r="C4827" t="s">
        <v>3060</v>
      </c>
      <c r="D4827" t="s">
        <v>3060</v>
      </c>
      <c r="E4827" t="s">
        <v>4689</v>
      </c>
    </row>
    <row r="4828" spans="1:5" x14ac:dyDescent="0.25">
      <c r="A4828" t="s">
        <v>3100</v>
      </c>
      <c r="B4828" t="s">
        <v>4717</v>
      </c>
      <c r="C4828" t="s">
        <v>3060</v>
      </c>
      <c r="D4828" t="s">
        <v>3060</v>
      </c>
      <c r="E4828" t="s">
        <v>4689</v>
      </c>
    </row>
    <row r="4829" spans="1:5" x14ac:dyDescent="0.25">
      <c r="A4829" t="s">
        <v>3100</v>
      </c>
      <c r="B4829" t="s">
        <v>4718</v>
      </c>
      <c r="C4829" t="s">
        <v>3060</v>
      </c>
      <c r="D4829" t="s">
        <v>3060</v>
      </c>
      <c r="E4829" t="s">
        <v>4699</v>
      </c>
    </row>
    <row r="4830" spans="1:5" x14ac:dyDescent="0.25">
      <c r="A4830" t="s">
        <v>3100</v>
      </c>
      <c r="B4830" t="s">
        <v>4719</v>
      </c>
      <c r="C4830" t="s">
        <v>3060</v>
      </c>
      <c r="D4830" t="s">
        <v>3060</v>
      </c>
      <c r="E4830" t="s">
        <v>4720</v>
      </c>
    </row>
    <row r="4831" spans="1:5" x14ac:dyDescent="0.25">
      <c r="A4831" t="s">
        <v>3100</v>
      </c>
      <c r="B4831" t="s">
        <v>4721</v>
      </c>
      <c r="C4831" t="s">
        <v>3060</v>
      </c>
      <c r="D4831" t="s">
        <v>3060</v>
      </c>
      <c r="E4831" t="s">
        <v>4689</v>
      </c>
    </row>
    <row r="4832" spans="1:5" x14ac:dyDescent="0.25">
      <c r="A4832" t="s">
        <v>3100</v>
      </c>
      <c r="B4832" t="s">
        <v>4722</v>
      </c>
      <c r="C4832" t="s">
        <v>3060</v>
      </c>
      <c r="D4832" t="s">
        <v>3060</v>
      </c>
      <c r="E4832" t="s">
        <v>4689</v>
      </c>
    </row>
    <row r="4833" spans="1:5" x14ac:dyDescent="0.25">
      <c r="A4833" t="s">
        <v>3100</v>
      </c>
      <c r="B4833" t="s">
        <v>4723</v>
      </c>
      <c r="C4833" t="s">
        <v>3060</v>
      </c>
      <c r="D4833" t="s">
        <v>3060</v>
      </c>
      <c r="E4833" t="s">
        <v>4689</v>
      </c>
    </row>
    <row r="4834" spans="1:5" x14ac:dyDescent="0.25">
      <c r="A4834" t="s">
        <v>3100</v>
      </c>
      <c r="B4834" t="s">
        <v>4724</v>
      </c>
      <c r="C4834" t="s">
        <v>3060</v>
      </c>
      <c r="D4834" t="s">
        <v>3060</v>
      </c>
      <c r="E4834" t="s">
        <v>4689</v>
      </c>
    </row>
    <row r="4835" spans="1:5" x14ac:dyDescent="0.25">
      <c r="A4835" t="s">
        <v>3100</v>
      </c>
      <c r="B4835" t="s">
        <v>4725</v>
      </c>
      <c r="C4835" t="s">
        <v>3060</v>
      </c>
      <c r="D4835" t="s">
        <v>3060</v>
      </c>
      <c r="E4835" t="s">
        <v>4689</v>
      </c>
    </row>
    <row r="4836" spans="1:5" x14ac:dyDescent="0.25">
      <c r="A4836" t="s">
        <v>3100</v>
      </c>
      <c r="B4836" t="s">
        <v>4726</v>
      </c>
      <c r="C4836" t="s">
        <v>3060</v>
      </c>
      <c r="D4836" t="s">
        <v>3060</v>
      </c>
      <c r="E4836" t="s">
        <v>4689</v>
      </c>
    </row>
    <row r="4837" spans="1:5" x14ac:dyDescent="0.25">
      <c r="A4837" t="s">
        <v>3100</v>
      </c>
      <c r="B4837" t="s">
        <v>4727</v>
      </c>
      <c r="C4837" t="s">
        <v>3060</v>
      </c>
      <c r="D4837" t="s">
        <v>3060</v>
      </c>
      <c r="E4837" t="s">
        <v>4689</v>
      </c>
    </row>
    <row r="4838" spans="1:5" x14ac:dyDescent="0.25">
      <c r="A4838" t="s">
        <v>3100</v>
      </c>
      <c r="B4838" t="s">
        <v>4728</v>
      </c>
      <c r="C4838" t="s">
        <v>3060</v>
      </c>
      <c r="D4838" t="s">
        <v>3060</v>
      </c>
      <c r="E4838" t="s">
        <v>4689</v>
      </c>
    </row>
    <row r="4839" spans="1:5" x14ac:dyDescent="0.25">
      <c r="A4839" t="s">
        <v>3100</v>
      </c>
      <c r="B4839" t="s">
        <v>4729</v>
      </c>
      <c r="C4839" t="s">
        <v>3060</v>
      </c>
      <c r="D4839" t="s">
        <v>4730</v>
      </c>
      <c r="E4839" t="s">
        <v>4689</v>
      </c>
    </row>
    <row r="4840" spans="1:5" x14ac:dyDescent="0.25">
      <c r="A4840" t="s">
        <v>3100</v>
      </c>
      <c r="B4840" t="s">
        <v>4731</v>
      </c>
      <c r="C4840" t="s">
        <v>3060</v>
      </c>
      <c r="D4840" t="s">
        <v>3060</v>
      </c>
      <c r="E4840" t="s">
        <v>4689</v>
      </c>
    </row>
    <row r="4841" spans="1:5" x14ac:dyDescent="0.25">
      <c r="A4841" t="s">
        <v>3100</v>
      </c>
      <c r="B4841" t="s">
        <v>4732</v>
      </c>
      <c r="C4841" t="s">
        <v>3060</v>
      </c>
      <c r="D4841" t="s">
        <v>3060</v>
      </c>
      <c r="E4841" t="s">
        <v>4689</v>
      </c>
    </row>
    <row r="4842" spans="1:5" x14ac:dyDescent="0.25">
      <c r="A4842" t="s">
        <v>3100</v>
      </c>
      <c r="B4842" t="s">
        <v>229</v>
      </c>
      <c r="C4842" t="s">
        <v>3060</v>
      </c>
      <c r="D4842" t="s">
        <v>3060</v>
      </c>
      <c r="E4842" t="s">
        <v>656</v>
      </c>
    </row>
    <row r="4843" spans="1:5" x14ac:dyDescent="0.25">
      <c r="A4843" t="s">
        <v>3100</v>
      </c>
      <c r="B4843" t="s">
        <v>876</v>
      </c>
      <c r="C4843" t="s">
        <v>3060</v>
      </c>
      <c r="D4843" t="s">
        <v>3060</v>
      </c>
      <c r="E4843" t="s">
        <v>656</v>
      </c>
    </row>
    <row r="4844" spans="1:5" x14ac:dyDescent="0.25">
      <c r="A4844" t="s">
        <v>3100</v>
      </c>
      <c r="B4844" t="s">
        <v>230</v>
      </c>
      <c r="C4844" t="s">
        <v>3060</v>
      </c>
      <c r="D4844" t="s">
        <v>3060</v>
      </c>
      <c r="E4844" t="s">
        <v>656</v>
      </c>
    </row>
    <row r="4845" spans="1:5" x14ac:dyDescent="0.25">
      <c r="A4845" t="s">
        <v>3100</v>
      </c>
      <c r="B4845" t="s">
        <v>231</v>
      </c>
      <c r="C4845" t="s">
        <v>3060</v>
      </c>
      <c r="D4845" t="s">
        <v>3060</v>
      </c>
      <c r="E4845" t="s">
        <v>656</v>
      </c>
    </row>
    <row r="4846" spans="1:5" x14ac:dyDescent="0.25">
      <c r="A4846" t="s">
        <v>3100</v>
      </c>
      <c r="B4846" t="s">
        <v>4733</v>
      </c>
      <c r="C4846" t="s">
        <v>3060</v>
      </c>
      <c r="D4846" t="s">
        <v>3060</v>
      </c>
      <c r="E4846" t="s">
        <v>268</v>
      </c>
    </row>
    <row r="4847" spans="1:5" x14ac:dyDescent="0.25">
      <c r="A4847" t="s">
        <v>3100</v>
      </c>
      <c r="B4847" t="s">
        <v>4734</v>
      </c>
      <c r="C4847" t="s">
        <v>3060</v>
      </c>
      <c r="D4847" t="s">
        <v>3060</v>
      </c>
      <c r="E4847" t="s">
        <v>575</v>
      </c>
    </row>
    <row r="4848" spans="1:5" x14ac:dyDescent="0.25">
      <c r="A4848" t="s">
        <v>3100</v>
      </c>
      <c r="B4848" t="s">
        <v>181</v>
      </c>
      <c r="C4848" t="s">
        <v>3060</v>
      </c>
      <c r="D4848" t="s">
        <v>3060</v>
      </c>
      <c r="E4848" t="s">
        <v>182</v>
      </c>
    </row>
    <row r="4849" spans="1:5" x14ac:dyDescent="0.25">
      <c r="A4849" t="s">
        <v>3100</v>
      </c>
      <c r="B4849" t="s">
        <v>4735</v>
      </c>
      <c r="C4849" t="s">
        <v>3060</v>
      </c>
      <c r="D4849" t="s">
        <v>3060</v>
      </c>
      <c r="E4849" t="s">
        <v>4689</v>
      </c>
    </row>
    <row r="4850" spans="1:5" x14ac:dyDescent="0.25">
      <c r="A4850" t="s">
        <v>3100</v>
      </c>
      <c r="B4850" t="s">
        <v>4736</v>
      </c>
      <c r="C4850" t="s">
        <v>3060</v>
      </c>
      <c r="D4850" t="s">
        <v>3060</v>
      </c>
      <c r="E4850" t="s">
        <v>4689</v>
      </c>
    </row>
    <row r="4851" spans="1:5" x14ac:dyDescent="0.25">
      <c r="A4851" t="s">
        <v>3100</v>
      </c>
      <c r="B4851" t="s">
        <v>4737</v>
      </c>
      <c r="C4851" t="s">
        <v>3060</v>
      </c>
      <c r="D4851" t="s">
        <v>3060</v>
      </c>
      <c r="E4851" t="s">
        <v>4689</v>
      </c>
    </row>
    <row r="4852" spans="1:5" x14ac:dyDescent="0.25">
      <c r="A4852" t="s">
        <v>3100</v>
      </c>
      <c r="B4852" t="s">
        <v>4738</v>
      </c>
      <c r="C4852" t="s">
        <v>3060</v>
      </c>
      <c r="D4852" t="s">
        <v>4739</v>
      </c>
      <c r="E4852" t="s">
        <v>4699</v>
      </c>
    </row>
    <row r="4853" spans="1:5" x14ac:dyDescent="0.25">
      <c r="A4853" t="s">
        <v>3100</v>
      </c>
      <c r="B4853" t="s">
        <v>4740</v>
      </c>
      <c r="C4853" t="s">
        <v>3060</v>
      </c>
      <c r="D4853" t="s">
        <v>3060</v>
      </c>
      <c r="E4853" t="s">
        <v>4741</v>
      </c>
    </row>
    <row r="4854" spans="1:5" x14ac:dyDescent="0.25">
      <c r="A4854" t="s">
        <v>3100</v>
      </c>
      <c r="B4854" t="s">
        <v>4742</v>
      </c>
      <c r="C4854" t="s">
        <v>3060</v>
      </c>
      <c r="D4854" t="s">
        <v>3060</v>
      </c>
      <c r="E4854" t="s">
        <v>4689</v>
      </c>
    </row>
    <row r="4855" spans="1:5" x14ac:dyDescent="0.25">
      <c r="A4855" t="s">
        <v>3100</v>
      </c>
      <c r="B4855" t="s">
        <v>4743</v>
      </c>
      <c r="C4855" t="s">
        <v>3060</v>
      </c>
      <c r="D4855" t="s">
        <v>3060</v>
      </c>
      <c r="E4855" t="s">
        <v>4699</v>
      </c>
    </row>
    <row r="4856" spans="1:5" x14ac:dyDescent="0.25">
      <c r="A4856" t="s">
        <v>3100</v>
      </c>
      <c r="B4856" t="s">
        <v>4744</v>
      </c>
      <c r="C4856" t="s">
        <v>3060</v>
      </c>
      <c r="D4856" t="s">
        <v>3060</v>
      </c>
      <c r="E4856" t="s">
        <v>4689</v>
      </c>
    </row>
    <row r="4857" spans="1:5" x14ac:dyDescent="0.25">
      <c r="A4857" t="s">
        <v>3100</v>
      </c>
      <c r="B4857" t="s">
        <v>4145</v>
      </c>
      <c r="C4857" t="s">
        <v>3060</v>
      </c>
      <c r="D4857" t="s">
        <v>3060</v>
      </c>
      <c r="E4857" t="s">
        <v>4689</v>
      </c>
    </row>
    <row r="4858" spans="1:5" x14ac:dyDescent="0.25">
      <c r="A4858" t="s">
        <v>3100</v>
      </c>
      <c r="B4858" t="s">
        <v>4745</v>
      </c>
      <c r="C4858" t="s">
        <v>3060</v>
      </c>
      <c r="D4858" t="s">
        <v>3060</v>
      </c>
      <c r="E4858" t="s">
        <v>4689</v>
      </c>
    </row>
    <row r="4859" spans="1:5" x14ac:dyDescent="0.25">
      <c r="A4859" t="s">
        <v>3100</v>
      </c>
      <c r="B4859" t="s">
        <v>4143</v>
      </c>
      <c r="C4859" t="s">
        <v>3060</v>
      </c>
      <c r="D4859" t="s">
        <v>3060</v>
      </c>
      <c r="E4859" t="s">
        <v>4689</v>
      </c>
    </row>
    <row r="4860" spans="1:5" x14ac:dyDescent="0.25">
      <c r="A4860" t="s">
        <v>3100</v>
      </c>
      <c r="B4860" t="s">
        <v>4746</v>
      </c>
      <c r="C4860" t="s">
        <v>3060</v>
      </c>
      <c r="D4860" t="s">
        <v>3060</v>
      </c>
      <c r="E4860" t="s">
        <v>4689</v>
      </c>
    </row>
    <row r="4861" spans="1:5" x14ac:dyDescent="0.25">
      <c r="A4861" t="s">
        <v>3100</v>
      </c>
      <c r="B4861" t="s">
        <v>4146</v>
      </c>
      <c r="C4861" t="s">
        <v>3060</v>
      </c>
      <c r="D4861" t="s">
        <v>3060</v>
      </c>
      <c r="E4861" t="s">
        <v>4689</v>
      </c>
    </row>
    <row r="4862" spans="1:5" x14ac:dyDescent="0.25">
      <c r="A4862" t="s">
        <v>3100</v>
      </c>
      <c r="B4862" t="s">
        <v>4747</v>
      </c>
      <c r="C4862" t="s">
        <v>3060</v>
      </c>
      <c r="D4862" t="s">
        <v>3060</v>
      </c>
      <c r="E4862" t="s">
        <v>4689</v>
      </c>
    </row>
    <row r="4863" spans="1:5" x14ac:dyDescent="0.25">
      <c r="A4863" t="s">
        <v>3100</v>
      </c>
      <c r="B4863" t="s">
        <v>4748</v>
      </c>
      <c r="C4863" t="s">
        <v>3060</v>
      </c>
      <c r="D4863" t="s">
        <v>3060</v>
      </c>
      <c r="E4863" t="s">
        <v>4689</v>
      </c>
    </row>
    <row r="4864" spans="1:5" x14ac:dyDescent="0.25">
      <c r="A4864" t="s">
        <v>3100</v>
      </c>
      <c r="B4864" t="s">
        <v>4749</v>
      </c>
      <c r="C4864" t="s">
        <v>3060</v>
      </c>
      <c r="D4864" t="s">
        <v>3060</v>
      </c>
      <c r="E4864" t="s">
        <v>4689</v>
      </c>
    </row>
    <row r="4865" spans="1:5" x14ac:dyDescent="0.25">
      <c r="A4865" t="s">
        <v>3100</v>
      </c>
      <c r="B4865" t="s">
        <v>4750</v>
      </c>
      <c r="C4865" t="s">
        <v>3060</v>
      </c>
      <c r="D4865" t="s">
        <v>3060</v>
      </c>
      <c r="E4865" t="s">
        <v>4689</v>
      </c>
    </row>
    <row r="4866" spans="1:5" x14ac:dyDescent="0.25">
      <c r="A4866" t="s">
        <v>3100</v>
      </c>
      <c r="B4866" t="s">
        <v>4751</v>
      </c>
      <c r="C4866" t="s">
        <v>3060</v>
      </c>
      <c r="D4866" t="s">
        <v>3060</v>
      </c>
      <c r="E4866" t="s">
        <v>4689</v>
      </c>
    </row>
    <row r="4867" spans="1:5" x14ac:dyDescent="0.25">
      <c r="A4867" t="s">
        <v>3100</v>
      </c>
      <c r="B4867" t="s">
        <v>4752</v>
      </c>
      <c r="C4867" t="s">
        <v>3060</v>
      </c>
      <c r="D4867" t="s">
        <v>3060</v>
      </c>
      <c r="E4867" t="s">
        <v>4689</v>
      </c>
    </row>
    <row r="4868" spans="1:5" x14ac:dyDescent="0.25">
      <c r="A4868" t="s">
        <v>3100</v>
      </c>
      <c r="B4868" t="s">
        <v>4753</v>
      </c>
      <c r="C4868" t="s">
        <v>3060</v>
      </c>
      <c r="D4868" t="s">
        <v>3060</v>
      </c>
      <c r="E4868" t="s">
        <v>4689</v>
      </c>
    </row>
    <row r="4869" spans="1:5" x14ac:dyDescent="0.25">
      <c r="A4869" t="s">
        <v>3100</v>
      </c>
      <c r="B4869" t="s">
        <v>4754</v>
      </c>
      <c r="C4869" t="s">
        <v>3060</v>
      </c>
      <c r="D4869" t="s">
        <v>3060</v>
      </c>
      <c r="E4869" t="s">
        <v>4689</v>
      </c>
    </row>
    <row r="4870" spans="1:5" x14ac:dyDescent="0.25">
      <c r="A4870" t="s">
        <v>3100</v>
      </c>
      <c r="B4870" t="s">
        <v>4755</v>
      </c>
      <c r="C4870" t="s">
        <v>3060</v>
      </c>
      <c r="D4870" t="s">
        <v>3060</v>
      </c>
      <c r="E4870" t="s">
        <v>4689</v>
      </c>
    </row>
    <row r="4871" spans="1:5" x14ac:dyDescent="0.25">
      <c r="A4871" t="s">
        <v>3100</v>
      </c>
      <c r="B4871" t="s">
        <v>4756</v>
      </c>
      <c r="C4871" t="s">
        <v>3060</v>
      </c>
      <c r="D4871" t="s">
        <v>3060</v>
      </c>
      <c r="E4871" t="s">
        <v>4689</v>
      </c>
    </row>
    <row r="4872" spans="1:5" x14ac:dyDescent="0.25">
      <c r="A4872" t="s">
        <v>3100</v>
      </c>
      <c r="B4872" t="s">
        <v>4757</v>
      </c>
      <c r="C4872" t="s">
        <v>3060</v>
      </c>
      <c r="D4872" t="s">
        <v>3060</v>
      </c>
      <c r="E4872" t="s">
        <v>4689</v>
      </c>
    </row>
    <row r="4873" spans="1:5" x14ac:dyDescent="0.25">
      <c r="A4873" t="s">
        <v>3100</v>
      </c>
      <c r="B4873" t="s">
        <v>4758</v>
      </c>
      <c r="C4873" t="s">
        <v>3060</v>
      </c>
      <c r="D4873" t="s">
        <v>3060</v>
      </c>
      <c r="E4873" t="s">
        <v>4689</v>
      </c>
    </row>
    <row r="4874" spans="1:5" x14ac:dyDescent="0.25">
      <c r="A4874" t="s">
        <v>3100</v>
      </c>
      <c r="B4874" t="s">
        <v>183</v>
      </c>
      <c r="C4874" t="s">
        <v>3060</v>
      </c>
      <c r="D4874" t="s">
        <v>3060</v>
      </c>
      <c r="E4874" t="s">
        <v>184</v>
      </c>
    </row>
    <row r="4875" spans="1:5" x14ac:dyDescent="0.25">
      <c r="A4875" t="s">
        <v>3102</v>
      </c>
      <c r="B4875" t="s">
        <v>605</v>
      </c>
      <c r="C4875" t="s">
        <v>3060</v>
      </c>
      <c r="D4875" t="s">
        <v>4759</v>
      </c>
      <c r="E4875" t="s">
        <v>197</v>
      </c>
    </row>
    <row r="4876" spans="1:5" x14ac:dyDescent="0.25">
      <c r="A4876" t="s">
        <v>3102</v>
      </c>
      <c r="B4876" t="s">
        <v>607</v>
      </c>
      <c r="C4876" t="s">
        <v>3060</v>
      </c>
      <c r="D4876" t="s">
        <v>4760</v>
      </c>
      <c r="E4876" t="s">
        <v>636</v>
      </c>
    </row>
    <row r="4877" spans="1:5" x14ac:dyDescent="0.25">
      <c r="A4877" t="s">
        <v>3102</v>
      </c>
      <c r="B4877" t="s">
        <v>619</v>
      </c>
      <c r="C4877" t="s">
        <v>3060</v>
      </c>
      <c r="D4877" t="s">
        <v>4761</v>
      </c>
      <c r="E4877" t="s">
        <v>212</v>
      </c>
    </row>
    <row r="4878" spans="1:5" x14ac:dyDescent="0.25">
      <c r="A4878" t="s">
        <v>3102</v>
      </c>
      <c r="B4878" t="s">
        <v>629</v>
      </c>
      <c r="C4878" t="s">
        <v>3060</v>
      </c>
      <c r="D4878" t="s">
        <v>4762</v>
      </c>
      <c r="E4878" t="s">
        <v>254</v>
      </c>
    </row>
    <row r="4879" spans="1:5" x14ac:dyDescent="0.25">
      <c r="A4879" t="s">
        <v>3102</v>
      </c>
      <c r="B4879" t="s">
        <v>615</v>
      </c>
      <c r="C4879" t="s">
        <v>3060</v>
      </c>
      <c r="D4879" t="s">
        <v>4763</v>
      </c>
      <c r="E4879" t="s">
        <v>401</v>
      </c>
    </row>
    <row r="4880" spans="1:5" x14ac:dyDescent="0.25">
      <c r="A4880" t="s">
        <v>3102</v>
      </c>
      <c r="B4880" t="s">
        <v>4764</v>
      </c>
      <c r="C4880" t="s">
        <v>3060</v>
      </c>
      <c r="D4880" t="s">
        <v>4765</v>
      </c>
      <c r="E4880" t="s">
        <v>1998</v>
      </c>
    </row>
    <row r="4881" spans="1:5" x14ac:dyDescent="0.25">
      <c r="A4881" t="s">
        <v>3102</v>
      </c>
      <c r="B4881" t="s">
        <v>4766</v>
      </c>
      <c r="C4881" t="s">
        <v>3060</v>
      </c>
      <c r="D4881" t="s">
        <v>4767</v>
      </c>
      <c r="E4881" t="s">
        <v>385</v>
      </c>
    </row>
    <row r="4882" spans="1:5" x14ac:dyDescent="0.25">
      <c r="A4882" t="s">
        <v>3102</v>
      </c>
      <c r="B4882" t="s">
        <v>4768</v>
      </c>
      <c r="C4882" t="s">
        <v>3060</v>
      </c>
      <c r="D4882" t="s">
        <v>4769</v>
      </c>
      <c r="E4882" t="s">
        <v>308</v>
      </c>
    </row>
    <row r="4883" spans="1:5" x14ac:dyDescent="0.25">
      <c r="A4883" t="s">
        <v>3102</v>
      </c>
      <c r="B4883" t="s">
        <v>4770</v>
      </c>
      <c r="C4883" t="s">
        <v>3060</v>
      </c>
      <c r="D4883" t="s">
        <v>4771</v>
      </c>
      <c r="E4883" t="s">
        <v>541</v>
      </c>
    </row>
    <row r="4884" spans="1:5" x14ac:dyDescent="0.25">
      <c r="A4884" t="s">
        <v>3102</v>
      </c>
      <c r="B4884" t="s">
        <v>4772</v>
      </c>
      <c r="C4884" t="s">
        <v>3060</v>
      </c>
      <c r="D4884" t="s">
        <v>4773</v>
      </c>
      <c r="E4884" t="s">
        <v>1858</v>
      </c>
    </row>
    <row r="4885" spans="1:5" x14ac:dyDescent="0.25">
      <c r="A4885" t="s">
        <v>3102</v>
      </c>
      <c r="B4885" t="s">
        <v>619</v>
      </c>
      <c r="C4885" t="s">
        <v>3060</v>
      </c>
      <c r="D4885" t="s">
        <v>4761</v>
      </c>
      <c r="E4885" t="s">
        <v>212</v>
      </c>
    </row>
    <row r="4886" spans="1:5" x14ac:dyDescent="0.25">
      <c r="A4886" t="s">
        <v>3102</v>
      </c>
      <c r="B4886" t="s">
        <v>4774</v>
      </c>
      <c r="C4886" t="s">
        <v>3060</v>
      </c>
      <c r="D4886" t="s">
        <v>4775</v>
      </c>
      <c r="E4886" t="s">
        <v>256</v>
      </c>
    </row>
    <row r="4887" spans="1:5" x14ac:dyDescent="0.25">
      <c r="A4887" t="s">
        <v>3102</v>
      </c>
      <c r="B4887" t="s">
        <v>1523</v>
      </c>
      <c r="C4887" t="s">
        <v>3060</v>
      </c>
      <c r="D4887" t="s">
        <v>4776</v>
      </c>
      <c r="E4887" t="s">
        <v>256</v>
      </c>
    </row>
    <row r="4888" spans="1:5" x14ac:dyDescent="0.25">
      <c r="A4888" t="s">
        <v>3102</v>
      </c>
      <c r="B4888" t="s">
        <v>4777</v>
      </c>
      <c r="C4888" t="s">
        <v>3060</v>
      </c>
      <c r="D4888" t="s">
        <v>4778</v>
      </c>
      <c r="E4888" t="s">
        <v>256</v>
      </c>
    </row>
    <row r="4889" spans="1:5" x14ac:dyDescent="0.25">
      <c r="A4889" t="s">
        <v>3102</v>
      </c>
      <c r="B4889" t="s">
        <v>620</v>
      </c>
      <c r="C4889" t="s">
        <v>3060</v>
      </c>
      <c r="D4889" t="s">
        <v>4779</v>
      </c>
      <c r="E4889" t="s">
        <v>256</v>
      </c>
    </row>
    <row r="4890" spans="1:5" x14ac:dyDescent="0.25">
      <c r="A4890" t="s">
        <v>3102</v>
      </c>
      <c r="B4890" t="s">
        <v>626</v>
      </c>
      <c r="C4890" t="s">
        <v>3060</v>
      </c>
      <c r="D4890" t="s">
        <v>4780</v>
      </c>
      <c r="E4890" t="s">
        <v>401</v>
      </c>
    </row>
    <row r="4891" spans="1:5" x14ac:dyDescent="0.25">
      <c r="A4891" t="s">
        <v>3102</v>
      </c>
      <c r="B4891" t="s">
        <v>4781</v>
      </c>
      <c r="C4891" t="s">
        <v>3060</v>
      </c>
      <c r="D4891" t="s">
        <v>4782</v>
      </c>
      <c r="E4891" t="s">
        <v>1841</v>
      </c>
    </row>
    <row r="4892" spans="1:5" x14ac:dyDescent="0.25">
      <c r="A4892" t="s">
        <v>3102</v>
      </c>
      <c r="B4892" t="s">
        <v>629</v>
      </c>
      <c r="C4892" t="s">
        <v>3060</v>
      </c>
      <c r="D4892" t="s">
        <v>4762</v>
      </c>
      <c r="E4892" t="s">
        <v>254</v>
      </c>
    </row>
    <row r="4893" spans="1:5" x14ac:dyDescent="0.25">
      <c r="A4893" t="s">
        <v>3102</v>
      </c>
      <c r="B4893" t="s">
        <v>3315</v>
      </c>
      <c r="C4893" t="s">
        <v>3060</v>
      </c>
      <c r="D4893" t="s">
        <v>4783</v>
      </c>
      <c r="E4893" t="s">
        <v>258</v>
      </c>
    </row>
    <row r="4894" spans="1:5" x14ac:dyDescent="0.25">
      <c r="A4894" t="s">
        <v>3102</v>
      </c>
      <c r="B4894" t="s">
        <v>611</v>
      </c>
      <c r="C4894" t="s">
        <v>3060</v>
      </c>
      <c r="D4894" t="s">
        <v>4759</v>
      </c>
      <c r="E4894" t="s">
        <v>636</v>
      </c>
    </row>
    <row r="4895" spans="1:5" x14ac:dyDescent="0.25">
      <c r="A4895" t="s">
        <v>3102</v>
      </c>
      <c r="B4895" t="s">
        <v>605</v>
      </c>
      <c r="C4895" t="s">
        <v>3060</v>
      </c>
      <c r="D4895" t="s">
        <v>4759</v>
      </c>
      <c r="E4895" t="s">
        <v>197</v>
      </c>
    </row>
    <row r="4896" spans="1:5" x14ac:dyDescent="0.25">
      <c r="A4896" t="s">
        <v>3102</v>
      </c>
      <c r="B4896" t="s">
        <v>617</v>
      </c>
      <c r="C4896" t="s">
        <v>3060</v>
      </c>
      <c r="D4896" t="s">
        <v>4784</v>
      </c>
      <c r="E4896" t="s">
        <v>437</v>
      </c>
    </row>
    <row r="4897" spans="1:5" x14ac:dyDescent="0.25">
      <c r="A4897" t="s">
        <v>3102</v>
      </c>
      <c r="B4897" t="s">
        <v>615</v>
      </c>
      <c r="C4897" t="s">
        <v>3060</v>
      </c>
      <c r="D4897" t="s">
        <v>4763</v>
      </c>
      <c r="E4897" t="s">
        <v>401</v>
      </c>
    </row>
    <row r="4898" spans="1:5" x14ac:dyDescent="0.25">
      <c r="A4898" t="s">
        <v>3102</v>
      </c>
      <c r="B4898" t="s">
        <v>614</v>
      </c>
      <c r="C4898" t="s">
        <v>3060</v>
      </c>
      <c r="D4898" t="s">
        <v>4759</v>
      </c>
      <c r="E4898" t="s">
        <v>258</v>
      </c>
    </row>
    <row r="4899" spans="1:5" x14ac:dyDescent="0.25">
      <c r="A4899" t="s">
        <v>3102</v>
      </c>
      <c r="B4899" t="s">
        <v>3940</v>
      </c>
      <c r="C4899" t="s">
        <v>3060</v>
      </c>
      <c r="D4899" t="s">
        <v>4785</v>
      </c>
      <c r="E4899" t="s">
        <v>437</v>
      </c>
    </row>
    <row r="4900" spans="1:5" x14ac:dyDescent="0.25">
      <c r="A4900" t="s">
        <v>3102</v>
      </c>
      <c r="B4900" t="s">
        <v>2194</v>
      </c>
      <c r="C4900" t="s">
        <v>3060</v>
      </c>
      <c r="D4900" t="s">
        <v>4786</v>
      </c>
      <c r="E4900" t="s">
        <v>425</v>
      </c>
    </row>
    <row r="4901" spans="1:5" x14ac:dyDescent="0.25">
      <c r="A4901" t="s">
        <v>3102</v>
      </c>
      <c r="B4901" t="s">
        <v>2847</v>
      </c>
      <c r="C4901" t="s">
        <v>3060</v>
      </c>
      <c r="D4901" t="s">
        <v>4787</v>
      </c>
      <c r="E4901" t="s">
        <v>202</v>
      </c>
    </row>
    <row r="4902" spans="1:5" x14ac:dyDescent="0.25">
      <c r="A4902" t="s">
        <v>3102</v>
      </c>
      <c r="B4902" t="s">
        <v>607</v>
      </c>
      <c r="C4902" t="s">
        <v>3060</v>
      </c>
      <c r="D4902" t="s">
        <v>4760</v>
      </c>
      <c r="E4902" t="s">
        <v>636</v>
      </c>
    </row>
    <row r="4903" spans="1:5" x14ac:dyDescent="0.25">
      <c r="A4903" t="s">
        <v>3102</v>
      </c>
      <c r="B4903" t="s">
        <v>4788</v>
      </c>
      <c r="C4903" t="s">
        <v>3060</v>
      </c>
      <c r="D4903" t="s">
        <v>4789</v>
      </c>
      <c r="E4903" t="s">
        <v>636</v>
      </c>
    </row>
    <row r="4904" spans="1:5" x14ac:dyDescent="0.25">
      <c r="A4904" t="s">
        <v>3102</v>
      </c>
      <c r="B4904" t="s">
        <v>688</v>
      </c>
      <c r="C4904" t="s">
        <v>3060</v>
      </c>
      <c r="D4904" t="s">
        <v>3060</v>
      </c>
      <c r="E4904" t="s">
        <v>582</v>
      </c>
    </row>
    <row r="4905" spans="1:5" x14ac:dyDescent="0.25">
      <c r="A4905" t="s">
        <v>3102</v>
      </c>
      <c r="B4905" t="s">
        <v>229</v>
      </c>
      <c r="C4905" t="s">
        <v>3060</v>
      </c>
      <c r="D4905" t="s">
        <v>3060</v>
      </c>
      <c r="E4905" t="s">
        <v>252</v>
      </c>
    </row>
    <row r="4906" spans="1:5" x14ac:dyDescent="0.25">
      <c r="A4906" t="s">
        <v>3102</v>
      </c>
      <c r="B4906" t="s">
        <v>643</v>
      </c>
      <c r="C4906" t="s">
        <v>3060</v>
      </c>
      <c r="D4906" t="s">
        <v>3060</v>
      </c>
      <c r="E4906" t="s">
        <v>252</v>
      </c>
    </row>
    <row r="4907" spans="1:5" x14ac:dyDescent="0.25">
      <c r="A4907" t="s">
        <v>3102</v>
      </c>
      <c r="B4907" t="s">
        <v>230</v>
      </c>
      <c r="C4907" t="s">
        <v>3060</v>
      </c>
      <c r="D4907" t="s">
        <v>3060</v>
      </c>
      <c r="E4907" t="s">
        <v>252</v>
      </c>
    </row>
    <row r="4908" spans="1:5" x14ac:dyDescent="0.25">
      <c r="A4908" t="s">
        <v>3102</v>
      </c>
      <c r="B4908" t="s">
        <v>231</v>
      </c>
      <c r="C4908" t="s">
        <v>3060</v>
      </c>
      <c r="D4908" t="s">
        <v>3060</v>
      </c>
      <c r="E4908" t="s">
        <v>252</v>
      </c>
    </row>
    <row r="4909" spans="1:5" x14ac:dyDescent="0.25">
      <c r="A4909" t="s">
        <v>3102</v>
      </c>
      <c r="B4909" t="s">
        <v>233</v>
      </c>
      <c r="C4909" t="s">
        <v>3060</v>
      </c>
      <c r="D4909" t="s">
        <v>3060</v>
      </c>
      <c r="E4909" t="s">
        <v>252</v>
      </c>
    </row>
    <row r="4910" spans="1:5" x14ac:dyDescent="0.25">
      <c r="A4910" t="s">
        <v>3102</v>
      </c>
      <c r="B4910" t="s">
        <v>234</v>
      </c>
      <c r="C4910" t="s">
        <v>3060</v>
      </c>
      <c r="D4910" t="s">
        <v>3060</v>
      </c>
      <c r="E4910" t="s">
        <v>279</v>
      </c>
    </row>
    <row r="4911" spans="1:5" x14ac:dyDescent="0.25">
      <c r="A4911" t="s">
        <v>3102</v>
      </c>
      <c r="B4911" t="s">
        <v>325</v>
      </c>
      <c r="C4911" t="s">
        <v>3060</v>
      </c>
      <c r="D4911" t="s">
        <v>3060</v>
      </c>
      <c r="E4911" t="s">
        <v>575</v>
      </c>
    </row>
    <row r="4912" spans="1:5" x14ac:dyDescent="0.25">
      <c r="A4912" t="s">
        <v>3102</v>
      </c>
      <c r="B4912" t="s">
        <v>280</v>
      </c>
      <c r="C4912" t="s">
        <v>3060</v>
      </c>
      <c r="D4912" t="s">
        <v>3060</v>
      </c>
      <c r="E4912" t="s">
        <v>286</v>
      </c>
    </row>
    <row r="4913" spans="1:5" x14ac:dyDescent="0.25">
      <c r="A4913" t="s">
        <v>3102</v>
      </c>
      <c r="B4913" t="s">
        <v>180</v>
      </c>
      <c r="C4913" t="s">
        <v>3060</v>
      </c>
      <c r="D4913" t="s">
        <v>3060</v>
      </c>
      <c r="E4913" t="s">
        <v>286</v>
      </c>
    </row>
    <row r="4914" spans="1:5" x14ac:dyDescent="0.25">
      <c r="A4914" t="s">
        <v>3102</v>
      </c>
      <c r="B4914" t="s">
        <v>181</v>
      </c>
      <c r="C4914" t="s">
        <v>3060</v>
      </c>
      <c r="D4914" t="s">
        <v>3060</v>
      </c>
      <c r="E4914" t="s">
        <v>286</v>
      </c>
    </row>
    <row r="4915" spans="1:5" x14ac:dyDescent="0.25">
      <c r="A4915" t="s">
        <v>3102</v>
      </c>
      <c r="B4915" t="s">
        <v>242</v>
      </c>
      <c r="C4915" t="s">
        <v>3060</v>
      </c>
      <c r="D4915" t="s">
        <v>3060</v>
      </c>
      <c r="E4915" t="s">
        <v>197</v>
      </c>
    </row>
    <row r="4916" spans="1:5" x14ac:dyDescent="0.25">
      <c r="A4916" t="s">
        <v>3102</v>
      </c>
      <c r="B4916" t="s">
        <v>327</v>
      </c>
      <c r="C4916" t="s">
        <v>3060</v>
      </c>
      <c r="D4916" t="s">
        <v>3060</v>
      </c>
      <c r="E4916" t="s">
        <v>197</v>
      </c>
    </row>
    <row r="4917" spans="1:5" x14ac:dyDescent="0.25">
      <c r="A4917" t="s">
        <v>3102</v>
      </c>
      <c r="B4917" t="s">
        <v>183</v>
      </c>
      <c r="C4917" t="s">
        <v>3060</v>
      </c>
      <c r="D4917" t="s">
        <v>3060</v>
      </c>
      <c r="E4917" t="s">
        <v>184</v>
      </c>
    </row>
    <row r="4918" spans="1:5" x14ac:dyDescent="0.25">
      <c r="A4918" t="s">
        <v>3103</v>
      </c>
      <c r="B4918" t="s">
        <v>672</v>
      </c>
      <c r="C4918" t="s">
        <v>3060</v>
      </c>
      <c r="D4918" t="s">
        <v>4790</v>
      </c>
      <c r="E4918" t="s">
        <v>202</v>
      </c>
    </row>
    <row r="4919" spans="1:5" x14ac:dyDescent="0.25">
      <c r="A4919" t="s">
        <v>3103</v>
      </c>
      <c r="B4919" t="s">
        <v>908</v>
      </c>
      <c r="C4919" t="s">
        <v>3060</v>
      </c>
      <c r="D4919" t="s">
        <v>4790</v>
      </c>
      <c r="E4919" t="s">
        <v>636</v>
      </c>
    </row>
    <row r="4920" spans="1:5" x14ac:dyDescent="0.25">
      <c r="A4920" t="s">
        <v>3103</v>
      </c>
      <c r="B4920" t="s">
        <v>3519</v>
      </c>
      <c r="C4920" t="s">
        <v>3060</v>
      </c>
      <c r="D4920" t="s">
        <v>4790</v>
      </c>
      <c r="E4920" t="s">
        <v>202</v>
      </c>
    </row>
    <row r="4921" spans="1:5" x14ac:dyDescent="0.25">
      <c r="A4921" t="s">
        <v>3103</v>
      </c>
      <c r="B4921" t="s">
        <v>905</v>
      </c>
      <c r="C4921" t="s">
        <v>3060</v>
      </c>
      <c r="D4921" t="s">
        <v>4790</v>
      </c>
      <c r="E4921" t="s">
        <v>258</v>
      </c>
    </row>
    <row r="4922" spans="1:5" x14ac:dyDescent="0.25">
      <c r="A4922" t="s">
        <v>3103</v>
      </c>
      <c r="B4922" t="s">
        <v>916</v>
      </c>
      <c r="C4922" t="s">
        <v>3060</v>
      </c>
      <c r="D4922" t="s">
        <v>4791</v>
      </c>
      <c r="E4922" t="s">
        <v>212</v>
      </c>
    </row>
    <row r="4923" spans="1:5" x14ac:dyDescent="0.25">
      <c r="A4923" t="s">
        <v>3103</v>
      </c>
      <c r="B4923" t="s">
        <v>674</v>
      </c>
      <c r="C4923" t="s">
        <v>3060</v>
      </c>
      <c r="D4923" t="s">
        <v>4792</v>
      </c>
      <c r="E4923" t="s">
        <v>401</v>
      </c>
    </row>
    <row r="4924" spans="1:5" x14ac:dyDescent="0.25">
      <c r="A4924" t="s">
        <v>3103</v>
      </c>
      <c r="B4924" t="s">
        <v>672</v>
      </c>
      <c r="C4924" t="s">
        <v>3060</v>
      </c>
      <c r="D4924" t="s">
        <v>4790</v>
      </c>
      <c r="E4924" t="s">
        <v>202</v>
      </c>
    </row>
    <row r="4925" spans="1:5" x14ac:dyDescent="0.25">
      <c r="A4925" t="s">
        <v>3103</v>
      </c>
      <c r="B4925" t="s">
        <v>3519</v>
      </c>
      <c r="C4925" t="s">
        <v>3060</v>
      </c>
      <c r="D4925" t="s">
        <v>4790</v>
      </c>
      <c r="E4925" t="s">
        <v>202</v>
      </c>
    </row>
    <row r="4926" spans="1:5" x14ac:dyDescent="0.25">
      <c r="A4926" t="s">
        <v>3103</v>
      </c>
      <c r="B4926" t="s">
        <v>3547</v>
      </c>
      <c r="C4926" t="s">
        <v>3060</v>
      </c>
      <c r="D4926" t="s">
        <v>4790</v>
      </c>
      <c r="E4926" t="s">
        <v>202</v>
      </c>
    </row>
    <row r="4927" spans="1:5" x14ac:dyDescent="0.25">
      <c r="A4927" t="s">
        <v>3103</v>
      </c>
      <c r="B4927" t="s">
        <v>908</v>
      </c>
      <c r="C4927" t="s">
        <v>3060</v>
      </c>
      <c r="D4927" t="s">
        <v>4790</v>
      </c>
      <c r="E4927" t="s">
        <v>636</v>
      </c>
    </row>
    <row r="4928" spans="1:5" x14ac:dyDescent="0.25">
      <c r="A4928" t="s">
        <v>3103</v>
      </c>
      <c r="B4928" t="s">
        <v>4793</v>
      </c>
      <c r="C4928" t="s">
        <v>3060</v>
      </c>
      <c r="D4928" t="s">
        <v>4790</v>
      </c>
      <c r="E4928" t="s">
        <v>636</v>
      </c>
    </row>
    <row r="4929" spans="1:5" x14ac:dyDescent="0.25">
      <c r="A4929" t="s">
        <v>3103</v>
      </c>
      <c r="B4929" t="s">
        <v>676</v>
      </c>
      <c r="C4929" t="s">
        <v>3060</v>
      </c>
      <c r="D4929" t="s">
        <v>4791</v>
      </c>
      <c r="E4929" t="s">
        <v>401</v>
      </c>
    </row>
    <row r="4930" spans="1:5" x14ac:dyDescent="0.25">
      <c r="A4930" t="s">
        <v>3103</v>
      </c>
      <c r="B4930" t="s">
        <v>916</v>
      </c>
      <c r="C4930" t="s">
        <v>3060</v>
      </c>
      <c r="D4930" t="s">
        <v>4791</v>
      </c>
      <c r="E4930" t="s">
        <v>212</v>
      </c>
    </row>
    <row r="4931" spans="1:5" x14ac:dyDescent="0.25">
      <c r="A4931" t="s">
        <v>3103</v>
      </c>
      <c r="B4931" t="s">
        <v>912</v>
      </c>
      <c r="C4931" t="s">
        <v>3060</v>
      </c>
      <c r="D4931" t="s">
        <v>4790</v>
      </c>
      <c r="E4931" t="s">
        <v>442</v>
      </c>
    </row>
    <row r="4932" spans="1:5" x14ac:dyDescent="0.25">
      <c r="A4932" t="s">
        <v>3103</v>
      </c>
      <c r="B4932" t="s">
        <v>3516</v>
      </c>
      <c r="C4932" t="s">
        <v>3060</v>
      </c>
      <c r="D4932" t="s">
        <v>4790</v>
      </c>
      <c r="E4932" t="s">
        <v>442</v>
      </c>
    </row>
    <row r="4933" spans="1:5" x14ac:dyDescent="0.25">
      <c r="A4933" t="s">
        <v>3103</v>
      </c>
      <c r="B4933" t="s">
        <v>3545</v>
      </c>
      <c r="C4933" t="s">
        <v>3060</v>
      </c>
      <c r="D4933" t="s">
        <v>4790</v>
      </c>
      <c r="E4933" t="s">
        <v>442</v>
      </c>
    </row>
    <row r="4934" spans="1:5" x14ac:dyDescent="0.25">
      <c r="A4934" t="s">
        <v>3103</v>
      </c>
      <c r="B4934" t="s">
        <v>4794</v>
      </c>
      <c r="C4934" t="s">
        <v>3060</v>
      </c>
      <c r="D4934" t="s">
        <v>4790</v>
      </c>
      <c r="E4934" t="s">
        <v>582</v>
      </c>
    </row>
    <row r="4935" spans="1:5" x14ac:dyDescent="0.25">
      <c r="A4935" t="s">
        <v>3103</v>
      </c>
      <c r="B4935" t="s">
        <v>4795</v>
      </c>
      <c r="C4935" t="s">
        <v>3060</v>
      </c>
      <c r="D4935" t="s">
        <v>4790</v>
      </c>
      <c r="E4935" t="s">
        <v>258</v>
      </c>
    </row>
    <row r="4936" spans="1:5" x14ac:dyDescent="0.25">
      <c r="A4936" t="s">
        <v>3103</v>
      </c>
      <c r="B4936" t="s">
        <v>905</v>
      </c>
      <c r="C4936" t="s">
        <v>3060</v>
      </c>
      <c r="D4936" t="s">
        <v>4790</v>
      </c>
      <c r="E4936" t="s">
        <v>258</v>
      </c>
    </row>
    <row r="4937" spans="1:5" x14ac:dyDescent="0.25">
      <c r="A4937" t="s">
        <v>3103</v>
      </c>
      <c r="B4937" t="s">
        <v>914</v>
      </c>
      <c r="C4937" t="s">
        <v>3060</v>
      </c>
      <c r="D4937" t="s">
        <v>4792</v>
      </c>
      <c r="E4937" t="s">
        <v>212</v>
      </c>
    </row>
    <row r="4938" spans="1:5" x14ac:dyDescent="0.25">
      <c r="A4938" t="s">
        <v>3103</v>
      </c>
      <c r="B4938" t="s">
        <v>229</v>
      </c>
      <c r="C4938" t="s">
        <v>3060</v>
      </c>
      <c r="D4938" t="s">
        <v>3060</v>
      </c>
      <c r="E4938" t="s">
        <v>207</v>
      </c>
    </row>
    <row r="4939" spans="1:5" x14ac:dyDescent="0.25">
      <c r="A4939" t="s">
        <v>3103</v>
      </c>
      <c r="B4939" t="s">
        <v>230</v>
      </c>
      <c r="C4939" t="s">
        <v>3060</v>
      </c>
      <c r="D4939" t="s">
        <v>3060</v>
      </c>
      <c r="E4939" t="s">
        <v>207</v>
      </c>
    </row>
    <row r="4940" spans="1:5" x14ac:dyDescent="0.25">
      <c r="A4940" t="s">
        <v>3103</v>
      </c>
      <c r="B4940" t="s">
        <v>325</v>
      </c>
      <c r="C4940" t="s">
        <v>3060</v>
      </c>
      <c r="D4940" t="s">
        <v>3060</v>
      </c>
      <c r="E4940" t="s">
        <v>279</v>
      </c>
    </row>
    <row r="4941" spans="1:5" x14ac:dyDescent="0.25">
      <c r="A4941" t="s">
        <v>3103</v>
      </c>
      <c r="B4941" t="s">
        <v>238</v>
      </c>
      <c r="C4941" t="s">
        <v>3060</v>
      </c>
      <c r="D4941" t="s">
        <v>3060</v>
      </c>
      <c r="E4941" t="s">
        <v>235</v>
      </c>
    </row>
    <row r="4942" spans="1:5" x14ac:dyDescent="0.25">
      <c r="A4942" t="s">
        <v>3103</v>
      </c>
      <c r="B4942" t="s">
        <v>181</v>
      </c>
      <c r="C4942" t="s">
        <v>3060</v>
      </c>
      <c r="D4942" t="s">
        <v>3060</v>
      </c>
      <c r="E4942" t="s">
        <v>241</v>
      </c>
    </row>
    <row r="4943" spans="1:5" x14ac:dyDescent="0.25">
      <c r="A4943" t="s">
        <v>3103</v>
      </c>
      <c r="B4943" t="s">
        <v>242</v>
      </c>
      <c r="C4943" t="s">
        <v>3060</v>
      </c>
      <c r="D4943" t="s">
        <v>3060</v>
      </c>
      <c r="E4943" t="s">
        <v>268</v>
      </c>
    </row>
    <row r="4944" spans="1:5" x14ac:dyDescent="0.25">
      <c r="A4944" t="s">
        <v>3103</v>
      </c>
      <c r="B4944" t="s">
        <v>327</v>
      </c>
      <c r="C4944" t="s">
        <v>3060</v>
      </c>
      <c r="D4944" t="s">
        <v>3060</v>
      </c>
      <c r="E4944" t="s">
        <v>268</v>
      </c>
    </row>
    <row r="4945" spans="1:5" x14ac:dyDescent="0.25">
      <c r="A4945" t="s">
        <v>3103</v>
      </c>
      <c r="B4945" t="s">
        <v>183</v>
      </c>
      <c r="C4945" t="s">
        <v>3060</v>
      </c>
      <c r="D4945" t="s">
        <v>3060</v>
      </c>
      <c r="E4945" t="s">
        <v>184</v>
      </c>
    </row>
    <row r="4946" spans="1:5" x14ac:dyDescent="0.25">
      <c r="A4946" t="s">
        <v>3104</v>
      </c>
      <c r="B4946" t="s">
        <v>605</v>
      </c>
      <c r="C4946" t="s">
        <v>3060</v>
      </c>
      <c r="D4946" t="s">
        <v>4796</v>
      </c>
      <c r="E4946" t="s">
        <v>197</v>
      </c>
    </row>
    <row r="4947" spans="1:5" x14ac:dyDescent="0.25">
      <c r="A4947" t="s">
        <v>3104</v>
      </c>
      <c r="B4947" t="s">
        <v>3315</v>
      </c>
      <c r="C4947" t="s">
        <v>3060</v>
      </c>
      <c r="D4947" t="s">
        <v>4796</v>
      </c>
      <c r="E4947" t="s">
        <v>425</v>
      </c>
    </row>
    <row r="4948" spans="1:5" x14ac:dyDescent="0.25">
      <c r="A4948" t="s">
        <v>3104</v>
      </c>
      <c r="B4948" t="s">
        <v>624</v>
      </c>
      <c r="C4948" t="s">
        <v>3060</v>
      </c>
      <c r="D4948" t="s">
        <v>4796</v>
      </c>
      <c r="E4948" t="s">
        <v>428</v>
      </c>
    </row>
    <row r="4949" spans="1:5" x14ac:dyDescent="0.25">
      <c r="A4949" t="s">
        <v>3104</v>
      </c>
      <c r="B4949" t="s">
        <v>611</v>
      </c>
      <c r="C4949" t="s">
        <v>3060</v>
      </c>
      <c r="D4949" t="s">
        <v>4796</v>
      </c>
      <c r="E4949" t="s">
        <v>1832</v>
      </c>
    </row>
    <row r="4950" spans="1:5" x14ac:dyDescent="0.25">
      <c r="A4950" t="s">
        <v>3104</v>
      </c>
      <c r="B4950" t="s">
        <v>4797</v>
      </c>
      <c r="C4950" t="s">
        <v>3060</v>
      </c>
      <c r="D4950" t="s">
        <v>4765</v>
      </c>
      <c r="E4950" t="s">
        <v>4798</v>
      </c>
    </row>
    <row r="4951" spans="1:5" x14ac:dyDescent="0.25">
      <c r="A4951" t="s">
        <v>3104</v>
      </c>
      <c r="B4951" t="s">
        <v>4799</v>
      </c>
      <c r="C4951" t="s">
        <v>3060</v>
      </c>
      <c r="D4951" t="s">
        <v>4800</v>
      </c>
      <c r="E4951" t="s">
        <v>264</v>
      </c>
    </row>
    <row r="4952" spans="1:5" x14ac:dyDescent="0.25">
      <c r="A4952" t="s">
        <v>3104</v>
      </c>
      <c r="B4952" t="s">
        <v>4801</v>
      </c>
      <c r="C4952" t="s">
        <v>3060</v>
      </c>
      <c r="D4952" t="s">
        <v>4802</v>
      </c>
      <c r="E4952" t="s">
        <v>212</v>
      </c>
    </row>
    <row r="4953" spans="1:5" x14ac:dyDescent="0.25">
      <c r="A4953" t="s">
        <v>3104</v>
      </c>
      <c r="B4953" t="s">
        <v>619</v>
      </c>
      <c r="C4953" t="s">
        <v>3060</v>
      </c>
      <c r="D4953" t="s">
        <v>4796</v>
      </c>
      <c r="E4953" t="s">
        <v>456</v>
      </c>
    </row>
    <row r="4954" spans="1:5" x14ac:dyDescent="0.25">
      <c r="A4954" t="s">
        <v>3104</v>
      </c>
      <c r="B4954" t="s">
        <v>667</v>
      </c>
      <c r="C4954" t="s">
        <v>3060</v>
      </c>
      <c r="D4954" t="s">
        <v>4796</v>
      </c>
      <c r="E4954" t="s">
        <v>456</v>
      </c>
    </row>
    <row r="4955" spans="1:5" x14ac:dyDescent="0.25">
      <c r="A4955" t="s">
        <v>3104</v>
      </c>
      <c r="B4955" t="s">
        <v>624</v>
      </c>
      <c r="C4955" t="s">
        <v>3060</v>
      </c>
      <c r="D4955" t="s">
        <v>4796</v>
      </c>
      <c r="E4955" t="s">
        <v>428</v>
      </c>
    </row>
    <row r="4956" spans="1:5" x14ac:dyDescent="0.25">
      <c r="A4956" t="s">
        <v>3104</v>
      </c>
      <c r="B4956" t="s">
        <v>4803</v>
      </c>
      <c r="C4956" t="s">
        <v>3060</v>
      </c>
      <c r="D4956" t="s">
        <v>4796</v>
      </c>
      <c r="E4956" t="s">
        <v>428</v>
      </c>
    </row>
    <row r="4957" spans="1:5" x14ac:dyDescent="0.25">
      <c r="A4957" t="s">
        <v>3104</v>
      </c>
      <c r="B4957" t="s">
        <v>4804</v>
      </c>
      <c r="C4957" t="s">
        <v>3060</v>
      </c>
      <c r="D4957" t="s">
        <v>4796</v>
      </c>
      <c r="E4957" t="s">
        <v>1841</v>
      </c>
    </row>
    <row r="4958" spans="1:5" x14ac:dyDescent="0.25">
      <c r="A4958" t="s">
        <v>3104</v>
      </c>
      <c r="B4958" t="s">
        <v>626</v>
      </c>
      <c r="C4958" t="s">
        <v>3060</v>
      </c>
      <c r="D4958" t="s">
        <v>4796</v>
      </c>
      <c r="E4958" t="s">
        <v>401</v>
      </c>
    </row>
    <row r="4959" spans="1:5" x14ac:dyDescent="0.25">
      <c r="A4959" t="s">
        <v>3104</v>
      </c>
      <c r="B4959" t="s">
        <v>3959</v>
      </c>
      <c r="C4959" t="s">
        <v>3060</v>
      </c>
      <c r="D4959" t="s">
        <v>4796</v>
      </c>
      <c r="E4959" t="s">
        <v>1841</v>
      </c>
    </row>
    <row r="4960" spans="1:5" x14ac:dyDescent="0.25">
      <c r="A4960" t="s">
        <v>3104</v>
      </c>
      <c r="B4960" t="s">
        <v>628</v>
      </c>
      <c r="C4960" t="s">
        <v>3060</v>
      </c>
      <c r="D4960" t="s">
        <v>4796</v>
      </c>
      <c r="E4960" t="s">
        <v>3408</v>
      </c>
    </row>
    <row r="4961" spans="1:5" x14ac:dyDescent="0.25">
      <c r="A4961" t="s">
        <v>3104</v>
      </c>
      <c r="B4961" t="s">
        <v>2200</v>
      </c>
      <c r="C4961" t="s">
        <v>3060</v>
      </c>
      <c r="D4961" t="s">
        <v>4796</v>
      </c>
      <c r="E4961" t="s">
        <v>1853</v>
      </c>
    </row>
    <row r="4962" spans="1:5" x14ac:dyDescent="0.25">
      <c r="A4962" t="s">
        <v>3104</v>
      </c>
      <c r="B4962" t="s">
        <v>2789</v>
      </c>
      <c r="C4962" t="s">
        <v>3060</v>
      </c>
      <c r="D4962" t="s">
        <v>4796</v>
      </c>
      <c r="E4962" t="s">
        <v>1848</v>
      </c>
    </row>
    <row r="4963" spans="1:5" x14ac:dyDescent="0.25">
      <c r="A4963" t="s">
        <v>3104</v>
      </c>
      <c r="B4963" t="s">
        <v>629</v>
      </c>
      <c r="C4963" t="s">
        <v>3060</v>
      </c>
      <c r="D4963" t="s">
        <v>4805</v>
      </c>
      <c r="E4963" t="s">
        <v>3701</v>
      </c>
    </row>
    <row r="4964" spans="1:5" x14ac:dyDescent="0.25">
      <c r="A4964" t="s">
        <v>3104</v>
      </c>
      <c r="B4964" t="s">
        <v>605</v>
      </c>
      <c r="C4964" t="s">
        <v>3060</v>
      </c>
      <c r="D4964" t="s">
        <v>4796</v>
      </c>
      <c r="E4964" t="s">
        <v>197</v>
      </c>
    </row>
    <row r="4965" spans="1:5" x14ac:dyDescent="0.25">
      <c r="A4965" t="s">
        <v>3104</v>
      </c>
      <c r="B4965" t="s">
        <v>2857</v>
      </c>
      <c r="C4965" t="s">
        <v>3060</v>
      </c>
      <c r="D4965" t="s">
        <v>4806</v>
      </c>
      <c r="E4965" t="s">
        <v>437</v>
      </c>
    </row>
    <row r="4966" spans="1:5" x14ac:dyDescent="0.25">
      <c r="A4966" t="s">
        <v>3104</v>
      </c>
      <c r="B4966" t="s">
        <v>611</v>
      </c>
      <c r="C4966" t="s">
        <v>3060</v>
      </c>
      <c r="D4966" t="s">
        <v>4796</v>
      </c>
      <c r="E4966" t="s">
        <v>1832</v>
      </c>
    </row>
    <row r="4967" spans="1:5" x14ac:dyDescent="0.25">
      <c r="A4967" t="s">
        <v>3104</v>
      </c>
      <c r="B4967" t="s">
        <v>2196</v>
      </c>
      <c r="C4967" t="s">
        <v>3060</v>
      </c>
      <c r="D4967" t="s">
        <v>4796</v>
      </c>
      <c r="E4967" t="s">
        <v>425</v>
      </c>
    </row>
    <row r="4968" spans="1:5" x14ac:dyDescent="0.25">
      <c r="A4968" t="s">
        <v>3104</v>
      </c>
      <c r="B4968" t="s">
        <v>614</v>
      </c>
      <c r="C4968" t="s">
        <v>3060</v>
      </c>
      <c r="D4968" t="s">
        <v>4796</v>
      </c>
      <c r="E4968" t="s">
        <v>1832</v>
      </c>
    </row>
    <row r="4969" spans="1:5" x14ac:dyDescent="0.25">
      <c r="A4969" t="s">
        <v>3104</v>
      </c>
      <c r="B4969" t="s">
        <v>3921</v>
      </c>
      <c r="C4969" t="s">
        <v>3060</v>
      </c>
      <c r="D4969" t="s">
        <v>4796</v>
      </c>
      <c r="E4969" t="s">
        <v>442</v>
      </c>
    </row>
    <row r="4970" spans="1:5" x14ac:dyDescent="0.25">
      <c r="A4970" t="s">
        <v>3104</v>
      </c>
      <c r="B4970" t="s">
        <v>2194</v>
      </c>
      <c r="C4970" t="s">
        <v>3060</v>
      </c>
      <c r="D4970" t="s">
        <v>4796</v>
      </c>
      <c r="E4970" t="s">
        <v>425</v>
      </c>
    </row>
    <row r="4971" spans="1:5" x14ac:dyDescent="0.25">
      <c r="A4971" t="s">
        <v>3104</v>
      </c>
      <c r="B4971" t="s">
        <v>615</v>
      </c>
      <c r="C4971" t="s">
        <v>3060</v>
      </c>
      <c r="D4971" t="s">
        <v>4796</v>
      </c>
      <c r="E4971" t="s">
        <v>505</v>
      </c>
    </row>
    <row r="4972" spans="1:5" x14ac:dyDescent="0.25">
      <c r="A4972" t="s">
        <v>3104</v>
      </c>
      <c r="B4972" t="s">
        <v>1529</v>
      </c>
      <c r="C4972" t="s">
        <v>3060</v>
      </c>
      <c r="D4972" t="s">
        <v>4796</v>
      </c>
      <c r="E4972" t="s">
        <v>212</v>
      </c>
    </row>
    <row r="4973" spans="1:5" x14ac:dyDescent="0.25">
      <c r="A4973" t="s">
        <v>3104</v>
      </c>
      <c r="B4973" t="s">
        <v>617</v>
      </c>
      <c r="C4973" t="s">
        <v>3060</v>
      </c>
      <c r="D4973" t="s">
        <v>4807</v>
      </c>
      <c r="E4973" t="s">
        <v>428</v>
      </c>
    </row>
    <row r="4974" spans="1:5" x14ac:dyDescent="0.25">
      <c r="A4974" t="s">
        <v>3104</v>
      </c>
      <c r="B4974" t="s">
        <v>3315</v>
      </c>
      <c r="C4974" t="s">
        <v>3060</v>
      </c>
      <c r="D4974" t="s">
        <v>4796</v>
      </c>
      <c r="E4974" t="s">
        <v>425</v>
      </c>
    </row>
    <row r="4975" spans="1:5" x14ac:dyDescent="0.25">
      <c r="A4975" t="s">
        <v>3104</v>
      </c>
      <c r="B4975" t="s">
        <v>4808</v>
      </c>
      <c r="C4975" t="s">
        <v>3060</v>
      </c>
      <c r="D4975" t="s">
        <v>4796</v>
      </c>
      <c r="E4975" t="s">
        <v>466</v>
      </c>
    </row>
    <row r="4976" spans="1:5" x14ac:dyDescent="0.25">
      <c r="A4976" t="s">
        <v>3104</v>
      </c>
      <c r="B4976" t="s">
        <v>4809</v>
      </c>
      <c r="C4976" t="s">
        <v>3060</v>
      </c>
      <c r="D4976" t="s">
        <v>4810</v>
      </c>
      <c r="E4976" t="s">
        <v>372</v>
      </c>
    </row>
    <row r="4977" spans="1:5" x14ac:dyDescent="0.25">
      <c r="A4977" t="s">
        <v>3104</v>
      </c>
      <c r="B4977" t="s">
        <v>607</v>
      </c>
      <c r="C4977" t="s">
        <v>3060</v>
      </c>
      <c r="D4977" t="s">
        <v>4811</v>
      </c>
      <c r="E4977" t="s">
        <v>636</v>
      </c>
    </row>
    <row r="4978" spans="1:5" x14ac:dyDescent="0.25">
      <c r="A4978" t="s">
        <v>3104</v>
      </c>
      <c r="B4978" t="s">
        <v>678</v>
      </c>
      <c r="C4978" t="s">
        <v>3060</v>
      </c>
      <c r="D4978" t="s">
        <v>4811</v>
      </c>
      <c r="E4978" t="s">
        <v>636</v>
      </c>
    </row>
    <row r="4979" spans="1:5" x14ac:dyDescent="0.25">
      <c r="A4979" t="s">
        <v>3104</v>
      </c>
      <c r="B4979" t="s">
        <v>609</v>
      </c>
      <c r="C4979" t="s">
        <v>3060</v>
      </c>
      <c r="D4979" t="s">
        <v>4811</v>
      </c>
      <c r="E4979" t="s">
        <v>269</v>
      </c>
    </row>
    <row r="4980" spans="1:5" x14ac:dyDescent="0.25">
      <c r="A4980" t="s">
        <v>3104</v>
      </c>
      <c r="B4980" t="s">
        <v>637</v>
      </c>
      <c r="C4980" t="s">
        <v>3060</v>
      </c>
      <c r="D4980" t="s">
        <v>4811</v>
      </c>
      <c r="E4980" t="s">
        <v>582</v>
      </c>
    </row>
    <row r="4981" spans="1:5" x14ac:dyDescent="0.25">
      <c r="A4981" t="s">
        <v>3104</v>
      </c>
      <c r="B4981" t="s">
        <v>677</v>
      </c>
      <c r="C4981" t="s">
        <v>3060</v>
      </c>
      <c r="D4981" t="s">
        <v>4811</v>
      </c>
      <c r="E4981" t="s">
        <v>582</v>
      </c>
    </row>
    <row r="4982" spans="1:5" x14ac:dyDescent="0.25">
      <c r="A4982" t="s">
        <v>3104</v>
      </c>
      <c r="B4982" t="s">
        <v>3419</v>
      </c>
      <c r="C4982" t="s">
        <v>3060</v>
      </c>
      <c r="D4982" t="s">
        <v>4796</v>
      </c>
      <c r="E4982" t="s">
        <v>372</v>
      </c>
    </row>
    <row r="4983" spans="1:5" x14ac:dyDescent="0.25">
      <c r="A4983" t="s">
        <v>3104</v>
      </c>
      <c r="B4983" t="s">
        <v>3421</v>
      </c>
      <c r="C4983" t="s">
        <v>3060</v>
      </c>
      <c r="D4983" t="s">
        <v>4796</v>
      </c>
      <c r="E4983" t="s">
        <v>256</v>
      </c>
    </row>
    <row r="4984" spans="1:5" x14ac:dyDescent="0.25">
      <c r="A4984" t="s">
        <v>3104</v>
      </c>
      <c r="B4984" t="s">
        <v>2209</v>
      </c>
      <c r="C4984" t="s">
        <v>3060</v>
      </c>
      <c r="D4984" t="s">
        <v>4796</v>
      </c>
      <c r="E4984" t="s">
        <v>256</v>
      </c>
    </row>
    <row r="4985" spans="1:5" x14ac:dyDescent="0.25">
      <c r="A4985" t="s">
        <v>3104</v>
      </c>
      <c r="B4985" t="s">
        <v>2210</v>
      </c>
      <c r="C4985" t="s">
        <v>3060</v>
      </c>
      <c r="D4985" t="s">
        <v>4796</v>
      </c>
      <c r="E4985" t="s">
        <v>212</v>
      </c>
    </row>
    <row r="4986" spans="1:5" x14ac:dyDescent="0.25">
      <c r="A4986" t="s">
        <v>3104</v>
      </c>
      <c r="B4986" t="s">
        <v>2211</v>
      </c>
      <c r="C4986" t="s">
        <v>3060</v>
      </c>
      <c r="D4986" t="s">
        <v>4796</v>
      </c>
      <c r="E4986" t="s">
        <v>256</v>
      </c>
    </row>
    <row r="4987" spans="1:5" x14ac:dyDescent="0.25">
      <c r="A4987" t="s">
        <v>3104</v>
      </c>
      <c r="B4987" t="s">
        <v>688</v>
      </c>
      <c r="C4987" t="s">
        <v>3060</v>
      </c>
      <c r="D4987" t="s">
        <v>3060</v>
      </c>
      <c r="E4987" t="s">
        <v>202</v>
      </c>
    </row>
    <row r="4988" spans="1:5" x14ac:dyDescent="0.25">
      <c r="A4988" t="s">
        <v>3104</v>
      </c>
      <c r="B4988" t="s">
        <v>4812</v>
      </c>
      <c r="C4988" t="s">
        <v>3060</v>
      </c>
      <c r="D4988" t="s">
        <v>3060</v>
      </c>
      <c r="E4988" t="s">
        <v>258</v>
      </c>
    </row>
    <row r="4989" spans="1:5" x14ac:dyDescent="0.25">
      <c r="A4989" t="s">
        <v>3104</v>
      </c>
      <c r="B4989" t="s">
        <v>229</v>
      </c>
      <c r="C4989" t="s">
        <v>3060</v>
      </c>
      <c r="D4989" t="s">
        <v>3060</v>
      </c>
      <c r="E4989" t="s">
        <v>252</v>
      </c>
    </row>
    <row r="4990" spans="1:5" x14ac:dyDescent="0.25">
      <c r="A4990" t="s">
        <v>3104</v>
      </c>
      <c r="B4990" t="s">
        <v>230</v>
      </c>
      <c r="C4990" t="s">
        <v>3060</v>
      </c>
      <c r="D4990" t="s">
        <v>3060</v>
      </c>
      <c r="E4990" t="s">
        <v>252</v>
      </c>
    </row>
    <row r="4991" spans="1:5" x14ac:dyDescent="0.25">
      <c r="A4991" t="s">
        <v>3104</v>
      </c>
      <c r="B4991" t="s">
        <v>4813</v>
      </c>
      <c r="C4991" t="s">
        <v>3060</v>
      </c>
      <c r="D4991" t="s">
        <v>3060</v>
      </c>
      <c r="E4991" t="s">
        <v>575</v>
      </c>
    </row>
    <row r="4992" spans="1:5" x14ac:dyDescent="0.25">
      <c r="A4992" t="s">
        <v>3104</v>
      </c>
      <c r="B4992" t="s">
        <v>175</v>
      </c>
      <c r="C4992" t="s">
        <v>3060</v>
      </c>
      <c r="D4992" t="s">
        <v>3060</v>
      </c>
      <c r="E4992" t="s">
        <v>575</v>
      </c>
    </row>
    <row r="4993" spans="1:5" x14ac:dyDescent="0.25">
      <c r="A4993" t="s">
        <v>3104</v>
      </c>
      <c r="B4993" t="s">
        <v>178</v>
      </c>
      <c r="C4993" t="s">
        <v>3060</v>
      </c>
      <c r="D4993" t="s">
        <v>3060</v>
      </c>
      <c r="E4993" t="s">
        <v>235</v>
      </c>
    </row>
    <row r="4994" spans="1:5" x14ac:dyDescent="0.25">
      <c r="A4994" t="s">
        <v>3104</v>
      </c>
      <c r="B4994" t="s">
        <v>388</v>
      </c>
      <c r="C4994" t="s">
        <v>3060</v>
      </c>
      <c r="D4994" t="s">
        <v>4814</v>
      </c>
      <c r="E4994" t="s">
        <v>4815</v>
      </c>
    </row>
    <row r="4995" spans="1:5" x14ac:dyDescent="0.25">
      <c r="A4995" t="s">
        <v>3104</v>
      </c>
      <c r="B4995" t="s">
        <v>183</v>
      </c>
      <c r="C4995" t="s">
        <v>3060</v>
      </c>
      <c r="D4995" t="s">
        <v>3060</v>
      </c>
      <c r="E4995" t="s">
        <v>184</v>
      </c>
    </row>
    <row r="4996" spans="1:5" x14ac:dyDescent="0.25">
      <c r="A4996" t="s">
        <v>3105</v>
      </c>
      <c r="B4996" t="s">
        <v>4816</v>
      </c>
      <c r="C4996" t="s">
        <v>3060</v>
      </c>
      <c r="D4996" t="s">
        <v>4817</v>
      </c>
      <c r="E4996" t="s">
        <v>1882</v>
      </c>
    </row>
    <row r="4997" spans="1:5" x14ac:dyDescent="0.25">
      <c r="A4997" t="s">
        <v>3105</v>
      </c>
      <c r="B4997" t="s">
        <v>137</v>
      </c>
      <c r="C4997" t="s">
        <v>3060</v>
      </c>
      <c r="D4997" t="s">
        <v>3060</v>
      </c>
      <c r="E4997" t="s">
        <v>138</v>
      </c>
    </row>
    <row r="4998" spans="1:5" x14ac:dyDescent="0.25">
      <c r="A4998" t="s">
        <v>3105</v>
      </c>
      <c r="B4998" t="s">
        <v>4818</v>
      </c>
      <c r="C4998" t="s">
        <v>3060</v>
      </c>
      <c r="D4998" t="s">
        <v>4819</v>
      </c>
      <c r="E4998" t="s">
        <v>1882</v>
      </c>
    </row>
    <row r="4999" spans="1:5" x14ac:dyDescent="0.25">
      <c r="A4999" t="s">
        <v>3105</v>
      </c>
      <c r="B4999" t="s">
        <v>4820</v>
      </c>
      <c r="C4999" t="s">
        <v>3060</v>
      </c>
      <c r="D4999" t="s">
        <v>4821</v>
      </c>
      <c r="E4999" t="s">
        <v>1882</v>
      </c>
    </row>
    <row r="5000" spans="1:5" x14ac:dyDescent="0.25">
      <c r="A5000" t="s">
        <v>3105</v>
      </c>
      <c r="B5000" t="s">
        <v>4822</v>
      </c>
      <c r="C5000" t="s">
        <v>3060</v>
      </c>
      <c r="D5000" t="s">
        <v>4823</v>
      </c>
      <c r="E5000" t="s">
        <v>1882</v>
      </c>
    </row>
    <row r="5001" spans="1:5" x14ac:dyDescent="0.25">
      <c r="A5001" t="s">
        <v>3105</v>
      </c>
      <c r="B5001" t="s">
        <v>4824</v>
      </c>
      <c r="C5001" t="s">
        <v>3060</v>
      </c>
      <c r="D5001" t="s">
        <v>4825</v>
      </c>
      <c r="E5001" t="s">
        <v>4826</v>
      </c>
    </row>
    <row r="5002" spans="1:5" x14ac:dyDescent="0.25">
      <c r="A5002" t="s">
        <v>3105</v>
      </c>
      <c r="B5002" t="s">
        <v>4827</v>
      </c>
      <c r="C5002" t="s">
        <v>3060</v>
      </c>
      <c r="D5002" t="s">
        <v>4828</v>
      </c>
      <c r="E5002" t="s">
        <v>4826</v>
      </c>
    </row>
    <row r="5003" spans="1:5" x14ac:dyDescent="0.25">
      <c r="A5003" t="s">
        <v>3105</v>
      </c>
      <c r="B5003" t="s">
        <v>4829</v>
      </c>
      <c r="C5003" t="s">
        <v>3060</v>
      </c>
      <c r="D5003" t="s">
        <v>4830</v>
      </c>
      <c r="E5003" t="s">
        <v>4831</v>
      </c>
    </row>
    <row r="5004" spans="1:5" x14ac:dyDescent="0.25">
      <c r="A5004" t="s">
        <v>3105</v>
      </c>
      <c r="B5004" t="s">
        <v>4832</v>
      </c>
      <c r="C5004" t="s">
        <v>3060</v>
      </c>
      <c r="D5004" t="s">
        <v>4833</v>
      </c>
      <c r="E5004" t="s">
        <v>85</v>
      </c>
    </row>
    <row r="5005" spans="1:5" x14ac:dyDescent="0.25">
      <c r="A5005" t="s">
        <v>3105</v>
      </c>
      <c r="B5005" t="s">
        <v>4834</v>
      </c>
      <c r="C5005" t="s">
        <v>3060</v>
      </c>
      <c r="D5005" t="s">
        <v>4835</v>
      </c>
      <c r="E5005" t="s">
        <v>4836</v>
      </c>
    </row>
    <row r="5006" spans="1:5" x14ac:dyDescent="0.25">
      <c r="A5006" t="s">
        <v>3105</v>
      </c>
      <c r="B5006" t="s">
        <v>4837</v>
      </c>
      <c r="C5006" t="s">
        <v>3060</v>
      </c>
      <c r="D5006" t="s">
        <v>4838</v>
      </c>
      <c r="E5006" t="s">
        <v>4839</v>
      </c>
    </row>
    <row r="5007" spans="1:5" x14ac:dyDescent="0.25">
      <c r="A5007" t="s">
        <v>3105</v>
      </c>
      <c r="B5007" t="s">
        <v>426</v>
      </c>
      <c r="C5007" t="s">
        <v>3060</v>
      </c>
      <c r="D5007" t="s">
        <v>4840</v>
      </c>
      <c r="E5007" t="s">
        <v>155</v>
      </c>
    </row>
    <row r="5008" spans="1:5" x14ac:dyDescent="0.25">
      <c r="A5008" t="s">
        <v>3105</v>
      </c>
      <c r="B5008" t="s">
        <v>452</v>
      </c>
      <c r="C5008" t="s">
        <v>3060</v>
      </c>
      <c r="D5008" t="s">
        <v>4841</v>
      </c>
      <c r="E5008" t="s">
        <v>155</v>
      </c>
    </row>
    <row r="5009" spans="1:5" x14ac:dyDescent="0.25">
      <c r="A5009" t="s">
        <v>3105</v>
      </c>
      <c r="B5009" t="s">
        <v>4842</v>
      </c>
      <c r="C5009" t="s">
        <v>3060</v>
      </c>
      <c r="D5009" t="s">
        <v>4843</v>
      </c>
      <c r="E5009" t="s">
        <v>155</v>
      </c>
    </row>
    <row r="5010" spans="1:5" x14ac:dyDescent="0.25">
      <c r="A5010" t="s">
        <v>3105</v>
      </c>
      <c r="B5010" t="s">
        <v>4844</v>
      </c>
      <c r="C5010" t="s">
        <v>3060</v>
      </c>
      <c r="D5010" t="s">
        <v>4845</v>
      </c>
      <c r="E5010" t="s">
        <v>155</v>
      </c>
    </row>
    <row r="5011" spans="1:5" x14ac:dyDescent="0.25">
      <c r="A5011" t="s">
        <v>3105</v>
      </c>
      <c r="B5011" t="s">
        <v>4846</v>
      </c>
      <c r="C5011" t="s">
        <v>3060</v>
      </c>
      <c r="D5011" t="s">
        <v>4847</v>
      </c>
      <c r="E5011" t="s">
        <v>4848</v>
      </c>
    </row>
    <row r="5012" spans="1:5" x14ac:dyDescent="0.25">
      <c r="A5012" t="s">
        <v>3105</v>
      </c>
      <c r="B5012" t="s">
        <v>4849</v>
      </c>
      <c r="C5012" t="s">
        <v>3060</v>
      </c>
      <c r="D5012" t="s">
        <v>4850</v>
      </c>
      <c r="E5012" t="s">
        <v>4848</v>
      </c>
    </row>
    <row r="5013" spans="1:5" x14ac:dyDescent="0.25">
      <c r="A5013" t="s">
        <v>3105</v>
      </c>
      <c r="B5013" t="s">
        <v>4851</v>
      </c>
      <c r="C5013" t="s">
        <v>3060</v>
      </c>
      <c r="D5013" t="s">
        <v>4852</v>
      </c>
      <c r="E5013" t="s">
        <v>4853</v>
      </c>
    </row>
    <row r="5014" spans="1:5" x14ac:dyDescent="0.25">
      <c r="A5014" t="s">
        <v>3105</v>
      </c>
      <c r="B5014" t="s">
        <v>4854</v>
      </c>
      <c r="C5014" t="s">
        <v>3060</v>
      </c>
      <c r="D5014" t="s">
        <v>4855</v>
      </c>
      <c r="E5014" t="s">
        <v>4853</v>
      </c>
    </row>
    <row r="5015" spans="1:5" x14ac:dyDescent="0.25">
      <c r="A5015" t="s">
        <v>3105</v>
      </c>
      <c r="B5015" t="s">
        <v>4856</v>
      </c>
      <c r="C5015" t="s">
        <v>3060</v>
      </c>
      <c r="D5015" t="s">
        <v>4857</v>
      </c>
      <c r="E5015" t="s">
        <v>4853</v>
      </c>
    </row>
    <row r="5016" spans="1:5" x14ac:dyDescent="0.25">
      <c r="A5016" t="s">
        <v>3105</v>
      </c>
      <c r="B5016" t="s">
        <v>4858</v>
      </c>
      <c r="C5016" t="s">
        <v>3060</v>
      </c>
      <c r="D5016" t="s">
        <v>4859</v>
      </c>
      <c r="E5016" t="s">
        <v>155</v>
      </c>
    </row>
    <row r="5017" spans="1:5" x14ac:dyDescent="0.25">
      <c r="A5017" t="s">
        <v>3105</v>
      </c>
      <c r="B5017" t="s">
        <v>4860</v>
      </c>
      <c r="C5017" t="s">
        <v>3060</v>
      </c>
      <c r="D5017" t="s">
        <v>4861</v>
      </c>
      <c r="E5017" t="s">
        <v>88</v>
      </c>
    </row>
    <row r="5018" spans="1:5" x14ac:dyDescent="0.25">
      <c r="A5018" t="s">
        <v>3105</v>
      </c>
      <c r="B5018" t="s">
        <v>4862</v>
      </c>
      <c r="C5018" t="s">
        <v>3060</v>
      </c>
      <c r="D5018" t="s">
        <v>4863</v>
      </c>
      <c r="E5018" t="s">
        <v>88</v>
      </c>
    </row>
    <row r="5019" spans="1:5" x14ac:dyDescent="0.25">
      <c r="A5019" t="s">
        <v>3105</v>
      </c>
      <c r="B5019" t="s">
        <v>4864</v>
      </c>
      <c r="C5019" t="s">
        <v>3060</v>
      </c>
      <c r="D5019" t="s">
        <v>4865</v>
      </c>
      <c r="E5019" t="s">
        <v>88</v>
      </c>
    </row>
    <row r="5020" spans="1:5" x14ac:dyDescent="0.25">
      <c r="A5020" t="s">
        <v>3105</v>
      </c>
      <c r="B5020" t="s">
        <v>4866</v>
      </c>
      <c r="C5020" t="s">
        <v>3060</v>
      </c>
      <c r="D5020" t="s">
        <v>4867</v>
      </c>
      <c r="E5020" t="s">
        <v>88</v>
      </c>
    </row>
    <row r="5021" spans="1:5" x14ac:dyDescent="0.25">
      <c r="A5021" t="s">
        <v>3105</v>
      </c>
      <c r="B5021" t="s">
        <v>128</v>
      </c>
      <c r="C5021" t="s">
        <v>3060</v>
      </c>
      <c r="D5021" t="s">
        <v>4868</v>
      </c>
      <c r="E5021" t="s">
        <v>85</v>
      </c>
    </row>
    <row r="5022" spans="1:5" x14ac:dyDescent="0.25">
      <c r="A5022" t="s">
        <v>3105</v>
      </c>
      <c r="B5022" t="s">
        <v>4259</v>
      </c>
      <c r="C5022" t="s">
        <v>3060</v>
      </c>
      <c r="D5022" t="s">
        <v>4869</v>
      </c>
      <c r="E5022" t="s">
        <v>4870</v>
      </c>
    </row>
    <row r="5023" spans="1:5" x14ac:dyDescent="0.25">
      <c r="A5023" t="s">
        <v>3105</v>
      </c>
      <c r="B5023" t="s">
        <v>131</v>
      </c>
      <c r="C5023" t="s">
        <v>3060</v>
      </c>
      <c r="D5023" t="s">
        <v>4871</v>
      </c>
      <c r="E5023" t="s">
        <v>4872</v>
      </c>
    </row>
    <row r="5024" spans="1:5" x14ac:dyDescent="0.25">
      <c r="A5024" t="s">
        <v>3105</v>
      </c>
      <c r="B5024" t="s">
        <v>137</v>
      </c>
      <c r="C5024" t="s">
        <v>3060</v>
      </c>
      <c r="D5024" t="s">
        <v>3060</v>
      </c>
      <c r="E5024" t="s">
        <v>138</v>
      </c>
    </row>
    <row r="5025" spans="1:5" x14ac:dyDescent="0.25">
      <c r="A5025" t="s">
        <v>3105</v>
      </c>
      <c r="B5025" t="s">
        <v>780</v>
      </c>
      <c r="C5025" t="s">
        <v>3060</v>
      </c>
      <c r="D5025" t="s">
        <v>4873</v>
      </c>
      <c r="E5025" t="s">
        <v>1882</v>
      </c>
    </row>
    <row r="5026" spans="1:5" x14ac:dyDescent="0.25">
      <c r="A5026" t="s">
        <v>3105</v>
      </c>
      <c r="B5026" t="s">
        <v>4874</v>
      </c>
      <c r="C5026" t="s">
        <v>3060</v>
      </c>
      <c r="D5026" t="s">
        <v>4875</v>
      </c>
      <c r="E5026" t="s">
        <v>1882</v>
      </c>
    </row>
    <row r="5027" spans="1:5" x14ac:dyDescent="0.25">
      <c r="A5027" t="s">
        <v>3105</v>
      </c>
      <c r="B5027" t="s">
        <v>4820</v>
      </c>
      <c r="C5027" t="s">
        <v>3060</v>
      </c>
      <c r="D5027" t="s">
        <v>4821</v>
      </c>
      <c r="E5027" t="s">
        <v>1882</v>
      </c>
    </row>
    <row r="5028" spans="1:5" x14ac:dyDescent="0.25">
      <c r="A5028" t="s">
        <v>3105</v>
      </c>
      <c r="B5028" t="s">
        <v>4816</v>
      </c>
      <c r="C5028" t="s">
        <v>3060</v>
      </c>
      <c r="D5028" t="s">
        <v>4817</v>
      </c>
      <c r="E5028" t="s">
        <v>1882</v>
      </c>
    </row>
    <row r="5029" spans="1:5" x14ac:dyDescent="0.25">
      <c r="A5029" t="s">
        <v>3105</v>
      </c>
      <c r="B5029" t="s">
        <v>4822</v>
      </c>
      <c r="C5029" t="s">
        <v>3060</v>
      </c>
      <c r="D5029" t="s">
        <v>4823</v>
      </c>
      <c r="E5029" t="s">
        <v>1882</v>
      </c>
    </row>
    <row r="5030" spans="1:5" x14ac:dyDescent="0.25">
      <c r="A5030" t="s">
        <v>3105</v>
      </c>
      <c r="B5030" t="s">
        <v>4818</v>
      </c>
      <c r="C5030" t="s">
        <v>3060</v>
      </c>
      <c r="D5030" t="s">
        <v>4819</v>
      </c>
      <c r="E5030" t="s">
        <v>1882</v>
      </c>
    </row>
    <row r="5031" spans="1:5" x14ac:dyDescent="0.25">
      <c r="A5031" t="s">
        <v>3105</v>
      </c>
      <c r="B5031" t="s">
        <v>4876</v>
      </c>
      <c r="C5031" t="s">
        <v>3060</v>
      </c>
      <c r="D5031" t="s">
        <v>4877</v>
      </c>
      <c r="E5031" t="s">
        <v>1882</v>
      </c>
    </row>
    <row r="5032" spans="1:5" x14ac:dyDescent="0.25">
      <c r="A5032" t="s">
        <v>3105</v>
      </c>
      <c r="B5032" t="s">
        <v>4878</v>
      </c>
      <c r="C5032" t="s">
        <v>3060</v>
      </c>
      <c r="D5032" t="s">
        <v>4879</v>
      </c>
      <c r="E5032" t="s">
        <v>1882</v>
      </c>
    </row>
    <row r="5033" spans="1:5" x14ac:dyDescent="0.25">
      <c r="A5033" t="s">
        <v>3105</v>
      </c>
      <c r="B5033" t="s">
        <v>2728</v>
      </c>
      <c r="C5033" t="s">
        <v>3060</v>
      </c>
      <c r="D5033" t="s">
        <v>4880</v>
      </c>
      <c r="E5033" t="s">
        <v>1882</v>
      </c>
    </row>
    <row r="5034" spans="1:5" x14ac:dyDescent="0.25">
      <c r="A5034" t="s">
        <v>3105</v>
      </c>
      <c r="B5034" t="s">
        <v>4881</v>
      </c>
      <c r="C5034" t="s">
        <v>3060</v>
      </c>
      <c r="D5034" t="s">
        <v>4882</v>
      </c>
      <c r="E5034" t="s">
        <v>1882</v>
      </c>
    </row>
    <row r="5035" spans="1:5" x14ac:dyDescent="0.25">
      <c r="A5035" t="s">
        <v>3105</v>
      </c>
      <c r="B5035" t="s">
        <v>4883</v>
      </c>
      <c r="C5035" t="s">
        <v>3060</v>
      </c>
      <c r="D5035" t="s">
        <v>4884</v>
      </c>
      <c r="E5035" t="s">
        <v>1882</v>
      </c>
    </row>
    <row r="5036" spans="1:5" x14ac:dyDescent="0.25">
      <c r="A5036" t="s">
        <v>3105</v>
      </c>
      <c r="B5036" t="s">
        <v>2082</v>
      </c>
      <c r="C5036" t="s">
        <v>3060</v>
      </c>
      <c r="D5036" t="s">
        <v>4885</v>
      </c>
      <c r="E5036" t="s">
        <v>1882</v>
      </c>
    </row>
    <row r="5037" spans="1:5" x14ac:dyDescent="0.25">
      <c r="A5037" t="s">
        <v>3105</v>
      </c>
      <c r="B5037" t="s">
        <v>736</v>
      </c>
      <c r="C5037" t="s">
        <v>3060</v>
      </c>
      <c r="D5037" t="s">
        <v>4886</v>
      </c>
      <c r="E5037" t="s">
        <v>1882</v>
      </c>
    </row>
    <row r="5038" spans="1:5" x14ac:dyDescent="0.25">
      <c r="A5038" t="s">
        <v>3105</v>
      </c>
      <c r="B5038" t="s">
        <v>4887</v>
      </c>
      <c r="C5038" t="s">
        <v>3060</v>
      </c>
      <c r="D5038" t="s">
        <v>4888</v>
      </c>
      <c r="E5038" t="s">
        <v>1882</v>
      </c>
    </row>
    <row r="5039" spans="1:5" x14ac:dyDescent="0.25">
      <c r="A5039" t="s">
        <v>3105</v>
      </c>
      <c r="B5039" t="s">
        <v>4889</v>
      </c>
      <c r="C5039" t="s">
        <v>3060</v>
      </c>
      <c r="D5039" t="s">
        <v>4890</v>
      </c>
      <c r="E5039" t="s">
        <v>1882</v>
      </c>
    </row>
    <row r="5040" spans="1:5" x14ac:dyDescent="0.25">
      <c r="A5040" t="s">
        <v>3105</v>
      </c>
      <c r="B5040" t="s">
        <v>4891</v>
      </c>
      <c r="C5040" t="s">
        <v>3060</v>
      </c>
      <c r="D5040" t="s">
        <v>4892</v>
      </c>
      <c r="E5040" t="s">
        <v>1882</v>
      </c>
    </row>
    <row r="5041" spans="1:5" x14ac:dyDescent="0.25">
      <c r="A5041" t="s">
        <v>3105</v>
      </c>
      <c r="B5041" t="s">
        <v>766</v>
      </c>
      <c r="C5041" t="s">
        <v>3060</v>
      </c>
      <c r="D5041" t="s">
        <v>4893</v>
      </c>
      <c r="E5041" t="s">
        <v>1882</v>
      </c>
    </row>
    <row r="5042" spans="1:5" x14ac:dyDescent="0.25">
      <c r="A5042" t="s">
        <v>3105</v>
      </c>
      <c r="B5042" t="s">
        <v>4894</v>
      </c>
      <c r="C5042" t="s">
        <v>3060</v>
      </c>
      <c r="D5042" t="s">
        <v>4895</v>
      </c>
      <c r="E5042" t="s">
        <v>1882</v>
      </c>
    </row>
    <row r="5043" spans="1:5" x14ac:dyDescent="0.25">
      <c r="A5043" t="s">
        <v>3105</v>
      </c>
      <c r="B5043" t="s">
        <v>2797</v>
      </c>
      <c r="C5043" t="s">
        <v>3060</v>
      </c>
      <c r="D5043" t="s">
        <v>4896</v>
      </c>
      <c r="E5043" t="s">
        <v>4244</v>
      </c>
    </row>
    <row r="5044" spans="1:5" x14ac:dyDescent="0.25">
      <c r="A5044" t="s">
        <v>3105</v>
      </c>
      <c r="B5044" t="s">
        <v>4897</v>
      </c>
      <c r="C5044" t="s">
        <v>3060</v>
      </c>
      <c r="D5044" t="s">
        <v>4898</v>
      </c>
      <c r="E5044" t="s">
        <v>4244</v>
      </c>
    </row>
    <row r="5045" spans="1:5" x14ac:dyDescent="0.25">
      <c r="A5045" t="s">
        <v>3105</v>
      </c>
      <c r="B5045" t="s">
        <v>4899</v>
      </c>
      <c r="C5045" t="s">
        <v>3060</v>
      </c>
      <c r="D5045" t="s">
        <v>4900</v>
      </c>
      <c r="E5045" t="s">
        <v>4244</v>
      </c>
    </row>
    <row r="5046" spans="1:5" x14ac:dyDescent="0.25">
      <c r="A5046" t="s">
        <v>3105</v>
      </c>
      <c r="B5046" t="s">
        <v>4901</v>
      </c>
      <c r="C5046" t="s">
        <v>3060</v>
      </c>
      <c r="D5046" t="s">
        <v>4902</v>
      </c>
      <c r="E5046" t="s">
        <v>4244</v>
      </c>
    </row>
    <row r="5047" spans="1:5" x14ac:dyDescent="0.25">
      <c r="A5047" t="s">
        <v>3105</v>
      </c>
      <c r="B5047" t="s">
        <v>4903</v>
      </c>
      <c r="C5047" t="s">
        <v>3060</v>
      </c>
      <c r="D5047" t="s">
        <v>4904</v>
      </c>
      <c r="E5047" t="s">
        <v>4244</v>
      </c>
    </row>
    <row r="5048" spans="1:5" x14ac:dyDescent="0.25">
      <c r="A5048" t="s">
        <v>3105</v>
      </c>
      <c r="B5048" t="s">
        <v>667</v>
      </c>
      <c r="C5048" t="s">
        <v>3060</v>
      </c>
      <c r="D5048" t="s">
        <v>4905</v>
      </c>
      <c r="E5048" t="s">
        <v>4244</v>
      </c>
    </row>
    <row r="5049" spans="1:5" x14ac:dyDescent="0.25">
      <c r="A5049" t="s">
        <v>3105</v>
      </c>
      <c r="B5049" t="s">
        <v>4906</v>
      </c>
      <c r="C5049" t="s">
        <v>3060</v>
      </c>
      <c r="D5049" t="s">
        <v>4907</v>
      </c>
      <c r="E5049" t="s">
        <v>4244</v>
      </c>
    </row>
    <row r="5050" spans="1:5" x14ac:dyDescent="0.25">
      <c r="A5050" t="s">
        <v>3105</v>
      </c>
      <c r="B5050" t="s">
        <v>4908</v>
      </c>
      <c r="C5050" t="s">
        <v>3060</v>
      </c>
      <c r="D5050" t="s">
        <v>4909</v>
      </c>
      <c r="E5050" t="s">
        <v>4244</v>
      </c>
    </row>
    <row r="5051" spans="1:5" x14ac:dyDescent="0.25">
      <c r="A5051" t="s">
        <v>3105</v>
      </c>
      <c r="B5051" t="s">
        <v>4910</v>
      </c>
      <c r="C5051" t="s">
        <v>3060</v>
      </c>
      <c r="D5051" t="s">
        <v>4911</v>
      </c>
      <c r="E5051" t="s">
        <v>4244</v>
      </c>
    </row>
    <row r="5052" spans="1:5" x14ac:dyDescent="0.25">
      <c r="A5052" t="s">
        <v>3105</v>
      </c>
      <c r="B5052" t="s">
        <v>4912</v>
      </c>
      <c r="C5052" t="s">
        <v>3060</v>
      </c>
      <c r="D5052" t="s">
        <v>4913</v>
      </c>
      <c r="E5052" t="s">
        <v>4244</v>
      </c>
    </row>
    <row r="5053" spans="1:5" x14ac:dyDescent="0.25">
      <c r="A5053" t="s">
        <v>3105</v>
      </c>
      <c r="B5053" t="s">
        <v>4914</v>
      </c>
      <c r="C5053" t="s">
        <v>3060</v>
      </c>
      <c r="D5053" t="s">
        <v>4915</v>
      </c>
      <c r="E5053" t="s">
        <v>4244</v>
      </c>
    </row>
    <row r="5054" spans="1:5" x14ac:dyDescent="0.25">
      <c r="A5054" t="s">
        <v>3105</v>
      </c>
      <c r="B5054" t="s">
        <v>4916</v>
      </c>
      <c r="C5054" t="s">
        <v>3060</v>
      </c>
      <c r="D5054" t="s">
        <v>3060</v>
      </c>
      <c r="E5054" t="s">
        <v>4917</v>
      </c>
    </row>
    <row r="5055" spans="1:5" x14ac:dyDescent="0.25">
      <c r="A5055" t="s">
        <v>3105</v>
      </c>
      <c r="B5055" t="s">
        <v>4918</v>
      </c>
      <c r="C5055" t="s">
        <v>3060</v>
      </c>
      <c r="D5055" t="s">
        <v>4919</v>
      </c>
      <c r="E5055" t="s">
        <v>2085</v>
      </c>
    </row>
    <row r="5056" spans="1:5" x14ac:dyDescent="0.25">
      <c r="A5056" t="s">
        <v>3105</v>
      </c>
      <c r="B5056" t="s">
        <v>2165</v>
      </c>
      <c r="C5056" t="s">
        <v>3060</v>
      </c>
      <c r="D5056" t="s">
        <v>3838</v>
      </c>
      <c r="E5056" t="s">
        <v>161</v>
      </c>
    </row>
    <row r="5057" spans="1:5" x14ac:dyDescent="0.25">
      <c r="A5057" t="s">
        <v>3105</v>
      </c>
      <c r="B5057" t="s">
        <v>4920</v>
      </c>
      <c r="C5057" t="s">
        <v>3060</v>
      </c>
      <c r="D5057" t="s">
        <v>4921</v>
      </c>
      <c r="E5057" t="s">
        <v>161</v>
      </c>
    </row>
    <row r="5058" spans="1:5" x14ac:dyDescent="0.25">
      <c r="A5058" t="s">
        <v>3105</v>
      </c>
      <c r="B5058" t="s">
        <v>4922</v>
      </c>
      <c r="C5058" t="s">
        <v>3060</v>
      </c>
      <c r="D5058" t="s">
        <v>4923</v>
      </c>
      <c r="E5058" t="s">
        <v>2085</v>
      </c>
    </row>
    <row r="5059" spans="1:5" x14ac:dyDescent="0.25">
      <c r="A5059" t="s">
        <v>3105</v>
      </c>
      <c r="B5059" t="s">
        <v>573</v>
      </c>
      <c r="C5059" t="s">
        <v>3060</v>
      </c>
      <c r="D5059" t="s">
        <v>3838</v>
      </c>
      <c r="E5059" t="s">
        <v>2035</v>
      </c>
    </row>
    <row r="5060" spans="1:5" x14ac:dyDescent="0.25">
      <c r="A5060" t="s">
        <v>3105</v>
      </c>
      <c r="B5060" t="s">
        <v>4924</v>
      </c>
      <c r="C5060" t="s">
        <v>3060</v>
      </c>
      <c r="D5060" t="s">
        <v>3060</v>
      </c>
      <c r="E5060" t="s">
        <v>4925</v>
      </c>
    </row>
    <row r="5061" spans="1:5" x14ac:dyDescent="0.25">
      <c r="A5061" t="s">
        <v>3105</v>
      </c>
      <c r="B5061" t="s">
        <v>4926</v>
      </c>
      <c r="C5061" t="s">
        <v>3060</v>
      </c>
      <c r="D5061" t="s">
        <v>3060</v>
      </c>
      <c r="E5061" t="s">
        <v>320</v>
      </c>
    </row>
    <row r="5062" spans="1:5" x14ac:dyDescent="0.25">
      <c r="A5062" t="s">
        <v>3105</v>
      </c>
      <c r="B5062" t="s">
        <v>4927</v>
      </c>
      <c r="C5062" t="s">
        <v>3060</v>
      </c>
      <c r="D5062" t="s">
        <v>4928</v>
      </c>
      <c r="E5062" t="s">
        <v>2085</v>
      </c>
    </row>
    <row r="5063" spans="1:5" x14ac:dyDescent="0.25">
      <c r="A5063" t="s">
        <v>3105</v>
      </c>
      <c r="B5063" t="s">
        <v>4929</v>
      </c>
      <c r="C5063" t="s">
        <v>3060</v>
      </c>
      <c r="D5063" t="s">
        <v>4930</v>
      </c>
      <c r="E5063" t="s">
        <v>2085</v>
      </c>
    </row>
    <row r="5064" spans="1:5" x14ac:dyDescent="0.25">
      <c r="A5064" t="s">
        <v>3105</v>
      </c>
      <c r="B5064" t="s">
        <v>585</v>
      </c>
      <c r="C5064" t="s">
        <v>3060</v>
      </c>
      <c r="D5064" t="s">
        <v>4931</v>
      </c>
      <c r="E5064" t="s">
        <v>2085</v>
      </c>
    </row>
    <row r="5065" spans="1:5" x14ac:dyDescent="0.25">
      <c r="A5065" t="s">
        <v>3105</v>
      </c>
      <c r="B5065" t="s">
        <v>4932</v>
      </c>
      <c r="C5065" t="s">
        <v>3060</v>
      </c>
      <c r="D5065" t="s">
        <v>4933</v>
      </c>
      <c r="E5065" t="s">
        <v>2085</v>
      </c>
    </row>
    <row r="5066" spans="1:5" x14ac:dyDescent="0.25">
      <c r="A5066" t="s">
        <v>3105</v>
      </c>
      <c r="B5066" t="s">
        <v>4934</v>
      </c>
      <c r="C5066" t="s">
        <v>3060</v>
      </c>
      <c r="D5066" t="s">
        <v>4935</v>
      </c>
      <c r="E5066" t="s">
        <v>2085</v>
      </c>
    </row>
    <row r="5067" spans="1:5" x14ac:dyDescent="0.25">
      <c r="A5067" t="s">
        <v>3105</v>
      </c>
      <c r="B5067" t="s">
        <v>4936</v>
      </c>
      <c r="C5067" t="s">
        <v>3060</v>
      </c>
      <c r="D5067" t="s">
        <v>4937</v>
      </c>
      <c r="E5067" t="s">
        <v>2037</v>
      </c>
    </row>
    <row r="5068" spans="1:5" x14ac:dyDescent="0.25">
      <c r="A5068" t="s">
        <v>3105</v>
      </c>
      <c r="B5068" t="s">
        <v>4938</v>
      </c>
      <c r="C5068" t="s">
        <v>3060</v>
      </c>
      <c r="D5068" t="s">
        <v>4939</v>
      </c>
      <c r="E5068" t="s">
        <v>2037</v>
      </c>
    </row>
    <row r="5069" spans="1:5" x14ac:dyDescent="0.25">
      <c r="A5069" t="s">
        <v>3105</v>
      </c>
      <c r="B5069" t="s">
        <v>4940</v>
      </c>
      <c r="C5069" t="s">
        <v>3060</v>
      </c>
      <c r="D5069" t="s">
        <v>4941</v>
      </c>
      <c r="E5069" t="s">
        <v>2037</v>
      </c>
    </row>
    <row r="5070" spans="1:5" x14ac:dyDescent="0.25">
      <c r="A5070" t="s">
        <v>3105</v>
      </c>
      <c r="B5070" t="s">
        <v>4942</v>
      </c>
      <c r="C5070" t="s">
        <v>3060</v>
      </c>
      <c r="D5070" t="s">
        <v>4943</v>
      </c>
      <c r="E5070" t="s">
        <v>2043</v>
      </c>
    </row>
    <row r="5071" spans="1:5" x14ac:dyDescent="0.25">
      <c r="A5071" t="s">
        <v>3105</v>
      </c>
      <c r="B5071" t="s">
        <v>4944</v>
      </c>
      <c r="C5071" t="s">
        <v>3060</v>
      </c>
      <c r="D5071" t="s">
        <v>4943</v>
      </c>
      <c r="E5071" t="s">
        <v>2043</v>
      </c>
    </row>
    <row r="5072" spans="1:5" x14ac:dyDescent="0.25">
      <c r="A5072" t="s">
        <v>3105</v>
      </c>
      <c r="B5072" t="s">
        <v>1232</v>
      </c>
      <c r="C5072" t="s">
        <v>3060</v>
      </c>
      <c r="D5072" t="s">
        <v>3060</v>
      </c>
      <c r="E5072" t="s">
        <v>2043</v>
      </c>
    </row>
    <row r="5073" spans="1:5" x14ac:dyDescent="0.25">
      <c r="A5073" t="s">
        <v>3105</v>
      </c>
      <c r="B5073" t="s">
        <v>4945</v>
      </c>
      <c r="C5073" t="s">
        <v>3060</v>
      </c>
      <c r="D5073" t="s">
        <v>4943</v>
      </c>
      <c r="E5073" t="s">
        <v>2043</v>
      </c>
    </row>
    <row r="5074" spans="1:5" x14ac:dyDescent="0.25">
      <c r="A5074" t="s">
        <v>3105</v>
      </c>
      <c r="B5074" t="s">
        <v>688</v>
      </c>
      <c r="C5074" t="s">
        <v>3060</v>
      </c>
      <c r="D5074" t="s">
        <v>3060</v>
      </c>
      <c r="E5074" t="s">
        <v>161</v>
      </c>
    </row>
    <row r="5075" spans="1:5" x14ac:dyDescent="0.25">
      <c r="A5075" t="s">
        <v>3105</v>
      </c>
      <c r="B5075" t="s">
        <v>167</v>
      </c>
      <c r="C5075" t="s">
        <v>3060</v>
      </c>
      <c r="D5075" t="s">
        <v>3060</v>
      </c>
      <c r="E5075" t="s">
        <v>138</v>
      </c>
    </row>
    <row r="5076" spans="1:5" x14ac:dyDescent="0.25">
      <c r="A5076" t="s">
        <v>3105</v>
      </c>
      <c r="B5076" t="s">
        <v>234</v>
      </c>
      <c r="C5076" t="s">
        <v>3060</v>
      </c>
      <c r="D5076" t="s">
        <v>3060</v>
      </c>
      <c r="E5076" t="s">
        <v>174</v>
      </c>
    </row>
    <row r="5077" spans="1:5" x14ac:dyDescent="0.25">
      <c r="A5077" t="s">
        <v>3105</v>
      </c>
      <c r="B5077" t="s">
        <v>181</v>
      </c>
      <c r="C5077" t="s">
        <v>3060</v>
      </c>
      <c r="D5077" t="s">
        <v>3060</v>
      </c>
      <c r="E5077" t="s">
        <v>182</v>
      </c>
    </row>
    <row r="5078" spans="1:5" x14ac:dyDescent="0.25">
      <c r="A5078" t="s">
        <v>3105</v>
      </c>
      <c r="B5078" t="s">
        <v>169</v>
      </c>
      <c r="C5078" t="s">
        <v>3060</v>
      </c>
      <c r="D5078" t="s">
        <v>3060</v>
      </c>
      <c r="E5078" t="s">
        <v>138</v>
      </c>
    </row>
    <row r="5079" spans="1:5" x14ac:dyDescent="0.25">
      <c r="A5079" t="s">
        <v>3105</v>
      </c>
      <c r="B5079" t="s">
        <v>170</v>
      </c>
      <c r="C5079" t="s">
        <v>3060</v>
      </c>
      <c r="D5079" t="s">
        <v>3060</v>
      </c>
      <c r="E5079" t="s">
        <v>138</v>
      </c>
    </row>
    <row r="5080" spans="1:5" x14ac:dyDescent="0.25">
      <c r="A5080" t="s">
        <v>3105</v>
      </c>
      <c r="B5080" t="s">
        <v>171</v>
      </c>
      <c r="C5080" t="s">
        <v>3060</v>
      </c>
      <c r="D5080" t="s">
        <v>3060</v>
      </c>
      <c r="E5080" t="s">
        <v>138</v>
      </c>
    </row>
    <row r="5081" spans="1:5" x14ac:dyDescent="0.25">
      <c r="A5081" t="s">
        <v>3105</v>
      </c>
      <c r="B5081" t="s">
        <v>172</v>
      </c>
      <c r="C5081" t="s">
        <v>3060</v>
      </c>
      <c r="D5081" t="s">
        <v>3060</v>
      </c>
      <c r="E5081" t="s">
        <v>138</v>
      </c>
    </row>
    <row r="5082" spans="1:5" x14ac:dyDescent="0.25">
      <c r="A5082" t="s">
        <v>3105</v>
      </c>
      <c r="B5082" t="s">
        <v>177</v>
      </c>
      <c r="C5082" t="s">
        <v>3060</v>
      </c>
      <c r="D5082" t="s">
        <v>3060</v>
      </c>
      <c r="E5082" t="s">
        <v>138</v>
      </c>
    </row>
    <row r="5083" spans="1:5" x14ac:dyDescent="0.25">
      <c r="A5083" t="s">
        <v>3105</v>
      </c>
      <c r="B5083" t="s">
        <v>175</v>
      </c>
      <c r="C5083" t="s">
        <v>3060</v>
      </c>
      <c r="D5083" t="s">
        <v>3060</v>
      </c>
      <c r="E5083" t="s">
        <v>174</v>
      </c>
    </row>
    <row r="5084" spans="1:5" x14ac:dyDescent="0.25">
      <c r="A5084" t="s">
        <v>3105</v>
      </c>
      <c r="B5084" t="s">
        <v>1474</v>
      </c>
      <c r="C5084" t="s">
        <v>3060</v>
      </c>
      <c r="D5084" t="s">
        <v>3060</v>
      </c>
      <c r="E5084" t="s">
        <v>176</v>
      </c>
    </row>
    <row r="5085" spans="1:5" x14ac:dyDescent="0.25">
      <c r="A5085" t="s">
        <v>3105</v>
      </c>
      <c r="B5085" t="s">
        <v>183</v>
      </c>
      <c r="C5085" t="s">
        <v>3060</v>
      </c>
      <c r="D5085" t="s">
        <v>3060</v>
      </c>
      <c r="E5085" t="s">
        <v>184</v>
      </c>
    </row>
    <row r="5086" spans="1:5" x14ac:dyDescent="0.25">
      <c r="A5086" t="s">
        <v>3106</v>
      </c>
      <c r="B5086" t="s">
        <v>4946</v>
      </c>
      <c r="C5086" t="s">
        <v>3060</v>
      </c>
      <c r="D5086" t="s">
        <v>4947</v>
      </c>
      <c r="E5086" t="s">
        <v>214</v>
      </c>
    </row>
    <row r="5087" spans="1:5" x14ac:dyDescent="0.25">
      <c r="A5087" t="s">
        <v>3106</v>
      </c>
      <c r="B5087" t="s">
        <v>609</v>
      </c>
      <c r="C5087" t="s">
        <v>3060</v>
      </c>
      <c r="D5087" t="s">
        <v>4948</v>
      </c>
      <c r="E5087" t="s">
        <v>202</v>
      </c>
    </row>
    <row r="5088" spans="1:5" x14ac:dyDescent="0.25">
      <c r="A5088" t="s">
        <v>3106</v>
      </c>
      <c r="B5088" t="s">
        <v>4949</v>
      </c>
      <c r="C5088" t="s">
        <v>3060</v>
      </c>
      <c r="D5088" t="s">
        <v>4950</v>
      </c>
      <c r="E5088" t="s">
        <v>437</v>
      </c>
    </row>
    <row r="5089" spans="1:5" x14ac:dyDescent="0.25">
      <c r="A5089" t="s">
        <v>3106</v>
      </c>
      <c r="B5089" t="s">
        <v>4951</v>
      </c>
      <c r="C5089" t="s">
        <v>3060</v>
      </c>
      <c r="D5089" t="s">
        <v>4952</v>
      </c>
      <c r="E5089" t="s">
        <v>369</v>
      </c>
    </row>
    <row r="5090" spans="1:5" x14ac:dyDescent="0.25">
      <c r="A5090" t="s">
        <v>3106</v>
      </c>
      <c r="B5090" t="s">
        <v>2467</v>
      </c>
      <c r="C5090" t="s">
        <v>3060</v>
      </c>
      <c r="D5090" t="s">
        <v>4953</v>
      </c>
      <c r="E5090" t="s">
        <v>214</v>
      </c>
    </row>
    <row r="5091" spans="1:5" x14ac:dyDescent="0.25">
      <c r="A5091" t="s">
        <v>3106</v>
      </c>
      <c r="B5091" t="s">
        <v>4951</v>
      </c>
      <c r="C5091" t="s">
        <v>3060</v>
      </c>
      <c r="D5091" t="s">
        <v>4952</v>
      </c>
      <c r="E5091" t="s">
        <v>369</v>
      </c>
    </row>
    <row r="5092" spans="1:5" x14ac:dyDescent="0.25">
      <c r="A5092" t="s">
        <v>3106</v>
      </c>
      <c r="B5092" t="s">
        <v>4954</v>
      </c>
      <c r="C5092" t="s">
        <v>3060</v>
      </c>
      <c r="D5092" t="s">
        <v>4955</v>
      </c>
      <c r="E5092" t="s">
        <v>4956</v>
      </c>
    </row>
    <row r="5093" spans="1:5" x14ac:dyDescent="0.25">
      <c r="A5093" t="s">
        <v>3106</v>
      </c>
      <c r="B5093" t="s">
        <v>4957</v>
      </c>
      <c r="C5093" t="s">
        <v>3060</v>
      </c>
      <c r="D5093" t="s">
        <v>4950</v>
      </c>
      <c r="E5093" t="s">
        <v>437</v>
      </c>
    </row>
    <row r="5094" spans="1:5" x14ac:dyDescent="0.25">
      <c r="A5094" t="s">
        <v>3106</v>
      </c>
      <c r="B5094" t="s">
        <v>4949</v>
      </c>
      <c r="C5094" t="s">
        <v>3060</v>
      </c>
      <c r="D5094" t="s">
        <v>4950</v>
      </c>
      <c r="E5094" t="s">
        <v>437</v>
      </c>
    </row>
    <row r="5095" spans="1:5" x14ac:dyDescent="0.25">
      <c r="A5095" t="s">
        <v>3106</v>
      </c>
      <c r="B5095" t="s">
        <v>4958</v>
      </c>
      <c r="C5095" t="s">
        <v>3060</v>
      </c>
      <c r="D5095" t="s">
        <v>4950</v>
      </c>
      <c r="E5095" t="s">
        <v>437</v>
      </c>
    </row>
    <row r="5096" spans="1:5" x14ac:dyDescent="0.25">
      <c r="A5096" t="s">
        <v>3106</v>
      </c>
      <c r="B5096" t="s">
        <v>4959</v>
      </c>
      <c r="C5096" t="s">
        <v>3060</v>
      </c>
      <c r="D5096" t="s">
        <v>4950</v>
      </c>
      <c r="E5096" t="s">
        <v>437</v>
      </c>
    </row>
    <row r="5097" spans="1:5" x14ac:dyDescent="0.25">
      <c r="A5097" t="s">
        <v>3106</v>
      </c>
      <c r="B5097" t="s">
        <v>619</v>
      </c>
      <c r="C5097" t="s">
        <v>3060</v>
      </c>
      <c r="D5097" t="s">
        <v>4960</v>
      </c>
      <c r="E5097" t="s">
        <v>256</v>
      </c>
    </row>
    <row r="5098" spans="1:5" x14ac:dyDescent="0.25">
      <c r="A5098" t="s">
        <v>3106</v>
      </c>
      <c r="B5098" t="s">
        <v>626</v>
      </c>
      <c r="C5098" t="s">
        <v>3060</v>
      </c>
      <c r="D5098" t="s">
        <v>4960</v>
      </c>
      <c r="E5098" t="s">
        <v>256</v>
      </c>
    </row>
    <row r="5099" spans="1:5" x14ac:dyDescent="0.25">
      <c r="A5099" t="s">
        <v>3106</v>
      </c>
      <c r="B5099" t="s">
        <v>607</v>
      </c>
      <c r="C5099" t="s">
        <v>3060</v>
      </c>
      <c r="D5099" t="s">
        <v>4948</v>
      </c>
      <c r="E5099" t="s">
        <v>636</v>
      </c>
    </row>
    <row r="5100" spans="1:5" x14ac:dyDescent="0.25">
      <c r="A5100" t="s">
        <v>3106</v>
      </c>
      <c r="B5100" t="s">
        <v>609</v>
      </c>
      <c r="C5100" t="s">
        <v>3060</v>
      </c>
      <c r="D5100" t="s">
        <v>4948</v>
      </c>
      <c r="E5100" t="s">
        <v>202</v>
      </c>
    </row>
    <row r="5101" spans="1:5" x14ac:dyDescent="0.25">
      <c r="A5101" t="s">
        <v>3106</v>
      </c>
      <c r="B5101" t="s">
        <v>4961</v>
      </c>
      <c r="C5101" t="s">
        <v>3060</v>
      </c>
      <c r="D5101" t="s">
        <v>4962</v>
      </c>
      <c r="E5101" t="s">
        <v>212</v>
      </c>
    </row>
    <row r="5102" spans="1:5" x14ac:dyDescent="0.25">
      <c r="A5102" t="s">
        <v>3106</v>
      </c>
      <c r="B5102" t="s">
        <v>167</v>
      </c>
      <c r="C5102" t="s">
        <v>3060</v>
      </c>
      <c r="D5102" t="s">
        <v>3060</v>
      </c>
      <c r="E5102" t="s">
        <v>207</v>
      </c>
    </row>
    <row r="5103" spans="1:5" x14ac:dyDescent="0.25">
      <c r="A5103" t="s">
        <v>3106</v>
      </c>
      <c r="B5103" t="s">
        <v>170</v>
      </c>
      <c r="C5103" t="s">
        <v>3060</v>
      </c>
      <c r="D5103" t="s">
        <v>3060</v>
      </c>
      <c r="E5103" t="s">
        <v>207</v>
      </c>
    </row>
    <row r="5104" spans="1:5" x14ac:dyDescent="0.25">
      <c r="A5104" t="s">
        <v>3106</v>
      </c>
      <c r="B5104" t="s">
        <v>175</v>
      </c>
      <c r="C5104" t="s">
        <v>3060</v>
      </c>
      <c r="D5104" t="s">
        <v>3060</v>
      </c>
      <c r="E5104" t="s">
        <v>235</v>
      </c>
    </row>
    <row r="5105" spans="1:5" x14ac:dyDescent="0.25">
      <c r="A5105" t="s">
        <v>3106</v>
      </c>
      <c r="B5105" t="s">
        <v>4963</v>
      </c>
      <c r="C5105" t="s">
        <v>3060</v>
      </c>
      <c r="D5105" t="s">
        <v>3060</v>
      </c>
      <c r="E5105" t="s">
        <v>286</v>
      </c>
    </row>
    <row r="5106" spans="1:5" x14ac:dyDescent="0.25">
      <c r="A5106" t="s">
        <v>3106</v>
      </c>
      <c r="B5106" t="s">
        <v>180</v>
      </c>
      <c r="C5106" t="s">
        <v>3060</v>
      </c>
      <c r="D5106" t="s">
        <v>3060</v>
      </c>
      <c r="E5106" t="s">
        <v>286</v>
      </c>
    </row>
    <row r="5107" spans="1:5" x14ac:dyDescent="0.25">
      <c r="A5107" t="s">
        <v>3106</v>
      </c>
      <c r="B5107" t="s">
        <v>181</v>
      </c>
      <c r="C5107" t="s">
        <v>3060</v>
      </c>
      <c r="D5107" t="s">
        <v>3060</v>
      </c>
      <c r="E5107" t="s">
        <v>286</v>
      </c>
    </row>
    <row r="5108" spans="1:5" x14ac:dyDescent="0.25">
      <c r="A5108" t="s">
        <v>3106</v>
      </c>
      <c r="B5108" t="s">
        <v>345</v>
      </c>
      <c r="C5108" t="s">
        <v>3060</v>
      </c>
      <c r="D5108" t="s">
        <v>3060</v>
      </c>
      <c r="E5108" t="s">
        <v>268</v>
      </c>
    </row>
    <row r="5109" spans="1:5" x14ac:dyDescent="0.25">
      <c r="A5109" t="s">
        <v>3106</v>
      </c>
      <c r="B5109" t="s">
        <v>346</v>
      </c>
      <c r="C5109" t="s">
        <v>3060</v>
      </c>
      <c r="D5109" t="s">
        <v>3060</v>
      </c>
      <c r="E5109" t="s">
        <v>268</v>
      </c>
    </row>
    <row r="5110" spans="1:5" x14ac:dyDescent="0.25">
      <c r="A5110" t="s">
        <v>3106</v>
      </c>
      <c r="B5110" t="s">
        <v>4964</v>
      </c>
      <c r="C5110" t="s">
        <v>3060</v>
      </c>
      <c r="D5110" t="s">
        <v>3060</v>
      </c>
      <c r="E5110" t="s">
        <v>287</v>
      </c>
    </row>
    <row r="5111" spans="1:5" x14ac:dyDescent="0.25">
      <c r="A5111" t="s">
        <v>3106</v>
      </c>
      <c r="B5111" t="s">
        <v>4965</v>
      </c>
      <c r="C5111" t="s">
        <v>3060</v>
      </c>
      <c r="D5111" t="s">
        <v>3060</v>
      </c>
      <c r="E5111" t="s">
        <v>287</v>
      </c>
    </row>
    <row r="5112" spans="1:5" x14ac:dyDescent="0.25">
      <c r="A5112" t="s">
        <v>3106</v>
      </c>
      <c r="B5112" t="s">
        <v>2467</v>
      </c>
      <c r="C5112" t="s">
        <v>3060</v>
      </c>
      <c r="D5112" t="s">
        <v>4953</v>
      </c>
      <c r="E5112" t="s">
        <v>214</v>
      </c>
    </row>
    <row r="5113" spans="1:5" x14ac:dyDescent="0.25">
      <c r="A5113" t="s">
        <v>3106</v>
      </c>
      <c r="B5113" t="s">
        <v>4966</v>
      </c>
      <c r="C5113" t="s">
        <v>3060</v>
      </c>
      <c r="D5113" t="s">
        <v>4953</v>
      </c>
      <c r="E5113" t="s">
        <v>214</v>
      </c>
    </row>
    <row r="5114" spans="1:5" x14ac:dyDescent="0.25">
      <c r="A5114" t="s">
        <v>3106</v>
      </c>
      <c r="B5114" t="s">
        <v>4946</v>
      </c>
      <c r="C5114" t="s">
        <v>3060</v>
      </c>
      <c r="D5114" t="s">
        <v>4947</v>
      </c>
      <c r="E5114" t="s">
        <v>214</v>
      </c>
    </row>
    <row r="5115" spans="1:5" x14ac:dyDescent="0.25">
      <c r="A5115" t="s">
        <v>3106</v>
      </c>
      <c r="B5115" t="s">
        <v>2462</v>
      </c>
      <c r="C5115" t="s">
        <v>3060</v>
      </c>
      <c r="D5115" t="s">
        <v>4953</v>
      </c>
      <c r="E5115" t="s">
        <v>214</v>
      </c>
    </row>
    <row r="5116" spans="1:5" x14ac:dyDescent="0.25">
      <c r="A5116" t="s">
        <v>3106</v>
      </c>
      <c r="B5116" t="s">
        <v>4967</v>
      </c>
      <c r="C5116" t="s">
        <v>3060</v>
      </c>
      <c r="D5116" t="s">
        <v>4953</v>
      </c>
      <c r="E5116" t="s">
        <v>214</v>
      </c>
    </row>
    <row r="5117" spans="1:5" x14ac:dyDescent="0.25">
      <c r="A5117" t="s">
        <v>3106</v>
      </c>
      <c r="B5117" t="s">
        <v>183</v>
      </c>
      <c r="C5117" t="s">
        <v>3060</v>
      </c>
      <c r="D5117" t="s">
        <v>3060</v>
      </c>
      <c r="E5117" t="s">
        <v>184</v>
      </c>
    </row>
    <row r="5118" spans="1:5" x14ac:dyDescent="0.25">
      <c r="A5118" t="s">
        <v>3107</v>
      </c>
      <c r="B5118" t="s">
        <v>4968</v>
      </c>
      <c r="C5118" t="s">
        <v>3060</v>
      </c>
      <c r="D5118" t="s">
        <v>4969</v>
      </c>
      <c r="E5118" t="s">
        <v>4970</v>
      </c>
    </row>
    <row r="5119" spans="1:5" x14ac:dyDescent="0.25">
      <c r="A5119" t="s">
        <v>3107</v>
      </c>
      <c r="B5119" t="s">
        <v>4971</v>
      </c>
      <c r="C5119" t="s">
        <v>3060</v>
      </c>
      <c r="D5119" t="s">
        <v>4972</v>
      </c>
      <c r="E5119" t="s">
        <v>1096</v>
      </c>
    </row>
    <row r="5120" spans="1:5" x14ac:dyDescent="0.25">
      <c r="A5120" t="s">
        <v>3107</v>
      </c>
      <c r="B5120" t="s">
        <v>4973</v>
      </c>
      <c r="C5120" t="s">
        <v>3060</v>
      </c>
      <c r="D5120" t="s">
        <v>4974</v>
      </c>
      <c r="E5120" t="s">
        <v>988</v>
      </c>
    </row>
    <row r="5121" spans="1:5" x14ac:dyDescent="0.25">
      <c r="A5121" t="s">
        <v>3107</v>
      </c>
      <c r="B5121" t="s">
        <v>4975</v>
      </c>
      <c r="C5121" t="s">
        <v>3060</v>
      </c>
      <c r="D5121" t="s">
        <v>4976</v>
      </c>
      <c r="E5121" t="s">
        <v>970</v>
      </c>
    </row>
    <row r="5122" spans="1:5" x14ac:dyDescent="0.25">
      <c r="A5122" t="s">
        <v>3107</v>
      </c>
      <c r="B5122" t="s">
        <v>4977</v>
      </c>
      <c r="C5122" t="s">
        <v>3060</v>
      </c>
      <c r="D5122" t="s">
        <v>4978</v>
      </c>
      <c r="E5122" t="s">
        <v>4979</v>
      </c>
    </row>
    <row r="5123" spans="1:5" x14ac:dyDescent="0.25">
      <c r="A5123" t="s">
        <v>3107</v>
      </c>
      <c r="B5123" t="s">
        <v>4980</v>
      </c>
      <c r="C5123" t="s">
        <v>3060</v>
      </c>
      <c r="D5123" t="s">
        <v>4981</v>
      </c>
      <c r="E5123" t="s">
        <v>4982</v>
      </c>
    </row>
    <row r="5124" spans="1:5" x14ac:dyDescent="0.25">
      <c r="A5124" t="s">
        <v>3107</v>
      </c>
      <c r="B5124" t="s">
        <v>4983</v>
      </c>
      <c r="C5124" t="s">
        <v>3060</v>
      </c>
      <c r="D5124" t="s">
        <v>4984</v>
      </c>
      <c r="E5124" t="s">
        <v>1575</v>
      </c>
    </row>
    <row r="5125" spans="1:5" x14ac:dyDescent="0.25">
      <c r="A5125" t="s">
        <v>3107</v>
      </c>
      <c r="B5125" t="s">
        <v>4985</v>
      </c>
      <c r="C5125" t="s">
        <v>3060</v>
      </c>
      <c r="D5125" t="s">
        <v>4986</v>
      </c>
      <c r="E5125" t="s">
        <v>978</v>
      </c>
    </row>
    <row r="5126" spans="1:5" x14ac:dyDescent="0.25">
      <c r="A5126" t="s">
        <v>3107</v>
      </c>
      <c r="B5126" t="s">
        <v>4987</v>
      </c>
      <c r="C5126" t="s">
        <v>3060</v>
      </c>
      <c r="D5126" t="s">
        <v>4988</v>
      </c>
      <c r="E5126" t="s">
        <v>1105</v>
      </c>
    </row>
    <row r="5127" spans="1:5" x14ac:dyDescent="0.25">
      <c r="A5127" t="s">
        <v>3107</v>
      </c>
      <c r="B5127" t="s">
        <v>4989</v>
      </c>
      <c r="C5127" t="s">
        <v>3060</v>
      </c>
      <c r="D5127" t="s">
        <v>4990</v>
      </c>
      <c r="E5127" t="s">
        <v>924</v>
      </c>
    </row>
    <row r="5128" spans="1:5" x14ac:dyDescent="0.25">
      <c r="A5128" t="s">
        <v>3107</v>
      </c>
      <c r="B5128" t="s">
        <v>4991</v>
      </c>
      <c r="C5128" t="s">
        <v>3060</v>
      </c>
      <c r="D5128" t="s">
        <v>4992</v>
      </c>
      <c r="E5128" t="s">
        <v>924</v>
      </c>
    </row>
    <row r="5129" spans="1:5" x14ac:dyDescent="0.25">
      <c r="A5129" t="s">
        <v>3107</v>
      </c>
      <c r="B5129" t="s">
        <v>4993</v>
      </c>
      <c r="C5129" t="s">
        <v>3060</v>
      </c>
      <c r="D5129" t="s">
        <v>4994</v>
      </c>
      <c r="E5129" t="s">
        <v>1036</v>
      </c>
    </row>
    <row r="5130" spans="1:5" x14ac:dyDescent="0.25">
      <c r="A5130" t="s">
        <v>3107</v>
      </c>
      <c r="B5130" t="s">
        <v>2678</v>
      </c>
      <c r="C5130" t="s">
        <v>3060</v>
      </c>
      <c r="D5130" t="s">
        <v>4995</v>
      </c>
      <c r="E5130" t="s">
        <v>988</v>
      </c>
    </row>
    <row r="5131" spans="1:5" x14ac:dyDescent="0.25">
      <c r="A5131" t="s">
        <v>3107</v>
      </c>
      <c r="B5131" t="s">
        <v>4996</v>
      </c>
      <c r="C5131" t="s">
        <v>3060</v>
      </c>
      <c r="D5131" t="s">
        <v>4997</v>
      </c>
      <c r="E5131" t="s">
        <v>958</v>
      </c>
    </row>
    <row r="5132" spans="1:5" x14ac:dyDescent="0.25">
      <c r="A5132" t="s">
        <v>3107</v>
      </c>
      <c r="B5132" t="s">
        <v>4998</v>
      </c>
      <c r="C5132" t="s">
        <v>3060</v>
      </c>
      <c r="D5132" t="s">
        <v>4999</v>
      </c>
      <c r="E5132" t="s">
        <v>947</v>
      </c>
    </row>
    <row r="5133" spans="1:5" x14ac:dyDescent="0.25">
      <c r="A5133" t="s">
        <v>3107</v>
      </c>
      <c r="B5133" t="s">
        <v>5000</v>
      </c>
      <c r="C5133" t="s">
        <v>3060</v>
      </c>
      <c r="D5133" t="s">
        <v>5001</v>
      </c>
      <c r="E5133" t="s">
        <v>927</v>
      </c>
    </row>
    <row r="5134" spans="1:5" x14ac:dyDescent="0.25">
      <c r="A5134" t="s">
        <v>3107</v>
      </c>
      <c r="B5134" t="s">
        <v>5002</v>
      </c>
      <c r="C5134" t="s">
        <v>3060</v>
      </c>
      <c r="D5134" t="s">
        <v>5003</v>
      </c>
      <c r="E5134" t="s">
        <v>970</v>
      </c>
    </row>
    <row r="5135" spans="1:5" x14ac:dyDescent="0.25">
      <c r="A5135" t="s">
        <v>3107</v>
      </c>
      <c r="B5135" t="s">
        <v>5004</v>
      </c>
      <c r="C5135" t="s">
        <v>3060</v>
      </c>
      <c r="D5135" t="s">
        <v>5005</v>
      </c>
      <c r="E5135" t="s">
        <v>5006</v>
      </c>
    </row>
    <row r="5136" spans="1:5" x14ac:dyDescent="0.25">
      <c r="A5136" t="s">
        <v>3107</v>
      </c>
      <c r="B5136" t="s">
        <v>5007</v>
      </c>
      <c r="C5136" t="s">
        <v>3060</v>
      </c>
      <c r="D5136" t="s">
        <v>5008</v>
      </c>
      <c r="E5136" t="s">
        <v>5009</v>
      </c>
    </row>
    <row r="5137" spans="1:5" x14ac:dyDescent="0.25">
      <c r="A5137" t="s">
        <v>3107</v>
      </c>
      <c r="B5137" t="s">
        <v>5010</v>
      </c>
      <c r="C5137" t="s">
        <v>3060</v>
      </c>
      <c r="D5137" t="s">
        <v>5011</v>
      </c>
      <c r="E5137" t="s">
        <v>5012</v>
      </c>
    </row>
    <row r="5138" spans="1:5" x14ac:dyDescent="0.25">
      <c r="A5138" t="s">
        <v>3107</v>
      </c>
      <c r="B5138" t="s">
        <v>5013</v>
      </c>
      <c r="C5138" t="s">
        <v>3060</v>
      </c>
      <c r="D5138" t="s">
        <v>5014</v>
      </c>
      <c r="E5138" t="s">
        <v>942</v>
      </c>
    </row>
    <row r="5139" spans="1:5" x14ac:dyDescent="0.25">
      <c r="A5139" t="s">
        <v>3107</v>
      </c>
      <c r="B5139" t="s">
        <v>5015</v>
      </c>
      <c r="C5139" t="s">
        <v>3060</v>
      </c>
      <c r="D5139" t="s">
        <v>5016</v>
      </c>
      <c r="E5139" t="s">
        <v>5017</v>
      </c>
    </row>
    <row r="5140" spans="1:5" x14ac:dyDescent="0.25">
      <c r="A5140" t="s">
        <v>3107</v>
      </c>
      <c r="B5140" t="s">
        <v>5018</v>
      </c>
      <c r="C5140" t="s">
        <v>3060</v>
      </c>
      <c r="D5140" t="s">
        <v>5019</v>
      </c>
      <c r="E5140" t="s">
        <v>993</v>
      </c>
    </row>
    <row r="5141" spans="1:5" x14ac:dyDescent="0.25">
      <c r="A5141" t="s">
        <v>3107</v>
      </c>
      <c r="B5141" t="s">
        <v>5020</v>
      </c>
      <c r="C5141" t="s">
        <v>3060</v>
      </c>
      <c r="D5141" t="s">
        <v>5021</v>
      </c>
      <c r="E5141" t="s">
        <v>5022</v>
      </c>
    </row>
    <row r="5142" spans="1:5" x14ac:dyDescent="0.25">
      <c r="A5142" t="s">
        <v>3107</v>
      </c>
      <c r="B5142" t="s">
        <v>5023</v>
      </c>
      <c r="C5142" t="s">
        <v>3060</v>
      </c>
      <c r="D5142" t="s">
        <v>5024</v>
      </c>
      <c r="E5142" t="s">
        <v>1626</v>
      </c>
    </row>
    <row r="5143" spans="1:5" x14ac:dyDescent="0.25">
      <c r="A5143" t="s">
        <v>3107</v>
      </c>
      <c r="B5143" t="s">
        <v>5025</v>
      </c>
      <c r="C5143" t="s">
        <v>3060</v>
      </c>
      <c r="D5143" t="s">
        <v>5026</v>
      </c>
      <c r="E5143" t="s">
        <v>5027</v>
      </c>
    </row>
    <row r="5144" spans="1:5" x14ac:dyDescent="0.25">
      <c r="A5144" t="s">
        <v>3107</v>
      </c>
      <c r="B5144" t="s">
        <v>5028</v>
      </c>
      <c r="C5144" t="s">
        <v>3060</v>
      </c>
      <c r="D5144" t="s">
        <v>5029</v>
      </c>
      <c r="E5144" t="s">
        <v>5012</v>
      </c>
    </row>
    <row r="5145" spans="1:5" x14ac:dyDescent="0.25">
      <c r="A5145" t="s">
        <v>3107</v>
      </c>
      <c r="B5145" t="s">
        <v>5030</v>
      </c>
      <c r="C5145" t="s">
        <v>3060</v>
      </c>
      <c r="D5145" t="s">
        <v>5031</v>
      </c>
      <c r="E5145" t="s">
        <v>5032</v>
      </c>
    </row>
    <row r="5146" spans="1:5" x14ac:dyDescent="0.25">
      <c r="A5146" t="s">
        <v>3107</v>
      </c>
      <c r="B5146" t="s">
        <v>5033</v>
      </c>
      <c r="C5146" t="s">
        <v>3060</v>
      </c>
      <c r="D5146" t="s">
        <v>5034</v>
      </c>
      <c r="E5146" t="s">
        <v>1615</v>
      </c>
    </row>
    <row r="5147" spans="1:5" x14ac:dyDescent="0.25">
      <c r="A5147" t="s">
        <v>3107</v>
      </c>
      <c r="B5147" t="s">
        <v>5035</v>
      </c>
      <c r="C5147" t="s">
        <v>3060</v>
      </c>
      <c r="D5147" t="s">
        <v>5021</v>
      </c>
      <c r="E5147" t="s">
        <v>5036</v>
      </c>
    </row>
    <row r="5148" spans="1:5" x14ac:dyDescent="0.25">
      <c r="A5148" t="s">
        <v>3107</v>
      </c>
      <c r="B5148" t="s">
        <v>5037</v>
      </c>
      <c r="C5148" t="s">
        <v>3060</v>
      </c>
      <c r="D5148" t="s">
        <v>5038</v>
      </c>
      <c r="E5148" t="s">
        <v>5039</v>
      </c>
    </row>
    <row r="5149" spans="1:5" x14ac:dyDescent="0.25">
      <c r="A5149" t="s">
        <v>3107</v>
      </c>
      <c r="B5149" t="s">
        <v>5040</v>
      </c>
      <c r="C5149" t="s">
        <v>3060</v>
      </c>
      <c r="D5149" t="s">
        <v>5041</v>
      </c>
      <c r="E5149" t="s">
        <v>5042</v>
      </c>
    </row>
    <row r="5150" spans="1:5" x14ac:dyDescent="0.25">
      <c r="A5150" t="s">
        <v>3107</v>
      </c>
      <c r="B5150" t="s">
        <v>5043</v>
      </c>
      <c r="C5150" t="s">
        <v>3060</v>
      </c>
      <c r="D5150" t="s">
        <v>5044</v>
      </c>
      <c r="E5150" t="s">
        <v>1077</v>
      </c>
    </row>
    <row r="5151" spans="1:5" x14ac:dyDescent="0.25">
      <c r="A5151" t="s">
        <v>3107</v>
      </c>
      <c r="B5151" t="s">
        <v>5045</v>
      </c>
      <c r="C5151" t="s">
        <v>3060</v>
      </c>
      <c r="D5151" t="s">
        <v>5046</v>
      </c>
      <c r="E5151" t="s">
        <v>988</v>
      </c>
    </row>
    <row r="5152" spans="1:5" x14ac:dyDescent="0.25">
      <c r="A5152" t="s">
        <v>3107</v>
      </c>
      <c r="B5152" t="s">
        <v>5047</v>
      </c>
      <c r="C5152" t="s">
        <v>3060</v>
      </c>
      <c r="D5152" t="s">
        <v>5048</v>
      </c>
      <c r="E5152" t="s">
        <v>1156</v>
      </c>
    </row>
    <row r="5153" spans="1:5" x14ac:dyDescent="0.25">
      <c r="A5153" t="s">
        <v>3107</v>
      </c>
      <c r="B5153" t="s">
        <v>5049</v>
      </c>
      <c r="C5153" t="s">
        <v>3060</v>
      </c>
      <c r="D5153" t="s">
        <v>5050</v>
      </c>
      <c r="E5153" t="s">
        <v>5006</v>
      </c>
    </row>
    <row r="5154" spans="1:5" x14ac:dyDescent="0.25">
      <c r="A5154" t="s">
        <v>3107</v>
      </c>
      <c r="B5154" t="s">
        <v>5051</v>
      </c>
      <c r="C5154" t="s">
        <v>3060</v>
      </c>
      <c r="D5154" t="s">
        <v>5052</v>
      </c>
      <c r="E5154" t="s">
        <v>1556</v>
      </c>
    </row>
    <row r="5155" spans="1:5" x14ac:dyDescent="0.25">
      <c r="A5155" t="s">
        <v>3107</v>
      </c>
      <c r="B5155" t="s">
        <v>5053</v>
      </c>
      <c r="C5155" t="s">
        <v>3060</v>
      </c>
      <c r="D5155" t="s">
        <v>5054</v>
      </c>
      <c r="E5155" t="s">
        <v>5055</v>
      </c>
    </row>
    <row r="5156" spans="1:5" x14ac:dyDescent="0.25">
      <c r="A5156" t="s">
        <v>3107</v>
      </c>
      <c r="B5156" t="s">
        <v>5056</v>
      </c>
      <c r="C5156" t="s">
        <v>3060</v>
      </c>
      <c r="D5156" t="s">
        <v>5057</v>
      </c>
      <c r="E5156" t="s">
        <v>5058</v>
      </c>
    </row>
    <row r="5157" spans="1:5" x14ac:dyDescent="0.25">
      <c r="A5157" t="s">
        <v>3107</v>
      </c>
      <c r="B5157" t="s">
        <v>4267</v>
      </c>
      <c r="C5157" t="s">
        <v>3060</v>
      </c>
      <c r="D5157" t="s">
        <v>5059</v>
      </c>
      <c r="E5157" t="s">
        <v>1018</v>
      </c>
    </row>
    <row r="5158" spans="1:5" x14ac:dyDescent="0.25">
      <c r="A5158" t="s">
        <v>3107</v>
      </c>
      <c r="B5158" t="s">
        <v>5060</v>
      </c>
      <c r="C5158" t="s">
        <v>3060</v>
      </c>
      <c r="D5158" t="s">
        <v>5061</v>
      </c>
      <c r="E5158" t="s">
        <v>1140</v>
      </c>
    </row>
    <row r="5159" spans="1:5" x14ac:dyDescent="0.25">
      <c r="A5159" t="s">
        <v>3107</v>
      </c>
      <c r="B5159" t="s">
        <v>4281</v>
      </c>
      <c r="C5159" t="s">
        <v>3060</v>
      </c>
      <c r="D5159" t="s">
        <v>5062</v>
      </c>
      <c r="E5159" t="s">
        <v>1021</v>
      </c>
    </row>
    <row r="5160" spans="1:5" x14ac:dyDescent="0.25">
      <c r="A5160" t="s">
        <v>3107</v>
      </c>
      <c r="B5160" t="s">
        <v>2480</v>
      </c>
      <c r="C5160" t="s">
        <v>3060</v>
      </c>
      <c r="D5160" t="s">
        <v>5063</v>
      </c>
      <c r="E5160" t="s">
        <v>975</v>
      </c>
    </row>
    <row r="5161" spans="1:5" x14ac:dyDescent="0.25">
      <c r="A5161" t="s">
        <v>3107</v>
      </c>
      <c r="B5161" t="s">
        <v>5064</v>
      </c>
      <c r="C5161" t="s">
        <v>3060</v>
      </c>
      <c r="D5161" t="s">
        <v>5065</v>
      </c>
      <c r="E5161" t="s">
        <v>1036</v>
      </c>
    </row>
    <row r="5162" spans="1:5" x14ac:dyDescent="0.25">
      <c r="A5162" t="s">
        <v>3107</v>
      </c>
      <c r="B5162" t="s">
        <v>5066</v>
      </c>
      <c r="C5162" t="s">
        <v>3060</v>
      </c>
      <c r="D5162" t="s">
        <v>5067</v>
      </c>
      <c r="E5162" t="s">
        <v>1161</v>
      </c>
    </row>
    <row r="5163" spans="1:5" x14ac:dyDescent="0.25">
      <c r="A5163" t="s">
        <v>3107</v>
      </c>
      <c r="B5163" t="s">
        <v>5068</v>
      </c>
      <c r="C5163" t="s">
        <v>3060</v>
      </c>
      <c r="D5163" t="s">
        <v>5069</v>
      </c>
      <c r="E5163" t="s">
        <v>1105</v>
      </c>
    </row>
    <row r="5164" spans="1:5" x14ac:dyDescent="0.25">
      <c r="A5164" t="s">
        <v>3107</v>
      </c>
      <c r="B5164" t="s">
        <v>5070</v>
      </c>
      <c r="C5164" t="s">
        <v>3060</v>
      </c>
      <c r="D5164" t="s">
        <v>5071</v>
      </c>
      <c r="E5164" t="s">
        <v>1018</v>
      </c>
    </row>
    <row r="5165" spans="1:5" x14ac:dyDescent="0.25">
      <c r="A5165" t="s">
        <v>3107</v>
      </c>
      <c r="B5165" t="s">
        <v>5072</v>
      </c>
      <c r="C5165" t="s">
        <v>3060</v>
      </c>
      <c r="D5165" t="s">
        <v>5073</v>
      </c>
      <c r="E5165" t="s">
        <v>1210</v>
      </c>
    </row>
    <row r="5166" spans="1:5" x14ac:dyDescent="0.25">
      <c r="A5166" t="s">
        <v>3107</v>
      </c>
      <c r="B5166" t="s">
        <v>5074</v>
      </c>
      <c r="C5166" t="s">
        <v>3060</v>
      </c>
      <c r="D5166" t="s">
        <v>5075</v>
      </c>
      <c r="E5166" t="s">
        <v>1161</v>
      </c>
    </row>
    <row r="5167" spans="1:5" x14ac:dyDescent="0.25">
      <c r="A5167" t="s">
        <v>3107</v>
      </c>
      <c r="B5167" t="s">
        <v>5076</v>
      </c>
      <c r="C5167" t="s">
        <v>3060</v>
      </c>
      <c r="D5167" t="s">
        <v>5077</v>
      </c>
      <c r="E5167" t="s">
        <v>1169</v>
      </c>
    </row>
    <row r="5168" spans="1:5" x14ac:dyDescent="0.25">
      <c r="A5168" t="s">
        <v>3107</v>
      </c>
      <c r="B5168" t="s">
        <v>5078</v>
      </c>
      <c r="C5168" t="s">
        <v>3060</v>
      </c>
      <c r="D5168" t="s">
        <v>5079</v>
      </c>
      <c r="E5168" t="s">
        <v>1018</v>
      </c>
    </row>
    <row r="5169" spans="1:5" x14ac:dyDescent="0.25">
      <c r="A5169" t="s">
        <v>3107</v>
      </c>
      <c r="B5169" t="s">
        <v>5080</v>
      </c>
      <c r="C5169" t="s">
        <v>3060</v>
      </c>
      <c r="D5169" t="s">
        <v>5081</v>
      </c>
      <c r="E5169" t="s">
        <v>1096</v>
      </c>
    </row>
    <row r="5170" spans="1:5" x14ac:dyDescent="0.25">
      <c r="A5170" t="s">
        <v>3107</v>
      </c>
      <c r="B5170" t="s">
        <v>5082</v>
      </c>
      <c r="C5170" t="s">
        <v>3060</v>
      </c>
      <c r="D5170" t="s">
        <v>5083</v>
      </c>
      <c r="E5170" t="s">
        <v>1096</v>
      </c>
    </row>
    <row r="5171" spans="1:5" x14ac:dyDescent="0.25">
      <c r="A5171" t="s">
        <v>3107</v>
      </c>
      <c r="B5171" t="s">
        <v>5084</v>
      </c>
      <c r="C5171" t="s">
        <v>3060</v>
      </c>
      <c r="D5171" t="s">
        <v>5085</v>
      </c>
      <c r="E5171" t="s">
        <v>1096</v>
      </c>
    </row>
    <row r="5172" spans="1:5" x14ac:dyDescent="0.25">
      <c r="A5172" t="s">
        <v>3107</v>
      </c>
      <c r="B5172" t="s">
        <v>5086</v>
      </c>
      <c r="C5172" t="s">
        <v>3060</v>
      </c>
      <c r="D5172" t="s">
        <v>5087</v>
      </c>
      <c r="E5172" t="s">
        <v>1096</v>
      </c>
    </row>
    <row r="5173" spans="1:5" x14ac:dyDescent="0.25">
      <c r="A5173" t="s">
        <v>3107</v>
      </c>
      <c r="B5173" t="s">
        <v>5088</v>
      </c>
      <c r="C5173" t="s">
        <v>3060</v>
      </c>
      <c r="D5173" t="s">
        <v>5089</v>
      </c>
      <c r="E5173" t="s">
        <v>1140</v>
      </c>
    </row>
    <row r="5174" spans="1:5" x14ac:dyDescent="0.25">
      <c r="A5174" t="s">
        <v>3107</v>
      </c>
      <c r="B5174" t="s">
        <v>5090</v>
      </c>
      <c r="C5174" t="s">
        <v>3060</v>
      </c>
      <c r="D5174" t="s">
        <v>5091</v>
      </c>
      <c r="E5174" t="s">
        <v>1140</v>
      </c>
    </row>
    <row r="5175" spans="1:5" x14ac:dyDescent="0.25">
      <c r="A5175" t="s">
        <v>3107</v>
      </c>
      <c r="B5175" t="s">
        <v>5092</v>
      </c>
      <c r="C5175" t="s">
        <v>3060</v>
      </c>
      <c r="D5175" t="s">
        <v>5093</v>
      </c>
      <c r="E5175" t="s">
        <v>1140</v>
      </c>
    </row>
    <row r="5176" spans="1:5" x14ac:dyDescent="0.25">
      <c r="A5176" t="s">
        <v>3107</v>
      </c>
      <c r="B5176" t="s">
        <v>5094</v>
      </c>
      <c r="C5176" t="s">
        <v>3060</v>
      </c>
      <c r="D5176" t="s">
        <v>5095</v>
      </c>
      <c r="E5176" t="s">
        <v>1140</v>
      </c>
    </row>
    <row r="5177" spans="1:5" x14ac:dyDescent="0.25">
      <c r="A5177" t="s">
        <v>3107</v>
      </c>
      <c r="B5177" t="s">
        <v>5096</v>
      </c>
      <c r="C5177" t="s">
        <v>3060</v>
      </c>
      <c r="D5177" t="s">
        <v>5097</v>
      </c>
      <c r="E5177" t="s">
        <v>1140</v>
      </c>
    </row>
    <row r="5178" spans="1:5" x14ac:dyDescent="0.25">
      <c r="A5178" t="s">
        <v>3107</v>
      </c>
      <c r="B5178" t="s">
        <v>5098</v>
      </c>
      <c r="C5178" t="s">
        <v>3060</v>
      </c>
      <c r="D5178" t="s">
        <v>5099</v>
      </c>
      <c r="E5178" t="s">
        <v>939</v>
      </c>
    </row>
    <row r="5179" spans="1:5" x14ac:dyDescent="0.25">
      <c r="A5179" t="s">
        <v>3107</v>
      </c>
      <c r="B5179" t="s">
        <v>5100</v>
      </c>
      <c r="C5179" t="s">
        <v>3060</v>
      </c>
      <c r="D5179" t="s">
        <v>5101</v>
      </c>
      <c r="E5179" t="s">
        <v>939</v>
      </c>
    </row>
    <row r="5180" spans="1:5" x14ac:dyDescent="0.25">
      <c r="A5180" t="s">
        <v>3107</v>
      </c>
      <c r="B5180" t="s">
        <v>5102</v>
      </c>
      <c r="C5180" t="s">
        <v>3060</v>
      </c>
      <c r="D5180" t="s">
        <v>5103</v>
      </c>
      <c r="E5180" t="s">
        <v>939</v>
      </c>
    </row>
    <row r="5181" spans="1:5" x14ac:dyDescent="0.25">
      <c r="A5181" t="s">
        <v>3107</v>
      </c>
      <c r="B5181" t="s">
        <v>5104</v>
      </c>
      <c r="C5181" t="s">
        <v>3060</v>
      </c>
      <c r="D5181" t="s">
        <v>5105</v>
      </c>
      <c r="E5181" t="s">
        <v>939</v>
      </c>
    </row>
    <row r="5182" spans="1:5" x14ac:dyDescent="0.25">
      <c r="A5182" t="s">
        <v>3107</v>
      </c>
      <c r="B5182" t="s">
        <v>5106</v>
      </c>
      <c r="C5182" t="s">
        <v>3060</v>
      </c>
      <c r="D5182" t="s">
        <v>5107</v>
      </c>
      <c r="E5182" t="s">
        <v>939</v>
      </c>
    </row>
    <row r="5183" spans="1:5" x14ac:dyDescent="0.25">
      <c r="A5183" t="s">
        <v>3107</v>
      </c>
      <c r="B5183" t="s">
        <v>5108</v>
      </c>
      <c r="C5183" t="s">
        <v>3060</v>
      </c>
      <c r="D5183" t="s">
        <v>5109</v>
      </c>
      <c r="E5183" t="s">
        <v>975</v>
      </c>
    </row>
    <row r="5184" spans="1:5" x14ac:dyDescent="0.25">
      <c r="A5184" t="s">
        <v>3107</v>
      </c>
      <c r="B5184" t="s">
        <v>5110</v>
      </c>
      <c r="C5184" t="s">
        <v>3060</v>
      </c>
      <c r="D5184" t="s">
        <v>5111</v>
      </c>
      <c r="E5184" t="s">
        <v>975</v>
      </c>
    </row>
    <row r="5185" spans="1:5" x14ac:dyDescent="0.25">
      <c r="A5185" t="s">
        <v>3107</v>
      </c>
      <c r="B5185" t="s">
        <v>5112</v>
      </c>
      <c r="C5185" t="s">
        <v>3060</v>
      </c>
      <c r="D5185" t="s">
        <v>5113</v>
      </c>
      <c r="E5185" t="s">
        <v>975</v>
      </c>
    </row>
    <row r="5186" spans="1:5" x14ac:dyDescent="0.25">
      <c r="A5186" t="s">
        <v>3107</v>
      </c>
      <c r="B5186" t="s">
        <v>5114</v>
      </c>
      <c r="C5186" t="s">
        <v>3060</v>
      </c>
      <c r="D5186" t="s">
        <v>5115</v>
      </c>
      <c r="E5186" t="s">
        <v>975</v>
      </c>
    </row>
    <row r="5187" spans="1:5" x14ac:dyDescent="0.25">
      <c r="A5187" t="s">
        <v>3107</v>
      </c>
      <c r="B5187" t="s">
        <v>5116</v>
      </c>
      <c r="C5187" t="s">
        <v>3060</v>
      </c>
      <c r="D5187" t="s">
        <v>5081</v>
      </c>
      <c r="E5187" t="s">
        <v>927</v>
      </c>
    </row>
    <row r="5188" spans="1:5" x14ac:dyDescent="0.25">
      <c r="A5188" t="s">
        <v>3107</v>
      </c>
      <c r="B5188" t="s">
        <v>5117</v>
      </c>
      <c r="C5188" t="s">
        <v>3060</v>
      </c>
      <c r="D5188" t="s">
        <v>5083</v>
      </c>
      <c r="E5188" t="s">
        <v>927</v>
      </c>
    </row>
    <row r="5189" spans="1:5" x14ac:dyDescent="0.25">
      <c r="A5189" t="s">
        <v>3107</v>
      </c>
      <c r="B5189" t="s">
        <v>5118</v>
      </c>
      <c r="C5189" t="s">
        <v>3060</v>
      </c>
      <c r="D5189" t="s">
        <v>5085</v>
      </c>
      <c r="E5189" t="s">
        <v>927</v>
      </c>
    </row>
    <row r="5190" spans="1:5" x14ac:dyDescent="0.25">
      <c r="A5190" t="s">
        <v>3107</v>
      </c>
      <c r="B5190" t="s">
        <v>5119</v>
      </c>
      <c r="C5190" t="s">
        <v>3060</v>
      </c>
      <c r="D5190" t="s">
        <v>5087</v>
      </c>
      <c r="E5190" t="s">
        <v>927</v>
      </c>
    </row>
    <row r="5191" spans="1:5" x14ac:dyDescent="0.25">
      <c r="A5191" t="s">
        <v>3107</v>
      </c>
      <c r="B5191" t="s">
        <v>5120</v>
      </c>
      <c r="C5191" t="s">
        <v>3060</v>
      </c>
      <c r="D5191" t="s">
        <v>5089</v>
      </c>
      <c r="E5191" t="s">
        <v>1033</v>
      </c>
    </row>
    <row r="5192" spans="1:5" x14ac:dyDescent="0.25">
      <c r="A5192" t="s">
        <v>3107</v>
      </c>
      <c r="B5192" t="s">
        <v>5121</v>
      </c>
      <c r="C5192" t="s">
        <v>3060</v>
      </c>
      <c r="D5192" t="s">
        <v>5091</v>
      </c>
      <c r="E5192" t="s">
        <v>1033</v>
      </c>
    </row>
    <row r="5193" spans="1:5" x14ac:dyDescent="0.25">
      <c r="A5193" t="s">
        <v>3107</v>
      </c>
      <c r="B5193" t="s">
        <v>5122</v>
      </c>
      <c r="C5193" t="s">
        <v>3060</v>
      </c>
      <c r="D5193" t="s">
        <v>5093</v>
      </c>
      <c r="E5193" t="s">
        <v>1033</v>
      </c>
    </row>
    <row r="5194" spans="1:5" x14ac:dyDescent="0.25">
      <c r="A5194" t="s">
        <v>3107</v>
      </c>
      <c r="B5194" t="s">
        <v>5123</v>
      </c>
      <c r="C5194" t="s">
        <v>3060</v>
      </c>
      <c r="D5194" t="s">
        <v>5095</v>
      </c>
      <c r="E5194" t="s">
        <v>1033</v>
      </c>
    </row>
    <row r="5195" spans="1:5" x14ac:dyDescent="0.25">
      <c r="A5195" t="s">
        <v>3107</v>
      </c>
      <c r="B5195" t="s">
        <v>5124</v>
      </c>
      <c r="C5195" t="s">
        <v>3060</v>
      </c>
      <c r="D5195" t="s">
        <v>5097</v>
      </c>
      <c r="E5195" t="s">
        <v>1033</v>
      </c>
    </row>
    <row r="5196" spans="1:5" x14ac:dyDescent="0.25">
      <c r="A5196" t="s">
        <v>3107</v>
      </c>
      <c r="B5196" t="s">
        <v>5125</v>
      </c>
      <c r="C5196" t="s">
        <v>3060</v>
      </c>
      <c r="D5196" t="s">
        <v>5099</v>
      </c>
      <c r="E5196" t="s">
        <v>1560</v>
      </c>
    </row>
    <row r="5197" spans="1:5" x14ac:dyDescent="0.25">
      <c r="A5197" t="s">
        <v>3107</v>
      </c>
      <c r="B5197" t="s">
        <v>5126</v>
      </c>
      <c r="C5197" t="s">
        <v>3060</v>
      </c>
      <c r="D5197" t="s">
        <v>5101</v>
      </c>
      <c r="E5197" t="s">
        <v>1560</v>
      </c>
    </row>
    <row r="5198" spans="1:5" x14ac:dyDescent="0.25">
      <c r="A5198" t="s">
        <v>3107</v>
      </c>
      <c r="B5198" t="s">
        <v>5127</v>
      </c>
      <c r="C5198" t="s">
        <v>3060</v>
      </c>
      <c r="D5198" t="s">
        <v>5103</v>
      </c>
      <c r="E5198" t="s">
        <v>1560</v>
      </c>
    </row>
    <row r="5199" spans="1:5" x14ac:dyDescent="0.25">
      <c r="A5199" t="s">
        <v>3107</v>
      </c>
      <c r="B5199" t="s">
        <v>5128</v>
      </c>
      <c r="C5199" t="s">
        <v>3060</v>
      </c>
      <c r="D5199" t="s">
        <v>5105</v>
      </c>
      <c r="E5199" t="s">
        <v>1560</v>
      </c>
    </row>
    <row r="5200" spans="1:5" x14ac:dyDescent="0.25">
      <c r="A5200" t="s">
        <v>3107</v>
      </c>
      <c r="B5200" t="s">
        <v>5129</v>
      </c>
      <c r="C5200" t="s">
        <v>3060</v>
      </c>
      <c r="D5200" t="s">
        <v>5107</v>
      </c>
      <c r="E5200" t="s">
        <v>1560</v>
      </c>
    </row>
    <row r="5201" spans="1:5" x14ac:dyDescent="0.25">
      <c r="A5201" t="s">
        <v>3107</v>
      </c>
      <c r="B5201" t="s">
        <v>5130</v>
      </c>
      <c r="C5201" t="s">
        <v>3060</v>
      </c>
      <c r="D5201" t="s">
        <v>5109</v>
      </c>
      <c r="E5201" t="s">
        <v>1609</v>
      </c>
    </row>
    <row r="5202" spans="1:5" x14ac:dyDescent="0.25">
      <c r="A5202" t="s">
        <v>3107</v>
      </c>
      <c r="B5202" t="s">
        <v>5131</v>
      </c>
      <c r="C5202" t="s">
        <v>3060</v>
      </c>
      <c r="D5202" t="s">
        <v>5111</v>
      </c>
      <c r="E5202" t="s">
        <v>1609</v>
      </c>
    </row>
    <row r="5203" spans="1:5" x14ac:dyDescent="0.25">
      <c r="A5203" t="s">
        <v>3107</v>
      </c>
      <c r="B5203" t="s">
        <v>5132</v>
      </c>
      <c r="C5203" t="s">
        <v>3060</v>
      </c>
      <c r="D5203" t="s">
        <v>5113</v>
      </c>
      <c r="E5203" t="s">
        <v>1609</v>
      </c>
    </row>
    <row r="5204" spans="1:5" x14ac:dyDescent="0.25">
      <c r="A5204" t="s">
        <v>3107</v>
      </c>
      <c r="B5204" t="s">
        <v>5133</v>
      </c>
      <c r="C5204" t="s">
        <v>3060</v>
      </c>
      <c r="D5204" t="s">
        <v>5115</v>
      </c>
      <c r="E5204" t="s">
        <v>1609</v>
      </c>
    </row>
    <row r="5205" spans="1:5" x14ac:dyDescent="0.25">
      <c r="A5205" t="s">
        <v>3107</v>
      </c>
      <c r="B5205" t="s">
        <v>5134</v>
      </c>
      <c r="C5205" t="s">
        <v>3060</v>
      </c>
      <c r="D5205" t="s">
        <v>5081</v>
      </c>
      <c r="E5205" t="s">
        <v>1086</v>
      </c>
    </row>
    <row r="5206" spans="1:5" x14ac:dyDescent="0.25">
      <c r="A5206" t="s">
        <v>3107</v>
      </c>
      <c r="B5206" t="s">
        <v>5135</v>
      </c>
      <c r="C5206" t="s">
        <v>3060</v>
      </c>
      <c r="D5206" t="s">
        <v>5083</v>
      </c>
      <c r="E5206" t="s">
        <v>1086</v>
      </c>
    </row>
    <row r="5207" spans="1:5" x14ac:dyDescent="0.25">
      <c r="A5207" t="s">
        <v>3107</v>
      </c>
      <c r="B5207" t="s">
        <v>5136</v>
      </c>
      <c r="C5207" t="s">
        <v>3060</v>
      </c>
      <c r="D5207" t="s">
        <v>5087</v>
      </c>
      <c r="E5207" t="s">
        <v>1086</v>
      </c>
    </row>
    <row r="5208" spans="1:5" x14ac:dyDescent="0.25">
      <c r="A5208" t="s">
        <v>3107</v>
      </c>
      <c r="B5208" t="s">
        <v>5137</v>
      </c>
      <c r="C5208" t="s">
        <v>3060</v>
      </c>
      <c r="D5208" t="s">
        <v>5085</v>
      </c>
      <c r="E5208" t="s">
        <v>1086</v>
      </c>
    </row>
    <row r="5209" spans="1:5" x14ac:dyDescent="0.25">
      <c r="A5209" t="s">
        <v>3107</v>
      </c>
      <c r="B5209" t="s">
        <v>5138</v>
      </c>
      <c r="C5209" t="s">
        <v>3060</v>
      </c>
      <c r="D5209" t="s">
        <v>5089</v>
      </c>
      <c r="E5209" t="s">
        <v>1013</v>
      </c>
    </row>
    <row r="5210" spans="1:5" x14ac:dyDescent="0.25">
      <c r="A5210" t="s">
        <v>3107</v>
      </c>
      <c r="B5210" t="s">
        <v>5139</v>
      </c>
      <c r="C5210" t="s">
        <v>3060</v>
      </c>
      <c r="D5210" t="s">
        <v>5091</v>
      </c>
      <c r="E5210" t="s">
        <v>1013</v>
      </c>
    </row>
    <row r="5211" spans="1:5" x14ac:dyDescent="0.25">
      <c r="A5211" t="s">
        <v>3107</v>
      </c>
      <c r="B5211" t="s">
        <v>5140</v>
      </c>
      <c r="C5211" t="s">
        <v>3060</v>
      </c>
      <c r="D5211" t="s">
        <v>5093</v>
      </c>
      <c r="E5211" t="s">
        <v>1013</v>
      </c>
    </row>
    <row r="5212" spans="1:5" x14ac:dyDescent="0.25">
      <c r="A5212" t="s">
        <v>3107</v>
      </c>
      <c r="B5212" t="s">
        <v>5141</v>
      </c>
      <c r="C5212" t="s">
        <v>3060</v>
      </c>
      <c r="D5212" t="s">
        <v>5095</v>
      </c>
      <c r="E5212" t="s">
        <v>1013</v>
      </c>
    </row>
    <row r="5213" spans="1:5" x14ac:dyDescent="0.25">
      <c r="A5213" t="s">
        <v>3107</v>
      </c>
      <c r="B5213" t="s">
        <v>5142</v>
      </c>
      <c r="C5213" t="s">
        <v>3060</v>
      </c>
      <c r="D5213" t="s">
        <v>5097</v>
      </c>
      <c r="E5213" t="s">
        <v>1013</v>
      </c>
    </row>
    <row r="5214" spans="1:5" x14ac:dyDescent="0.25">
      <c r="A5214" t="s">
        <v>3107</v>
      </c>
      <c r="B5214" t="s">
        <v>5143</v>
      </c>
      <c r="C5214" t="s">
        <v>3060</v>
      </c>
      <c r="D5214" t="s">
        <v>5099</v>
      </c>
      <c r="E5214" t="s">
        <v>1077</v>
      </c>
    </row>
    <row r="5215" spans="1:5" x14ac:dyDescent="0.25">
      <c r="A5215" t="s">
        <v>3107</v>
      </c>
      <c r="B5215" t="s">
        <v>5144</v>
      </c>
      <c r="C5215" t="s">
        <v>3060</v>
      </c>
      <c r="D5215" t="s">
        <v>5101</v>
      </c>
      <c r="E5215" t="s">
        <v>1077</v>
      </c>
    </row>
    <row r="5216" spans="1:5" x14ac:dyDescent="0.25">
      <c r="A5216" t="s">
        <v>3107</v>
      </c>
      <c r="B5216" t="s">
        <v>5145</v>
      </c>
      <c r="C5216" t="s">
        <v>3060</v>
      </c>
      <c r="D5216" t="s">
        <v>5103</v>
      </c>
      <c r="E5216" t="s">
        <v>1077</v>
      </c>
    </row>
    <row r="5217" spans="1:5" x14ac:dyDescent="0.25">
      <c r="A5217" t="s">
        <v>3107</v>
      </c>
      <c r="B5217" t="s">
        <v>5146</v>
      </c>
      <c r="C5217" t="s">
        <v>3060</v>
      </c>
      <c r="D5217" t="s">
        <v>5105</v>
      </c>
      <c r="E5217" t="s">
        <v>1077</v>
      </c>
    </row>
    <row r="5218" spans="1:5" x14ac:dyDescent="0.25">
      <c r="A5218" t="s">
        <v>3107</v>
      </c>
      <c r="B5218" t="s">
        <v>5147</v>
      </c>
      <c r="C5218" t="s">
        <v>3060</v>
      </c>
      <c r="D5218" t="s">
        <v>5148</v>
      </c>
      <c r="E5218" t="s">
        <v>1077</v>
      </c>
    </row>
    <row r="5219" spans="1:5" x14ac:dyDescent="0.25">
      <c r="A5219" t="s">
        <v>3107</v>
      </c>
      <c r="B5219" t="s">
        <v>5149</v>
      </c>
      <c r="C5219" t="s">
        <v>3060</v>
      </c>
      <c r="D5219" t="s">
        <v>5109</v>
      </c>
      <c r="E5219" t="s">
        <v>1021</v>
      </c>
    </row>
    <row r="5220" spans="1:5" x14ac:dyDescent="0.25">
      <c r="A5220" t="s">
        <v>3107</v>
      </c>
      <c r="B5220" t="s">
        <v>5150</v>
      </c>
      <c r="C5220" t="s">
        <v>3060</v>
      </c>
      <c r="D5220" t="s">
        <v>5111</v>
      </c>
      <c r="E5220" t="s">
        <v>1021</v>
      </c>
    </row>
    <row r="5221" spans="1:5" x14ac:dyDescent="0.25">
      <c r="A5221" t="s">
        <v>3107</v>
      </c>
      <c r="B5221" t="s">
        <v>5151</v>
      </c>
      <c r="C5221" t="s">
        <v>3060</v>
      </c>
      <c r="D5221" t="s">
        <v>5113</v>
      </c>
      <c r="E5221" t="s">
        <v>1021</v>
      </c>
    </row>
    <row r="5222" spans="1:5" x14ac:dyDescent="0.25">
      <c r="A5222" t="s">
        <v>3107</v>
      </c>
      <c r="B5222" t="s">
        <v>5152</v>
      </c>
      <c r="C5222" t="s">
        <v>3060</v>
      </c>
      <c r="D5222" t="s">
        <v>5115</v>
      </c>
      <c r="E5222" t="s">
        <v>1021</v>
      </c>
    </row>
    <row r="5223" spans="1:5" x14ac:dyDescent="0.25">
      <c r="A5223" t="s">
        <v>3107</v>
      </c>
      <c r="B5223" t="s">
        <v>5153</v>
      </c>
      <c r="C5223" t="s">
        <v>3060</v>
      </c>
      <c r="D5223" t="s">
        <v>3060</v>
      </c>
      <c r="E5223" t="s">
        <v>1252</v>
      </c>
    </row>
    <row r="5224" spans="1:5" x14ac:dyDescent="0.25">
      <c r="A5224" t="s">
        <v>3107</v>
      </c>
      <c r="B5224" t="s">
        <v>1763</v>
      </c>
      <c r="C5224" t="s">
        <v>3060</v>
      </c>
      <c r="D5224" t="s">
        <v>3060</v>
      </c>
      <c r="E5224" t="s">
        <v>1216</v>
      </c>
    </row>
    <row r="5225" spans="1:5" x14ac:dyDescent="0.25">
      <c r="A5225" t="s">
        <v>3107</v>
      </c>
      <c r="B5225" t="s">
        <v>1771</v>
      </c>
      <c r="C5225" t="s">
        <v>3060</v>
      </c>
      <c r="D5225" t="s">
        <v>3060</v>
      </c>
      <c r="E5225" t="s">
        <v>1207</v>
      </c>
    </row>
    <row r="5226" spans="1:5" x14ac:dyDescent="0.25">
      <c r="A5226" t="s">
        <v>3107</v>
      </c>
      <c r="B5226" t="s">
        <v>5154</v>
      </c>
      <c r="C5226" t="s">
        <v>3060</v>
      </c>
      <c r="D5226" t="s">
        <v>5155</v>
      </c>
      <c r="E5226" t="s">
        <v>1219</v>
      </c>
    </row>
    <row r="5227" spans="1:5" x14ac:dyDescent="0.25">
      <c r="A5227" t="s">
        <v>3107</v>
      </c>
      <c r="B5227" t="s">
        <v>5156</v>
      </c>
      <c r="C5227" t="s">
        <v>3060</v>
      </c>
      <c r="D5227" t="s">
        <v>5155</v>
      </c>
      <c r="E5227" t="s">
        <v>1219</v>
      </c>
    </row>
    <row r="5228" spans="1:5" x14ac:dyDescent="0.25">
      <c r="A5228" t="s">
        <v>3107</v>
      </c>
      <c r="B5228" t="s">
        <v>5157</v>
      </c>
      <c r="C5228" t="s">
        <v>3060</v>
      </c>
      <c r="D5228" t="s">
        <v>3060</v>
      </c>
      <c r="E5228" t="s">
        <v>1254</v>
      </c>
    </row>
    <row r="5229" spans="1:5" x14ac:dyDescent="0.25">
      <c r="A5229" t="s">
        <v>3107</v>
      </c>
      <c r="B5229" t="s">
        <v>2165</v>
      </c>
      <c r="C5229" t="s">
        <v>3060</v>
      </c>
      <c r="D5229" t="s">
        <v>3060</v>
      </c>
      <c r="E5229" t="s">
        <v>1216</v>
      </c>
    </row>
    <row r="5230" spans="1:5" x14ac:dyDescent="0.25">
      <c r="A5230" t="s">
        <v>3107</v>
      </c>
      <c r="B5230" t="s">
        <v>1410</v>
      </c>
      <c r="C5230" t="s">
        <v>3060</v>
      </c>
      <c r="D5230" t="s">
        <v>3060</v>
      </c>
      <c r="E5230" t="s">
        <v>1219</v>
      </c>
    </row>
    <row r="5231" spans="1:5" x14ac:dyDescent="0.25">
      <c r="A5231" t="s">
        <v>3107</v>
      </c>
      <c r="B5231" t="s">
        <v>5158</v>
      </c>
      <c r="C5231" t="s">
        <v>3060</v>
      </c>
      <c r="D5231" t="s">
        <v>3060</v>
      </c>
      <c r="E5231" t="s">
        <v>1219</v>
      </c>
    </row>
    <row r="5232" spans="1:5" x14ac:dyDescent="0.25">
      <c r="A5232" t="s">
        <v>3107</v>
      </c>
      <c r="B5232" t="s">
        <v>5159</v>
      </c>
      <c r="C5232" t="s">
        <v>3060</v>
      </c>
      <c r="D5232" t="s">
        <v>3060</v>
      </c>
      <c r="E5232" t="s">
        <v>1217</v>
      </c>
    </row>
    <row r="5233" spans="1:5" x14ac:dyDescent="0.25">
      <c r="A5233" t="s">
        <v>3107</v>
      </c>
      <c r="B5233" t="s">
        <v>5160</v>
      </c>
      <c r="C5233" t="s">
        <v>3060</v>
      </c>
      <c r="D5233" t="s">
        <v>5161</v>
      </c>
      <c r="E5233" t="s">
        <v>1216</v>
      </c>
    </row>
    <row r="5234" spans="1:5" x14ac:dyDescent="0.25">
      <c r="A5234" t="s">
        <v>3107</v>
      </c>
      <c r="B5234" t="s">
        <v>5162</v>
      </c>
      <c r="C5234" t="s">
        <v>3060</v>
      </c>
      <c r="D5234" t="s">
        <v>3060</v>
      </c>
      <c r="E5234" t="s">
        <v>1201</v>
      </c>
    </row>
    <row r="5235" spans="1:5" x14ac:dyDescent="0.25">
      <c r="A5235" t="s">
        <v>3107</v>
      </c>
      <c r="B5235" t="s">
        <v>5163</v>
      </c>
      <c r="C5235" t="s">
        <v>3060</v>
      </c>
      <c r="D5235" t="s">
        <v>5164</v>
      </c>
      <c r="E5235" t="s">
        <v>1210</v>
      </c>
    </row>
    <row r="5236" spans="1:5" x14ac:dyDescent="0.25">
      <c r="A5236" t="s">
        <v>3107</v>
      </c>
      <c r="B5236" t="s">
        <v>5165</v>
      </c>
      <c r="C5236" t="s">
        <v>3060</v>
      </c>
      <c r="D5236" t="s">
        <v>5166</v>
      </c>
      <c r="E5236" t="s">
        <v>1201</v>
      </c>
    </row>
    <row r="5237" spans="1:5" x14ac:dyDescent="0.25">
      <c r="A5237" t="s">
        <v>3107</v>
      </c>
      <c r="B5237" t="s">
        <v>4437</v>
      </c>
      <c r="C5237" t="s">
        <v>3060</v>
      </c>
      <c r="D5237" t="s">
        <v>5167</v>
      </c>
      <c r="E5237" t="s">
        <v>1059</v>
      </c>
    </row>
    <row r="5238" spans="1:5" x14ac:dyDescent="0.25">
      <c r="A5238" t="s">
        <v>3107</v>
      </c>
      <c r="B5238" t="s">
        <v>5168</v>
      </c>
      <c r="C5238" t="s">
        <v>3060</v>
      </c>
      <c r="D5238" t="s">
        <v>5169</v>
      </c>
      <c r="E5238" t="s">
        <v>1096</v>
      </c>
    </row>
    <row r="5239" spans="1:5" x14ac:dyDescent="0.25">
      <c r="A5239" t="s">
        <v>3107</v>
      </c>
      <c r="B5239" t="s">
        <v>5170</v>
      </c>
      <c r="C5239" t="s">
        <v>3060</v>
      </c>
      <c r="D5239" t="s">
        <v>5171</v>
      </c>
      <c r="E5239" t="s">
        <v>1096</v>
      </c>
    </row>
    <row r="5240" spans="1:5" x14ac:dyDescent="0.25">
      <c r="A5240" t="s">
        <v>3107</v>
      </c>
      <c r="B5240" t="s">
        <v>5172</v>
      </c>
      <c r="C5240" t="s">
        <v>3060</v>
      </c>
      <c r="D5240" t="s">
        <v>3060</v>
      </c>
      <c r="E5240" t="s">
        <v>1343</v>
      </c>
    </row>
    <row r="5241" spans="1:5" x14ac:dyDescent="0.25">
      <c r="A5241" t="s">
        <v>3107</v>
      </c>
      <c r="B5241" t="s">
        <v>4479</v>
      </c>
      <c r="C5241" t="s">
        <v>3060</v>
      </c>
      <c r="D5241" t="s">
        <v>3060</v>
      </c>
      <c r="E5241" t="s">
        <v>1207</v>
      </c>
    </row>
    <row r="5242" spans="1:5" x14ac:dyDescent="0.25">
      <c r="A5242" t="s">
        <v>3107</v>
      </c>
      <c r="B5242" t="s">
        <v>5173</v>
      </c>
      <c r="C5242" t="s">
        <v>3060</v>
      </c>
      <c r="D5242" t="s">
        <v>3060</v>
      </c>
      <c r="E5242" t="s">
        <v>1166</v>
      </c>
    </row>
    <row r="5243" spans="1:5" x14ac:dyDescent="0.25">
      <c r="A5243" t="s">
        <v>3107</v>
      </c>
      <c r="B5243" t="s">
        <v>643</v>
      </c>
      <c r="C5243" t="s">
        <v>3060</v>
      </c>
      <c r="D5243" t="s">
        <v>3060</v>
      </c>
      <c r="E5243" t="s">
        <v>1216</v>
      </c>
    </row>
    <row r="5244" spans="1:5" x14ac:dyDescent="0.25">
      <c r="A5244" t="s">
        <v>3107</v>
      </c>
      <c r="B5244" t="s">
        <v>876</v>
      </c>
      <c r="C5244" t="s">
        <v>3060</v>
      </c>
      <c r="D5244" t="s">
        <v>3060</v>
      </c>
      <c r="E5244" t="s">
        <v>1216</v>
      </c>
    </row>
    <row r="5245" spans="1:5" x14ac:dyDescent="0.25">
      <c r="A5245" t="s">
        <v>3107</v>
      </c>
      <c r="B5245" t="s">
        <v>230</v>
      </c>
      <c r="C5245" t="s">
        <v>3060</v>
      </c>
      <c r="D5245" t="s">
        <v>3060</v>
      </c>
      <c r="E5245" t="s">
        <v>1216</v>
      </c>
    </row>
    <row r="5246" spans="1:5" x14ac:dyDescent="0.25">
      <c r="A5246" t="s">
        <v>3107</v>
      </c>
      <c r="B5246" t="s">
        <v>1819</v>
      </c>
      <c r="C5246" t="s">
        <v>3060</v>
      </c>
      <c r="D5246" t="s">
        <v>3060</v>
      </c>
      <c r="E5246" t="s">
        <v>1216</v>
      </c>
    </row>
    <row r="5247" spans="1:5" x14ac:dyDescent="0.25">
      <c r="A5247" t="s">
        <v>3107</v>
      </c>
      <c r="B5247" t="s">
        <v>5174</v>
      </c>
      <c r="C5247" t="s">
        <v>3060</v>
      </c>
      <c r="D5247" t="s">
        <v>3060</v>
      </c>
      <c r="E5247" t="s">
        <v>1216</v>
      </c>
    </row>
    <row r="5248" spans="1:5" x14ac:dyDescent="0.25">
      <c r="A5248" t="s">
        <v>3107</v>
      </c>
      <c r="B5248" t="s">
        <v>1816</v>
      </c>
      <c r="C5248" t="s">
        <v>3060</v>
      </c>
      <c r="D5248" t="s">
        <v>3060</v>
      </c>
      <c r="E5248" t="s">
        <v>1216</v>
      </c>
    </row>
    <row r="5249" spans="1:5" x14ac:dyDescent="0.25">
      <c r="A5249" t="s">
        <v>3107</v>
      </c>
      <c r="B5249" t="s">
        <v>1817</v>
      </c>
      <c r="C5249" t="s">
        <v>3060</v>
      </c>
      <c r="D5249" t="s">
        <v>3060</v>
      </c>
      <c r="E5249" t="s">
        <v>1216</v>
      </c>
    </row>
    <row r="5250" spans="1:5" x14ac:dyDescent="0.25">
      <c r="A5250" t="s">
        <v>3107</v>
      </c>
      <c r="B5250" t="s">
        <v>1818</v>
      </c>
      <c r="C5250" t="s">
        <v>3060</v>
      </c>
      <c r="D5250" t="s">
        <v>3060</v>
      </c>
      <c r="E5250" t="s">
        <v>1216</v>
      </c>
    </row>
    <row r="5251" spans="1:5" x14ac:dyDescent="0.25">
      <c r="A5251" t="s">
        <v>3107</v>
      </c>
      <c r="B5251" t="s">
        <v>1250</v>
      </c>
      <c r="C5251" t="s">
        <v>3060</v>
      </c>
      <c r="D5251" t="s">
        <v>3060</v>
      </c>
      <c r="E5251" t="s">
        <v>1216</v>
      </c>
    </row>
    <row r="5252" spans="1:5" x14ac:dyDescent="0.25">
      <c r="A5252" t="s">
        <v>3107</v>
      </c>
      <c r="B5252" t="s">
        <v>1474</v>
      </c>
      <c r="C5252" t="s">
        <v>3060</v>
      </c>
      <c r="D5252" t="s">
        <v>3060</v>
      </c>
      <c r="E5252" t="s">
        <v>1214</v>
      </c>
    </row>
    <row r="5253" spans="1:5" x14ac:dyDescent="0.25">
      <c r="A5253" t="s">
        <v>3107</v>
      </c>
      <c r="B5253" t="s">
        <v>5175</v>
      </c>
      <c r="C5253" t="s">
        <v>3060</v>
      </c>
      <c r="D5253" t="s">
        <v>3060</v>
      </c>
      <c r="E5253" t="s">
        <v>1263</v>
      </c>
    </row>
    <row r="5254" spans="1:5" x14ac:dyDescent="0.25">
      <c r="A5254" t="s">
        <v>3107</v>
      </c>
      <c r="B5254" t="s">
        <v>2020</v>
      </c>
      <c r="C5254" t="s">
        <v>3060</v>
      </c>
      <c r="D5254" t="s">
        <v>3060</v>
      </c>
      <c r="E5254" t="s">
        <v>1263</v>
      </c>
    </row>
    <row r="5255" spans="1:5" x14ac:dyDescent="0.25">
      <c r="A5255" t="s">
        <v>3107</v>
      </c>
      <c r="B5255" t="s">
        <v>1264</v>
      </c>
      <c r="C5255" t="s">
        <v>3060</v>
      </c>
      <c r="D5255" t="s">
        <v>3060</v>
      </c>
      <c r="E5255" t="s">
        <v>1219</v>
      </c>
    </row>
    <row r="5256" spans="1:5" x14ac:dyDescent="0.25">
      <c r="A5256" t="s">
        <v>3107</v>
      </c>
      <c r="B5256" t="s">
        <v>2167</v>
      </c>
      <c r="C5256" t="s">
        <v>3060</v>
      </c>
      <c r="D5256" t="s">
        <v>3060</v>
      </c>
      <c r="E5256" t="s">
        <v>1219</v>
      </c>
    </row>
    <row r="5257" spans="1:5" x14ac:dyDescent="0.25">
      <c r="A5257" t="s">
        <v>3107</v>
      </c>
      <c r="B5257" t="s">
        <v>327</v>
      </c>
      <c r="C5257" t="s">
        <v>3060</v>
      </c>
      <c r="D5257" t="s">
        <v>3060</v>
      </c>
      <c r="E5257" t="s">
        <v>1219</v>
      </c>
    </row>
    <row r="5258" spans="1:5" x14ac:dyDescent="0.25">
      <c r="A5258" t="s">
        <v>3107</v>
      </c>
      <c r="B5258" t="s">
        <v>1267</v>
      </c>
      <c r="C5258" t="s">
        <v>3060</v>
      </c>
      <c r="D5258" t="s">
        <v>3060</v>
      </c>
      <c r="E5258" t="s">
        <v>1219</v>
      </c>
    </row>
    <row r="5259" spans="1:5" x14ac:dyDescent="0.25">
      <c r="A5259" t="s">
        <v>3107</v>
      </c>
      <c r="B5259" t="s">
        <v>245</v>
      </c>
      <c r="C5259" t="s">
        <v>3060</v>
      </c>
      <c r="D5259" t="s">
        <v>3060</v>
      </c>
      <c r="E5259" t="s">
        <v>1217</v>
      </c>
    </row>
    <row r="5260" spans="1:5" x14ac:dyDescent="0.25">
      <c r="A5260" t="s">
        <v>3107</v>
      </c>
      <c r="B5260" t="s">
        <v>557</v>
      </c>
      <c r="C5260" t="s">
        <v>3060</v>
      </c>
      <c r="D5260" t="s">
        <v>3060</v>
      </c>
      <c r="E5260" t="s">
        <v>5176</v>
      </c>
    </row>
    <row r="5261" spans="1:5" x14ac:dyDescent="0.25">
      <c r="A5261" t="s">
        <v>3107</v>
      </c>
      <c r="B5261" t="s">
        <v>1270</v>
      </c>
      <c r="C5261" t="s">
        <v>3060</v>
      </c>
      <c r="D5261" t="s">
        <v>3060</v>
      </c>
      <c r="E5261" t="s">
        <v>320</v>
      </c>
    </row>
    <row r="5262" spans="1:5" x14ac:dyDescent="0.25">
      <c r="A5262" t="s">
        <v>3107</v>
      </c>
      <c r="B5262" t="s">
        <v>1269</v>
      </c>
      <c r="C5262" t="s">
        <v>3060</v>
      </c>
      <c r="D5262" t="s">
        <v>3060</v>
      </c>
      <c r="E5262" t="s">
        <v>320</v>
      </c>
    </row>
    <row r="5263" spans="1:5" x14ac:dyDescent="0.25">
      <c r="A5263" t="s">
        <v>3107</v>
      </c>
      <c r="B5263" t="s">
        <v>1271</v>
      </c>
      <c r="C5263" t="s">
        <v>3060</v>
      </c>
      <c r="D5263" t="s">
        <v>3060</v>
      </c>
      <c r="E5263" t="s">
        <v>235</v>
      </c>
    </row>
    <row r="5264" spans="1:5" x14ac:dyDescent="0.25">
      <c r="A5264" t="s">
        <v>3107</v>
      </c>
      <c r="B5264" t="s">
        <v>5177</v>
      </c>
      <c r="C5264" t="s">
        <v>3060</v>
      </c>
      <c r="D5264" t="s">
        <v>3060</v>
      </c>
      <c r="E5264" t="s">
        <v>235</v>
      </c>
    </row>
    <row r="5265" spans="1:5" x14ac:dyDescent="0.25">
      <c r="A5265" t="s">
        <v>3107</v>
      </c>
      <c r="B5265" t="s">
        <v>183</v>
      </c>
      <c r="C5265" t="s">
        <v>3060</v>
      </c>
      <c r="D5265" t="s">
        <v>3060</v>
      </c>
      <c r="E5265" t="s">
        <v>184</v>
      </c>
    </row>
    <row r="5266" spans="1:5" x14ac:dyDescent="0.25">
      <c r="A5266" t="s">
        <v>3111</v>
      </c>
      <c r="B5266" t="s">
        <v>5178</v>
      </c>
      <c r="C5266" t="s">
        <v>3060</v>
      </c>
      <c r="D5266" t="s">
        <v>5179</v>
      </c>
      <c r="E5266" t="s">
        <v>2126</v>
      </c>
    </row>
    <row r="5267" spans="1:5" x14ac:dyDescent="0.25">
      <c r="A5267" t="s">
        <v>3111</v>
      </c>
      <c r="B5267" t="s">
        <v>5180</v>
      </c>
      <c r="C5267" t="s">
        <v>3060</v>
      </c>
      <c r="D5267" t="s">
        <v>5181</v>
      </c>
      <c r="E5267" t="s">
        <v>4956</v>
      </c>
    </row>
    <row r="5268" spans="1:5" x14ac:dyDescent="0.25">
      <c r="A5268" t="s">
        <v>3111</v>
      </c>
      <c r="B5268" t="s">
        <v>5182</v>
      </c>
      <c r="C5268" t="s">
        <v>3060</v>
      </c>
      <c r="D5268" t="s">
        <v>5183</v>
      </c>
      <c r="E5268" t="s">
        <v>385</v>
      </c>
    </row>
    <row r="5269" spans="1:5" x14ac:dyDescent="0.25">
      <c r="A5269" t="s">
        <v>3111</v>
      </c>
      <c r="B5269" t="s">
        <v>5184</v>
      </c>
      <c r="C5269" t="s">
        <v>3060</v>
      </c>
      <c r="D5269" t="s">
        <v>5185</v>
      </c>
      <c r="E5269" t="s">
        <v>2139</v>
      </c>
    </row>
    <row r="5270" spans="1:5" x14ac:dyDescent="0.25">
      <c r="A5270" t="s">
        <v>3111</v>
      </c>
      <c r="B5270" t="s">
        <v>242</v>
      </c>
      <c r="C5270" t="s">
        <v>3060</v>
      </c>
      <c r="D5270" t="s">
        <v>3060</v>
      </c>
      <c r="E5270" t="s">
        <v>287</v>
      </c>
    </row>
    <row r="5271" spans="1:5" x14ac:dyDescent="0.25">
      <c r="A5271" t="s">
        <v>3111</v>
      </c>
      <c r="B5271" t="s">
        <v>327</v>
      </c>
      <c r="C5271" t="s">
        <v>3060</v>
      </c>
      <c r="D5271" t="s">
        <v>3060</v>
      </c>
      <c r="E5271" t="s">
        <v>287</v>
      </c>
    </row>
    <row r="5272" spans="1:5" x14ac:dyDescent="0.25">
      <c r="A5272" t="s">
        <v>3111</v>
      </c>
      <c r="B5272" t="s">
        <v>183</v>
      </c>
      <c r="C5272" t="s">
        <v>3060</v>
      </c>
      <c r="D5272" t="s">
        <v>3060</v>
      </c>
      <c r="E5272" t="s">
        <v>184</v>
      </c>
    </row>
    <row r="5273" spans="1:5" x14ac:dyDescent="0.25">
      <c r="A5273" t="s">
        <v>3112</v>
      </c>
      <c r="B5273" t="s">
        <v>2462</v>
      </c>
      <c r="C5273" t="s">
        <v>3060</v>
      </c>
      <c r="D5273" t="s">
        <v>5186</v>
      </c>
      <c r="E5273" t="s">
        <v>978</v>
      </c>
    </row>
    <row r="5274" spans="1:5" x14ac:dyDescent="0.25">
      <c r="A5274" t="s">
        <v>3112</v>
      </c>
      <c r="B5274" t="s">
        <v>5187</v>
      </c>
      <c r="C5274" t="s">
        <v>3060</v>
      </c>
      <c r="D5274" t="s">
        <v>5188</v>
      </c>
      <c r="E5274" t="s">
        <v>5189</v>
      </c>
    </row>
    <row r="5275" spans="1:5" x14ac:dyDescent="0.25">
      <c r="A5275" t="s">
        <v>3112</v>
      </c>
      <c r="B5275" t="s">
        <v>2466</v>
      </c>
      <c r="C5275" t="s">
        <v>3060</v>
      </c>
      <c r="D5275" t="s">
        <v>5186</v>
      </c>
      <c r="E5275" t="s">
        <v>978</v>
      </c>
    </row>
    <row r="5276" spans="1:5" x14ac:dyDescent="0.25">
      <c r="A5276" t="s">
        <v>3112</v>
      </c>
      <c r="B5276" t="s">
        <v>627</v>
      </c>
      <c r="C5276" t="s">
        <v>3060</v>
      </c>
      <c r="D5276" t="s">
        <v>5186</v>
      </c>
      <c r="E5276" t="s">
        <v>1018</v>
      </c>
    </row>
    <row r="5277" spans="1:5" x14ac:dyDescent="0.25">
      <c r="A5277" t="s">
        <v>3112</v>
      </c>
      <c r="B5277" t="s">
        <v>5190</v>
      </c>
      <c r="C5277" t="s">
        <v>3060</v>
      </c>
      <c r="D5277" t="s">
        <v>5191</v>
      </c>
      <c r="E5277" t="s">
        <v>1332</v>
      </c>
    </row>
    <row r="5278" spans="1:5" x14ac:dyDescent="0.25">
      <c r="A5278" t="s">
        <v>3112</v>
      </c>
      <c r="B5278" t="s">
        <v>5190</v>
      </c>
      <c r="C5278" t="s">
        <v>3060</v>
      </c>
      <c r="D5278" t="s">
        <v>5191</v>
      </c>
      <c r="E5278" t="s">
        <v>1332</v>
      </c>
    </row>
    <row r="5279" spans="1:5" x14ac:dyDescent="0.25">
      <c r="A5279" t="s">
        <v>3112</v>
      </c>
      <c r="B5279" t="s">
        <v>5192</v>
      </c>
      <c r="C5279" t="s">
        <v>3060</v>
      </c>
      <c r="D5279" t="s">
        <v>5193</v>
      </c>
      <c r="E5279" t="s">
        <v>1055</v>
      </c>
    </row>
    <row r="5280" spans="1:5" x14ac:dyDescent="0.25">
      <c r="A5280" t="s">
        <v>3112</v>
      </c>
      <c r="B5280" t="s">
        <v>5194</v>
      </c>
      <c r="C5280" t="s">
        <v>3060</v>
      </c>
      <c r="D5280" t="s">
        <v>5195</v>
      </c>
      <c r="E5280" t="s">
        <v>5196</v>
      </c>
    </row>
    <row r="5281" spans="1:5" x14ac:dyDescent="0.25">
      <c r="A5281" t="s">
        <v>3112</v>
      </c>
      <c r="B5281" t="s">
        <v>3959</v>
      </c>
      <c r="C5281" t="s">
        <v>3060</v>
      </c>
      <c r="D5281" t="s">
        <v>5186</v>
      </c>
      <c r="E5281" t="s">
        <v>1018</v>
      </c>
    </row>
    <row r="5282" spans="1:5" x14ac:dyDescent="0.25">
      <c r="A5282" t="s">
        <v>3112</v>
      </c>
      <c r="B5282" t="s">
        <v>627</v>
      </c>
      <c r="C5282" t="s">
        <v>3060</v>
      </c>
      <c r="D5282" t="s">
        <v>5186</v>
      </c>
      <c r="E5282" t="s">
        <v>1018</v>
      </c>
    </row>
    <row r="5283" spans="1:5" x14ac:dyDescent="0.25">
      <c r="A5283" t="s">
        <v>3112</v>
      </c>
      <c r="B5283" t="s">
        <v>1526</v>
      </c>
      <c r="C5283" t="s">
        <v>3060</v>
      </c>
      <c r="D5283" t="s">
        <v>5186</v>
      </c>
      <c r="E5283" t="s">
        <v>1018</v>
      </c>
    </row>
    <row r="5284" spans="1:5" x14ac:dyDescent="0.25">
      <c r="A5284" t="s">
        <v>3112</v>
      </c>
      <c r="B5284" t="s">
        <v>3969</v>
      </c>
      <c r="C5284" t="s">
        <v>3060</v>
      </c>
      <c r="D5284" t="s">
        <v>5186</v>
      </c>
      <c r="E5284" t="s">
        <v>1018</v>
      </c>
    </row>
    <row r="5285" spans="1:5" x14ac:dyDescent="0.25">
      <c r="A5285" t="s">
        <v>3112</v>
      </c>
      <c r="B5285" t="s">
        <v>5197</v>
      </c>
      <c r="C5285" t="s">
        <v>3060</v>
      </c>
      <c r="D5285" t="s">
        <v>5198</v>
      </c>
      <c r="E5285" t="s">
        <v>1018</v>
      </c>
    </row>
    <row r="5286" spans="1:5" x14ac:dyDescent="0.25">
      <c r="A5286" t="s">
        <v>3112</v>
      </c>
      <c r="B5286" t="s">
        <v>5199</v>
      </c>
      <c r="C5286" t="s">
        <v>3060</v>
      </c>
      <c r="D5286" t="s">
        <v>5200</v>
      </c>
      <c r="E5286" t="s">
        <v>1018</v>
      </c>
    </row>
    <row r="5287" spans="1:5" x14ac:dyDescent="0.25">
      <c r="A5287" t="s">
        <v>3112</v>
      </c>
      <c r="B5287" t="s">
        <v>5201</v>
      </c>
      <c r="C5287" t="s">
        <v>3060</v>
      </c>
      <c r="D5287" t="s">
        <v>3060</v>
      </c>
      <c r="E5287" t="s">
        <v>281</v>
      </c>
    </row>
    <row r="5288" spans="1:5" x14ac:dyDescent="0.25">
      <c r="A5288" t="s">
        <v>3112</v>
      </c>
      <c r="B5288" t="s">
        <v>229</v>
      </c>
      <c r="C5288" t="s">
        <v>3060</v>
      </c>
      <c r="D5288" t="s">
        <v>3060</v>
      </c>
      <c r="E5288" t="s">
        <v>575</v>
      </c>
    </row>
    <row r="5289" spans="1:5" x14ac:dyDescent="0.25">
      <c r="A5289" t="s">
        <v>3112</v>
      </c>
      <c r="B5289" t="s">
        <v>167</v>
      </c>
      <c r="C5289" t="s">
        <v>3060</v>
      </c>
      <c r="D5289" t="s">
        <v>3060</v>
      </c>
      <c r="E5289" t="s">
        <v>575</v>
      </c>
    </row>
    <row r="5290" spans="1:5" x14ac:dyDescent="0.25">
      <c r="A5290" t="s">
        <v>3112</v>
      </c>
      <c r="B5290" t="s">
        <v>5202</v>
      </c>
      <c r="C5290" t="s">
        <v>3060</v>
      </c>
      <c r="D5290" t="s">
        <v>3060</v>
      </c>
      <c r="E5290" t="s">
        <v>235</v>
      </c>
    </row>
    <row r="5291" spans="1:5" x14ac:dyDescent="0.25">
      <c r="A5291" t="s">
        <v>3112</v>
      </c>
      <c r="B5291" t="s">
        <v>325</v>
      </c>
      <c r="C5291" t="s">
        <v>3060</v>
      </c>
      <c r="D5291" t="s">
        <v>3060</v>
      </c>
      <c r="E5291" t="s">
        <v>235</v>
      </c>
    </row>
    <row r="5292" spans="1:5" x14ac:dyDescent="0.25">
      <c r="A5292" t="s">
        <v>3112</v>
      </c>
      <c r="B5292" t="s">
        <v>238</v>
      </c>
      <c r="C5292" t="s">
        <v>3060</v>
      </c>
      <c r="D5292" t="s">
        <v>3060</v>
      </c>
      <c r="E5292" t="s">
        <v>281</v>
      </c>
    </row>
    <row r="5293" spans="1:5" x14ac:dyDescent="0.25">
      <c r="A5293" t="s">
        <v>3112</v>
      </c>
      <c r="B5293" t="s">
        <v>181</v>
      </c>
      <c r="C5293" t="s">
        <v>3060</v>
      </c>
      <c r="D5293" t="s">
        <v>3060</v>
      </c>
      <c r="E5293" t="s">
        <v>241</v>
      </c>
    </row>
    <row r="5294" spans="1:5" x14ac:dyDescent="0.25">
      <c r="A5294" t="s">
        <v>3112</v>
      </c>
      <c r="B5294" t="s">
        <v>242</v>
      </c>
      <c r="C5294" t="s">
        <v>3060</v>
      </c>
      <c r="D5294" t="s">
        <v>3060</v>
      </c>
      <c r="E5294" t="s">
        <v>287</v>
      </c>
    </row>
    <row r="5295" spans="1:5" x14ac:dyDescent="0.25">
      <c r="A5295" t="s">
        <v>3112</v>
      </c>
      <c r="B5295" t="s">
        <v>327</v>
      </c>
      <c r="C5295" t="s">
        <v>3060</v>
      </c>
      <c r="D5295" t="s">
        <v>3060</v>
      </c>
      <c r="E5295" t="s">
        <v>287</v>
      </c>
    </row>
    <row r="5296" spans="1:5" x14ac:dyDescent="0.25">
      <c r="A5296" t="s">
        <v>3112</v>
      </c>
      <c r="B5296" t="s">
        <v>691</v>
      </c>
      <c r="C5296" t="s">
        <v>3060</v>
      </c>
      <c r="D5296" t="s">
        <v>3060</v>
      </c>
      <c r="E5296" t="s">
        <v>253</v>
      </c>
    </row>
    <row r="5297" spans="1:5" x14ac:dyDescent="0.25">
      <c r="A5297" t="s">
        <v>3112</v>
      </c>
      <c r="B5297" t="s">
        <v>5187</v>
      </c>
      <c r="C5297" t="s">
        <v>3060</v>
      </c>
      <c r="D5297" t="s">
        <v>5188</v>
      </c>
      <c r="E5297" t="s">
        <v>5189</v>
      </c>
    </row>
    <row r="5298" spans="1:5" x14ac:dyDescent="0.25">
      <c r="A5298" t="s">
        <v>3112</v>
      </c>
      <c r="B5298" t="s">
        <v>2467</v>
      </c>
      <c r="C5298" t="s">
        <v>3060</v>
      </c>
      <c r="D5298" t="s">
        <v>5186</v>
      </c>
      <c r="E5298" t="s">
        <v>978</v>
      </c>
    </row>
    <row r="5299" spans="1:5" x14ac:dyDescent="0.25">
      <c r="A5299" t="s">
        <v>3112</v>
      </c>
      <c r="B5299" t="s">
        <v>2462</v>
      </c>
      <c r="C5299" t="s">
        <v>3060</v>
      </c>
      <c r="D5299" t="s">
        <v>5186</v>
      </c>
      <c r="E5299" t="s">
        <v>978</v>
      </c>
    </row>
    <row r="5300" spans="1:5" x14ac:dyDescent="0.25">
      <c r="A5300" t="s">
        <v>3112</v>
      </c>
      <c r="B5300" t="s">
        <v>2466</v>
      </c>
      <c r="C5300" t="s">
        <v>3060</v>
      </c>
      <c r="D5300" t="s">
        <v>5186</v>
      </c>
      <c r="E5300" t="s">
        <v>978</v>
      </c>
    </row>
    <row r="5301" spans="1:5" x14ac:dyDescent="0.25">
      <c r="A5301" t="s">
        <v>3112</v>
      </c>
      <c r="B5301" t="s">
        <v>4967</v>
      </c>
      <c r="C5301" t="s">
        <v>3060</v>
      </c>
      <c r="D5301" t="s">
        <v>5186</v>
      </c>
      <c r="E5301" t="s">
        <v>978</v>
      </c>
    </row>
    <row r="5302" spans="1:5" x14ac:dyDescent="0.25">
      <c r="A5302" t="s">
        <v>3112</v>
      </c>
      <c r="B5302" t="s">
        <v>5203</v>
      </c>
      <c r="C5302" t="s">
        <v>3060</v>
      </c>
      <c r="D5302" t="s">
        <v>5186</v>
      </c>
      <c r="E5302" t="s">
        <v>978</v>
      </c>
    </row>
    <row r="5303" spans="1:5" x14ac:dyDescent="0.25">
      <c r="A5303" t="s">
        <v>3112</v>
      </c>
      <c r="B5303" t="s">
        <v>5204</v>
      </c>
      <c r="C5303" t="s">
        <v>3060</v>
      </c>
      <c r="D5303" t="s">
        <v>5205</v>
      </c>
      <c r="E5303" t="s">
        <v>3439</v>
      </c>
    </row>
    <row r="5304" spans="1:5" x14ac:dyDescent="0.25">
      <c r="A5304" t="s">
        <v>3112</v>
      </c>
      <c r="B5304" t="s">
        <v>183</v>
      </c>
      <c r="C5304" t="s">
        <v>3060</v>
      </c>
      <c r="D5304" t="s">
        <v>3060</v>
      </c>
      <c r="E5304" t="s">
        <v>184</v>
      </c>
    </row>
    <row r="5305" spans="1:5" x14ac:dyDescent="0.25">
      <c r="A5305" t="s">
        <v>3113</v>
      </c>
      <c r="B5305" t="s">
        <v>672</v>
      </c>
      <c r="C5305" t="s">
        <v>3060</v>
      </c>
      <c r="D5305" t="s">
        <v>5206</v>
      </c>
      <c r="E5305" t="s">
        <v>656</v>
      </c>
    </row>
    <row r="5306" spans="1:5" x14ac:dyDescent="0.25">
      <c r="A5306" t="s">
        <v>3113</v>
      </c>
      <c r="B5306" t="s">
        <v>5207</v>
      </c>
      <c r="C5306" t="s">
        <v>3060</v>
      </c>
      <c r="D5306" t="s">
        <v>5208</v>
      </c>
      <c r="E5306" t="s">
        <v>1832</v>
      </c>
    </row>
    <row r="5307" spans="1:5" x14ac:dyDescent="0.25">
      <c r="A5307" t="s">
        <v>3113</v>
      </c>
      <c r="B5307" t="s">
        <v>5209</v>
      </c>
      <c r="C5307" t="s">
        <v>3060</v>
      </c>
      <c r="D5307" t="s">
        <v>5210</v>
      </c>
      <c r="E5307" t="s">
        <v>656</v>
      </c>
    </row>
    <row r="5308" spans="1:5" x14ac:dyDescent="0.25">
      <c r="A5308" t="s">
        <v>3113</v>
      </c>
      <c r="B5308" t="s">
        <v>912</v>
      </c>
      <c r="C5308" t="s">
        <v>3060</v>
      </c>
      <c r="D5308" t="s">
        <v>5206</v>
      </c>
      <c r="E5308" t="s">
        <v>636</v>
      </c>
    </row>
    <row r="5309" spans="1:5" x14ac:dyDescent="0.25">
      <c r="A5309" t="s">
        <v>3113</v>
      </c>
      <c r="B5309" t="s">
        <v>5211</v>
      </c>
      <c r="C5309" t="s">
        <v>3060</v>
      </c>
      <c r="D5309" t="s">
        <v>5212</v>
      </c>
      <c r="E5309" t="s">
        <v>418</v>
      </c>
    </row>
    <row r="5310" spans="1:5" x14ac:dyDescent="0.25">
      <c r="A5310" t="s">
        <v>3113</v>
      </c>
      <c r="B5310" t="s">
        <v>3532</v>
      </c>
      <c r="C5310" t="s">
        <v>3060</v>
      </c>
      <c r="D5310" t="s">
        <v>3533</v>
      </c>
      <c r="E5310" t="s">
        <v>5213</v>
      </c>
    </row>
    <row r="5311" spans="1:5" x14ac:dyDescent="0.25">
      <c r="A5311" t="s">
        <v>3113</v>
      </c>
      <c r="B5311" t="s">
        <v>5214</v>
      </c>
      <c r="C5311" t="s">
        <v>3060</v>
      </c>
      <c r="D5311" t="s">
        <v>5215</v>
      </c>
      <c r="E5311" t="s">
        <v>5216</v>
      </c>
    </row>
    <row r="5312" spans="1:5" x14ac:dyDescent="0.25">
      <c r="A5312" t="s">
        <v>3113</v>
      </c>
      <c r="B5312" t="s">
        <v>5211</v>
      </c>
      <c r="C5312" t="s">
        <v>3060</v>
      </c>
      <c r="D5312" t="s">
        <v>5212</v>
      </c>
      <c r="E5312" t="s">
        <v>418</v>
      </c>
    </row>
    <row r="5313" spans="1:5" x14ac:dyDescent="0.25">
      <c r="A5313" t="s">
        <v>3113</v>
      </c>
      <c r="B5313" t="s">
        <v>5217</v>
      </c>
      <c r="C5313" t="s">
        <v>3060</v>
      </c>
      <c r="D5313" t="s">
        <v>5218</v>
      </c>
      <c r="E5313" t="s">
        <v>1841</v>
      </c>
    </row>
    <row r="5314" spans="1:5" x14ac:dyDescent="0.25">
      <c r="A5314" t="s">
        <v>3113</v>
      </c>
      <c r="B5314" t="s">
        <v>5219</v>
      </c>
      <c r="C5314" t="s">
        <v>3060</v>
      </c>
      <c r="D5314" t="s">
        <v>5220</v>
      </c>
      <c r="E5314" t="s">
        <v>469</v>
      </c>
    </row>
    <row r="5315" spans="1:5" x14ac:dyDescent="0.25">
      <c r="A5315" t="s">
        <v>3113</v>
      </c>
      <c r="B5315" t="s">
        <v>5207</v>
      </c>
      <c r="C5315" t="s">
        <v>3060</v>
      </c>
      <c r="D5315" t="s">
        <v>5208</v>
      </c>
      <c r="E5315" t="s">
        <v>1832</v>
      </c>
    </row>
    <row r="5316" spans="1:5" x14ac:dyDescent="0.25">
      <c r="A5316" t="s">
        <v>3113</v>
      </c>
      <c r="B5316" t="s">
        <v>3497</v>
      </c>
      <c r="C5316" t="s">
        <v>3060</v>
      </c>
      <c r="D5316" t="s">
        <v>5221</v>
      </c>
      <c r="E5316" t="s">
        <v>425</v>
      </c>
    </row>
    <row r="5317" spans="1:5" x14ac:dyDescent="0.25">
      <c r="A5317" t="s">
        <v>3113</v>
      </c>
      <c r="B5317" t="s">
        <v>918</v>
      </c>
      <c r="C5317" t="s">
        <v>3060</v>
      </c>
      <c r="D5317" t="s">
        <v>5222</v>
      </c>
      <c r="E5317" t="s">
        <v>1841</v>
      </c>
    </row>
    <row r="5318" spans="1:5" x14ac:dyDescent="0.25">
      <c r="A5318" t="s">
        <v>3113</v>
      </c>
      <c r="B5318" t="s">
        <v>5223</v>
      </c>
      <c r="C5318" t="s">
        <v>3060</v>
      </c>
      <c r="D5318" t="s">
        <v>5224</v>
      </c>
      <c r="E5318" t="s">
        <v>1841</v>
      </c>
    </row>
    <row r="5319" spans="1:5" x14ac:dyDescent="0.25">
      <c r="A5319" t="s">
        <v>3113</v>
      </c>
      <c r="B5319" t="s">
        <v>914</v>
      </c>
      <c r="C5319" t="s">
        <v>3060</v>
      </c>
      <c r="D5319" t="s">
        <v>5225</v>
      </c>
      <c r="E5319" t="s">
        <v>1841</v>
      </c>
    </row>
    <row r="5320" spans="1:5" x14ac:dyDescent="0.25">
      <c r="A5320" t="s">
        <v>3113</v>
      </c>
      <c r="B5320" t="s">
        <v>916</v>
      </c>
      <c r="C5320" t="s">
        <v>3060</v>
      </c>
      <c r="D5320" t="s">
        <v>5226</v>
      </c>
      <c r="E5320" t="s">
        <v>1841</v>
      </c>
    </row>
    <row r="5321" spans="1:5" x14ac:dyDescent="0.25">
      <c r="A5321" t="s">
        <v>3113</v>
      </c>
      <c r="B5321" t="s">
        <v>5227</v>
      </c>
      <c r="C5321" t="s">
        <v>3060</v>
      </c>
      <c r="D5321" t="s">
        <v>5210</v>
      </c>
      <c r="E5321" t="s">
        <v>636</v>
      </c>
    </row>
    <row r="5322" spans="1:5" x14ac:dyDescent="0.25">
      <c r="A5322" t="s">
        <v>3113</v>
      </c>
      <c r="B5322" t="s">
        <v>5228</v>
      </c>
      <c r="C5322" t="s">
        <v>3060</v>
      </c>
      <c r="D5322" t="s">
        <v>5210</v>
      </c>
      <c r="E5322" t="s">
        <v>636</v>
      </c>
    </row>
    <row r="5323" spans="1:5" x14ac:dyDescent="0.25">
      <c r="A5323" t="s">
        <v>3113</v>
      </c>
      <c r="B5323" t="s">
        <v>912</v>
      </c>
      <c r="C5323" t="s">
        <v>3060</v>
      </c>
      <c r="D5323" t="s">
        <v>5206</v>
      </c>
      <c r="E5323" t="s">
        <v>636</v>
      </c>
    </row>
    <row r="5324" spans="1:5" x14ac:dyDescent="0.25">
      <c r="A5324" t="s">
        <v>3113</v>
      </c>
      <c r="B5324" t="s">
        <v>5229</v>
      </c>
      <c r="C5324" t="s">
        <v>3060</v>
      </c>
      <c r="D5324" t="s">
        <v>5230</v>
      </c>
      <c r="E5324" t="s">
        <v>636</v>
      </c>
    </row>
    <row r="5325" spans="1:5" x14ac:dyDescent="0.25">
      <c r="A5325" t="s">
        <v>3113</v>
      </c>
      <c r="B5325" t="s">
        <v>911</v>
      </c>
      <c r="C5325" t="s">
        <v>3060</v>
      </c>
      <c r="D5325" t="s">
        <v>5231</v>
      </c>
      <c r="E5325" t="s">
        <v>418</v>
      </c>
    </row>
    <row r="5326" spans="1:5" x14ac:dyDescent="0.25">
      <c r="A5326" t="s">
        <v>3113</v>
      </c>
      <c r="B5326" t="s">
        <v>5232</v>
      </c>
      <c r="C5326" t="s">
        <v>3060</v>
      </c>
      <c r="D5326" t="s">
        <v>5233</v>
      </c>
      <c r="E5326" t="s">
        <v>418</v>
      </c>
    </row>
    <row r="5327" spans="1:5" x14ac:dyDescent="0.25">
      <c r="A5327" t="s">
        <v>3113</v>
      </c>
      <c r="B5327" t="s">
        <v>674</v>
      </c>
      <c r="C5327" t="s">
        <v>3060</v>
      </c>
      <c r="D5327" t="s">
        <v>5225</v>
      </c>
      <c r="E5327" t="s">
        <v>418</v>
      </c>
    </row>
    <row r="5328" spans="1:5" x14ac:dyDescent="0.25">
      <c r="A5328" t="s">
        <v>3113</v>
      </c>
      <c r="B5328" t="s">
        <v>676</v>
      </c>
      <c r="C5328" t="s">
        <v>3060</v>
      </c>
      <c r="D5328" t="s">
        <v>5234</v>
      </c>
      <c r="E5328" t="s">
        <v>418</v>
      </c>
    </row>
    <row r="5329" spans="1:5" x14ac:dyDescent="0.25">
      <c r="A5329" t="s">
        <v>3113</v>
      </c>
      <c r="B5329" t="s">
        <v>5209</v>
      </c>
      <c r="C5329" t="s">
        <v>3060</v>
      </c>
      <c r="D5329" t="s">
        <v>5210</v>
      </c>
      <c r="E5329" t="s">
        <v>656</v>
      </c>
    </row>
    <row r="5330" spans="1:5" x14ac:dyDescent="0.25">
      <c r="A5330" t="s">
        <v>3113</v>
      </c>
      <c r="B5330" t="s">
        <v>3547</v>
      </c>
      <c r="C5330" t="s">
        <v>3060</v>
      </c>
      <c r="D5330" t="s">
        <v>5210</v>
      </c>
      <c r="E5330" t="s">
        <v>656</v>
      </c>
    </row>
    <row r="5331" spans="1:5" x14ac:dyDescent="0.25">
      <c r="A5331" t="s">
        <v>3113</v>
      </c>
      <c r="B5331" t="s">
        <v>672</v>
      </c>
      <c r="C5331" t="s">
        <v>3060</v>
      </c>
      <c r="D5331" t="s">
        <v>5206</v>
      </c>
      <c r="E5331" t="s">
        <v>656</v>
      </c>
    </row>
    <row r="5332" spans="1:5" x14ac:dyDescent="0.25">
      <c r="A5332" t="s">
        <v>3113</v>
      </c>
      <c r="B5332" t="s">
        <v>5235</v>
      </c>
      <c r="C5332" t="s">
        <v>3060</v>
      </c>
      <c r="D5332" t="s">
        <v>5236</v>
      </c>
      <c r="E5332" t="s">
        <v>656</v>
      </c>
    </row>
    <row r="5333" spans="1:5" x14ac:dyDescent="0.25">
      <c r="A5333" t="s">
        <v>3113</v>
      </c>
      <c r="B5333" t="s">
        <v>5237</v>
      </c>
      <c r="C5333" t="s">
        <v>3060</v>
      </c>
      <c r="D5333" t="s">
        <v>5238</v>
      </c>
      <c r="E5333" t="s">
        <v>406</v>
      </c>
    </row>
    <row r="5334" spans="1:5" x14ac:dyDescent="0.25">
      <c r="A5334" t="s">
        <v>3113</v>
      </c>
      <c r="B5334" t="s">
        <v>573</v>
      </c>
      <c r="C5334" t="s">
        <v>3060</v>
      </c>
      <c r="D5334" t="s">
        <v>3838</v>
      </c>
      <c r="E5334" t="s">
        <v>197</v>
      </c>
    </row>
    <row r="5335" spans="1:5" x14ac:dyDescent="0.25">
      <c r="A5335" t="s">
        <v>3113</v>
      </c>
      <c r="B5335" t="s">
        <v>632</v>
      </c>
      <c r="C5335" t="s">
        <v>3060</v>
      </c>
      <c r="D5335" t="s">
        <v>3409</v>
      </c>
      <c r="E5335" t="s">
        <v>287</v>
      </c>
    </row>
    <row r="5336" spans="1:5" x14ac:dyDescent="0.25">
      <c r="A5336" t="s">
        <v>3113</v>
      </c>
      <c r="B5336" t="s">
        <v>5239</v>
      </c>
      <c r="C5336" t="s">
        <v>3060</v>
      </c>
      <c r="D5336" t="s">
        <v>5240</v>
      </c>
      <c r="E5336" t="s">
        <v>287</v>
      </c>
    </row>
    <row r="5337" spans="1:5" x14ac:dyDescent="0.25">
      <c r="A5337" t="s">
        <v>3113</v>
      </c>
      <c r="B5337" t="s">
        <v>2100</v>
      </c>
      <c r="C5337" t="s">
        <v>3060</v>
      </c>
      <c r="D5337" t="s">
        <v>3060</v>
      </c>
      <c r="E5337" t="s">
        <v>268</v>
      </c>
    </row>
    <row r="5338" spans="1:5" x14ac:dyDescent="0.25">
      <c r="A5338" t="s">
        <v>3113</v>
      </c>
      <c r="B5338" t="s">
        <v>4929</v>
      </c>
      <c r="C5338" t="s">
        <v>3060</v>
      </c>
      <c r="D5338" t="s">
        <v>5241</v>
      </c>
      <c r="E5338" t="s">
        <v>287</v>
      </c>
    </row>
    <row r="5339" spans="1:5" x14ac:dyDescent="0.25">
      <c r="A5339" t="s">
        <v>3113</v>
      </c>
      <c r="B5339" t="s">
        <v>5242</v>
      </c>
      <c r="C5339" t="s">
        <v>3060</v>
      </c>
      <c r="D5339" t="s">
        <v>3060</v>
      </c>
      <c r="E5339" t="s">
        <v>279</v>
      </c>
    </row>
    <row r="5340" spans="1:5" x14ac:dyDescent="0.25">
      <c r="A5340" t="s">
        <v>3113</v>
      </c>
      <c r="B5340" t="s">
        <v>5243</v>
      </c>
      <c r="C5340" t="s">
        <v>3060</v>
      </c>
      <c r="D5340" t="s">
        <v>3060</v>
      </c>
      <c r="E5340" t="s">
        <v>279</v>
      </c>
    </row>
    <row r="5341" spans="1:5" x14ac:dyDescent="0.25">
      <c r="A5341" t="s">
        <v>3113</v>
      </c>
      <c r="B5341" t="s">
        <v>5244</v>
      </c>
      <c r="C5341" t="s">
        <v>3060</v>
      </c>
      <c r="D5341" t="s">
        <v>3060</v>
      </c>
      <c r="E5341" t="s">
        <v>279</v>
      </c>
    </row>
    <row r="5342" spans="1:5" x14ac:dyDescent="0.25">
      <c r="A5342" t="s">
        <v>3113</v>
      </c>
      <c r="B5342" t="s">
        <v>5245</v>
      </c>
      <c r="C5342" t="s">
        <v>3060</v>
      </c>
      <c r="D5342" t="s">
        <v>3060</v>
      </c>
      <c r="E5342" t="s">
        <v>279</v>
      </c>
    </row>
    <row r="5343" spans="1:5" x14ac:dyDescent="0.25">
      <c r="A5343" t="s">
        <v>3113</v>
      </c>
      <c r="B5343" t="s">
        <v>5246</v>
      </c>
      <c r="C5343" t="s">
        <v>3060</v>
      </c>
      <c r="D5343" t="s">
        <v>3060</v>
      </c>
      <c r="E5343" t="s">
        <v>279</v>
      </c>
    </row>
    <row r="5344" spans="1:5" x14ac:dyDescent="0.25">
      <c r="A5344" t="s">
        <v>3113</v>
      </c>
      <c r="B5344" t="s">
        <v>642</v>
      </c>
      <c r="C5344" t="s">
        <v>3060</v>
      </c>
      <c r="D5344" t="s">
        <v>3060</v>
      </c>
      <c r="E5344" t="s">
        <v>575</v>
      </c>
    </row>
    <row r="5345" spans="1:5" x14ac:dyDescent="0.25">
      <c r="A5345" t="s">
        <v>3113</v>
      </c>
      <c r="B5345" t="s">
        <v>229</v>
      </c>
      <c r="C5345" t="s">
        <v>3060</v>
      </c>
      <c r="D5345" t="s">
        <v>3060</v>
      </c>
      <c r="E5345" t="s">
        <v>575</v>
      </c>
    </row>
    <row r="5346" spans="1:5" x14ac:dyDescent="0.25">
      <c r="A5346" t="s">
        <v>3113</v>
      </c>
      <c r="B5346" t="s">
        <v>643</v>
      </c>
      <c r="C5346" t="s">
        <v>3060</v>
      </c>
      <c r="D5346" t="s">
        <v>3060</v>
      </c>
      <c r="E5346" t="s">
        <v>575</v>
      </c>
    </row>
    <row r="5347" spans="1:5" x14ac:dyDescent="0.25">
      <c r="A5347" t="s">
        <v>3113</v>
      </c>
      <c r="B5347" t="s">
        <v>230</v>
      </c>
      <c r="C5347" t="s">
        <v>3060</v>
      </c>
      <c r="D5347" t="s">
        <v>3060</v>
      </c>
      <c r="E5347" t="s">
        <v>575</v>
      </c>
    </row>
    <row r="5348" spans="1:5" x14ac:dyDescent="0.25">
      <c r="A5348" t="s">
        <v>3113</v>
      </c>
      <c r="B5348" t="s">
        <v>231</v>
      </c>
      <c r="C5348" t="s">
        <v>3060</v>
      </c>
      <c r="D5348" t="s">
        <v>3060</v>
      </c>
      <c r="E5348" t="s">
        <v>575</v>
      </c>
    </row>
    <row r="5349" spans="1:5" x14ac:dyDescent="0.25">
      <c r="A5349" t="s">
        <v>3113</v>
      </c>
      <c r="B5349" t="s">
        <v>233</v>
      </c>
      <c r="C5349" t="s">
        <v>3060</v>
      </c>
      <c r="D5349" t="s">
        <v>3060</v>
      </c>
      <c r="E5349" t="s">
        <v>575</v>
      </c>
    </row>
    <row r="5350" spans="1:5" x14ac:dyDescent="0.25">
      <c r="A5350" t="s">
        <v>3113</v>
      </c>
      <c r="B5350" t="s">
        <v>232</v>
      </c>
      <c r="C5350" t="s">
        <v>3060</v>
      </c>
      <c r="D5350" t="s">
        <v>3060</v>
      </c>
      <c r="E5350" t="s">
        <v>575</v>
      </c>
    </row>
    <row r="5351" spans="1:5" x14ac:dyDescent="0.25">
      <c r="A5351" t="s">
        <v>3113</v>
      </c>
      <c r="B5351" t="s">
        <v>173</v>
      </c>
      <c r="C5351" t="s">
        <v>3060</v>
      </c>
      <c r="D5351" t="s">
        <v>3326</v>
      </c>
      <c r="E5351" t="s">
        <v>235</v>
      </c>
    </row>
    <row r="5352" spans="1:5" x14ac:dyDescent="0.25">
      <c r="A5352" t="s">
        <v>3113</v>
      </c>
      <c r="B5352" t="s">
        <v>325</v>
      </c>
      <c r="C5352" t="s">
        <v>3060</v>
      </c>
      <c r="D5352" t="s">
        <v>3060</v>
      </c>
      <c r="E5352" t="s">
        <v>279</v>
      </c>
    </row>
    <row r="5353" spans="1:5" x14ac:dyDescent="0.25">
      <c r="A5353" t="s">
        <v>3113</v>
      </c>
      <c r="B5353" t="s">
        <v>178</v>
      </c>
      <c r="C5353" t="s">
        <v>3060</v>
      </c>
      <c r="D5353" t="s">
        <v>3060</v>
      </c>
      <c r="E5353" t="s">
        <v>235</v>
      </c>
    </row>
    <row r="5354" spans="1:5" x14ac:dyDescent="0.25">
      <c r="A5354" t="s">
        <v>3113</v>
      </c>
      <c r="B5354" t="s">
        <v>238</v>
      </c>
      <c r="C5354" t="s">
        <v>3060</v>
      </c>
      <c r="D5354" t="s">
        <v>3060</v>
      </c>
      <c r="E5354" t="s">
        <v>286</v>
      </c>
    </row>
    <row r="5355" spans="1:5" x14ac:dyDescent="0.25">
      <c r="A5355" t="s">
        <v>3113</v>
      </c>
      <c r="B5355" t="s">
        <v>180</v>
      </c>
      <c r="C5355" t="s">
        <v>3060</v>
      </c>
      <c r="D5355" t="s">
        <v>3060</v>
      </c>
      <c r="E5355" t="s">
        <v>281</v>
      </c>
    </row>
    <row r="5356" spans="1:5" x14ac:dyDescent="0.25">
      <c r="A5356" t="s">
        <v>3113</v>
      </c>
      <c r="B5356" t="s">
        <v>181</v>
      </c>
      <c r="C5356" t="s">
        <v>3060</v>
      </c>
      <c r="D5356" t="s">
        <v>3060</v>
      </c>
      <c r="E5356" t="s">
        <v>286</v>
      </c>
    </row>
    <row r="5357" spans="1:5" x14ac:dyDescent="0.25">
      <c r="A5357" t="s">
        <v>3113</v>
      </c>
      <c r="B5357" t="s">
        <v>242</v>
      </c>
      <c r="C5357" t="s">
        <v>3060</v>
      </c>
      <c r="D5357" t="s">
        <v>3060</v>
      </c>
      <c r="E5357" t="s">
        <v>268</v>
      </c>
    </row>
    <row r="5358" spans="1:5" x14ac:dyDescent="0.25">
      <c r="A5358" t="s">
        <v>3113</v>
      </c>
      <c r="B5358" t="s">
        <v>327</v>
      </c>
      <c r="C5358" t="s">
        <v>3060</v>
      </c>
      <c r="D5358" t="s">
        <v>3060</v>
      </c>
      <c r="E5358" t="s">
        <v>268</v>
      </c>
    </row>
    <row r="5359" spans="1:5" x14ac:dyDescent="0.25">
      <c r="A5359" t="s">
        <v>3113</v>
      </c>
      <c r="B5359" t="s">
        <v>691</v>
      </c>
      <c r="C5359" t="s">
        <v>3060</v>
      </c>
      <c r="D5359" t="s">
        <v>3060</v>
      </c>
      <c r="E5359" t="s">
        <v>253</v>
      </c>
    </row>
    <row r="5360" spans="1:5" x14ac:dyDescent="0.25">
      <c r="A5360" t="s">
        <v>3113</v>
      </c>
      <c r="B5360" t="s">
        <v>183</v>
      </c>
      <c r="C5360" t="s">
        <v>3060</v>
      </c>
      <c r="D5360" t="s">
        <v>3060</v>
      </c>
      <c r="E5360" t="s">
        <v>184</v>
      </c>
    </row>
    <row r="5361" spans="1:5" x14ac:dyDescent="0.25">
      <c r="A5361" t="s">
        <v>3114</v>
      </c>
      <c r="B5361" t="s">
        <v>495</v>
      </c>
      <c r="C5361" t="s">
        <v>3060</v>
      </c>
      <c r="D5361" t="s">
        <v>5247</v>
      </c>
      <c r="E5361" t="s">
        <v>287</v>
      </c>
    </row>
    <row r="5362" spans="1:5" x14ac:dyDescent="0.25">
      <c r="A5362" t="s">
        <v>3114</v>
      </c>
      <c r="B5362" t="s">
        <v>1430</v>
      </c>
      <c r="C5362" t="s">
        <v>3060</v>
      </c>
      <c r="D5362" t="s">
        <v>5248</v>
      </c>
      <c r="E5362" t="s">
        <v>253</v>
      </c>
    </row>
    <row r="5363" spans="1:5" x14ac:dyDescent="0.25">
      <c r="A5363" t="s">
        <v>3114</v>
      </c>
      <c r="B5363" t="s">
        <v>5249</v>
      </c>
      <c r="C5363" t="s">
        <v>3060</v>
      </c>
      <c r="D5363" t="s">
        <v>5250</v>
      </c>
      <c r="E5363" t="s">
        <v>258</v>
      </c>
    </row>
    <row r="5364" spans="1:5" x14ac:dyDescent="0.25">
      <c r="A5364" t="s">
        <v>3114</v>
      </c>
      <c r="B5364" t="s">
        <v>725</v>
      </c>
      <c r="C5364" t="s">
        <v>3060</v>
      </c>
      <c r="D5364" t="s">
        <v>5251</v>
      </c>
      <c r="E5364" t="s">
        <v>287</v>
      </c>
    </row>
    <row r="5365" spans="1:5" x14ac:dyDescent="0.25">
      <c r="A5365" t="s">
        <v>3114</v>
      </c>
      <c r="B5365" t="s">
        <v>4485</v>
      </c>
      <c r="C5365" t="s">
        <v>3060</v>
      </c>
      <c r="D5365" t="s">
        <v>3409</v>
      </c>
      <c r="E5365" t="s">
        <v>554</v>
      </c>
    </row>
    <row r="5366" spans="1:5" x14ac:dyDescent="0.25">
      <c r="A5366" t="s">
        <v>3114</v>
      </c>
      <c r="B5366" t="s">
        <v>495</v>
      </c>
      <c r="C5366" t="s">
        <v>3060</v>
      </c>
      <c r="D5366" t="s">
        <v>5247</v>
      </c>
      <c r="E5366" t="s">
        <v>287</v>
      </c>
    </row>
    <row r="5367" spans="1:5" x14ac:dyDescent="0.25">
      <c r="A5367" t="s">
        <v>3114</v>
      </c>
      <c r="B5367" t="s">
        <v>1430</v>
      </c>
      <c r="C5367" t="s">
        <v>3060</v>
      </c>
      <c r="D5367" t="s">
        <v>5248</v>
      </c>
      <c r="E5367" t="s">
        <v>253</v>
      </c>
    </row>
    <row r="5368" spans="1:5" x14ac:dyDescent="0.25">
      <c r="A5368" t="s">
        <v>3114</v>
      </c>
      <c r="B5368" t="s">
        <v>497</v>
      </c>
      <c r="C5368" t="s">
        <v>3060</v>
      </c>
      <c r="D5368" t="s">
        <v>5252</v>
      </c>
      <c r="E5368" t="s">
        <v>287</v>
      </c>
    </row>
    <row r="5369" spans="1:5" x14ac:dyDescent="0.25">
      <c r="A5369" t="s">
        <v>3114</v>
      </c>
      <c r="B5369" t="s">
        <v>5253</v>
      </c>
      <c r="C5369" t="s">
        <v>3060</v>
      </c>
      <c r="D5369" t="s">
        <v>5254</v>
      </c>
      <c r="E5369" t="s">
        <v>287</v>
      </c>
    </row>
    <row r="5370" spans="1:5" x14ac:dyDescent="0.25">
      <c r="A5370" t="s">
        <v>3114</v>
      </c>
      <c r="B5370" t="s">
        <v>5249</v>
      </c>
      <c r="C5370" t="s">
        <v>3060</v>
      </c>
      <c r="D5370" t="s">
        <v>5250</v>
      </c>
      <c r="E5370" t="s">
        <v>258</v>
      </c>
    </row>
    <row r="5371" spans="1:5" x14ac:dyDescent="0.25">
      <c r="A5371" t="s">
        <v>3114</v>
      </c>
      <c r="B5371" t="s">
        <v>4485</v>
      </c>
      <c r="C5371" t="s">
        <v>3060</v>
      </c>
      <c r="D5371" t="s">
        <v>3409</v>
      </c>
      <c r="E5371" t="s">
        <v>554</v>
      </c>
    </row>
    <row r="5372" spans="1:5" x14ac:dyDescent="0.25">
      <c r="A5372" t="s">
        <v>3114</v>
      </c>
      <c r="B5372" t="s">
        <v>5255</v>
      </c>
      <c r="C5372" t="s">
        <v>3060</v>
      </c>
      <c r="D5372" t="s">
        <v>3409</v>
      </c>
      <c r="E5372" t="s">
        <v>656</v>
      </c>
    </row>
    <row r="5373" spans="1:5" x14ac:dyDescent="0.25">
      <c r="A5373" t="s">
        <v>3114</v>
      </c>
      <c r="B5373" t="s">
        <v>725</v>
      </c>
      <c r="C5373" t="s">
        <v>3060</v>
      </c>
      <c r="D5373" t="s">
        <v>5251</v>
      </c>
      <c r="E5373" t="s">
        <v>287</v>
      </c>
    </row>
    <row r="5374" spans="1:5" x14ac:dyDescent="0.25">
      <c r="A5374" t="s">
        <v>3114</v>
      </c>
      <c r="B5374" t="s">
        <v>4483</v>
      </c>
      <c r="C5374" t="s">
        <v>3060</v>
      </c>
      <c r="D5374" t="s">
        <v>3409</v>
      </c>
      <c r="E5374" t="s">
        <v>253</v>
      </c>
    </row>
    <row r="5375" spans="1:5" x14ac:dyDescent="0.25">
      <c r="A5375" t="s">
        <v>3114</v>
      </c>
      <c r="B5375" t="s">
        <v>229</v>
      </c>
      <c r="C5375" t="s">
        <v>3060</v>
      </c>
      <c r="D5375" t="s">
        <v>3060</v>
      </c>
      <c r="E5375" t="s">
        <v>207</v>
      </c>
    </row>
    <row r="5376" spans="1:5" x14ac:dyDescent="0.25">
      <c r="A5376" t="s">
        <v>3114</v>
      </c>
      <c r="B5376" t="s">
        <v>167</v>
      </c>
      <c r="C5376" t="s">
        <v>3060</v>
      </c>
      <c r="D5376" t="s">
        <v>3060</v>
      </c>
      <c r="E5376" t="s">
        <v>207</v>
      </c>
    </row>
    <row r="5377" spans="1:5" x14ac:dyDescent="0.25">
      <c r="A5377" t="s">
        <v>3114</v>
      </c>
      <c r="B5377" t="s">
        <v>238</v>
      </c>
      <c r="C5377" t="s">
        <v>3060</v>
      </c>
      <c r="D5377" t="s">
        <v>3060</v>
      </c>
      <c r="E5377" t="s">
        <v>235</v>
      </c>
    </row>
    <row r="5378" spans="1:5" x14ac:dyDescent="0.25">
      <c r="A5378" t="s">
        <v>3114</v>
      </c>
      <c r="B5378" t="s">
        <v>179</v>
      </c>
      <c r="C5378" t="s">
        <v>3060</v>
      </c>
      <c r="D5378" t="s">
        <v>3060</v>
      </c>
      <c r="E5378" t="s">
        <v>575</v>
      </c>
    </row>
    <row r="5379" spans="1:5" x14ac:dyDescent="0.25">
      <c r="A5379" t="s">
        <v>3114</v>
      </c>
      <c r="B5379" t="s">
        <v>180</v>
      </c>
      <c r="C5379" t="s">
        <v>3060</v>
      </c>
      <c r="D5379" t="s">
        <v>3060</v>
      </c>
      <c r="E5379" t="s">
        <v>235</v>
      </c>
    </row>
    <row r="5380" spans="1:5" x14ac:dyDescent="0.25">
      <c r="A5380" t="s">
        <v>3114</v>
      </c>
      <c r="B5380" t="s">
        <v>181</v>
      </c>
      <c r="C5380" t="s">
        <v>3060</v>
      </c>
      <c r="D5380" t="s">
        <v>3060</v>
      </c>
      <c r="E5380" t="s">
        <v>286</v>
      </c>
    </row>
    <row r="5381" spans="1:5" x14ac:dyDescent="0.25">
      <c r="A5381" t="s">
        <v>3115</v>
      </c>
      <c r="B5381" t="s">
        <v>5256</v>
      </c>
      <c r="C5381" t="s">
        <v>3060</v>
      </c>
      <c r="D5381" t="s">
        <v>5257</v>
      </c>
      <c r="E5381" t="s">
        <v>5258</v>
      </c>
    </row>
    <row r="5382" spans="1:5" x14ac:dyDescent="0.25">
      <c r="A5382" t="s">
        <v>3115</v>
      </c>
      <c r="B5382" t="s">
        <v>497</v>
      </c>
      <c r="C5382" t="s">
        <v>3060</v>
      </c>
      <c r="D5382" t="s">
        <v>5259</v>
      </c>
      <c r="E5382" t="s">
        <v>258</v>
      </c>
    </row>
    <row r="5383" spans="1:5" x14ac:dyDescent="0.25">
      <c r="A5383" t="s">
        <v>3115</v>
      </c>
      <c r="B5383" t="s">
        <v>1344</v>
      </c>
      <c r="C5383" t="s">
        <v>3060</v>
      </c>
      <c r="D5383" t="s">
        <v>5259</v>
      </c>
      <c r="E5383" t="s">
        <v>437</v>
      </c>
    </row>
    <row r="5384" spans="1:5" x14ac:dyDescent="0.25">
      <c r="A5384" t="s">
        <v>3115</v>
      </c>
      <c r="B5384" t="s">
        <v>499</v>
      </c>
      <c r="C5384" t="s">
        <v>3060</v>
      </c>
      <c r="D5384" t="s">
        <v>5259</v>
      </c>
      <c r="E5384" t="s">
        <v>425</v>
      </c>
    </row>
    <row r="5385" spans="1:5" x14ac:dyDescent="0.25">
      <c r="A5385" t="s">
        <v>3115</v>
      </c>
      <c r="B5385" t="s">
        <v>492</v>
      </c>
      <c r="C5385" t="s">
        <v>3060</v>
      </c>
      <c r="D5385" t="s">
        <v>5259</v>
      </c>
      <c r="E5385" t="s">
        <v>418</v>
      </c>
    </row>
    <row r="5386" spans="1:5" x14ac:dyDescent="0.25">
      <c r="A5386" t="s">
        <v>3115</v>
      </c>
      <c r="B5386" t="s">
        <v>491</v>
      </c>
      <c r="C5386" t="s">
        <v>3060</v>
      </c>
      <c r="D5386" t="s">
        <v>5259</v>
      </c>
      <c r="E5386" t="s">
        <v>437</v>
      </c>
    </row>
    <row r="5387" spans="1:5" x14ac:dyDescent="0.25">
      <c r="A5387" t="s">
        <v>3115</v>
      </c>
      <c r="B5387" t="s">
        <v>489</v>
      </c>
      <c r="C5387" t="s">
        <v>3060</v>
      </c>
      <c r="D5387" t="s">
        <v>5259</v>
      </c>
      <c r="E5387" t="s">
        <v>442</v>
      </c>
    </row>
    <row r="5388" spans="1:5" x14ac:dyDescent="0.25">
      <c r="A5388" t="s">
        <v>3115</v>
      </c>
      <c r="B5388" t="s">
        <v>5260</v>
      </c>
      <c r="C5388" t="s">
        <v>3060</v>
      </c>
      <c r="D5388" t="s">
        <v>5259</v>
      </c>
      <c r="E5388" t="s">
        <v>442</v>
      </c>
    </row>
    <row r="5389" spans="1:5" x14ac:dyDescent="0.25">
      <c r="A5389" t="s">
        <v>3115</v>
      </c>
      <c r="B5389" t="s">
        <v>5261</v>
      </c>
      <c r="C5389" t="s">
        <v>3060</v>
      </c>
      <c r="D5389" t="s">
        <v>5259</v>
      </c>
      <c r="E5389" t="s">
        <v>582</v>
      </c>
    </row>
    <row r="5390" spans="1:5" x14ac:dyDescent="0.25">
      <c r="A5390" t="s">
        <v>3115</v>
      </c>
      <c r="B5390" t="s">
        <v>5262</v>
      </c>
      <c r="C5390" t="s">
        <v>3060</v>
      </c>
      <c r="D5390" t="s">
        <v>5263</v>
      </c>
      <c r="E5390" t="s">
        <v>505</v>
      </c>
    </row>
    <row r="5391" spans="1:5" x14ac:dyDescent="0.25">
      <c r="A5391" t="s">
        <v>3115</v>
      </c>
      <c r="B5391" t="s">
        <v>5264</v>
      </c>
      <c r="C5391" t="s">
        <v>3060</v>
      </c>
      <c r="D5391" t="s">
        <v>5263</v>
      </c>
      <c r="E5391" t="s">
        <v>812</v>
      </c>
    </row>
    <row r="5392" spans="1:5" x14ac:dyDescent="0.25">
      <c r="A5392" t="s">
        <v>3115</v>
      </c>
      <c r="B5392" t="s">
        <v>5265</v>
      </c>
      <c r="C5392" t="s">
        <v>3060</v>
      </c>
      <c r="D5392" t="s">
        <v>5263</v>
      </c>
      <c r="E5392" t="s">
        <v>2591</v>
      </c>
    </row>
    <row r="5393" spans="1:5" x14ac:dyDescent="0.25">
      <c r="A5393" t="s">
        <v>3115</v>
      </c>
      <c r="B5393" t="s">
        <v>5266</v>
      </c>
      <c r="C5393" t="s">
        <v>3060</v>
      </c>
      <c r="D5393" t="s">
        <v>5263</v>
      </c>
      <c r="E5393" t="s">
        <v>529</v>
      </c>
    </row>
    <row r="5394" spans="1:5" x14ac:dyDescent="0.25">
      <c r="A5394" t="s">
        <v>3115</v>
      </c>
      <c r="B5394" t="s">
        <v>5267</v>
      </c>
      <c r="C5394" t="s">
        <v>3060</v>
      </c>
      <c r="D5394" t="s">
        <v>5268</v>
      </c>
      <c r="E5394" t="s">
        <v>264</v>
      </c>
    </row>
    <row r="5395" spans="1:5" x14ac:dyDescent="0.25">
      <c r="A5395" t="s">
        <v>3115</v>
      </c>
      <c r="B5395" t="s">
        <v>731</v>
      </c>
      <c r="C5395" t="s">
        <v>3060</v>
      </c>
      <c r="D5395" t="s">
        <v>5268</v>
      </c>
      <c r="E5395" t="s">
        <v>212</v>
      </c>
    </row>
    <row r="5396" spans="1:5" x14ac:dyDescent="0.25">
      <c r="A5396" t="s">
        <v>3115</v>
      </c>
      <c r="B5396" t="s">
        <v>2081</v>
      </c>
      <c r="C5396" t="s">
        <v>3060</v>
      </c>
      <c r="D5396" t="s">
        <v>5268</v>
      </c>
      <c r="E5396" t="s">
        <v>1841</v>
      </c>
    </row>
    <row r="5397" spans="1:5" x14ac:dyDescent="0.25">
      <c r="A5397" t="s">
        <v>3115</v>
      </c>
      <c r="B5397" t="s">
        <v>5269</v>
      </c>
      <c r="C5397" t="s">
        <v>3060</v>
      </c>
      <c r="D5397" t="s">
        <v>5268</v>
      </c>
      <c r="E5397" t="s">
        <v>212</v>
      </c>
    </row>
    <row r="5398" spans="1:5" x14ac:dyDescent="0.25">
      <c r="A5398" t="s">
        <v>3115</v>
      </c>
      <c r="B5398" t="s">
        <v>736</v>
      </c>
      <c r="C5398" t="s">
        <v>3060</v>
      </c>
      <c r="D5398" t="s">
        <v>5268</v>
      </c>
      <c r="E5398" t="s">
        <v>2512</v>
      </c>
    </row>
    <row r="5399" spans="1:5" x14ac:dyDescent="0.25">
      <c r="A5399" t="s">
        <v>3115</v>
      </c>
      <c r="B5399" t="s">
        <v>780</v>
      </c>
      <c r="C5399" t="s">
        <v>3060</v>
      </c>
      <c r="D5399" t="s">
        <v>5268</v>
      </c>
      <c r="E5399" t="s">
        <v>212</v>
      </c>
    </row>
    <row r="5400" spans="1:5" x14ac:dyDescent="0.25">
      <c r="A5400" t="s">
        <v>3115</v>
      </c>
      <c r="B5400" t="s">
        <v>707</v>
      </c>
      <c r="C5400" t="s">
        <v>3060</v>
      </c>
      <c r="D5400" t="s">
        <v>3060</v>
      </c>
      <c r="E5400" t="s">
        <v>575</v>
      </c>
    </row>
    <row r="5401" spans="1:5" x14ac:dyDescent="0.25">
      <c r="A5401" t="s">
        <v>3115</v>
      </c>
      <c r="B5401" t="s">
        <v>706</v>
      </c>
      <c r="C5401" t="s">
        <v>3060</v>
      </c>
      <c r="D5401" t="s">
        <v>3060</v>
      </c>
      <c r="E5401" t="s">
        <v>575</v>
      </c>
    </row>
    <row r="5402" spans="1:5" x14ac:dyDescent="0.25">
      <c r="A5402" t="s">
        <v>3115</v>
      </c>
      <c r="B5402" t="s">
        <v>229</v>
      </c>
      <c r="C5402" t="s">
        <v>3060</v>
      </c>
      <c r="D5402" t="s">
        <v>3060</v>
      </c>
      <c r="E5402" t="s">
        <v>252</v>
      </c>
    </row>
    <row r="5403" spans="1:5" x14ac:dyDescent="0.25">
      <c r="A5403" t="s">
        <v>3115</v>
      </c>
      <c r="B5403" t="s">
        <v>230</v>
      </c>
      <c r="C5403" t="s">
        <v>3060</v>
      </c>
      <c r="D5403" t="s">
        <v>3060</v>
      </c>
      <c r="E5403" t="s">
        <v>252</v>
      </c>
    </row>
    <row r="5404" spans="1:5" x14ac:dyDescent="0.25">
      <c r="A5404" t="s">
        <v>3115</v>
      </c>
      <c r="B5404" t="s">
        <v>231</v>
      </c>
      <c r="C5404" t="s">
        <v>3060</v>
      </c>
      <c r="D5404" t="s">
        <v>3060</v>
      </c>
      <c r="E5404" t="s">
        <v>252</v>
      </c>
    </row>
    <row r="5405" spans="1:5" x14ac:dyDescent="0.25">
      <c r="A5405" t="s">
        <v>3115</v>
      </c>
      <c r="B5405" t="s">
        <v>238</v>
      </c>
      <c r="C5405" t="s">
        <v>3060</v>
      </c>
      <c r="D5405" t="s">
        <v>3060</v>
      </c>
      <c r="E5405" t="s">
        <v>235</v>
      </c>
    </row>
    <row r="5406" spans="1:5" x14ac:dyDescent="0.25">
      <c r="A5406" t="s">
        <v>3115</v>
      </c>
      <c r="B5406" t="s">
        <v>183</v>
      </c>
      <c r="C5406" t="s">
        <v>3060</v>
      </c>
      <c r="D5406" t="s">
        <v>3060</v>
      </c>
      <c r="E5406" t="s">
        <v>184</v>
      </c>
    </row>
    <row r="5407" spans="1:5" x14ac:dyDescent="0.25">
      <c r="A5407" t="s">
        <v>3116</v>
      </c>
      <c r="B5407" t="s">
        <v>5270</v>
      </c>
      <c r="C5407" t="s">
        <v>3060</v>
      </c>
      <c r="D5407" t="s">
        <v>5271</v>
      </c>
      <c r="E5407" t="s">
        <v>197</v>
      </c>
    </row>
    <row r="5408" spans="1:5" x14ac:dyDescent="0.25">
      <c r="A5408" t="s">
        <v>3116</v>
      </c>
      <c r="B5408" t="s">
        <v>5272</v>
      </c>
      <c r="C5408" t="s">
        <v>3060</v>
      </c>
      <c r="D5408" t="s">
        <v>5273</v>
      </c>
      <c r="E5408" t="s">
        <v>268</v>
      </c>
    </row>
    <row r="5409" spans="1:5" x14ac:dyDescent="0.25">
      <c r="A5409" t="s">
        <v>3116</v>
      </c>
      <c r="B5409" t="s">
        <v>5274</v>
      </c>
      <c r="C5409" t="s">
        <v>3060</v>
      </c>
      <c r="D5409" t="s">
        <v>5275</v>
      </c>
      <c r="E5409" t="s">
        <v>554</v>
      </c>
    </row>
    <row r="5410" spans="1:5" x14ac:dyDescent="0.25">
      <c r="A5410" t="s">
        <v>3116</v>
      </c>
      <c r="B5410" t="s">
        <v>5276</v>
      </c>
      <c r="C5410" t="s">
        <v>3060</v>
      </c>
      <c r="D5410" t="s">
        <v>5277</v>
      </c>
      <c r="E5410" t="s">
        <v>401</v>
      </c>
    </row>
    <row r="5411" spans="1:5" x14ac:dyDescent="0.25">
      <c r="A5411" t="s">
        <v>3116</v>
      </c>
      <c r="B5411" t="s">
        <v>5278</v>
      </c>
      <c r="C5411" t="s">
        <v>3060</v>
      </c>
      <c r="D5411" t="s">
        <v>5279</v>
      </c>
      <c r="E5411" t="s">
        <v>2014</v>
      </c>
    </row>
    <row r="5412" spans="1:5" x14ac:dyDescent="0.25">
      <c r="A5412" t="s">
        <v>3116</v>
      </c>
      <c r="B5412" t="s">
        <v>5278</v>
      </c>
      <c r="C5412" t="s">
        <v>3060</v>
      </c>
      <c r="D5412" t="s">
        <v>5279</v>
      </c>
      <c r="E5412" t="s">
        <v>2014</v>
      </c>
    </row>
    <row r="5413" spans="1:5" x14ac:dyDescent="0.25">
      <c r="A5413" t="s">
        <v>3116</v>
      </c>
      <c r="B5413" t="s">
        <v>5280</v>
      </c>
      <c r="C5413" t="s">
        <v>3060</v>
      </c>
      <c r="D5413" t="s">
        <v>5281</v>
      </c>
      <c r="E5413" t="s">
        <v>442</v>
      </c>
    </row>
    <row r="5414" spans="1:5" x14ac:dyDescent="0.25">
      <c r="A5414" t="s">
        <v>3116</v>
      </c>
      <c r="B5414" t="s">
        <v>5276</v>
      </c>
      <c r="C5414" t="s">
        <v>3060</v>
      </c>
      <c r="D5414" t="s">
        <v>5277</v>
      </c>
      <c r="E5414" t="s">
        <v>401</v>
      </c>
    </row>
    <row r="5415" spans="1:5" x14ac:dyDescent="0.25">
      <c r="A5415" t="s">
        <v>3116</v>
      </c>
      <c r="B5415" t="s">
        <v>5282</v>
      </c>
      <c r="C5415" t="s">
        <v>3060</v>
      </c>
      <c r="D5415" t="s">
        <v>5283</v>
      </c>
      <c r="E5415" t="s">
        <v>212</v>
      </c>
    </row>
    <row r="5416" spans="1:5" x14ac:dyDescent="0.25">
      <c r="A5416" t="s">
        <v>3116</v>
      </c>
      <c r="B5416" t="s">
        <v>5284</v>
      </c>
      <c r="C5416" t="s">
        <v>3060</v>
      </c>
      <c r="D5416" t="s">
        <v>5285</v>
      </c>
      <c r="E5416" t="s">
        <v>264</v>
      </c>
    </row>
    <row r="5417" spans="1:5" x14ac:dyDescent="0.25">
      <c r="A5417" t="s">
        <v>3116</v>
      </c>
      <c r="B5417" t="s">
        <v>5286</v>
      </c>
      <c r="C5417" t="s">
        <v>3060</v>
      </c>
      <c r="D5417" t="s">
        <v>5287</v>
      </c>
      <c r="E5417" t="s">
        <v>272</v>
      </c>
    </row>
    <row r="5418" spans="1:5" x14ac:dyDescent="0.25">
      <c r="A5418" t="s">
        <v>3116</v>
      </c>
      <c r="B5418" t="s">
        <v>5288</v>
      </c>
      <c r="C5418" t="s">
        <v>3060</v>
      </c>
      <c r="D5418" t="s">
        <v>5289</v>
      </c>
      <c r="E5418" t="s">
        <v>993</v>
      </c>
    </row>
    <row r="5419" spans="1:5" x14ac:dyDescent="0.25">
      <c r="A5419" t="s">
        <v>3116</v>
      </c>
      <c r="B5419" t="s">
        <v>5290</v>
      </c>
      <c r="C5419" t="s">
        <v>3060</v>
      </c>
      <c r="D5419" t="s">
        <v>5291</v>
      </c>
      <c r="E5419" t="s">
        <v>212</v>
      </c>
    </row>
    <row r="5420" spans="1:5" x14ac:dyDescent="0.25">
      <c r="A5420" t="s">
        <v>3116</v>
      </c>
      <c r="B5420" t="s">
        <v>5292</v>
      </c>
      <c r="C5420" t="s">
        <v>3060</v>
      </c>
      <c r="D5420" t="s">
        <v>5293</v>
      </c>
      <c r="E5420" t="s">
        <v>258</v>
      </c>
    </row>
    <row r="5421" spans="1:5" x14ac:dyDescent="0.25">
      <c r="A5421" t="s">
        <v>3116</v>
      </c>
      <c r="B5421" t="s">
        <v>5274</v>
      </c>
      <c r="C5421" t="s">
        <v>3060</v>
      </c>
      <c r="D5421" t="s">
        <v>5275</v>
      </c>
      <c r="E5421" t="s">
        <v>554</v>
      </c>
    </row>
    <row r="5422" spans="1:5" x14ac:dyDescent="0.25">
      <c r="A5422" t="s">
        <v>3116</v>
      </c>
      <c r="B5422" t="s">
        <v>5272</v>
      </c>
      <c r="C5422" t="s">
        <v>3060</v>
      </c>
      <c r="D5422" t="s">
        <v>5273</v>
      </c>
      <c r="E5422" t="s">
        <v>268</v>
      </c>
    </row>
    <row r="5423" spans="1:5" x14ac:dyDescent="0.25">
      <c r="A5423" t="s">
        <v>3116</v>
      </c>
      <c r="B5423" t="s">
        <v>5294</v>
      </c>
      <c r="C5423" t="s">
        <v>3060</v>
      </c>
      <c r="D5423" t="s">
        <v>3060</v>
      </c>
      <c r="E5423" t="s">
        <v>287</v>
      </c>
    </row>
    <row r="5424" spans="1:5" x14ac:dyDescent="0.25">
      <c r="A5424" t="s">
        <v>3116</v>
      </c>
      <c r="B5424" t="s">
        <v>5270</v>
      </c>
      <c r="C5424" t="s">
        <v>3060</v>
      </c>
      <c r="D5424" t="s">
        <v>5271</v>
      </c>
      <c r="E5424" t="s">
        <v>197</v>
      </c>
    </row>
    <row r="5425" spans="1:5" x14ac:dyDescent="0.25">
      <c r="A5425" t="s">
        <v>3116</v>
      </c>
      <c r="B5425" t="s">
        <v>5295</v>
      </c>
      <c r="C5425" t="s">
        <v>3060</v>
      </c>
      <c r="D5425" t="s">
        <v>5296</v>
      </c>
      <c r="E5425" t="s">
        <v>253</v>
      </c>
    </row>
    <row r="5426" spans="1:5" x14ac:dyDescent="0.25">
      <c r="A5426" t="s">
        <v>3116</v>
      </c>
      <c r="B5426" t="s">
        <v>5297</v>
      </c>
      <c r="C5426" t="s">
        <v>3060</v>
      </c>
      <c r="D5426" t="s">
        <v>5298</v>
      </c>
      <c r="E5426" t="s">
        <v>269</v>
      </c>
    </row>
    <row r="5427" spans="1:5" x14ac:dyDescent="0.25">
      <c r="A5427" t="s">
        <v>3116</v>
      </c>
      <c r="B5427" t="s">
        <v>5299</v>
      </c>
      <c r="C5427" t="s">
        <v>3060</v>
      </c>
      <c r="D5427" t="s">
        <v>5300</v>
      </c>
      <c r="E5427" t="s">
        <v>437</v>
      </c>
    </row>
    <row r="5428" spans="1:5" x14ac:dyDescent="0.25">
      <c r="A5428" t="s">
        <v>3116</v>
      </c>
      <c r="B5428" t="s">
        <v>5301</v>
      </c>
      <c r="C5428" t="s">
        <v>3060</v>
      </c>
      <c r="D5428" t="s">
        <v>5302</v>
      </c>
      <c r="E5428" t="s">
        <v>258</v>
      </c>
    </row>
    <row r="5429" spans="1:5" x14ac:dyDescent="0.25">
      <c r="A5429" t="s">
        <v>3116</v>
      </c>
      <c r="B5429" t="s">
        <v>229</v>
      </c>
      <c r="C5429" t="s">
        <v>3060</v>
      </c>
      <c r="D5429" t="s">
        <v>3060</v>
      </c>
      <c r="E5429" t="s">
        <v>252</v>
      </c>
    </row>
    <row r="5430" spans="1:5" x14ac:dyDescent="0.25">
      <c r="A5430" t="s">
        <v>3116</v>
      </c>
      <c r="B5430" t="s">
        <v>230</v>
      </c>
      <c r="C5430" t="s">
        <v>3060</v>
      </c>
      <c r="D5430" t="s">
        <v>3060</v>
      </c>
      <c r="E5430" t="s">
        <v>252</v>
      </c>
    </row>
    <row r="5431" spans="1:5" x14ac:dyDescent="0.25">
      <c r="A5431" t="s">
        <v>3116</v>
      </c>
      <c r="B5431" t="s">
        <v>233</v>
      </c>
      <c r="C5431" t="s">
        <v>3060</v>
      </c>
      <c r="D5431" t="s">
        <v>3060</v>
      </c>
      <c r="E5431" t="s">
        <v>252</v>
      </c>
    </row>
    <row r="5432" spans="1:5" x14ac:dyDescent="0.25">
      <c r="A5432" t="s">
        <v>3116</v>
      </c>
      <c r="B5432" t="s">
        <v>232</v>
      </c>
      <c r="C5432" t="s">
        <v>3060</v>
      </c>
      <c r="D5432" t="s">
        <v>3060</v>
      </c>
      <c r="E5432" t="s">
        <v>252</v>
      </c>
    </row>
    <row r="5433" spans="1:5" x14ac:dyDescent="0.25">
      <c r="A5433" t="s">
        <v>3116</v>
      </c>
      <c r="B5433" t="s">
        <v>178</v>
      </c>
      <c r="C5433" t="s">
        <v>3060</v>
      </c>
      <c r="D5433" t="s">
        <v>3060</v>
      </c>
      <c r="E5433" t="s">
        <v>575</v>
      </c>
    </row>
    <row r="5434" spans="1:5" x14ac:dyDescent="0.25">
      <c r="A5434" t="s">
        <v>3116</v>
      </c>
      <c r="B5434" t="s">
        <v>180</v>
      </c>
      <c r="C5434" t="s">
        <v>3060</v>
      </c>
      <c r="D5434" t="s">
        <v>3060</v>
      </c>
      <c r="E5434" t="s">
        <v>279</v>
      </c>
    </row>
    <row r="5435" spans="1:5" x14ac:dyDescent="0.25">
      <c r="A5435" t="s">
        <v>3116</v>
      </c>
      <c r="B5435" t="s">
        <v>181</v>
      </c>
      <c r="C5435" t="s">
        <v>3060</v>
      </c>
      <c r="D5435" t="s">
        <v>3060</v>
      </c>
      <c r="E5435" t="s">
        <v>235</v>
      </c>
    </row>
    <row r="5436" spans="1:5" x14ac:dyDescent="0.25">
      <c r="A5436" t="s">
        <v>3116</v>
      </c>
      <c r="B5436" t="s">
        <v>183</v>
      </c>
      <c r="C5436" t="s">
        <v>3060</v>
      </c>
      <c r="D5436" t="s">
        <v>3060</v>
      </c>
      <c r="E5436" t="s">
        <v>184</v>
      </c>
    </row>
    <row r="5437" spans="1:5" x14ac:dyDescent="0.25">
      <c r="A5437" t="s">
        <v>3117</v>
      </c>
      <c r="B5437" t="s">
        <v>5303</v>
      </c>
      <c r="C5437" t="s">
        <v>3060</v>
      </c>
      <c r="D5437" t="s">
        <v>5304</v>
      </c>
      <c r="E5437" t="s">
        <v>401</v>
      </c>
    </row>
    <row r="5438" spans="1:5" x14ac:dyDescent="0.25">
      <c r="A5438" t="s">
        <v>3117</v>
      </c>
      <c r="B5438" t="s">
        <v>5305</v>
      </c>
      <c r="C5438" t="s">
        <v>3060</v>
      </c>
      <c r="D5438" t="s">
        <v>5306</v>
      </c>
      <c r="E5438" t="s">
        <v>401</v>
      </c>
    </row>
    <row r="5439" spans="1:5" x14ac:dyDescent="0.25">
      <c r="A5439" t="s">
        <v>3117</v>
      </c>
      <c r="B5439" t="s">
        <v>5307</v>
      </c>
      <c r="C5439" t="s">
        <v>3060</v>
      </c>
      <c r="D5439" t="s">
        <v>5308</v>
      </c>
      <c r="E5439" t="s">
        <v>401</v>
      </c>
    </row>
    <row r="5440" spans="1:5" x14ac:dyDescent="0.25">
      <c r="A5440" t="s">
        <v>3117</v>
      </c>
      <c r="B5440" t="s">
        <v>5309</v>
      </c>
      <c r="C5440" t="s">
        <v>3060</v>
      </c>
      <c r="D5440" t="s">
        <v>5310</v>
      </c>
      <c r="E5440" t="s">
        <v>401</v>
      </c>
    </row>
    <row r="5441" spans="1:5" x14ac:dyDescent="0.25">
      <c r="A5441" t="s">
        <v>3117</v>
      </c>
      <c r="B5441" t="s">
        <v>5311</v>
      </c>
      <c r="C5441" t="s">
        <v>3060</v>
      </c>
      <c r="D5441" t="s">
        <v>5312</v>
      </c>
      <c r="E5441" t="s">
        <v>212</v>
      </c>
    </row>
    <row r="5442" spans="1:5" x14ac:dyDescent="0.25">
      <c r="A5442" t="s">
        <v>3117</v>
      </c>
      <c r="B5442" t="s">
        <v>5311</v>
      </c>
      <c r="C5442" t="s">
        <v>3060</v>
      </c>
      <c r="D5442" t="s">
        <v>5312</v>
      </c>
      <c r="E5442" t="s">
        <v>212</v>
      </c>
    </row>
    <row r="5443" spans="1:5" x14ac:dyDescent="0.25">
      <c r="A5443" t="s">
        <v>3117</v>
      </c>
      <c r="B5443" t="s">
        <v>5313</v>
      </c>
      <c r="C5443" t="s">
        <v>3060</v>
      </c>
      <c r="D5443" t="s">
        <v>5314</v>
      </c>
      <c r="E5443" t="s">
        <v>272</v>
      </c>
    </row>
    <row r="5444" spans="1:5" x14ac:dyDescent="0.25">
      <c r="A5444" t="s">
        <v>3117</v>
      </c>
      <c r="B5444" t="s">
        <v>5303</v>
      </c>
      <c r="C5444" t="s">
        <v>3060</v>
      </c>
      <c r="D5444" t="s">
        <v>5304</v>
      </c>
      <c r="E5444" t="s">
        <v>401</v>
      </c>
    </row>
    <row r="5445" spans="1:5" x14ac:dyDescent="0.25">
      <c r="A5445" t="s">
        <v>3117</v>
      </c>
      <c r="B5445" t="s">
        <v>5307</v>
      </c>
      <c r="C5445" t="s">
        <v>3060</v>
      </c>
      <c r="D5445" t="s">
        <v>5308</v>
      </c>
      <c r="E5445" t="s">
        <v>401</v>
      </c>
    </row>
    <row r="5446" spans="1:5" x14ac:dyDescent="0.25">
      <c r="A5446" t="s">
        <v>3117</v>
      </c>
      <c r="B5446" t="s">
        <v>5305</v>
      </c>
      <c r="C5446" t="s">
        <v>3060</v>
      </c>
      <c r="D5446" t="s">
        <v>5306</v>
      </c>
      <c r="E5446" t="s">
        <v>401</v>
      </c>
    </row>
    <row r="5447" spans="1:5" x14ac:dyDescent="0.25">
      <c r="A5447" t="s">
        <v>3117</v>
      </c>
      <c r="B5447" t="s">
        <v>5309</v>
      </c>
      <c r="C5447" t="s">
        <v>3060</v>
      </c>
      <c r="D5447" t="s">
        <v>5310</v>
      </c>
      <c r="E5447" t="s">
        <v>401</v>
      </c>
    </row>
    <row r="5448" spans="1:5" x14ac:dyDescent="0.25">
      <c r="A5448" t="s">
        <v>3117</v>
      </c>
      <c r="B5448" t="s">
        <v>5315</v>
      </c>
      <c r="C5448" t="s">
        <v>3060</v>
      </c>
      <c r="D5448" t="s">
        <v>5316</v>
      </c>
      <c r="E5448" t="s">
        <v>401</v>
      </c>
    </row>
    <row r="5449" spans="1:5" x14ac:dyDescent="0.25">
      <c r="A5449" t="s">
        <v>3117</v>
      </c>
      <c r="B5449" t="s">
        <v>5317</v>
      </c>
      <c r="C5449" t="s">
        <v>3060</v>
      </c>
      <c r="D5449" t="s">
        <v>3060</v>
      </c>
      <c r="E5449" t="s">
        <v>582</v>
      </c>
    </row>
    <row r="5450" spans="1:5" x14ac:dyDescent="0.25">
      <c r="A5450" t="s">
        <v>3117</v>
      </c>
      <c r="B5450" t="s">
        <v>5318</v>
      </c>
      <c r="C5450" t="s">
        <v>3060</v>
      </c>
      <c r="D5450" t="s">
        <v>3060</v>
      </c>
      <c r="E5450" t="s">
        <v>202</v>
      </c>
    </row>
    <row r="5451" spans="1:5" x14ac:dyDescent="0.25">
      <c r="A5451" t="s">
        <v>3117</v>
      </c>
      <c r="B5451" t="s">
        <v>5319</v>
      </c>
      <c r="C5451" t="s">
        <v>3060</v>
      </c>
      <c r="D5451" t="s">
        <v>5320</v>
      </c>
      <c r="E5451" t="s">
        <v>202</v>
      </c>
    </row>
    <row r="5452" spans="1:5" x14ac:dyDescent="0.25">
      <c r="A5452" t="s">
        <v>3117</v>
      </c>
      <c r="B5452" t="s">
        <v>5321</v>
      </c>
      <c r="C5452" t="s">
        <v>3060</v>
      </c>
      <c r="D5452" t="s">
        <v>3060</v>
      </c>
      <c r="E5452" t="s">
        <v>554</v>
      </c>
    </row>
    <row r="5453" spans="1:5" x14ac:dyDescent="0.25">
      <c r="A5453" t="s">
        <v>3117</v>
      </c>
      <c r="B5453" t="s">
        <v>5322</v>
      </c>
      <c r="C5453" t="s">
        <v>3060</v>
      </c>
      <c r="D5453" t="s">
        <v>3060</v>
      </c>
      <c r="E5453" t="s">
        <v>202</v>
      </c>
    </row>
    <row r="5454" spans="1:5" x14ac:dyDescent="0.25">
      <c r="A5454" t="s">
        <v>3117</v>
      </c>
      <c r="B5454" t="s">
        <v>5323</v>
      </c>
      <c r="C5454" t="s">
        <v>3060</v>
      </c>
      <c r="D5454" t="s">
        <v>3060</v>
      </c>
      <c r="E5454" t="s">
        <v>554</v>
      </c>
    </row>
    <row r="5455" spans="1:5" x14ac:dyDescent="0.25">
      <c r="A5455" t="s">
        <v>3117</v>
      </c>
      <c r="B5455" t="s">
        <v>5324</v>
      </c>
      <c r="C5455" t="s">
        <v>3060</v>
      </c>
      <c r="D5455" t="s">
        <v>3060</v>
      </c>
      <c r="E5455" t="s">
        <v>202</v>
      </c>
    </row>
    <row r="5456" spans="1:5" x14ac:dyDescent="0.25">
      <c r="A5456" t="s">
        <v>3117</v>
      </c>
      <c r="B5456" t="s">
        <v>5325</v>
      </c>
      <c r="C5456" t="s">
        <v>3060</v>
      </c>
      <c r="D5456" t="s">
        <v>5326</v>
      </c>
      <c r="E5456" t="s">
        <v>202</v>
      </c>
    </row>
    <row r="5457" spans="1:5" x14ac:dyDescent="0.25">
      <c r="A5457" t="s">
        <v>3117</v>
      </c>
      <c r="B5457" t="s">
        <v>642</v>
      </c>
      <c r="C5457" t="s">
        <v>3060</v>
      </c>
      <c r="D5457" t="s">
        <v>3060</v>
      </c>
      <c r="E5457" t="s">
        <v>287</v>
      </c>
    </row>
    <row r="5458" spans="1:5" x14ac:dyDescent="0.25">
      <c r="A5458" t="s">
        <v>3117</v>
      </c>
      <c r="B5458" t="s">
        <v>229</v>
      </c>
      <c r="C5458" t="s">
        <v>3060</v>
      </c>
      <c r="D5458" t="s">
        <v>3060</v>
      </c>
      <c r="E5458" t="s">
        <v>287</v>
      </c>
    </row>
    <row r="5459" spans="1:5" x14ac:dyDescent="0.25">
      <c r="A5459" t="s">
        <v>3117</v>
      </c>
      <c r="B5459" t="s">
        <v>643</v>
      </c>
      <c r="C5459" t="s">
        <v>3060</v>
      </c>
      <c r="D5459" t="s">
        <v>3060</v>
      </c>
      <c r="E5459" t="s">
        <v>287</v>
      </c>
    </row>
    <row r="5460" spans="1:5" x14ac:dyDescent="0.25">
      <c r="A5460" t="s">
        <v>3117</v>
      </c>
      <c r="B5460" t="s">
        <v>230</v>
      </c>
      <c r="C5460" t="s">
        <v>3060</v>
      </c>
      <c r="D5460" t="s">
        <v>3060</v>
      </c>
      <c r="E5460" t="s">
        <v>287</v>
      </c>
    </row>
    <row r="5461" spans="1:5" x14ac:dyDescent="0.25">
      <c r="A5461" t="s">
        <v>3117</v>
      </c>
      <c r="B5461" t="s">
        <v>231</v>
      </c>
      <c r="C5461" t="s">
        <v>3060</v>
      </c>
      <c r="D5461" t="s">
        <v>3060</v>
      </c>
      <c r="E5461" t="s">
        <v>268</v>
      </c>
    </row>
    <row r="5462" spans="1:5" x14ac:dyDescent="0.25">
      <c r="A5462" t="s">
        <v>3117</v>
      </c>
      <c r="B5462" t="s">
        <v>233</v>
      </c>
      <c r="C5462" t="s">
        <v>3060</v>
      </c>
      <c r="D5462" t="s">
        <v>3060</v>
      </c>
      <c r="E5462" t="s">
        <v>287</v>
      </c>
    </row>
    <row r="5463" spans="1:5" x14ac:dyDescent="0.25">
      <c r="A5463" t="s">
        <v>3117</v>
      </c>
      <c r="B5463" t="s">
        <v>232</v>
      </c>
      <c r="C5463" t="s">
        <v>3060</v>
      </c>
      <c r="D5463" t="s">
        <v>3060</v>
      </c>
      <c r="E5463" t="s">
        <v>287</v>
      </c>
    </row>
    <row r="5464" spans="1:5" x14ac:dyDescent="0.25">
      <c r="A5464" t="s">
        <v>3117</v>
      </c>
      <c r="B5464" t="s">
        <v>177</v>
      </c>
      <c r="C5464" t="s">
        <v>3060</v>
      </c>
      <c r="D5464" t="s">
        <v>3060</v>
      </c>
      <c r="E5464" t="s">
        <v>268</v>
      </c>
    </row>
    <row r="5465" spans="1:5" x14ac:dyDescent="0.25">
      <c r="A5465" t="s">
        <v>3117</v>
      </c>
      <c r="B5465" t="s">
        <v>234</v>
      </c>
      <c r="C5465" t="s">
        <v>3060</v>
      </c>
      <c r="D5465" t="s">
        <v>3060</v>
      </c>
      <c r="E5465" t="s">
        <v>207</v>
      </c>
    </row>
    <row r="5466" spans="1:5" x14ac:dyDescent="0.25">
      <c r="A5466" t="s">
        <v>3117</v>
      </c>
      <c r="B5466" t="s">
        <v>5327</v>
      </c>
      <c r="C5466" t="s">
        <v>3060</v>
      </c>
      <c r="D5466" t="s">
        <v>3060</v>
      </c>
      <c r="E5466" t="s">
        <v>656</v>
      </c>
    </row>
    <row r="5467" spans="1:5" x14ac:dyDescent="0.25">
      <c r="A5467" t="s">
        <v>3117</v>
      </c>
      <c r="B5467" t="s">
        <v>179</v>
      </c>
      <c r="C5467" t="s">
        <v>3060</v>
      </c>
      <c r="D5467" t="s">
        <v>3060</v>
      </c>
      <c r="E5467" t="s">
        <v>575</v>
      </c>
    </row>
    <row r="5468" spans="1:5" x14ac:dyDescent="0.25">
      <c r="A5468" t="s">
        <v>3117</v>
      </c>
      <c r="B5468" t="s">
        <v>180</v>
      </c>
      <c r="C5468" t="s">
        <v>3060</v>
      </c>
      <c r="D5468" t="s">
        <v>3060</v>
      </c>
      <c r="E5468" t="s">
        <v>235</v>
      </c>
    </row>
    <row r="5469" spans="1:5" x14ac:dyDescent="0.25">
      <c r="A5469" t="s">
        <v>3117</v>
      </c>
      <c r="B5469" t="s">
        <v>181</v>
      </c>
      <c r="C5469" t="s">
        <v>3060</v>
      </c>
      <c r="D5469" t="s">
        <v>3060</v>
      </c>
      <c r="E5469" t="s">
        <v>286</v>
      </c>
    </row>
    <row r="5470" spans="1:5" x14ac:dyDescent="0.25">
      <c r="A5470" t="s">
        <v>3117</v>
      </c>
      <c r="B5470" t="s">
        <v>242</v>
      </c>
      <c r="C5470" t="s">
        <v>3060</v>
      </c>
      <c r="D5470" t="s">
        <v>3060</v>
      </c>
      <c r="E5470" t="s">
        <v>202</v>
      </c>
    </row>
    <row r="5471" spans="1:5" x14ac:dyDescent="0.25">
      <c r="A5471" t="s">
        <v>3117</v>
      </c>
      <c r="B5471" t="s">
        <v>1264</v>
      </c>
      <c r="C5471" t="s">
        <v>3060</v>
      </c>
      <c r="D5471" t="s">
        <v>3060</v>
      </c>
      <c r="E5471" t="s">
        <v>202</v>
      </c>
    </row>
    <row r="5472" spans="1:5" x14ac:dyDescent="0.25">
      <c r="A5472" t="s">
        <v>3117</v>
      </c>
      <c r="B5472" t="s">
        <v>1265</v>
      </c>
      <c r="C5472" t="s">
        <v>3060</v>
      </c>
      <c r="D5472" t="s">
        <v>3060</v>
      </c>
      <c r="E5472" t="s">
        <v>202</v>
      </c>
    </row>
    <row r="5473" spans="1:5" x14ac:dyDescent="0.25">
      <c r="A5473" t="s">
        <v>3117</v>
      </c>
      <c r="B5473" t="s">
        <v>1266</v>
      </c>
      <c r="C5473" t="s">
        <v>3060</v>
      </c>
      <c r="D5473" t="s">
        <v>3060</v>
      </c>
      <c r="E5473" t="s">
        <v>287</v>
      </c>
    </row>
    <row r="5474" spans="1:5" x14ac:dyDescent="0.25">
      <c r="A5474" t="s">
        <v>3117</v>
      </c>
      <c r="B5474" t="s">
        <v>327</v>
      </c>
      <c r="C5474" t="s">
        <v>3060</v>
      </c>
      <c r="D5474" t="s">
        <v>3060</v>
      </c>
      <c r="E5474" t="s">
        <v>202</v>
      </c>
    </row>
    <row r="5475" spans="1:5" x14ac:dyDescent="0.25">
      <c r="A5475" t="s">
        <v>3117</v>
      </c>
      <c r="B5475" t="s">
        <v>5328</v>
      </c>
      <c r="C5475" t="s">
        <v>3060</v>
      </c>
      <c r="D5475" t="s">
        <v>3060</v>
      </c>
      <c r="E5475" t="s">
        <v>202</v>
      </c>
    </row>
    <row r="5476" spans="1:5" x14ac:dyDescent="0.25">
      <c r="A5476" t="s">
        <v>3117</v>
      </c>
      <c r="B5476" t="s">
        <v>183</v>
      </c>
      <c r="C5476" t="s">
        <v>3060</v>
      </c>
      <c r="D5476" t="s">
        <v>3060</v>
      </c>
      <c r="E5476" t="s">
        <v>184</v>
      </c>
    </row>
    <row r="5477" spans="1:5" x14ac:dyDescent="0.25">
      <c r="A5477" t="s">
        <v>3119</v>
      </c>
      <c r="B5477" t="s">
        <v>5329</v>
      </c>
      <c r="C5477" t="s">
        <v>3060</v>
      </c>
      <c r="D5477" t="s">
        <v>5330</v>
      </c>
      <c r="E5477" t="s">
        <v>4917</v>
      </c>
    </row>
    <row r="5478" spans="1:5" x14ac:dyDescent="0.25">
      <c r="A5478" t="s">
        <v>3119</v>
      </c>
      <c r="B5478" t="s">
        <v>5331</v>
      </c>
      <c r="C5478" t="s">
        <v>3060</v>
      </c>
      <c r="D5478" t="s">
        <v>5332</v>
      </c>
      <c r="E5478" t="s">
        <v>2041</v>
      </c>
    </row>
    <row r="5479" spans="1:5" x14ac:dyDescent="0.25">
      <c r="A5479" t="s">
        <v>3119</v>
      </c>
      <c r="B5479" t="s">
        <v>1692</v>
      </c>
      <c r="C5479" t="s">
        <v>3060</v>
      </c>
      <c r="D5479" t="s">
        <v>5333</v>
      </c>
      <c r="E5479" t="s">
        <v>256</v>
      </c>
    </row>
    <row r="5480" spans="1:5" x14ac:dyDescent="0.25">
      <c r="A5480" t="s">
        <v>3119</v>
      </c>
      <c r="B5480" t="s">
        <v>5334</v>
      </c>
      <c r="C5480" t="s">
        <v>3060</v>
      </c>
      <c r="D5480" t="s">
        <v>5335</v>
      </c>
      <c r="E5480" t="s">
        <v>2192</v>
      </c>
    </row>
    <row r="5481" spans="1:5" x14ac:dyDescent="0.25">
      <c r="A5481" t="s">
        <v>3119</v>
      </c>
      <c r="B5481" t="s">
        <v>3240</v>
      </c>
      <c r="C5481" t="s">
        <v>3060</v>
      </c>
      <c r="D5481" t="s">
        <v>3060</v>
      </c>
      <c r="E5481" t="s">
        <v>401</v>
      </c>
    </row>
    <row r="5482" spans="1:5" x14ac:dyDescent="0.25">
      <c r="A5482" t="s">
        <v>3119</v>
      </c>
      <c r="B5482" t="s">
        <v>5336</v>
      </c>
      <c r="C5482" t="s">
        <v>3060</v>
      </c>
      <c r="D5482" t="s">
        <v>5337</v>
      </c>
      <c r="E5482" t="s">
        <v>5338</v>
      </c>
    </row>
    <row r="5483" spans="1:5" x14ac:dyDescent="0.25">
      <c r="A5483" t="s">
        <v>3119</v>
      </c>
      <c r="B5483" t="s">
        <v>2413</v>
      </c>
      <c r="C5483" t="s">
        <v>3060</v>
      </c>
      <c r="D5483" t="s">
        <v>5339</v>
      </c>
      <c r="E5483" t="s">
        <v>479</v>
      </c>
    </row>
    <row r="5484" spans="1:5" x14ac:dyDescent="0.25">
      <c r="A5484" t="s">
        <v>3119</v>
      </c>
      <c r="B5484" t="s">
        <v>5340</v>
      </c>
      <c r="C5484" t="s">
        <v>3060</v>
      </c>
      <c r="D5484" t="s">
        <v>5341</v>
      </c>
      <c r="E5484" t="s">
        <v>479</v>
      </c>
    </row>
    <row r="5485" spans="1:5" x14ac:dyDescent="0.25">
      <c r="A5485" t="s">
        <v>3119</v>
      </c>
      <c r="B5485" t="s">
        <v>5342</v>
      </c>
      <c r="C5485" t="s">
        <v>3060</v>
      </c>
      <c r="D5485" t="s">
        <v>5343</v>
      </c>
      <c r="E5485" t="s">
        <v>272</v>
      </c>
    </row>
    <row r="5486" spans="1:5" x14ac:dyDescent="0.25">
      <c r="A5486" t="s">
        <v>3119</v>
      </c>
      <c r="B5486" t="s">
        <v>5344</v>
      </c>
      <c r="C5486" t="s">
        <v>3060</v>
      </c>
      <c r="D5486" t="s">
        <v>5345</v>
      </c>
      <c r="E5486" t="s">
        <v>1912</v>
      </c>
    </row>
    <row r="5487" spans="1:5" x14ac:dyDescent="0.25">
      <c r="A5487" t="s">
        <v>3119</v>
      </c>
      <c r="B5487" t="s">
        <v>5346</v>
      </c>
      <c r="C5487" t="s">
        <v>3060</v>
      </c>
      <c r="D5487" t="s">
        <v>5347</v>
      </c>
      <c r="E5487" t="s">
        <v>1912</v>
      </c>
    </row>
    <row r="5488" spans="1:5" x14ac:dyDescent="0.25">
      <c r="A5488" t="s">
        <v>3119</v>
      </c>
      <c r="B5488" t="s">
        <v>5348</v>
      </c>
      <c r="C5488" t="s">
        <v>3060</v>
      </c>
      <c r="D5488" t="s">
        <v>5349</v>
      </c>
      <c r="E5488" t="s">
        <v>1912</v>
      </c>
    </row>
    <row r="5489" spans="1:5" x14ac:dyDescent="0.25">
      <c r="A5489" t="s">
        <v>3119</v>
      </c>
      <c r="B5489" t="s">
        <v>5334</v>
      </c>
      <c r="C5489" t="s">
        <v>3060</v>
      </c>
      <c r="D5489" t="s">
        <v>5335</v>
      </c>
      <c r="E5489" t="s">
        <v>2192</v>
      </c>
    </row>
    <row r="5490" spans="1:5" x14ac:dyDescent="0.25">
      <c r="A5490" t="s">
        <v>3119</v>
      </c>
      <c r="B5490" t="s">
        <v>5329</v>
      </c>
      <c r="C5490" t="s">
        <v>3060</v>
      </c>
      <c r="D5490" t="s">
        <v>5330</v>
      </c>
      <c r="E5490" t="s">
        <v>4917</v>
      </c>
    </row>
    <row r="5491" spans="1:5" x14ac:dyDescent="0.25">
      <c r="A5491" t="s">
        <v>3119</v>
      </c>
      <c r="B5491" t="s">
        <v>5350</v>
      </c>
      <c r="C5491" t="s">
        <v>3060</v>
      </c>
      <c r="D5491" t="s">
        <v>5351</v>
      </c>
      <c r="E5491" t="s">
        <v>1848</v>
      </c>
    </row>
    <row r="5492" spans="1:5" x14ac:dyDescent="0.25">
      <c r="A5492" t="s">
        <v>3119</v>
      </c>
      <c r="B5492" t="s">
        <v>5352</v>
      </c>
      <c r="C5492" t="s">
        <v>3060</v>
      </c>
      <c r="D5492" t="s">
        <v>5353</v>
      </c>
      <c r="E5492" t="s">
        <v>4244</v>
      </c>
    </row>
    <row r="5493" spans="1:5" x14ac:dyDescent="0.25">
      <c r="A5493" t="s">
        <v>3119</v>
      </c>
      <c r="B5493" t="s">
        <v>2046</v>
      </c>
      <c r="C5493" t="s">
        <v>3060</v>
      </c>
      <c r="D5493" t="s">
        <v>5354</v>
      </c>
      <c r="E5493" t="s">
        <v>258</v>
      </c>
    </row>
    <row r="5494" spans="1:5" x14ac:dyDescent="0.25">
      <c r="A5494" t="s">
        <v>3119</v>
      </c>
      <c r="B5494" t="s">
        <v>5355</v>
      </c>
      <c r="C5494" t="s">
        <v>3060</v>
      </c>
      <c r="D5494" t="s">
        <v>5356</v>
      </c>
      <c r="E5494" t="s">
        <v>401</v>
      </c>
    </row>
    <row r="5495" spans="1:5" x14ac:dyDescent="0.25">
      <c r="A5495" t="s">
        <v>3119</v>
      </c>
      <c r="B5495" t="s">
        <v>2048</v>
      </c>
      <c r="C5495" t="s">
        <v>3060</v>
      </c>
      <c r="D5495" t="s">
        <v>5357</v>
      </c>
      <c r="E5495" t="s">
        <v>401</v>
      </c>
    </row>
    <row r="5496" spans="1:5" x14ac:dyDescent="0.25">
      <c r="A5496" t="s">
        <v>3119</v>
      </c>
      <c r="B5496" t="s">
        <v>5358</v>
      </c>
      <c r="C5496" t="s">
        <v>3060</v>
      </c>
      <c r="D5496" t="s">
        <v>5359</v>
      </c>
      <c r="E5496" t="s">
        <v>212</v>
      </c>
    </row>
    <row r="5497" spans="1:5" x14ac:dyDescent="0.25">
      <c r="A5497" t="s">
        <v>3119</v>
      </c>
      <c r="B5497" t="s">
        <v>5360</v>
      </c>
      <c r="C5497" t="s">
        <v>3060</v>
      </c>
      <c r="D5497" t="s">
        <v>5361</v>
      </c>
      <c r="E5497" t="s">
        <v>401</v>
      </c>
    </row>
    <row r="5498" spans="1:5" x14ac:dyDescent="0.25">
      <c r="A5498" t="s">
        <v>3119</v>
      </c>
      <c r="B5498" t="s">
        <v>5362</v>
      </c>
      <c r="C5498" t="s">
        <v>3060</v>
      </c>
      <c r="D5498" t="s">
        <v>5363</v>
      </c>
      <c r="E5498" t="s">
        <v>401</v>
      </c>
    </row>
    <row r="5499" spans="1:5" x14ac:dyDescent="0.25">
      <c r="A5499" t="s">
        <v>3119</v>
      </c>
      <c r="B5499" t="s">
        <v>5364</v>
      </c>
      <c r="C5499" t="s">
        <v>3060</v>
      </c>
      <c r="D5499" t="s">
        <v>3060</v>
      </c>
      <c r="E5499" t="s">
        <v>401</v>
      </c>
    </row>
    <row r="5500" spans="1:5" x14ac:dyDescent="0.25">
      <c r="A5500" t="s">
        <v>3119</v>
      </c>
      <c r="B5500" t="s">
        <v>5365</v>
      </c>
      <c r="C5500" t="s">
        <v>3060</v>
      </c>
      <c r="D5500" t="s">
        <v>5361</v>
      </c>
      <c r="E5500" t="s">
        <v>425</v>
      </c>
    </row>
    <row r="5501" spans="1:5" x14ac:dyDescent="0.25">
      <c r="A5501" t="s">
        <v>3119</v>
      </c>
      <c r="B5501" t="s">
        <v>495</v>
      </c>
      <c r="C5501" t="s">
        <v>3060</v>
      </c>
      <c r="D5501" t="s">
        <v>5366</v>
      </c>
      <c r="E5501" t="s">
        <v>401</v>
      </c>
    </row>
    <row r="5502" spans="1:5" x14ac:dyDescent="0.25">
      <c r="A5502" t="s">
        <v>3119</v>
      </c>
      <c r="B5502" t="s">
        <v>5367</v>
      </c>
      <c r="C5502" t="s">
        <v>3060</v>
      </c>
      <c r="D5502" t="s">
        <v>5361</v>
      </c>
      <c r="E5502" t="s">
        <v>401</v>
      </c>
    </row>
    <row r="5503" spans="1:5" x14ac:dyDescent="0.25">
      <c r="A5503" t="s">
        <v>3119</v>
      </c>
      <c r="B5503" t="s">
        <v>5368</v>
      </c>
      <c r="C5503" t="s">
        <v>3060</v>
      </c>
      <c r="D5503" t="s">
        <v>5369</v>
      </c>
      <c r="E5503" t="s">
        <v>401</v>
      </c>
    </row>
    <row r="5504" spans="1:5" x14ac:dyDescent="0.25">
      <c r="A5504" t="s">
        <v>3119</v>
      </c>
      <c r="B5504" t="s">
        <v>5370</v>
      </c>
      <c r="C5504" t="s">
        <v>3060</v>
      </c>
      <c r="D5504" t="s">
        <v>5361</v>
      </c>
      <c r="E5504" t="s">
        <v>505</v>
      </c>
    </row>
    <row r="5505" spans="1:5" x14ac:dyDescent="0.25">
      <c r="A5505" t="s">
        <v>3119</v>
      </c>
      <c r="B5505" t="s">
        <v>5371</v>
      </c>
      <c r="C5505" t="s">
        <v>3060</v>
      </c>
      <c r="D5505" t="s">
        <v>5372</v>
      </c>
      <c r="E5505" t="s">
        <v>212</v>
      </c>
    </row>
    <row r="5506" spans="1:5" x14ac:dyDescent="0.25">
      <c r="A5506" t="s">
        <v>3119</v>
      </c>
      <c r="B5506" t="s">
        <v>2610</v>
      </c>
      <c r="C5506" t="s">
        <v>3060</v>
      </c>
      <c r="D5506" t="s">
        <v>5373</v>
      </c>
      <c r="E5506" t="s">
        <v>425</v>
      </c>
    </row>
    <row r="5507" spans="1:5" x14ac:dyDescent="0.25">
      <c r="A5507" t="s">
        <v>3119</v>
      </c>
      <c r="B5507" t="s">
        <v>1159</v>
      </c>
      <c r="C5507" t="s">
        <v>3060</v>
      </c>
      <c r="D5507" t="s">
        <v>5374</v>
      </c>
      <c r="E5507" t="s">
        <v>401</v>
      </c>
    </row>
    <row r="5508" spans="1:5" x14ac:dyDescent="0.25">
      <c r="A5508" t="s">
        <v>3119</v>
      </c>
      <c r="B5508" t="s">
        <v>142</v>
      </c>
      <c r="C5508" t="s">
        <v>3060</v>
      </c>
      <c r="D5508" t="s">
        <v>5375</v>
      </c>
      <c r="E5508" t="s">
        <v>212</v>
      </c>
    </row>
    <row r="5509" spans="1:5" x14ac:dyDescent="0.25">
      <c r="A5509" t="s">
        <v>3119</v>
      </c>
      <c r="B5509" t="s">
        <v>5376</v>
      </c>
      <c r="C5509" t="s">
        <v>3060</v>
      </c>
      <c r="D5509" t="s">
        <v>5377</v>
      </c>
      <c r="E5509" t="s">
        <v>812</v>
      </c>
    </row>
    <row r="5510" spans="1:5" x14ac:dyDescent="0.25">
      <c r="A5510" t="s">
        <v>3119</v>
      </c>
      <c r="B5510" t="s">
        <v>5378</v>
      </c>
      <c r="C5510" t="s">
        <v>3060</v>
      </c>
      <c r="D5510" t="s">
        <v>5379</v>
      </c>
      <c r="E5510" t="s">
        <v>2085</v>
      </c>
    </row>
    <row r="5511" spans="1:5" x14ac:dyDescent="0.25">
      <c r="A5511" t="s">
        <v>3119</v>
      </c>
      <c r="B5511" t="s">
        <v>5380</v>
      </c>
      <c r="C5511" t="s">
        <v>3060</v>
      </c>
      <c r="D5511" t="s">
        <v>5381</v>
      </c>
      <c r="E5511" t="s">
        <v>2085</v>
      </c>
    </row>
    <row r="5512" spans="1:5" x14ac:dyDescent="0.25">
      <c r="A5512" t="s">
        <v>3119</v>
      </c>
      <c r="B5512" t="s">
        <v>5382</v>
      </c>
      <c r="C5512" t="s">
        <v>3060</v>
      </c>
      <c r="D5512" t="s">
        <v>5383</v>
      </c>
      <c r="E5512" t="s">
        <v>2085</v>
      </c>
    </row>
    <row r="5513" spans="1:5" x14ac:dyDescent="0.25">
      <c r="A5513" t="s">
        <v>3119</v>
      </c>
      <c r="B5513" t="s">
        <v>5384</v>
      </c>
      <c r="C5513" t="s">
        <v>3060</v>
      </c>
      <c r="D5513" t="s">
        <v>5385</v>
      </c>
      <c r="E5513" t="s">
        <v>256</v>
      </c>
    </row>
    <row r="5514" spans="1:5" x14ac:dyDescent="0.25">
      <c r="A5514" t="s">
        <v>3119</v>
      </c>
      <c r="B5514" t="s">
        <v>731</v>
      </c>
      <c r="C5514" t="s">
        <v>3060</v>
      </c>
      <c r="D5514" t="s">
        <v>5386</v>
      </c>
      <c r="E5514" t="s">
        <v>256</v>
      </c>
    </row>
    <row r="5515" spans="1:5" x14ac:dyDescent="0.25">
      <c r="A5515" t="s">
        <v>3119</v>
      </c>
      <c r="B5515" t="s">
        <v>4878</v>
      </c>
      <c r="C5515" t="s">
        <v>3060</v>
      </c>
      <c r="D5515" t="s">
        <v>5387</v>
      </c>
      <c r="E5515" t="s">
        <v>1846</v>
      </c>
    </row>
    <row r="5516" spans="1:5" x14ac:dyDescent="0.25">
      <c r="A5516" t="s">
        <v>3119</v>
      </c>
      <c r="B5516" t="s">
        <v>5388</v>
      </c>
      <c r="C5516" t="s">
        <v>3060</v>
      </c>
      <c r="D5516" t="s">
        <v>5389</v>
      </c>
      <c r="E5516" t="s">
        <v>1912</v>
      </c>
    </row>
    <row r="5517" spans="1:5" x14ac:dyDescent="0.25">
      <c r="A5517" t="s">
        <v>3119</v>
      </c>
      <c r="B5517" t="s">
        <v>5390</v>
      </c>
      <c r="C5517" t="s">
        <v>3060</v>
      </c>
      <c r="D5517" t="s">
        <v>5391</v>
      </c>
      <c r="E5517" t="s">
        <v>812</v>
      </c>
    </row>
    <row r="5518" spans="1:5" x14ac:dyDescent="0.25">
      <c r="A5518" t="s">
        <v>3119</v>
      </c>
      <c r="B5518" t="s">
        <v>5392</v>
      </c>
      <c r="C5518" t="s">
        <v>3060</v>
      </c>
      <c r="D5518" t="s">
        <v>5393</v>
      </c>
      <c r="E5518" t="s">
        <v>479</v>
      </c>
    </row>
    <row r="5519" spans="1:5" x14ac:dyDescent="0.25">
      <c r="A5519" t="s">
        <v>3119</v>
      </c>
      <c r="B5519" t="s">
        <v>5394</v>
      </c>
      <c r="C5519" t="s">
        <v>3060</v>
      </c>
      <c r="D5519" t="s">
        <v>5395</v>
      </c>
      <c r="E5519" t="s">
        <v>272</v>
      </c>
    </row>
    <row r="5520" spans="1:5" x14ac:dyDescent="0.25">
      <c r="A5520" t="s">
        <v>3119</v>
      </c>
      <c r="B5520" t="s">
        <v>667</v>
      </c>
      <c r="C5520" t="s">
        <v>3060</v>
      </c>
      <c r="D5520" t="s">
        <v>5396</v>
      </c>
      <c r="E5520" t="s">
        <v>214</v>
      </c>
    </row>
    <row r="5521" spans="1:5" x14ac:dyDescent="0.25">
      <c r="A5521" t="s">
        <v>3119</v>
      </c>
      <c r="B5521" t="s">
        <v>5397</v>
      </c>
      <c r="C5521" t="s">
        <v>3060</v>
      </c>
      <c r="D5521" t="s">
        <v>5398</v>
      </c>
      <c r="E5521" t="s">
        <v>4244</v>
      </c>
    </row>
    <row r="5522" spans="1:5" x14ac:dyDescent="0.25">
      <c r="A5522" t="s">
        <v>3119</v>
      </c>
      <c r="B5522" t="s">
        <v>5399</v>
      </c>
      <c r="C5522" t="s">
        <v>3060</v>
      </c>
      <c r="D5522" t="s">
        <v>5400</v>
      </c>
      <c r="E5522" t="s">
        <v>218</v>
      </c>
    </row>
    <row r="5523" spans="1:5" x14ac:dyDescent="0.25">
      <c r="A5523" t="s">
        <v>3119</v>
      </c>
      <c r="B5523" t="s">
        <v>5401</v>
      </c>
      <c r="C5523" t="s">
        <v>3060</v>
      </c>
      <c r="D5523" t="s">
        <v>5402</v>
      </c>
      <c r="E5523" t="s">
        <v>218</v>
      </c>
    </row>
    <row r="5524" spans="1:5" x14ac:dyDescent="0.25">
      <c r="A5524" t="s">
        <v>3119</v>
      </c>
      <c r="B5524" t="s">
        <v>5403</v>
      </c>
      <c r="C5524" t="s">
        <v>3060</v>
      </c>
      <c r="D5524" t="s">
        <v>5404</v>
      </c>
      <c r="E5524" t="s">
        <v>505</v>
      </c>
    </row>
    <row r="5525" spans="1:5" x14ac:dyDescent="0.25">
      <c r="A5525" t="s">
        <v>3119</v>
      </c>
      <c r="B5525" t="s">
        <v>5405</v>
      </c>
      <c r="C5525" t="s">
        <v>3060</v>
      </c>
      <c r="D5525" t="s">
        <v>5406</v>
      </c>
      <c r="E5525" t="s">
        <v>1841</v>
      </c>
    </row>
    <row r="5526" spans="1:5" x14ac:dyDescent="0.25">
      <c r="A5526" t="s">
        <v>3119</v>
      </c>
      <c r="B5526" t="s">
        <v>2579</v>
      </c>
      <c r="C5526" t="s">
        <v>3060</v>
      </c>
      <c r="D5526" t="s">
        <v>5407</v>
      </c>
      <c r="E5526" t="s">
        <v>425</v>
      </c>
    </row>
    <row r="5527" spans="1:5" x14ac:dyDescent="0.25">
      <c r="A5527" t="s">
        <v>3119</v>
      </c>
      <c r="B5527" t="s">
        <v>5408</v>
      </c>
      <c r="C5527" t="s">
        <v>3060</v>
      </c>
      <c r="D5527" t="s">
        <v>5409</v>
      </c>
      <c r="E5527" t="s">
        <v>1841</v>
      </c>
    </row>
    <row r="5528" spans="1:5" x14ac:dyDescent="0.25">
      <c r="A5528" t="s">
        <v>3119</v>
      </c>
      <c r="B5528" t="s">
        <v>5410</v>
      </c>
      <c r="C5528" t="s">
        <v>3060</v>
      </c>
      <c r="D5528" t="s">
        <v>5411</v>
      </c>
      <c r="E5528" t="s">
        <v>212</v>
      </c>
    </row>
    <row r="5529" spans="1:5" x14ac:dyDescent="0.25">
      <c r="A5529" t="s">
        <v>3119</v>
      </c>
      <c r="B5529" t="s">
        <v>1655</v>
      </c>
      <c r="C5529" t="s">
        <v>3060</v>
      </c>
      <c r="D5529" t="s">
        <v>5333</v>
      </c>
      <c r="E5529" t="s">
        <v>212</v>
      </c>
    </row>
    <row r="5530" spans="1:5" x14ac:dyDescent="0.25">
      <c r="A5530" t="s">
        <v>3119</v>
      </c>
      <c r="B5530" t="s">
        <v>5412</v>
      </c>
      <c r="C5530" t="s">
        <v>3060</v>
      </c>
      <c r="D5530" t="s">
        <v>5413</v>
      </c>
      <c r="E5530" t="s">
        <v>212</v>
      </c>
    </row>
    <row r="5531" spans="1:5" x14ac:dyDescent="0.25">
      <c r="A5531" t="s">
        <v>3119</v>
      </c>
      <c r="B5531" t="s">
        <v>5414</v>
      </c>
      <c r="C5531" t="s">
        <v>3060</v>
      </c>
      <c r="D5531" t="s">
        <v>5415</v>
      </c>
      <c r="E5531" t="s">
        <v>212</v>
      </c>
    </row>
    <row r="5532" spans="1:5" x14ac:dyDescent="0.25">
      <c r="A5532" t="s">
        <v>3119</v>
      </c>
      <c r="B5532" t="s">
        <v>5416</v>
      </c>
      <c r="C5532" t="s">
        <v>3060</v>
      </c>
      <c r="D5532" t="s">
        <v>5417</v>
      </c>
      <c r="E5532" t="s">
        <v>2512</v>
      </c>
    </row>
    <row r="5533" spans="1:5" x14ac:dyDescent="0.25">
      <c r="A5533" t="s">
        <v>3119</v>
      </c>
      <c r="B5533" t="s">
        <v>2582</v>
      </c>
      <c r="C5533" t="s">
        <v>3060</v>
      </c>
      <c r="D5533" t="s">
        <v>5418</v>
      </c>
      <c r="E5533" t="s">
        <v>456</v>
      </c>
    </row>
    <row r="5534" spans="1:5" x14ac:dyDescent="0.25">
      <c r="A5534" t="s">
        <v>3119</v>
      </c>
      <c r="B5534" t="s">
        <v>5419</v>
      </c>
      <c r="C5534" t="s">
        <v>3060</v>
      </c>
      <c r="D5534" t="s">
        <v>5404</v>
      </c>
      <c r="E5534" t="s">
        <v>505</v>
      </c>
    </row>
    <row r="5535" spans="1:5" x14ac:dyDescent="0.25">
      <c r="A5535" t="s">
        <v>3119</v>
      </c>
      <c r="B5535" t="s">
        <v>5420</v>
      </c>
      <c r="C5535" t="s">
        <v>3060</v>
      </c>
      <c r="D5535" t="s">
        <v>5406</v>
      </c>
      <c r="E5535" t="s">
        <v>212</v>
      </c>
    </row>
    <row r="5536" spans="1:5" x14ac:dyDescent="0.25">
      <c r="A5536" t="s">
        <v>3119</v>
      </c>
      <c r="B5536" t="s">
        <v>2599</v>
      </c>
      <c r="C5536" t="s">
        <v>3060</v>
      </c>
      <c r="D5536" t="s">
        <v>5407</v>
      </c>
      <c r="E5536" t="s">
        <v>212</v>
      </c>
    </row>
    <row r="5537" spans="1:5" x14ac:dyDescent="0.25">
      <c r="A5537" t="s">
        <v>3119</v>
      </c>
      <c r="B5537" t="s">
        <v>5421</v>
      </c>
      <c r="C5537" t="s">
        <v>3060</v>
      </c>
      <c r="D5537" t="s">
        <v>5411</v>
      </c>
      <c r="E5537" t="s">
        <v>456</v>
      </c>
    </row>
    <row r="5538" spans="1:5" x14ac:dyDescent="0.25">
      <c r="A5538" t="s">
        <v>3119</v>
      </c>
      <c r="B5538" t="s">
        <v>5422</v>
      </c>
      <c r="C5538" t="s">
        <v>3060</v>
      </c>
      <c r="D5538" t="s">
        <v>5409</v>
      </c>
      <c r="E5538" t="s">
        <v>212</v>
      </c>
    </row>
    <row r="5539" spans="1:5" x14ac:dyDescent="0.25">
      <c r="A5539" t="s">
        <v>3119</v>
      </c>
      <c r="B5539" t="s">
        <v>1692</v>
      </c>
      <c r="C5539" t="s">
        <v>3060</v>
      </c>
      <c r="D5539" t="s">
        <v>5333</v>
      </c>
      <c r="E5539" t="s">
        <v>256</v>
      </c>
    </row>
    <row r="5540" spans="1:5" x14ac:dyDescent="0.25">
      <c r="A5540" t="s">
        <v>3119</v>
      </c>
      <c r="B5540" t="s">
        <v>5423</v>
      </c>
      <c r="C5540" t="s">
        <v>3060</v>
      </c>
      <c r="D5540" t="s">
        <v>5417</v>
      </c>
      <c r="E5540" t="s">
        <v>256</v>
      </c>
    </row>
    <row r="5541" spans="1:5" x14ac:dyDescent="0.25">
      <c r="A5541" t="s">
        <v>3119</v>
      </c>
      <c r="B5541" t="s">
        <v>5424</v>
      </c>
      <c r="C5541" t="s">
        <v>3060</v>
      </c>
      <c r="D5541" t="s">
        <v>5415</v>
      </c>
      <c r="E5541" t="s">
        <v>256</v>
      </c>
    </row>
    <row r="5542" spans="1:5" x14ac:dyDescent="0.25">
      <c r="A5542" t="s">
        <v>3119</v>
      </c>
      <c r="B5542" t="s">
        <v>5425</v>
      </c>
      <c r="C5542" t="s">
        <v>3060</v>
      </c>
      <c r="D5542" t="s">
        <v>5413</v>
      </c>
      <c r="E5542" t="s">
        <v>256</v>
      </c>
    </row>
    <row r="5543" spans="1:5" x14ac:dyDescent="0.25">
      <c r="A5543" t="s">
        <v>3119</v>
      </c>
      <c r="B5543" t="s">
        <v>2602</v>
      </c>
      <c r="C5543" t="s">
        <v>3060</v>
      </c>
      <c r="D5543" t="s">
        <v>5418</v>
      </c>
      <c r="E5543" t="s">
        <v>256</v>
      </c>
    </row>
    <row r="5544" spans="1:5" x14ac:dyDescent="0.25">
      <c r="A5544" t="s">
        <v>3119</v>
      </c>
      <c r="B5544" t="s">
        <v>573</v>
      </c>
      <c r="C5544" t="s">
        <v>3060</v>
      </c>
      <c r="D5544" t="s">
        <v>3060</v>
      </c>
      <c r="E5544" t="s">
        <v>202</v>
      </c>
    </row>
    <row r="5545" spans="1:5" x14ac:dyDescent="0.25">
      <c r="A5545" t="s">
        <v>3119</v>
      </c>
      <c r="B5545" t="s">
        <v>5426</v>
      </c>
      <c r="C5545" t="s">
        <v>3060</v>
      </c>
      <c r="D5545" t="s">
        <v>5427</v>
      </c>
      <c r="E5545" t="s">
        <v>2041</v>
      </c>
    </row>
    <row r="5546" spans="1:5" x14ac:dyDescent="0.25">
      <c r="A5546" t="s">
        <v>3119</v>
      </c>
      <c r="B5546" t="s">
        <v>5331</v>
      </c>
      <c r="C5546" t="s">
        <v>3060</v>
      </c>
      <c r="D5546" t="s">
        <v>5332</v>
      </c>
      <c r="E5546" t="s">
        <v>2041</v>
      </c>
    </row>
    <row r="5547" spans="1:5" x14ac:dyDescent="0.25">
      <c r="A5547" t="s">
        <v>3119</v>
      </c>
      <c r="B5547" t="s">
        <v>5428</v>
      </c>
      <c r="C5547" t="s">
        <v>3060</v>
      </c>
      <c r="D5547" t="s">
        <v>5429</v>
      </c>
      <c r="E5547" t="s">
        <v>308</v>
      </c>
    </row>
    <row r="5548" spans="1:5" x14ac:dyDescent="0.25">
      <c r="A5548" t="s">
        <v>3119</v>
      </c>
      <c r="B5548" t="s">
        <v>5430</v>
      </c>
      <c r="C5548" t="s">
        <v>3060</v>
      </c>
      <c r="D5548" t="s">
        <v>5431</v>
      </c>
      <c r="E5548" t="s">
        <v>258</v>
      </c>
    </row>
    <row r="5549" spans="1:5" x14ac:dyDescent="0.25">
      <c r="A5549" t="s">
        <v>3119</v>
      </c>
      <c r="B5549" t="s">
        <v>225</v>
      </c>
      <c r="C5549" t="s">
        <v>3060</v>
      </c>
      <c r="D5549" t="s">
        <v>5432</v>
      </c>
      <c r="E5549" t="s">
        <v>258</v>
      </c>
    </row>
    <row r="5550" spans="1:5" x14ac:dyDescent="0.25">
      <c r="A5550" t="s">
        <v>3119</v>
      </c>
      <c r="B5550" t="s">
        <v>224</v>
      </c>
      <c r="C5550" t="s">
        <v>3060</v>
      </c>
      <c r="D5550" t="s">
        <v>5433</v>
      </c>
      <c r="E5550" t="s">
        <v>258</v>
      </c>
    </row>
    <row r="5551" spans="1:5" x14ac:dyDescent="0.25">
      <c r="A5551" t="s">
        <v>3119</v>
      </c>
      <c r="B5551" t="s">
        <v>5434</v>
      </c>
      <c r="C5551" t="s">
        <v>3060</v>
      </c>
      <c r="D5551" t="s">
        <v>3060</v>
      </c>
      <c r="E5551" t="s">
        <v>308</v>
      </c>
    </row>
    <row r="5552" spans="1:5" x14ac:dyDescent="0.25">
      <c r="A5552" t="s">
        <v>3119</v>
      </c>
      <c r="B5552" t="s">
        <v>5435</v>
      </c>
      <c r="C5552" t="s">
        <v>3060</v>
      </c>
      <c r="D5552" t="s">
        <v>3060</v>
      </c>
      <c r="E5552" t="s">
        <v>369</v>
      </c>
    </row>
    <row r="5553" spans="1:5" x14ac:dyDescent="0.25">
      <c r="A5553" t="s">
        <v>3119</v>
      </c>
      <c r="B5553" t="s">
        <v>3240</v>
      </c>
      <c r="C5553" t="s">
        <v>3060</v>
      </c>
      <c r="D5553" t="s">
        <v>3060</v>
      </c>
      <c r="E5553" t="s">
        <v>401</v>
      </c>
    </row>
    <row r="5554" spans="1:5" x14ac:dyDescent="0.25">
      <c r="A5554" t="s">
        <v>3119</v>
      </c>
      <c r="B5554" t="s">
        <v>341</v>
      </c>
      <c r="C5554" t="s">
        <v>3060</v>
      </c>
      <c r="D5554" t="s">
        <v>3060</v>
      </c>
      <c r="E5554" t="s">
        <v>401</v>
      </c>
    </row>
    <row r="5555" spans="1:5" x14ac:dyDescent="0.25">
      <c r="A5555" t="s">
        <v>3119</v>
      </c>
      <c r="B5555" t="s">
        <v>5436</v>
      </c>
      <c r="C5555" t="s">
        <v>3060</v>
      </c>
      <c r="D5555" t="s">
        <v>3060</v>
      </c>
      <c r="E5555" t="s">
        <v>366</v>
      </c>
    </row>
    <row r="5556" spans="1:5" x14ac:dyDescent="0.25">
      <c r="A5556" t="s">
        <v>3119</v>
      </c>
      <c r="B5556" t="s">
        <v>642</v>
      </c>
      <c r="C5556" t="s">
        <v>3060</v>
      </c>
      <c r="D5556" t="s">
        <v>3060</v>
      </c>
      <c r="E5556" t="s">
        <v>287</v>
      </c>
    </row>
    <row r="5557" spans="1:5" x14ac:dyDescent="0.25">
      <c r="A5557" t="s">
        <v>3119</v>
      </c>
      <c r="B5557" t="s">
        <v>229</v>
      </c>
      <c r="C5557" t="s">
        <v>3060</v>
      </c>
      <c r="D5557" t="s">
        <v>3060</v>
      </c>
      <c r="E5557" t="s">
        <v>287</v>
      </c>
    </row>
    <row r="5558" spans="1:5" x14ac:dyDescent="0.25">
      <c r="A5558" t="s">
        <v>3119</v>
      </c>
      <c r="B5558" t="s">
        <v>643</v>
      </c>
      <c r="C5558" t="s">
        <v>3060</v>
      </c>
      <c r="D5558" t="s">
        <v>3060</v>
      </c>
      <c r="E5558" t="s">
        <v>287</v>
      </c>
    </row>
    <row r="5559" spans="1:5" x14ac:dyDescent="0.25">
      <c r="A5559" t="s">
        <v>3119</v>
      </c>
      <c r="B5559" t="s">
        <v>230</v>
      </c>
      <c r="C5559" t="s">
        <v>3060</v>
      </c>
      <c r="D5559" t="s">
        <v>3060</v>
      </c>
      <c r="E5559" t="s">
        <v>287</v>
      </c>
    </row>
    <row r="5560" spans="1:5" x14ac:dyDescent="0.25">
      <c r="A5560" t="s">
        <v>3119</v>
      </c>
      <c r="B5560" t="s">
        <v>231</v>
      </c>
      <c r="C5560" t="s">
        <v>3060</v>
      </c>
      <c r="D5560" t="s">
        <v>3060</v>
      </c>
      <c r="E5560" t="s">
        <v>287</v>
      </c>
    </row>
    <row r="5561" spans="1:5" x14ac:dyDescent="0.25">
      <c r="A5561" t="s">
        <v>3119</v>
      </c>
      <c r="B5561" t="s">
        <v>233</v>
      </c>
      <c r="C5561" t="s">
        <v>3060</v>
      </c>
      <c r="D5561" t="s">
        <v>3060</v>
      </c>
      <c r="E5561" t="s">
        <v>287</v>
      </c>
    </row>
    <row r="5562" spans="1:5" x14ac:dyDescent="0.25">
      <c r="A5562" t="s">
        <v>3119</v>
      </c>
      <c r="B5562" t="s">
        <v>232</v>
      </c>
      <c r="C5562" t="s">
        <v>3060</v>
      </c>
      <c r="D5562" t="s">
        <v>3060</v>
      </c>
      <c r="E5562" t="s">
        <v>287</v>
      </c>
    </row>
    <row r="5563" spans="1:5" x14ac:dyDescent="0.25">
      <c r="A5563" t="s">
        <v>3119</v>
      </c>
      <c r="B5563" t="s">
        <v>5437</v>
      </c>
      <c r="C5563" t="s">
        <v>3060</v>
      </c>
      <c r="D5563" t="s">
        <v>3060</v>
      </c>
      <c r="E5563" t="s">
        <v>437</v>
      </c>
    </row>
    <row r="5564" spans="1:5" x14ac:dyDescent="0.25">
      <c r="A5564" t="s">
        <v>3119</v>
      </c>
      <c r="B5564" t="s">
        <v>5438</v>
      </c>
      <c r="C5564" t="s">
        <v>3060</v>
      </c>
      <c r="D5564" t="s">
        <v>3060</v>
      </c>
      <c r="E5564" t="s">
        <v>554</v>
      </c>
    </row>
    <row r="5565" spans="1:5" x14ac:dyDescent="0.25">
      <c r="A5565" t="s">
        <v>3119</v>
      </c>
      <c r="B5565" t="s">
        <v>178</v>
      </c>
      <c r="C5565" t="s">
        <v>3060</v>
      </c>
      <c r="D5565" t="s">
        <v>3060</v>
      </c>
      <c r="E5565" t="s">
        <v>268</v>
      </c>
    </row>
    <row r="5566" spans="1:5" x14ac:dyDescent="0.25">
      <c r="A5566" t="s">
        <v>3119</v>
      </c>
      <c r="B5566" t="s">
        <v>179</v>
      </c>
      <c r="C5566" t="s">
        <v>3060</v>
      </c>
      <c r="D5566" t="s">
        <v>3060</v>
      </c>
      <c r="E5566" t="s">
        <v>252</v>
      </c>
    </row>
    <row r="5567" spans="1:5" x14ac:dyDescent="0.25">
      <c r="A5567" t="s">
        <v>3119</v>
      </c>
      <c r="B5567" t="s">
        <v>180</v>
      </c>
      <c r="C5567" t="s">
        <v>3060</v>
      </c>
      <c r="D5567" t="s">
        <v>3060</v>
      </c>
      <c r="E5567" t="s">
        <v>207</v>
      </c>
    </row>
    <row r="5568" spans="1:5" x14ac:dyDescent="0.25">
      <c r="A5568" t="s">
        <v>3119</v>
      </c>
      <c r="B5568" t="s">
        <v>181</v>
      </c>
      <c r="C5568" t="s">
        <v>3060</v>
      </c>
      <c r="D5568" t="s">
        <v>3060</v>
      </c>
      <c r="E5568" t="s">
        <v>182</v>
      </c>
    </row>
    <row r="5569" spans="1:5" x14ac:dyDescent="0.25">
      <c r="A5569" t="s">
        <v>3119</v>
      </c>
      <c r="B5569" t="s">
        <v>242</v>
      </c>
      <c r="C5569" t="s">
        <v>3060</v>
      </c>
      <c r="D5569" t="s">
        <v>3060</v>
      </c>
      <c r="E5569" t="s">
        <v>253</v>
      </c>
    </row>
    <row r="5570" spans="1:5" x14ac:dyDescent="0.25">
      <c r="A5570" t="s">
        <v>3119</v>
      </c>
      <c r="B5570" t="s">
        <v>1264</v>
      </c>
      <c r="C5570" t="s">
        <v>3060</v>
      </c>
      <c r="D5570" t="s">
        <v>3060</v>
      </c>
      <c r="E5570" t="s">
        <v>253</v>
      </c>
    </row>
    <row r="5571" spans="1:5" x14ac:dyDescent="0.25">
      <c r="A5571" t="s">
        <v>3119</v>
      </c>
      <c r="B5571" t="s">
        <v>1265</v>
      </c>
      <c r="C5571" t="s">
        <v>3060</v>
      </c>
      <c r="D5571" t="s">
        <v>3060</v>
      </c>
      <c r="E5571" t="s">
        <v>253</v>
      </c>
    </row>
    <row r="5572" spans="1:5" x14ac:dyDescent="0.25">
      <c r="A5572" t="s">
        <v>3119</v>
      </c>
      <c r="B5572" t="s">
        <v>327</v>
      </c>
      <c r="C5572" t="s">
        <v>3060</v>
      </c>
      <c r="D5572" t="s">
        <v>3060</v>
      </c>
      <c r="E5572" t="s">
        <v>253</v>
      </c>
    </row>
    <row r="5573" spans="1:5" x14ac:dyDescent="0.25">
      <c r="A5573" t="s">
        <v>3119</v>
      </c>
      <c r="B5573" t="s">
        <v>1266</v>
      </c>
      <c r="C5573" t="s">
        <v>3060</v>
      </c>
      <c r="D5573" t="s">
        <v>3060</v>
      </c>
      <c r="E5573" t="s">
        <v>253</v>
      </c>
    </row>
    <row r="5574" spans="1:5" x14ac:dyDescent="0.25">
      <c r="A5574" t="s">
        <v>3119</v>
      </c>
      <c r="B5574" t="s">
        <v>183</v>
      </c>
      <c r="C5574" t="s">
        <v>3060</v>
      </c>
      <c r="D5574" t="s">
        <v>3060</v>
      </c>
      <c r="E5574" t="s">
        <v>184</v>
      </c>
    </row>
    <row r="5575" spans="1:5" x14ac:dyDescent="0.25">
      <c r="A5575" t="s">
        <v>3120</v>
      </c>
      <c r="B5575" t="s">
        <v>607</v>
      </c>
      <c r="C5575" t="s">
        <v>3060</v>
      </c>
      <c r="D5575" t="s">
        <v>4484</v>
      </c>
      <c r="E5575" t="s">
        <v>582</v>
      </c>
    </row>
    <row r="5576" spans="1:5" x14ac:dyDescent="0.25">
      <c r="A5576" t="s">
        <v>3120</v>
      </c>
      <c r="B5576" t="s">
        <v>2173</v>
      </c>
      <c r="C5576" t="s">
        <v>3060</v>
      </c>
      <c r="D5576" t="s">
        <v>5439</v>
      </c>
      <c r="E5576" t="s">
        <v>287</v>
      </c>
    </row>
    <row r="5577" spans="1:5" x14ac:dyDescent="0.25">
      <c r="A5577" t="s">
        <v>3120</v>
      </c>
      <c r="B5577" t="s">
        <v>609</v>
      </c>
      <c r="C5577" t="s">
        <v>3060</v>
      </c>
      <c r="D5577" t="s">
        <v>4484</v>
      </c>
      <c r="E5577" t="s">
        <v>636</v>
      </c>
    </row>
    <row r="5578" spans="1:5" x14ac:dyDescent="0.25">
      <c r="A5578" t="s">
        <v>3120</v>
      </c>
      <c r="B5578" t="s">
        <v>610</v>
      </c>
      <c r="C5578" t="s">
        <v>3060</v>
      </c>
      <c r="D5578" t="s">
        <v>3060</v>
      </c>
      <c r="E5578" t="s">
        <v>253</v>
      </c>
    </row>
    <row r="5579" spans="1:5" x14ac:dyDescent="0.25">
      <c r="A5579" t="s">
        <v>3120</v>
      </c>
      <c r="B5579" t="s">
        <v>619</v>
      </c>
      <c r="C5579" t="s">
        <v>3060</v>
      </c>
      <c r="D5579" t="s">
        <v>5440</v>
      </c>
      <c r="E5579" t="s">
        <v>428</v>
      </c>
    </row>
    <row r="5580" spans="1:5" x14ac:dyDescent="0.25">
      <c r="A5580" t="s">
        <v>3120</v>
      </c>
      <c r="B5580" t="s">
        <v>612</v>
      </c>
      <c r="C5580" t="s">
        <v>3060</v>
      </c>
      <c r="D5580" t="s">
        <v>3060</v>
      </c>
      <c r="E5580" t="s">
        <v>425</v>
      </c>
    </row>
    <row r="5581" spans="1:5" x14ac:dyDescent="0.25">
      <c r="A5581" t="s">
        <v>3120</v>
      </c>
      <c r="B5581" t="s">
        <v>610</v>
      </c>
      <c r="C5581" t="s">
        <v>3060</v>
      </c>
      <c r="D5581" t="s">
        <v>3060</v>
      </c>
      <c r="E5581" t="s">
        <v>253</v>
      </c>
    </row>
    <row r="5582" spans="1:5" x14ac:dyDescent="0.25">
      <c r="A5582" t="s">
        <v>3120</v>
      </c>
      <c r="B5582" t="s">
        <v>2185</v>
      </c>
      <c r="C5582" t="s">
        <v>3060</v>
      </c>
      <c r="D5582" t="s">
        <v>3060</v>
      </c>
      <c r="E5582" t="s">
        <v>258</v>
      </c>
    </row>
    <row r="5583" spans="1:5" x14ac:dyDescent="0.25">
      <c r="A5583" t="s">
        <v>3120</v>
      </c>
      <c r="B5583" t="s">
        <v>5441</v>
      </c>
      <c r="C5583" t="s">
        <v>3060</v>
      </c>
      <c r="D5583" t="s">
        <v>3060</v>
      </c>
      <c r="E5583" t="s">
        <v>202</v>
      </c>
    </row>
    <row r="5584" spans="1:5" x14ac:dyDescent="0.25">
      <c r="A5584" t="s">
        <v>3120</v>
      </c>
      <c r="B5584" t="s">
        <v>619</v>
      </c>
      <c r="C5584" t="s">
        <v>3060</v>
      </c>
      <c r="D5584" t="s">
        <v>5440</v>
      </c>
      <c r="E5584" t="s">
        <v>428</v>
      </c>
    </row>
    <row r="5585" spans="1:5" x14ac:dyDescent="0.25">
      <c r="A5585" t="s">
        <v>3120</v>
      </c>
      <c r="B5585" t="s">
        <v>5442</v>
      </c>
      <c r="C5585" t="s">
        <v>3060</v>
      </c>
      <c r="D5585" t="s">
        <v>5440</v>
      </c>
      <c r="E5585" t="s">
        <v>366</v>
      </c>
    </row>
    <row r="5586" spans="1:5" x14ac:dyDescent="0.25">
      <c r="A5586" t="s">
        <v>3120</v>
      </c>
      <c r="B5586" t="s">
        <v>5443</v>
      </c>
      <c r="C5586" t="s">
        <v>3060</v>
      </c>
      <c r="D5586" t="s">
        <v>5440</v>
      </c>
      <c r="E5586" t="s">
        <v>214</v>
      </c>
    </row>
    <row r="5587" spans="1:5" x14ac:dyDescent="0.25">
      <c r="A5587" t="s">
        <v>3120</v>
      </c>
      <c r="B5587" t="s">
        <v>625</v>
      </c>
      <c r="C5587" t="s">
        <v>3060</v>
      </c>
      <c r="D5587" t="s">
        <v>5440</v>
      </c>
      <c r="E5587" t="s">
        <v>372</v>
      </c>
    </row>
    <row r="5588" spans="1:5" x14ac:dyDescent="0.25">
      <c r="A5588" t="s">
        <v>3120</v>
      </c>
      <c r="B5588" t="s">
        <v>624</v>
      </c>
      <c r="C5588" t="s">
        <v>3060</v>
      </c>
      <c r="D5588" t="s">
        <v>5440</v>
      </c>
      <c r="E5588" t="s">
        <v>372</v>
      </c>
    </row>
    <row r="5589" spans="1:5" x14ac:dyDescent="0.25">
      <c r="A5589" t="s">
        <v>3120</v>
      </c>
      <c r="B5589" t="s">
        <v>5444</v>
      </c>
      <c r="C5589" t="s">
        <v>3060</v>
      </c>
      <c r="D5589" t="s">
        <v>5440</v>
      </c>
      <c r="E5589" t="s">
        <v>451</v>
      </c>
    </row>
    <row r="5590" spans="1:5" x14ac:dyDescent="0.25">
      <c r="A5590" t="s">
        <v>3120</v>
      </c>
      <c r="B5590" t="s">
        <v>5445</v>
      </c>
      <c r="C5590" t="s">
        <v>3060</v>
      </c>
      <c r="D5590" t="s">
        <v>5440</v>
      </c>
      <c r="E5590" t="s">
        <v>1848</v>
      </c>
    </row>
    <row r="5591" spans="1:5" x14ac:dyDescent="0.25">
      <c r="A5591" t="s">
        <v>3120</v>
      </c>
      <c r="B5591" t="s">
        <v>667</v>
      </c>
      <c r="C5591" t="s">
        <v>3060</v>
      </c>
      <c r="D5591" t="s">
        <v>5440</v>
      </c>
      <c r="E5591" t="s">
        <v>812</v>
      </c>
    </row>
    <row r="5592" spans="1:5" x14ac:dyDescent="0.25">
      <c r="A5592" t="s">
        <v>3120</v>
      </c>
      <c r="B5592" t="s">
        <v>5446</v>
      </c>
      <c r="C5592" t="s">
        <v>3060</v>
      </c>
      <c r="D5592" t="s">
        <v>5447</v>
      </c>
      <c r="E5592" t="s">
        <v>4022</v>
      </c>
    </row>
    <row r="5593" spans="1:5" x14ac:dyDescent="0.25">
      <c r="A5593" t="s">
        <v>3120</v>
      </c>
      <c r="B5593" t="s">
        <v>5448</v>
      </c>
      <c r="C5593" t="s">
        <v>3060</v>
      </c>
      <c r="D5593" t="s">
        <v>5440</v>
      </c>
      <c r="E5593" t="s">
        <v>264</v>
      </c>
    </row>
    <row r="5594" spans="1:5" x14ac:dyDescent="0.25">
      <c r="A5594" t="s">
        <v>3120</v>
      </c>
      <c r="B5594" t="s">
        <v>5449</v>
      </c>
      <c r="C5594" t="s">
        <v>3060</v>
      </c>
      <c r="D5594" t="s">
        <v>5440</v>
      </c>
      <c r="E5594" t="s">
        <v>505</v>
      </c>
    </row>
    <row r="5595" spans="1:5" x14ac:dyDescent="0.25">
      <c r="A5595" t="s">
        <v>3120</v>
      </c>
      <c r="B5595" t="s">
        <v>2836</v>
      </c>
      <c r="C5595" t="s">
        <v>3060</v>
      </c>
      <c r="D5595" t="s">
        <v>5440</v>
      </c>
      <c r="E5595" t="s">
        <v>218</v>
      </c>
    </row>
    <row r="5596" spans="1:5" x14ac:dyDescent="0.25">
      <c r="A5596" t="s">
        <v>3120</v>
      </c>
      <c r="B5596" t="s">
        <v>628</v>
      </c>
      <c r="C5596" t="s">
        <v>3060</v>
      </c>
      <c r="D5596" t="s">
        <v>5440</v>
      </c>
      <c r="E5596" t="s">
        <v>541</v>
      </c>
    </row>
    <row r="5597" spans="1:5" x14ac:dyDescent="0.25">
      <c r="A5597" t="s">
        <v>3120</v>
      </c>
      <c r="B5597" t="s">
        <v>1525</v>
      </c>
      <c r="C5597" t="s">
        <v>3060</v>
      </c>
      <c r="D5597" t="s">
        <v>5440</v>
      </c>
      <c r="E5597" t="s">
        <v>372</v>
      </c>
    </row>
    <row r="5598" spans="1:5" x14ac:dyDescent="0.25">
      <c r="A5598" t="s">
        <v>3120</v>
      </c>
      <c r="B5598" t="s">
        <v>5450</v>
      </c>
      <c r="C5598" t="s">
        <v>3060</v>
      </c>
      <c r="D5598" t="s">
        <v>5440</v>
      </c>
      <c r="E5598" t="s">
        <v>366</v>
      </c>
    </row>
    <row r="5599" spans="1:5" x14ac:dyDescent="0.25">
      <c r="A5599" t="s">
        <v>3120</v>
      </c>
      <c r="B5599" t="s">
        <v>5451</v>
      </c>
      <c r="C5599" t="s">
        <v>3060</v>
      </c>
      <c r="D5599" t="s">
        <v>5452</v>
      </c>
      <c r="E5599" t="s">
        <v>4022</v>
      </c>
    </row>
    <row r="5600" spans="1:5" x14ac:dyDescent="0.25">
      <c r="A5600" t="s">
        <v>3120</v>
      </c>
      <c r="B5600" t="s">
        <v>3959</v>
      </c>
      <c r="C5600" t="s">
        <v>3060</v>
      </c>
      <c r="D5600" t="s">
        <v>5440</v>
      </c>
      <c r="E5600" t="s">
        <v>264</v>
      </c>
    </row>
    <row r="5601" spans="1:5" x14ac:dyDescent="0.25">
      <c r="A5601" t="s">
        <v>3120</v>
      </c>
      <c r="B5601" t="s">
        <v>1526</v>
      </c>
      <c r="C5601" t="s">
        <v>3060</v>
      </c>
      <c r="D5601" t="s">
        <v>5440</v>
      </c>
      <c r="E5601" t="s">
        <v>256</v>
      </c>
    </row>
    <row r="5602" spans="1:5" x14ac:dyDescent="0.25">
      <c r="A5602" t="s">
        <v>3120</v>
      </c>
      <c r="B5602" t="s">
        <v>2173</v>
      </c>
      <c r="C5602" t="s">
        <v>3060</v>
      </c>
      <c r="D5602" t="s">
        <v>5439</v>
      </c>
      <c r="E5602" t="s">
        <v>287</v>
      </c>
    </row>
    <row r="5603" spans="1:5" x14ac:dyDescent="0.25">
      <c r="A5603" t="s">
        <v>3120</v>
      </c>
      <c r="B5603" t="s">
        <v>2857</v>
      </c>
      <c r="C5603" t="s">
        <v>3060</v>
      </c>
      <c r="D5603" t="s">
        <v>3060</v>
      </c>
      <c r="E5603" t="s">
        <v>425</v>
      </c>
    </row>
    <row r="5604" spans="1:5" x14ac:dyDescent="0.25">
      <c r="A5604" t="s">
        <v>3120</v>
      </c>
      <c r="B5604" t="s">
        <v>611</v>
      </c>
      <c r="C5604" t="s">
        <v>3060</v>
      </c>
      <c r="D5604" t="s">
        <v>5439</v>
      </c>
      <c r="E5604" t="s">
        <v>437</v>
      </c>
    </row>
    <row r="5605" spans="1:5" x14ac:dyDescent="0.25">
      <c r="A5605" t="s">
        <v>3120</v>
      </c>
      <c r="B5605" t="s">
        <v>614</v>
      </c>
      <c r="C5605" t="s">
        <v>3060</v>
      </c>
      <c r="D5605" t="s">
        <v>5439</v>
      </c>
      <c r="E5605" t="s">
        <v>437</v>
      </c>
    </row>
    <row r="5606" spans="1:5" x14ac:dyDescent="0.25">
      <c r="A5606" t="s">
        <v>3120</v>
      </c>
      <c r="B5606" t="s">
        <v>1528</v>
      </c>
      <c r="C5606" t="s">
        <v>3060</v>
      </c>
      <c r="D5606" t="s">
        <v>5439</v>
      </c>
      <c r="E5606" t="s">
        <v>401</v>
      </c>
    </row>
    <row r="5607" spans="1:5" x14ac:dyDescent="0.25">
      <c r="A5607" t="s">
        <v>3120</v>
      </c>
      <c r="B5607" t="s">
        <v>3322</v>
      </c>
      <c r="C5607" t="s">
        <v>3060</v>
      </c>
      <c r="D5607" t="s">
        <v>5439</v>
      </c>
      <c r="E5607" t="s">
        <v>401</v>
      </c>
    </row>
    <row r="5608" spans="1:5" x14ac:dyDescent="0.25">
      <c r="A5608" t="s">
        <v>3120</v>
      </c>
      <c r="B5608" t="s">
        <v>615</v>
      </c>
      <c r="C5608" t="s">
        <v>3060</v>
      </c>
      <c r="D5608" t="s">
        <v>5439</v>
      </c>
      <c r="E5608" t="s">
        <v>212</v>
      </c>
    </row>
    <row r="5609" spans="1:5" x14ac:dyDescent="0.25">
      <c r="A5609" t="s">
        <v>3120</v>
      </c>
      <c r="B5609" t="s">
        <v>5453</v>
      </c>
      <c r="C5609" t="s">
        <v>3060</v>
      </c>
      <c r="D5609" t="s">
        <v>5454</v>
      </c>
      <c r="E5609" t="s">
        <v>479</v>
      </c>
    </row>
    <row r="5610" spans="1:5" x14ac:dyDescent="0.25">
      <c r="A5610" t="s">
        <v>3120</v>
      </c>
      <c r="B5610" t="s">
        <v>1529</v>
      </c>
      <c r="C5610" t="s">
        <v>3060</v>
      </c>
      <c r="D5610" t="s">
        <v>5439</v>
      </c>
      <c r="E5610" t="s">
        <v>256</v>
      </c>
    </row>
    <row r="5611" spans="1:5" x14ac:dyDescent="0.25">
      <c r="A5611" t="s">
        <v>3120</v>
      </c>
      <c r="B5611" t="s">
        <v>609</v>
      </c>
      <c r="C5611" t="s">
        <v>3060</v>
      </c>
      <c r="D5611" t="s">
        <v>4484</v>
      </c>
      <c r="E5611" t="s">
        <v>636</v>
      </c>
    </row>
    <row r="5612" spans="1:5" x14ac:dyDescent="0.25">
      <c r="A5612" t="s">
        <v>3120</v>
      </c>
      <c r="B5612" t="s">
        <v>637</v>
      </c>
      <c r="C5612" t="s">
        <v>3060</v>
      </c>
      <c r="D5612" t="s">
        <v>4484</v>
      </c>
      <c r="E5612" t="s">
        <v>418</v>
      </c>
    </row>
    <row r="5613" spans="1:5" x14ac:dyDescent="0.25">
      <c r="A5613" t="s">
        <v>3120</v>
      </c>
      <c r="B5613" t="s">
        <v>607</v>
      </c>
      <c r="C5613" t="s">
        <v>3060</v>
      </c>
      <c r="D5613" t="s">
        <v>4484</v>
      </c>
      <c r="E5613" t="s">
        <v>582</v>
      </c>
    </row>
    <row r="5614" spans="1:5" x14ac:dyDescent="0.25">
      <c r="A5614" t="s">
        <v>3120</v>
      </c>
      <c r="B5614" t="s">
        <v>635</v>
      </c>
      <c r="C5614" t="s">
        <v>3060</v>
      </c>
      <c r="D5614" t="s">
        <v>4484</v>
      </c>
      <c r="E5614" t="s">
        <v>418</v>
      </c>
    </row>
    <row r="5615" spans="1:5" x14ac:dyDescent="0.25">
      <c r="A5615" t="s">
        <v>3120</v>
      </c>
      <c r="B5615" t="s">
        <v>2212</v>
      </c>
      <c r="C5615" t="s">
        <v>3060</v>
      </c>
      <c r="D5615" t="s">
        <v>4484</v>
      </c>
      <c r="E5615" t="s">
        <v>418</v>
      </c>
    </row>
    <row r="5616" spans="1:5" x14ac:dyDescent="0.25">
      <c r="A5616" t="s">
        <v>3120</v>
      </c>
      <c r="B5616" t="s">
        <v>678</v>
      </c>
      <c r="C5616" t="s">
        <v>3060</v>
      </c>
      <c r="D5616" t="s">
        <v>3060</v>
      </c>
      <c r="E5616" t="s">
        <v>437</v>
      </c>
    </row>
    <row r="5617" spans="1:5" x14ac:dyDescent="0.25">
      <c r="A5617" t="s">
        <v>3120</v>
      </c>
      <c r="B5617" t="s">
        <v>2210</v>
      </c>
      <c r="C5617" t="s">
        <v>3060</v>
      </c>
      <c r="D5617" t="s">
        <v>3060</v>
      </c>
      <c r="E5617" t="s">
        <v>372</v>
      </c>
    </row>
    <row r="5618" spans="1:5" x14ac:dyDescent="0.25">
      <c r="A5618" t="s">
        <v>3120</v>
      </c>
      <c r="B5618" t="s">
        <v>2209</v>
      </c>
      <c r="C5618" t="s">
        <v>3060</v>
      </c>
      <c r="D5618" t="s">
        <v>3060</v>
      </c>
      <c r="E5618" t="s">
        <v>358</v>
      </c>
    </row>
    <row r="5619" spans="1:5" x14ac:dyDescent="0.25">
      <c r="A5619" t="s">
        <v>3120</v>
      </c>
      <c r="B5619" t="s">
        <v>2211</v>
      </c>
      <c r="C5619" t="s">
        <v>3060</v>
      </c>
      <c r="D5619" t="s">
        <v>3060</v>
      </c>
      <c r="E5619" t="s">
        <v>3198</v>
      </c>
    </row>
    <row r="5620" spans="1:5" x14ac:dyDescent="0.25">
      <c r="A5620" t="s">
        <v>3120</v>
      </c>
      <c r="B5620" t="s">
        <v>5455</v>
      </c>
      <c r="C5620" t="s">
        <v>3060</v>
      </c>
      <c r="D5620" t="s">
        <v>5456</v>
      </c>
      <c r="E5620" t="s">
        <v>358</v>
      </c>
    </row>
    <row r="5621" spans="1:5" x14ac:dyDescent="0.25">
      <c r="A5621" t="s">
        <v>3120</v>
      </c>
      <c r="B5621" t="s">
        <v>3421</v>
      </c>
      <c r="C5621" t="s">
        <v>3060</v>
      </c>
      <c r="D5621" t="s">
        <v>3060</v>
      </c>
      <c r="E5621" t="s">
        <v>372</v>
      </c>
    </row>
    <row r="5622" spans="1:5" x14ac:dyDescent="0.25">
      <c r="A5622" t="s">
        <v>3120</v>
      </c>
      <c r="B5622" t="s">
        <v>3419</v>
      </c>
      <c r="C5622" t="s">
        <v>3060</v>
      </c>
      <c r="D5622" t="s">
        <v>3060</v>
      </c>
      <c r="E5622" t="s">
        <v>358</v>
      </c>
    </row>
    <row r="5623" spans="1:5" x14ac:dyDescent="0.25">
      <c r="A5623" t="s">
        <v>3120</v>
      </c>
      <c r="B5623" t="s">
        <v>5457</v>
      </c>
      <c r="C5623" t="s">
        <v>3060</v>
      </c>
      <c r="D5623" t="s">
        <v>3060</v>
      </c>
      <c r="E5623" t="s">
        <v>401</v>
      </c>
    </row>
    <row r="5624" spans="1:5" x14ac:dyDescent="0.25">
      <c r="A5624" t="s">
        <v>3120</v>
      </c>
      <c r="B5624" t="s">
        <v>229</v>
      </c>
      <c r="C5624" t="s">
        <v>3060</v>
      </c>
      <c r="D5624" t="s">
        <v>3060</v>
      </c>
      <c r="E5624" t="s">
        <v>252</v>
      </c>
    </row>
    <row r="5625" spans="1:5" x14ac:dyDescent="0.25">
      <c r="A5625" t="s">
        <v>3120</v>
      </c>
      <c r="B5625" t="s">
        <v>230</v>
      </c>
      <c r="C5625" t="s">
        <v>3060</v>
      </c>
      <c r="D5625" t="s">
        <v>3060</v>
      </c>
      <c r="E5625" t="s">
        <v>252</v>
      </c>
    </row>
    <row r="5626" spans="1:5" x14ac:dyDescent="0.25">
      <c r="A5626" t="s">
        <v>3120</v>
      </c>
      <c r="B5626" t="s">
        <v>233</v>
      </c>
      <c r="C5626" t="s">
        <v>3060</v>
      </c>
      <c r="D5626" t="s">
        <v>3060</v>
      </c>
      <c r="E5626" t="s">
        <v>252</v>
      </c>
    </row>
    <row r="5627" spans="1:5" x14ac:dyDescent="0.25">
      <c r="A5627" t="s">
        <v>3120</v>
      </c>
      <c r="B5627" t="s">
        <v>173</v>
      </c>
      <c r="C5627" t="s">
        <v>3060</v>
      </c>
      <c r="D5627" t="s">
        <v>3060</v>
      </c>
      <c r="E5627" t="s">
        <v>279</v>
      </c>
    </row>
    <row r="5628" spans="1:5" x14ac:dyDescent="0.25">
      <c r="A5628" t="s">
        <v>3120</v>
      </c>
      <c r="B5628" t="s">
        <v>325</v>
      </c>
      <c r="C5628" t="s">
        <v>3060</v>
      </c>
      <c r="D5628" t="s">
        <v>3060</v>
      </c>
      <c r="E5628" t="s">
        <v>575</v>
      </c>
    </row>
    <row r="5629" spans="1:5" x14ac:dyDescent="0.25">
      <c r="A5629" t="s">
        <v>3120</v>
      </c>
      <c r="B5629" t="s">
        <v>5458</v>
      </c>
      <c r="C5629" t="s">
        <v>3060</v>
      </c>
      <c r="D5629" t="s">
        <v>3060</v>
      </c>
      <c r="E5629" t="s">
        <v>279</v>
      </c>
    </row>
    <row r="5630" spans="1:5" x14ac:dyDescent="0.25">
      <c r="A5630" t="s">
        <v>3120</v>
      </c>
      <c r="B5630" t="s">
        <v>727</v>
      </c>
      <c r="C5630" t="s">
        <v>3060</v>
      </c>
      <c r="D5630" t="s">
        <v>3060</v>
      </c>
      <c r="E5630" t="s">
        <v>281</v>
      </c>
    </row>
    <row r="5631" spans="1:5" x14ac:dyDescent="0.25">
      <c r="A5631" t="s">
        <v>3120</v>
      </c>
      <c r="B5631" t="s">
        <v>180</v>
      </c>
      <c r="C5631" t="s">
        <v>3060</v>
      </c>
      <c r="D5631" t="s">
        <v>3060</v>
      </c>
      <c r="E5631" t="s">
        <v>279</v>
      </c>
    </row>
    <row r="5632" spans="1:5" x14ac:dyDescent="0.25">
      <c r="A5632" t="s">
        <v>3120</v>
      </c>
      <c r="B5632" t="s">
        <v>181</v>
      </c>
      <c r="C5632" t="s">
        <v>3060</v>
      </c>
      <c r="D5632" t="s">
        <v>3060</v>
      </c>
      <c r="E5632" t="s">
        <v>286</v>
      </c>
    </row>
    <row r="5633" spans="1:5" x14ac:dyDescent="0.25">
      <c r="A5633" t="s">
        <v>3120</v>
      </c>
      <c r="B5633" t="s">
        <v>242</v>
      </c>
      <c r="C5633" t="s">
        <v>3060</v>
      </c>
      <c r="D5633" t="s">
        <v>3060</v>
      </c>
      <c r="E5633" t="s">
        <v>287</v>
      </c>
    </row>
    <row r="5634" spans="1:5" x14ac:dyDescent="0.25">
      <c r="A5634" t="s">
        <v>3120</v>
      </c>
      <c r="B5634" t="s">
        <v>327</v>
      </c>
      <c r="C5634" t="s">
        <v>3060</v>
      </c>
      <c r="D5634" t="s">
        <v>3060</v>
      </c>
      <c r="E5634" t="s">
        <v>287</v>
      </c>
    </row>
    <row r="5635" spans="1:5" x14ac:dyDescent="0.25">
      <c r="A5635" t="s">
        <v>3120</v>
      </c>
      <c r="B5635" t="s">
        <v>691</v>
      </c>
      <c r="C5635" t="s">
        <v>3060</v>
      </c>
      <c r="D5635" t="s">
        <v>3060</v>
      </c>
      <c r="E5635" t="s">
        <v>656</v>
      </c>
    </row>
    <row r="5636" spans="1:5" x14ac:dyDescent="0.25">
      <c r="A5636" t="s">
        <v>3120</v>
      </c>
      <c r="B5636" t="s">
        <v>693</v>
      </c>
      <c r="C5636" t="s">
        <v>3060</v>
      </c>
      <c r="D5636" t="s">
        <v>3060</v>
      </c>
      <c r="E5636" t="s">
        <v>656</v>
      </c>
    </row>
    <row r="5637" spans="1:5" x14ac:dyDescent="0.25">
      <c r="A5637" t="s">
        <v>3120</v>
      </c>
      <c r="B5637" t="s">
        <v>183</v>
      </c>
      <c r="C5637" t="s">
        <v>3060</v>
      </c>
      <c r="D5637" t="s">
        <v>3060</v>
      </c>
      <c r="E5637" t="s">
        <v>184</v>
      </c>
    </row>
    <row r="5638" spans="1:5" x14ac:dyDescent="0.25">
      <c r="A5638" t="s">
        <v>3121</v>
      </c>
      <c r="B5638" t="s">
        <v>5459</v>
      </c>
      <c r="C5638" t="s">
        <v>3060</v>
      </c>
      <c r="D5638" t="s">
        <v>3060</v>
      </c>
      <c r="E5638" t="s">
        <v>366</v>
      </c>
    </row>
    <row r="5639" spans="1:5" x14ac:dyDescent="0.25">
      <c r="A5639" t="s">
        <v>3121</v>
      </c>
      <c r="B5639" t="s">
        <v>5460</v>
      </c>
      <c r="C5639" t="s">
        <v>3060</v>
      </c>
      <c r="D5639" t="s">
        <v>3060</v>
      </c>
      <c r="E5639" t="s">
        <v>366</v>
      </c>
    </row>
    <row r="5640" spans="1:5" x14ac:dyDescent="0.25">
      <c r="A5640" t="s">
        <v>3121</v>
      </c>
      <c r="B5640" t="s">
        <v>5461</v>
      </c>
      <c r="C5640" t="s">
        <v>3060</v>
      </c>
      <c r="D5640" t="s">
        <v>5462</v>
      </c>
      <c r="E5640" t="s">
        <v>2287</v>
      </c>
    </row>
    <row r="5641" spans="1:5" x14ac:dyDescent="0.25">
      <c r="A5641" t="s">
        <v>3121</v>
      </c>
      <c r="B5641" t="s">
        <v>5463</v>
      </c>
      <c r="C5641" t="s">
        <v>3060</v>
      </c>
      <c r="D5641" t="s">
        <v>3060</v>
      </c>
      <c r="E5641" t="s">
        <v>366</v>
      </c>
    </row>
    <row r="5642" spans="1:5" x14ac:dyDescent="0.25">
      <c r="A5642" t="s">
        <v>3121</v>
      </c>
      <c r="B5642" t="s">
        <v>5464</v>
      </c>
      <c r="C5642" t="s">
        <v>3060</v>
      </c>
      <c r="D5642" t="s">
        <v>3060</v>
      </c>
      <c r="E5642" t="s">
        <v>2304</v>
      </c>
    </row>
    <row r="5643" spans="1:5" x14ac:dyDescent="0.25">
      <c r="A5643" t="s">
        <v>3121</v>
      </c>
      <c r="B5643" t="s">
        <v>5465</v>
      </c>
      <c r="C5643" t="s">
        <v>3060</v>
      </c>
      <c r="D5643" t="s">
        <v>3060</v>
      </c>
      <c r="E5643" t="s">
        <v>212</v>
      </c>
    </row>
    <row r="5644" spans="1:5" x14ac:dyDescent="0.25">
      <c r="A5644" t="s">
        <v>3121</v>
      </c>
      <c r="B5644" t="s">
        <v>5466</v>
      </c>
      <c r="C5644" t="s">
        <v>3060</v>
      </c>
      <c r="D5644" t="s">
        <v>3060</v>
      </c>
      <c r="E5644" t="s">
        <v>212</v>
      </c>
    </row>
    <row r="5645" spans="1:5" x14ac:dyDescent="0.25">
      <c r="A5645" t="s">
        <v>3121</v>
      </c>
      <c r="B5645" t="s">
        <v>5467</v>
      </c>
      <c r="C5645" t="s">
        <v>3060</v>
      </c>
      <c r="D5645" t="s">
        <v>3060</v>
      </c>
      <c r="E5645" t="s">
        <v>212</v>
      </c>
    </row>
    <row r="5646" spans="1:5" x14ac:dyDescent="0.25">
      <c r="A5646" t="s">
        <v>3121</v>
      </c>
      <c r="B5646" t="s">
        <v>5468</v>
      </c>
      <c r="C5646" t="s">
        <v>3060</v>
      </c>
      <c r="D5646" t="s">
        <v>3060</v>
      </c>
      <c r="E5646" t="s">
        <v>212</v>
      </c>
    </row>
    <row r="5647" spans="1:5" x14ac:dyDescent="0.25">
      <c r="A5647" t="s">
        <v>3121</v>
      </c>
      <c r="B5647" t="s">
        <v>5469</v>
      </c>
      <c r="C5647" t="s">
        <v>3060</v>
      </c>
      <c r="D5647" t="s">
        <v>3060</v>
      </c>
      <c r="E5647" t="s">
        <v>212</v>
      </c>
    </row>
    <row r="5648" spans="1:5" x14ac:dyDescent="0.25">
      <c r="A5648" t="s">
        <v>3121</v>
      </c>
      <c r="B5648" t="s">
        <v>5470</v>
      </c>
      <c r="C5648" t="s">
        <v>3060</v>
      </c>
      <c r="D5648" t="s">
        <v>3060</v>
      </c>
      <c r="E5648" t="s">
        <v>212</v>
      </c>
    </row>
    <row r="5649" spans="1:5" x14ac:dyDescent="0.25">
      <c r="A5649" t="s">
        <v>3121</v>
      </c>
      <c r="B5649" t="s">
        <v>5471</v>
      </c>
      <c r="C5649" t="s">
        <v>3060</v>
      </c>
      <c r="D5649" t="s">
        <v>3060</v>
      </c>
      <c r="E5649" t="s">
        <v>212</v>
      </c>
    </row>
    <row r="5650" spans="1:5" x14ac:dyDescent="0.25">
      <c r="A5650" t="s">
        <v>3121</v>
      </c>
      <c r="B5650" t="s">
        <v>5472</v>
      </c>
      <c r="C5650" t="s">
        <v>3060</v>
      </c>
      <c r="D5650" t="s">
        <v>3060</v>
      </c>
      <c r="E5650" t="s">
        <v>212</v>
      </c>
    </row>
    <row r="5651" spans="1:5" x14ac:dyDescent="0.25">
      <c r="A5651" t="s">
        <v>3121</v>
      </c>
      <c r="B5651" t="s">
        <v>5473</v>
      </c>
      <c r="C5651" t="s">
        <v>3060</v>
      </c>
      <c r="D5651" t="s">
        <v>3060</v>
      </c>
      <c r="E5651" t="s">
        <v>212</v>
      </c>
    </row>
    <row r="5652" spans="1:5" x14ac:dyDescent="0.25">
      <c r="A5652" t="s">
        <v>3121</v>
      </c>
      <c r="B5652" t="s">
        <v>5474</v>
      </c>
      <c r="C5652" t="s">
        <v>3060</v>
      </c>
      <c r="D5652" t="s">
        <v>3060</v>
      </c>
      <c r="E5652" t="s">
        <v>2287</v>
      </c>
    </row>
    <row r="5653" spans="1:5" x14ac:dyDescent="0.25">
      <c r="A5653" t="s">
        <v>3121</v>
      </c>
      <c r="B5653" t="s">
        <v>5461</v>
      </c>
      <c r="C5653" t="s">
        <v>3060</v>
      </c>
      <c r="D5653" t="s">
        <v>5462</v>
      </c>
      <c r="E5653" t="s">
        <v>2287</v>
      </c>
    </row>
    <row r="5654" spans="1:5" x14ac:dyDescent="0.25">
      <c r="A5654" t="s">
        <v>3121</v>
      </c>
      <c r="B5654" t="s">
        <v>5475</v>
      </c>
      <c r="C5654" t="s">
        <v>3060</v>
      </c>
      <c r="D5654" t="s">
        <v>3060</v>
      </c>
      <c r="E5654" t="s">
        <v>2287</v>
      </c>
    </row>
    <row r="5655" spans="1:5" x14ac:dyDescent="0.25">
      <c r="A5655" t="s">
        <v>3121</v>
      </c>
      <c r="B5655" t="s">
        <v>5476</v>
      </c>
      <c r="C5655" t="s">
        <v>3060</v>
      </c>
      <c r="D5655" t="s">
        <v>3060</v>
      </c>
      <c r="E5655" t="s">
        <v>2287</v>
      </c>
    </row>
    <row r="5656" spans="1:5" x14ac:dyDescent="0.25">
      <c r="A5656" t="s">
        <v>3121</v>
      </c>
      <c r="B5656" t="s">
        <v>5477</v>
      </c>
      <c r="C5656" t="s">
        <v>3060</v>
      </c>
      <c r="D5656" t="s">
        <v>3060</v>
      </c>
      <c r="E5656" t="s">
        <v>2304</v>
      </c>
    </row>
    <row r="5657" spans="1:5" x14ac:dyDescent="0.25">
      <c r="A5657" t="s">
        <v>3121</v>
      </c>
      <c r="B5657" t="s">
        <v>5464</v>
      </c>
      <c r="C5657" t="s">
        <v>3060</v>
      </c>
      <c r="D5657" t="s">
        <v>3060</v>
      </c>
      <c r="E5657" t="s">
        <v>2304</v>
      </c>
    </row>
    <row r="5658" spans="1:5" x14ac:dyDescent="0.25">
      <c r="A5658" t="s">
        <v>3121</v>
      </c>
      <c r="B5658" t="s">
        <v>5478</v>
      </c>
      <c r="C5658" t="s">
        <v>3060</v>
      </c>
      <c r="D5658" t="s">
        <v>5462</v>
      </c>
      <c r="E5658" t="s">
        <v>2304</v>
      </c>
    </row>
    <row r="5659" spans="1:5" x14ac:dyDescent="0.25">
      <c r="A5659" t="s">
        <v>3121</v>
      </c>
      <c r="B5659" t="s">
        <v>5479</v>
      </c>
      <c r="C5659" t="s">
        <v>3060</v>
      </c>
      <c r="D5659" t="s">
        <v>3060</v>
      </c>
      <c r="E5659" t="s">
        <v>2304</v>
      </c>
    </row>
    <row r="5660" spans="1:5" x14ac:dyDescent="0.25">
      <c r="A5660" t="s">
        <v>3121</v>
      </c>
      <c r="B5660" t="s">
        <v>5480</v>
      </c>
      <c r="C5660" t="s">
        <v>3060</v>
      </c>
      <c r="D5660" t="s">
        <v>3060</v>
      </c>
      <c r="E5660" t="s">
        <v>3408</v>
      </c>
    </row>
    <row r="5661" spans="1:5" x14ac:dyDescent="0.25">
      <c r="A5661" t="s">
        <v>3121</v>
      </c>
      <c r="B5661" t="s">
        <v>5481</v>
      </c>
      <c r="C5661" t="s">
        <v>3060</v>
      </c>
      <c r="D5661" t="s">
        <v>5462</v>
      </c>
      <c r="E5661" t="s">
        <v>3408</v>
      </c>
    </row>
    <row r="5662" spans="1:5" x14ac:dyDescent="0.25">
      <c r="A5662" t="s">
        <v>3121</v>
      </c>
      <c r="B5662" t="s">
        <v>5482</v>
      </c>
      <c r="C5662" t="s">
        <v>3060</v>
      </c>
      <c r="D5662" t="s">
        <v>3060</v>
      </c>
      <c r="E5662" t="s">
        <v>3408</v>
      </c>
    </row>
    <row r="5663" spans="1:5" x14ac:dyDescent="0.25">
      <c r="A5663" t="s">
        <v>3121</v>
      </c>
      <c r="B5663" t="s">
        <v>5483</v>
      </c>
      <c r="C5663" t="s">
        <v>3060</v>
      </c>
      <c r="D5663" t="s">
        <v>3060</v>
      </c>
      <c r="E5663" t="s">
        <v>5484</v>
      </c>
    </row>
    <row r="5664" spans="1:5" x14ac:dyDescent="0.25">
      <c r="A5664" t="s">
        <v>3121</v>
      </c>
      <c r="B5664" t="s">
        <v>5485</v>
      </c>
      <c r="C5664" t="s">
        <v>3060</v>
      </c>
      <c r="D5664" t="s">
        <v>3060</v>
      </c>
      <c r="E5664" t="s">
        <v>5484</v>
      </c>
    </row>
    <row r="5665" spans="1:5" x14ac:dyDescent="0.25">
      <c r="A5665" t="s">
        <v>3121</v>
      </c>
      <c r="B5665" t="s">
        <v>5486</v>
      </c>
      <c r="C5665" t="s">
        <v>3060</v>
      </c>
      <c r="D5665" t="s">
        <v>5462</v>
      </c>
      <c r="E5665" t="s">
        <v>5484</v>
      </c>
    </row>
    <row r="5666" spans="1:5" x14ac:dyDescent="0.25">
      <c r="A5666" t="s">
        <v>3121</v>
      </c>
      <c r="B5666" t="s">
        <v>5487</v>
      </c>
      <c r="C5666" t="s">
        <v>3060</v>
      </c>
      <c r="D5666" t="s">
        <v>3060</v>
      </c>
      <c r="E5666" t="s">
        <v>5484</v>
      </c>
    </row>
    <row r="5667" spans="1:5" x14ac:dyDescent="0.25">
      <c r="A5667" t="s">
        <v>3121</v>
      </c>
      <c r="B5667" t="s">
        <v>229</v>
      </c>
      <c r="C5667" t="s">
        <v>3060</v>
      </c>
      <c r="D5667" t="s">
        <v>3060</v>
      </c>
      <c r="E5667" t="s">
        <v>207</v>
      </c>
    </row>
    <row r="5668" spans="1:5" x14ac:dyDescent="0.25">
      <c r="A5668" t="s">
        <v>3121</v>
      </c>
      <c r="B5668" t="s">
        <v>230</v>
      </c>
      <c r="C5668" t="s">
        <v>3060</v>
      </c>
      <c r="D5668" t="s">
        <v>3060</v>
      </c>
      <c r="E5668" t="s">
        <v>207</v>
      </c>
    </row>
    <row r="5669" spans="1:5" x14ac:dyDescent="0.25">
      <c r="A5669" t="s">
        <v>3121</v>
      </c>
      <c r="B5669" t="s">
        <v>242</v>
      </c>
      <c r="C5669" t="s">
        <v>3060</v>
      </c>
      <c r="D5669" t="s">
        <v>3060</v>
      </c>
      <c r="E5669" t="s">
        <v>287</v>
      </c>
    </row>
    <row r="5670" spans="1:5" x14ac:dyDescent="0.25">
      <c r="A5670" t="s">
        <v>3121</v>
      </c>
      <c r="B5670" t="s">
        <v>327</v>
      </c>
      <c r="C5670" t="s">
        <v>3060</v>
      </c>
      <c r="D5670" t="s">
        <v>3060</v>
      </c>
      <c r="E5670" t="s">
        <v>287</v>
      </c>
    </row>
    <row r="5671" spans="1:5" x14ac:dyDescent="0.25">
      <c r="A5671" t="s">
        <v>3121</v>
      </c>
      <c r="B5671" t="s">
        <v>345</v>
      </c>
      <c r="C5671" t="s">
        <v>3060</v>
      </c>
      <c r="D5671" t="s">
        <v>3060</v>
      </c>
      <c r="E5671" t="s">
        <v>287</v>
      </c>
    </row>
    <row r="5672" spans="1:5" x14ac:dyDescent="0.25">
      <c r="A5672" t="s">
        <v>3121</v>
      </c>
      <c r="B5672" t="s">
        <v>346</v>
      </c>
      <c r="C5672" t="s">
        <v>3060</v>
      </c>
      <c r="D5672" t="s">
        <v>3060</v>
      </c>
      <c r="E5672" t="s">
        <v>287</v>
      </c>
    </row>
    <row r="5673" spans="1:5" x14ac:dyDescent="0.25">
      <c r="A5673" t="s">
        <v>3121</v>
      </c>
      <c r="B5673" t="s">
        <v>5488</v>
      </c>
      <c r="C5673" t="s">
        <v>3060</v>
      </c>
      <c r="D5673" t="s">
        <v>3060</v>
      </c>
      <c r="E5673" t="s">
        <v>358</v>
      </c>
    </row>
    <row r="5674" spans="1:5" x14ac:dyDescent="0.25">
      <c r="A5674" t="s">
        <v>3121</v>
      </c>
      <c r="B5674" t="s">
        <v>5489</v>
      </c>
      <c r="C5674" t="s">
        <v>3060</v>
      </c>
      <c r="D5674" t="s">
        <v>3060</v>
      </c>
      <c r="E5674" t="s">
        <v>2304</v>
      </c>
    </row>
    <row r="5675" spans="1:5" x14ac:dyDescent="0.25">
      <c r="A5675" t="s">
        <v>3121</v>
      </c>
      <c r="B5675" t="s">
        <v>5490</v>
      </c>
      <c r="C5675" t="s">
        <v>3060</v>
      </c>
      <c r="D5675" t="s">
        <v>5491</v>
      </c>
      <c r="E5675" t="s">
        <v>358</v>
      </c>
    </row>
    <row r="5676" spans="1:5" x14ac:dyDescent="0.25">
      <c r="A5676" t="s">
        <v>3121</v>
      </c>
      <c r="B5676" t="s">
        <v>5492</v>
      </c>
      <c r="C5676" t="s">
        <v>3060</v>
      </c>
      <c r="D5676" t="s">
        <v>3060</v>
      </c>
      <c r="E5676" t="s">
        <v>254</v>
      </c>
    </row>
    <row r="5677" spans="1:5" x14ac:dyDescent="0.25">
      <c r="A5677" t="s">
        <v>3121</v>
      </c>
      <c r="B5677" t="s">
        <v>5493</v>
      </c>
      <c r="C5677" t="s">
        <v>3060</v>
      </c>
      <c r="D5677" t="s">
        <v>3060</v>
      </c>
      <c r="E5677" t="s">
        <v>254</v>
      </c>
    </row>
    <row r="5678" spans="1:5" x14ac:dyDescent="0.25">
      <c r="A5678" t="s">
        <v>3121</v>
      </c>
      <c r="B5678" t="s">
        <v>5494</v>
      </c>
      <c r="C5678" t="s">
        <v>3060</v>
      </c>
      <c r="D5678" t="s">
        <v>3060</v>
      </c>
      <c r="E5678" t="s">
        <v>401</v>
      </c>
    </row>
    <row r="5679" spans="1:5" x14ac:dyDescent="0.25">
      <c r="A5679" t="s">
        <v>3121</v>
      </c>
      <c r="B5679" t="s">
        <v>5495</v>
      </c>
      <c r="C5679" t="s">
        <v>3060</v>
      </c>
      <c r="D5679" t="s">
        <v>3060</v>
      </c>
      <c r="E5679" t="s">
        <v>401</v>
      </c>
    </row>
    <row r="5680" spans="1:5" x14ac:dyDescent="0.25">
      <c r="A5680" t="s">
        <v>3121</v>
      </c>
      <c r="B5680" t="s">
        <v>5459</v>
      </c>
      <c r="C5680" t="s">
        <v>3060</v>
      </c>
      <c r="D5680" t="s">
        <v>3060</v>
      </c>
      <c r="E5680" t="s">
        <v>366</v>
      </c>
    </row>
    <row r="5681" spans="1:5" x14ac:dyDescent="0.25">
      <c r="A5681" t="s">
        <v>3121</v>
      </c>
      <c r="B5681" t="s">
        <v>5496</v>
      </c>
      <c r="C5681" t="s">
        <v>3060</v>
      </c>
      <c r="D5681" t="s">
        <v>3060</v>
      </c>
      <c r="E5681" t="s">
        <v>5497</v>
      </c>
    </row>
    <row r="5682" spans="1:5" x14ac:dyDescent="0.25">
      <c r="A5682" t="s">
        <v>3121</v>
      </c>
      <c r="B5682" t="s">
        <v>5498</v>
      </c>
      <c r="C5682" t="s">
        <v>3060</v>
      </c>
      <c r="D5682" t="s">
        <v>3060</v>
      </c>
      <c r="E5682" t="s">
        <v>5499</v>
      </c>
    </row>
    <row r="5683" spans="1:5" x14ac:dyDescent="0.25">
      <c r="A5683" t="s">
        <v>3121</v>
      </c>
      <c r="B5683" t="s">
        <v>5463</v>
      </c>
      <c r="C5683" t="s">
        <v>3060</v>
      </c>
      <c r="D5683" t="s">
        <v>3060</v>
      </c>
      <c r="E5683" t="s">
        <v>366</v>
      </c>
    </row>
    <row r="5684" spans="1:5" x14ac:dyDescent="0.25">
      <c r="A5684" t="s">
        <v>3121</v>
      </c>
      <c r="B5684" t="s">
        <v>5500</v>
      </c>
      <c r="C5684" t="s">
        <v>3060</v>
      </c>
      <c r="D5684" t="s">
        <v>3060</v>
      </c>
      <c r="E5684" t="s">
        <v>366</v>
      </c>
    </row>
    <row r="5685" spans="1:5" x14ac:dyDescent="0.25">
      <c r="A5685" t="s">
        <v>3121</v>
      </c>
      <c r="B5685" t="s">
        <v>5460</v>
      </c>
      <c r="C5685" t="s">
        <v>3060</v>
      </c>
      <c r="D5685" t="s">
        <v>3060</v>
      </c>
      <c r="E5685" t="s">
        <v>366</v>
      </c>
    </row>
    <row r="5686" spans="1:5" x14ac:dyDescent="0.25">
      <c r="A5686" t="s">
        <v>3121</v>
      </c>
      <c r="B5686" t="s">
        <v>5501</v>
      </c>
      <c r="C5686" t="s">
        <v>3060</v>
      </c>
      <c r="D5686" t="s">
        <v>3060</v>
      </c>
      <c r="E5686" t="s">
        <v>358</v>
      </c>
    </row>
    <row r="5687" spans="1:5" x14ac:dyDescent="0.25">
      <c r="A5687" t="s">
        <v>3121</v>
      </c>
      <c r="B5687" t="s">
        <v>5502</v>
      </c>
      <c r="C5687" t="s">
        <v>3060</v>
      </c>
      <c r="D5687" t="s">
        <v>3060</v>
      </c>
      <c r="E5687" t="s">
        <v>358</v>
      </c>
    </row>
    <row r="5688" spans="1:5" x14ac:dyDescent="0.25">
      <c r="A5688" t="s">
        <v>3121</v>
      </c>
      <c r="B5688" t="s">
        <v>5503</v>
      </c>
      <c r="C5688" t="s">
        <v>3060</v>
      </c>
      <c r="D5688" t="s">
        <v>5504</v>
      </c>
      <c r="E5688" t="s">
        <v>358</v>
      </c>
    </row>
    <row r="5689" spans="1:5" x14ac:dyDescent="0.25">
      <c r="A5689" t="s">
        <v>3121</v>
      </c>
      <c r="B5689" t="s">
        <v>183</v>
      </c>
      <c r="C5689" t="s">
        <v>3060</v>
      </c>
      <c r="D5689" t="s">
        <v>3060</v>
      </c>
      <c r="E5689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2967</v>
      </c>
    </row>
    <row r="23" spans="1:39" x14ac:dyDescent="0.25">
      <c r="A23" t="s">
        <v>185</v>
      </c>
    </row>
    <row r="25" spans="1:39" x14ac:dyDescent="0.25">
      <c r="A25" t="s">
        <v>186</v>
      </c>
    </row>
    <row r="26" spans="1:39" x14ac:dyDescent="0.25">
      <c r="A26" t="s">
        <v>3057</v>
      </c>
    </row>
    <row r="31" spans="1:39" x14ac:dyDescent="0.25">
      <c r="A31" t="s">
        <v>3058</v>
      </c>
    </row>
    <row r="32" spans="1:39" x14ac:dyDescent="0.25">
      <c r="A32" t="s">
        <v>291</v>
      </c>
      <c r="AI32" s="6"/>
      <c r="AJ32" s="6"/>
      <c r="AK32" s="6"/>
      <c r="AL32" s="6"/>
      <c r="AM32" s="6"/>
    </row>
    <row r="33" spans="1:39" x14ac:dyDescent="0.25">
      <c r="A33" t="s">
        <v>2967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Komagene Etsiz Çiğ Köfte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NIĞDE</v>
      </c>
      <c r="X35" s="5" t="str">
        <f>IF(A24="","",A24)</f>
        <v/>
      </c>
      <c r="Y35" s="5" t="str">
        <f>IF(A25="","",A25)</f>
        <v>Merkez</v>
      </c>
      <c r="Z35" s="5" t="str">
        <f>IF(A26="","",A26)</f>
        <v>Eskisaray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***=HYPERLINK("file:///C:/rest_photo/Komagene Etsiz Çiğ Köfte, Merkez (Eskisaray Mah.).jpg","Komagene Etsiz Çiğ Köfte, Merkez (Eskisaray Mah.)")</v>
      </c>
      <c r="AF35" s="5" t="str">
        <f>IF(A32="","",A32)</f>
        <v>30-40 dk.</v>
      </c>
      <c r="AG35" s="5" t="str">
        <f>IF(A33="","",A33)</f>
        <v>Komagene Etsiz Çiğ Köfte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2021-11-20T14:03:47Z</dcterms:modified>
</cp:coreProperties>
</file>