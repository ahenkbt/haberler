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42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chartsheet+xml" PartName="/xl/chartsheets/sheet2.xml"/>
  <Override ContentType="application/vnd.openxmlformats-officedocument.spreadsheetml.chartsheet+xml" PartName="/xl/chartsheets/sheet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40.xml"/>
  <Override ContentType="application/vnd.openxmlformats-officedocument.drawing+xml" PartName="/xl/drawings/drawing36.xml"/>
  <Override ContentType="application/vnd.openxmlformats-officedocument.drawing+xml" PartName="/xl/drawings/drawing23.xml"/>
  <Override ContentType="application/vnd.openxmlformats-officedocument.drawing+xml" PartName="/xl/drawings/drawing49.xml"/>
  <Override ContentType="application/vnd.openxmlformats-officedocument.drawing+xml" PartName="/xl/drawings/drawing38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37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4.xml"/>
  <Override ContentType="application/vnd.openxmlformats-officedocument.drawing+xml" PartName="/xl/drawings/drawing27.xml"/>
  <Override ContentType="application/vnd.openxmlformats-officedocument.drawing+xml" PartName="/xl/drawings/drawing44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35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33.xml"/>
  <Override ContentType="application/vnd.openxmlformats-officedocument.drawing+xml" PartName="/xl/drawings/drawing46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29.xml"/>
  <Override ContentType="application/vnd.openxmlformats-officedocument.drawing+xml" PartName="/xl/drawings/drawing50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Temmuz Özet" sheetId="1" r:id="rId3"/>
    <sheet state="hidden" name="26.07" sheetId="2" r:id="rId4"/>
    <sheet state="hidden" name="02.08" sheetId="3" r:id="rId5"/>
    <sheet state="hidden" name="09.08" sheetId="4" r:id="rId6"/>
    <sheet state="hidden" name="16.08 " sheetId="5" r:id="rId7"/>
    <sheet state="hidden" name="23.08" sheetId="6" r:id="rId8"/>
    <sheet state="hidden" name="30.08" sheetId="7" r:id="rId9"/>
    <sheet state="hidden" name="06.09" sheetId="8" r:id="rId10"/>
    <sheet state="hidden" name="13.09" sheetId="9" r:id="rId11"/>
    <sheet state="hidden" name="20.09" sheetId="10" r:id="rId12"/>
    <sheet state="hidden" name="27.09" sheetId="11" r:id="rId13"/>
    <sheet state="hidden" name="04.10" sheetId="12" r:id="rId14"/>
    <sheet state="hidden" name="11.10" sheetId="13" r:id="rId15"/>
    <sheet state="hidden" name="18.10" sheetId="14" r:id="rId16"/>
    <sheet state="hidden" name="25.10" sheetId="15" r:id="rId17"/>
    <sheet state="hidden" name="01.11" sheetId="16" r:id="rId18"/>
    <sheet state="hidden" name="08.11" sheetId="17" r:id="rId19"/>
    <sheet state="hidden" name="15.11" sheetId="18" r:id="rId20"/>
    <sheet state="hidden" name="22.11" sheetId="19" r:id="rId21"/>
    <sheet state="hidden" name="29.11" sheetId="20" r:id="rId22"/>
    <sheet state="hidden" name="06.12" sheetId="21" r:id="rId23"/>
    <sheet state="hidden" name="13.12" sheetId="22" r:id="rId24"/>
    <sheet state="hidden" name="20.12" sheetId="23" r:id="rId25"/>
    <sheet state="hidden" name="27.12" sheetId="24" r:id="rId26"/>
    <sheet state="hidden" name="03.01" sheetId="25" r:id="rId27"/>
    <sheet state="hidden" name="10.01" sheetId="26" r:id="rId28"/>
    <sheet state="hidden" name="17.01" sheetId="27" r:id="rId29"/>
    <sheet state="hidden" name="24.01" sheetId="28" r:id="rId30"/>
    <sheet state="hidden" name="31.01" sheetId="29" r:id="rId31"/>
    <sheet state="hidden" name="07.02" sheetId="30" r:id="rId32"/>
    <sheet state="hidden" name="14.02" sheetId="31" r:id="rId33"/>
    <sheet state="hidden" name="21.02" sheetId="32" r:id="rId34"/>
    <sheet state="hidden" name="28.02" sheetId="33" r:id="rId35"/>
    <sheet state="hidden" name="07.03" sheetId="34" r:id="rId36"/>
    <sheet state="hidden" name="14.03" sheetId="35" r:id="rId37"/>
    <sheet state="hidden" name="20.03" sheetId="36" r:id="rId38"/>
    <sheet state="hidden" name="28.03" sheetId="37" r:id="rId39"/>
    <sheet state="hidden" name="04.04" sheetId="38" r:id="rId40"/>
    <sheet state="hidden" name="11.04" sheetId="39" r:id="rId41"/>
    <sheet state="hidden" name="18.04" sheetId="40" r:id="rId42"/>
    <sheet state="hidden" name="25.04" sheetId="41" r:id="rId43"/>
    <sheet state="hidden" name="09.05" sheetId="42" r:id="rId44"/>
    <sheet state="hidden" name="16.05" sheetId="43" r:id="rId45"/>
    <sheet state="visible" name="23.05" sheetId="44" r:id="rId46"/>
    <sheet state="hidden" name="Sayfa13" sheetId="45" r:id="rId47"/>
    <sheet state="hidden" name="21.03.2022" sheetId="46" r:id="rId48"/>
    <sheet state="visible" name="Data" sheetId="47" r:id="rId49"/>
    <sheet state="visible" name="Özet" sheetId="48" r:id="rId50"/>
    <sheet state="visible" name="2022" sheetId="49" r:id="rId51"/>
    <sheet state="visible" name="2021" sheetId="50" r:id="rId52"/>
  </sheets>
  <definedNames>
    <definedName hidden="1" localSheetId="0" name="_xlnm._FilterDatabase">'Temmuz Özet'!$D$25:$D$33</definedName>
    <definedName hidden="1" localSheetId="10" name="_xlnm._FilterDatabase">'27.09'!$D$14:$M$69</definedName>
    <definedName hidden="1" localSheetId="12" name="_xlnm._FilterDatabase">'11.10'!$D$14:$M$77</definedName>
    <definedName hidden="1" localSheetId="34" name="_xlnm._FilterDatabase">'14.03'!$A$14:$Q$96</definedName>
    <definedName hidden="1" localSheetId="3" name="Z_61BFB675_AD62_40D8_8BF0_59DD92A06096_.wvu.FilterData">'09.08'!$D$64:$E$71</definedName>
    <definedName hidden="1" localSheetId="3" name="Z_90E1DF85_7252_44D2_BA7D_CC3767CD0E8B_.wvu.FilterData">'09.08'!$D$14:$M$72</definedName>
    <definedName hidden="1" localSheetId="4" name="Z_90E1DF85_7252_44D2_BA7D_CC3767CD0E8B_.wvu.FilterData">'16.08 '!$A$14:$O$66</definedName>
    <definedName hidden="1" localSheetId="5" name="Z_90E1DF85_7252_44D2_BA7D_CC3767CD0E8B_.wvu.FilterData">'23.08'!$A$14:$O$63</definedName>
    <definedName hidden="1" localSheetId="6" name="Z_90E1DF85_7252_44D2_BA7D_CC3767CD0E8B_.wvu.FilterData">'30.08'!$A$14:$O$67</definedName>
    <definedName hidden="1" localSheetId="7" name="Z_90E1DF85_7252_44D2_BA7D_CC3767CD0E8B_.wvu.FilterData">'06.09'!$A$14:$O$67</definedName>
    <definedName hidden="1" localSheetId="8" name="Z_90E1DF85_7252_44D2_BA7D_CC3767CD0E8B_.wvu.FilterData">'13.09'!$A$14:$O$66</definedName>
    <definedName hidden="1" localSheetId="9" name="Z_90E1DF85_7252_44D2_BA7D_CC3767CD0E8B_.wvu.FilterData">'20.09'!$A$14:$O$69</definedName>
    <definedName hidden="1" localSheetId="10" name="Z_90E1DF85_7252_44D2_BA7D_CC3767CD0E8B_.wvu.FilterData">'27.09'!$A$14:$O$69</definedName>
    <definedName hidden="1" localSheetId="11" name="Z_90E1DF85_7252_44D2_BA7D_CC3767CD0E8B_.wvu.FilterData">'04.10'!$A$14:$O$72</definedName>
    <definedName hidden="1" localSheetId="12" name="Z_90E1DF85_7252_44D2_BA7D_CC3767CD0E8B_.wvu.FilterData">'11.10'!$A$14:$O$77</definedName>
    <definedName hidden="1" localSheetId="13" name="Z_90E1DF85_7252_44D2_BA7D_CC3767CD0E8B_.wvu.FilterData">'18.10'!$A$14:$O$77</definedName>
    <definedName hidden="1" localSheetId="14" name="Z_90E1DF85_7252_44D2_BA7D_CC3767CD0E8B_.wvu.FilterData">'25.10'!$A$14:$O$79</definedName>
    <definedName hidden="1" localSheetId="15" name="Z_90E1DF85_7252_44D2_BA7D_CC3767CD0E8B_.wvu.FilterData">'01.11'!$A$14:$O$78</definedName>
    <definedName hidden="1" localSheetId="16" name="Z_90E1DF85_7252_44D2_BA7D_CC3767CD0E8B_.wvu.FilterData">'08.11'!$A$14:$O$68</definedName>
    <definedName hidden="1" localSheetId="17" name="Z_90E1DF85_7252_44D2_BA7D_CC3767CD0E8B_.wvu.FilterData">'15.11'!$A$14:$O$72</definedName>
    <definedName hidden="1" localSheetId="18" name="Z_90E1DF85_7252_44D2_BA7D_CC3767CD0E8B_.wvu.FilterData">'22.11'!$A$14:$O$79</definedName>
    <definedName hidden="1" localSheetId="19" name="Z_90E1DF85_7252_44D2_BA7D_CC3767CD0E8B_.wvu.FilterData">'29.11'!$A$14:$O$80</definedName>
    <definedName hidden="1" localSheetId="20" name="Z_90E1DF85_7252_44D2_BA7D_CC3767CD0E8B_.wvu.FilterData">'06.12'!$A$14:$O$83</definedName>
    <definedName hidden="1" localSheetId="21" name="Z_90E1DF85_7252_44D2_BA7D_CC3767CD0E8B_.wvu.FilterData">'13.12'!$A$14:$O$83</definedName>
    <definedName hidden="1" localSheetId="22" name="Z_90E1DF85_7252_44D2_BA7D_CC3767CD0E8B_.wvu.FilterData">'20.12'!$A$14:$O$85</definedName>
    <definedName hidden="1" localSheetId="23" name="Z_90E1DF85_7252_44D2_BA7D_CC3767CD0E8B_.wvu.FilterData">'27.12'!$A$14:$O$85</definedName>
    <definedName hidden="1" localSheetId="24" name="Z_90E1DF85_7252_44D2_BA7D_CC3767CD0E8B_.wvu.FilterData">'03.01'!$A$14:$O$89</definedName>
    <definedName hidden="1" localSheetId="25" name="Z_90E1DF85_7252_44D2_BA7D_CC3767CD0E8B_.wvu.FilterData">'10.01'!$A$14:$O$92</definedName>
    <definedName hidden="1" localSheetId="26" name="Z_90E1DF85_7252_44D2_BA7D_CC3767CD0E8B_.wvu.FilterData">'17.01'!$A$14:$O$88</definedName>
    <definedName hidden="1" localSheetId="27" name="Z_90E1DF85_7252_44D2_BA7D_CC3767CD0E8B_.wvu.FilterData">'24.01'!$A$14:$O$87</definedName>
    <definedName hidden="1" localSheetId="28" name="Z_90E1DF85_7252_44D2_BA7D_CC3767CD0E8B_.wvu.FilterData">'31.01'!$A$14:$O$76</definedName>
    <definedName hidden="1" localSheetId="29" name="Z_90E1DF85_7252_44D2_BA7D_CC3767CD0E8B_.wvu.FilterData">'07.02'!$A$14:$O$78</definedName>
    <definedName hidden="1" localSheetId="30" name="Z_90E1DF85_7252_44D2_BA7D_CC3767CD0E8B_.wvu.FilterData">'14.02'!$A$14:$O$82</definedName>
    <definedName hidden="1" localSheetId="31" name="Z_90E1DF85_7252_44D2_BA7D_CC3767CD0E8B_.wvu.FilterData">'21.02'!$A$14:$O$83</definedName>
    <definedName hidden="1" localSheetId="32" name="Z_90E1DF85_7252_44D2_BA7D_CC3767CD0E8B_.wvu.FilterData">'28.02'!$A$14:$O$83</definedName>
    <definedName hidden="1" localSheetId="33" name="Z_90E1DF85_7252_44D2_BA7D_CC3767CD0E8B_.wvu.FilterData">'07.03'!$A$14:$Q$98</definedName>
    <definedName hidden="1" localSheetId="34" name="Z_90E1DF85_7252_44D2_BA7D_CC3767CD0E8B_.wvu.FilterData">'14.03'!$A$14:$Q$98</definedName>
    <definedName hidden="1" localSheetId="41" name="Z_90E1DF85_7252_44D2_BA7D_CC3767CD0E8B_.wvu.FilterData">'09.05'!$D$14:$P$97</definedName>
    <definedName hidden="1" localSheetId="42" name="Z_90E1DF85_7252_44D2_BA7D_CC3767CD0E8B_.wvu.FilterData">'16.05'!$D$14:$P$97</definedName>
    <definedName hidden="1" localSheetId="45" name="Z_90E1DF85_7252_44D2_BA7D_CC3767CD0E8B_.wvu.FilterData">'21.03.2022'!$A$14:$Q$98</definedName>
    <definedName hidden="1" localSheetId="3" name="Z_9DC5C3C4_AFDD_406F_8560_4376B76F2AB6_.wvu.FilterData">'09.08'!$A$1</definedName>
    <definedName hidden="1" localSheetId="33" name="Z_9DC5C3C4_AFDD_406F_8560_4376B76F2AB6_.wvu.FilterData">'07.03'!$D$14:$P$97</definedName>
    <definedName hidden="1" localSheetId="42" name="Z_9DC5C3C4_AFDD_406F_8560_4376B76F2AB6_.wvu.FilterData">'16.05'!$D$14:$P$97</definedName>
    <definedName hidden="1" localSheetId="3" name="Z_7FF46E22_06B7_4FFB_807C_7E43787B865F_.wvu.FilterData">'09.08'!$A$14:$O$72</definedName>
    <definedName hidden="1" localSheetId="3" name="Z_D7E14F80_CAEE_4E31_A547_4F1E19D72126_.wvu.FilterData">'09.08'!$D$14:$M$72</definedName>
    <definedName hidden="1" localSheetId="1" name="Z_70B995D3_3AEB_4DFE_A0CA_D6FFCCE596BC_.wvu.FilterData">'26.07'!$D$14:$D$75</definedName>
    <definedName hidden="1" localSheetId="2" name="Z_70B995D3_3AEB_4DFE_A0CA_D6FFCCE596BC_.wvu.FilterData">'02.08'!$D$14:$D$74</definedName>
    <definedName hidden="1" localSheetId="3" name="Z_70B995D3_3AEB_4DFE_A0CA_D6FFCCE596BC_.wvu.FilterData">'09.08'!$D$14:$D$71</definedName>
    <definedName hidden="1" localSheetId="4" name="Z_70B995D3_3AEB_4DFE_A0CA_D6FFCCE596BC_.wvu.FilterData">'16.08 '!$D$14:$D$65</definedName>
    <definedName hidden="1" localSheetId="5" name="Z_70B995D3_3AEB_4DFE_A0CA_D6FFCCE596BC_.wvu.FilterData">'23.08'!$D$14:$D$62</definedName>
    <definedName hidden="1" localSheetId="6" name="Z_70B995D3_3AEB_4DFE_A0CA_D6FFCCE596BC_.wvu.FilterData">'30.08'!$D$14:$D$66</definedName>
    <definedName hidden="1" localSheetId="7" name="Z_70B995D3_3AEB_4DFE_A0CA_D6FFCCE596BC_.wvu.FilterData">'06.09'!$D$14:$D$66</definedName>
    <definedName hidden="1" localSheetId="8" name="Z_70B995D3_3AEB_4DFE_A0CA_D6FFCCE596BC_.wvu.FilterData">'13.09'!$D$14:$D$65</definedName>
    <definedName hidden="1" localSheetId="9" name="Z_70B995D3_3AEB_4DFE_A0CA_D6FFCCE596BC_.wvu.FilterData">'20.09'!$D$14:$D$68</definedName>
    <definedName hidden="1" localSheetId="10" name="Z_70B995D3_3AEB_4DFE_A0CA_D6FFCCE596BC_.wvu.FilterData">'27.09'!$D$14:$D$68</definedName>
    <definedName hidden="1" localSheetId="11" name="Z_70B995D3_3AEB_4DFE_A0CA_D6FFCCE596BC_.wvu.FilterData">'04.10'!$D$14:$D$71</definedName>
    <definedName hidden="1" localSheetId="12" name="Z_70B995D3_3AEB_4DFE_A0CA_D6FFCCE596BC_.wvu.FilterData">'11.10'!$D$14:$D$76</definedName>
    <definedName hidden="1" localSheetId="13" name="Z_70B995D3_3AEB_4DFE_A0CA_D6FFCCE596BC_.wvu.FilterData">'18.10'!$D$14:$D$76</definedName>
    <definedName hidden="1" localSheetId="14" name="Z_70B995D3_3AEB_4DFE_A0CA_D6FFCCE596BC_.wvu.FilterData">'25.10'!$D$14:$D$78</definedName>
    <definedName hidden="1" localSheetId="15" name="Z_70B995D3_3AEB_4DFE_A0CA_D6FFCCE596BC_.wvu.FilterData">'01.11'!$D$14:$D$77</definedName>
    <definedName hidden="1" localSheetId="16" name="Z_70B995D3_3AEB_4DFE_A0CA_D6FFCCE596BC_.wvu.FilterData">'08.11'!$D$14:$D$67</definedName>
    <definedName hidden="1" localSheetId="17" name="Z_70B995D3_3AEB_4DFE_A0CA_D6FFCCE596BC_.wvu.FilterData">'15.11'!$D$14:$D$71</definedName>
    <definedName hidden="1" localSheetId="18" name="Z_70B995D3_3AEB_4DFE_A0CA_D6FFCCE596BC_.wvu.FilterData">'22.11'!$D$14:$D$78</definedName>
    <definedName hidden="1" localSheetId="19" name="Z_70B995D3_3AEB_4DFE_A0CA_D6FFCCE596BC_.wvu.FilterData">'29.11'!$D$14:$D$79</definedName>
    <definedName hidden="1" localSheetId="20" name="Z_70B995D3_3AEB_4DFE_A0CA_D6FFCCE596BC_.wvu.FilterData">'06.12'!$D$14:$D$82</definedName>
    <definedName hidden="1" localSheetId="21" name="Z_70B995D3_3AEB_4DFE_A0CA_D6FFCCE596BC_.wvu.FilterData">'13.12'!$D$14:$D$82</definedName>
    <definedName hidden="1" localSheetId="22" name="Z_70B995D3_3AEB_4DFE_A0CA_D6FFCCE596BC_.wvu.FilterData">'20.12'!$D$14:$D$84</definedName>
    <definedName hidden="1" localSheetId="23" name="Z_70B995D3_3AEB_4DFE_A0CA_D6FFCCE596BC_.wvu.FilterData">'27.12'!$D$14:$D$84</definedName>
    <definedName hidden="1" localSheetId="24" name="Z_70B995D3_3AEB_4DFE_A0CA_D6FFCCE596BC_.wvu.FilterData">'03.01'!$D$14:$D$88</definedName>
    <definedName hidden="1" localSheetId="25" name="Z_70B995D3_3AEB_4DFE_A0CA_D6FFCCE596BC_.wvu.FilterData">'10.01'!$D$14:$D$91</definedName>
    <definedName hidden="1" localSheetId="26" name="Z_70B995D3_3AEB_4DFE_A0CA_D6FFCCE596BC_.wvu.FilterData">'17.01'!$D$14:$D$87</definedName>
    <definedName hidden="1" localSheetId="27" name="Z_70B995D3_3AEB_4DFE_A0CA_D6FFCCE596BC_.wvu.FilterData">'24.01'!$D$14:$D$86</definedName>
    <definedName hidden="1" localSheetId="28" name="Z_70B995D3_3AEB_4DFE_A0CA_D6FFCCE596BC_.wvu.FilterData">'31.01'!$D$14:$D$75</definedName>
    <definedName hidden="1" localSheetId="29" name="Z_70B995D3_3AEB_4DFE_A0CA_D6FFCCE596BC_.wvu.FilterData">'07.02'!$D$14:$D$77</definedName>
    <definedName hidden="1" localSheetId="30" name="Z_70B995D3_3AEB_4DFE_A0CA_D6FFCCE596BC_.wvu.FilterData">'14.02'!$D$14:$D$81</definedName>
    <definedName hidden="1" localSheetId="31" name="Z_70B995D3_3AEB_4DFE_A0CA_D6FFCCE596BC_.wvu.FilterData">'21.02'!$D$14:$D$82</definedName>
    <definedName hidden="1" localSheetId="32" name="Z_70B995D3_3AEB_4DFE_A0CA_D6FFCCE596BC_.wvu.FilterData">'28.02'!$D$14:$D$82</definedName>
    <definedName hidden="1" localSheetId="33" name="Z_70B995D3_3AEB_4DFE_A0CA_D6FFCCE596BC_.wvu.FilterData">'07.03'!$D$14:$D$83</definedName>
    <definedName hidden="1" localSheetId="34" name="Z_70B995D3_3AEB_4DFE_A0CA_D6FFCCE596BC_.wvu.FilterData">'14.03'!$D$14:$D$84</definedName>
    <definedName hidden="1" localSheetId="45" name="Z_70B995D3_3AEB_4DFE_A0CA_D6FFCCE596BC_.wvu.FilterData">'21.03.2022'!$D$14:$D$84</definedName>
    <definedName hidden="1" localSheetId="3" name="Z_DB2CE1C5_199B_47BA_A236_7442DCB330CB_.wvu.FilterData">'09.08'!$G$17:$G$68</definedName>
    <definedName hidden="1" localSheetId="3" name="Z_0FE7F4D1_BDAC_4A9A_B62E_04C13208ED00_.wvu.FilterData">'09.08'!$A$14:$O$72</definedName>
    <definedName hidden="1" localSheetId="3" name="Z_2D10EDF7_8C93_4A8A_8C0B_360D0B896F90_.wvu.FilterData">'09.08'!$A$14:$O$72</definedName>
    <definedName hidden="1" localSheetId="3" name="Z_4DB25A29_0A20_41B4_A119_9D022EFF2EB8_.wvu.FilterData">'09.08'!$D$14:$M$72</definedName>
    <definedName hidden="1" localSheetId="3" name="Z_B6AC0261_399D_4425_9E51_23C08CE5B4D5_.wvu.FilterData">'09.08'!$A$14:$O$72</definedName>
  </definedNames>
  <calcPr/>
  <customWorkbookViews>
    <customWorkbookView activeSheetId="0" maximized="1" windowHeight="0" windowWidth="0" guid="{7FF46E22-06B7-4FFB-807C-7E43787B865F}" name="Filtre 5"/>
    <customWorkbookView activeSheetId="0" maximized="1" windowHeight="0" windowWidth="0" guid="{DB2CE1C5-199B-47BA-A236-7442DCB330CB}" name="Filtre 4"/>
    <customWorkbookView activeSheetId="0" maximized="1" windowHeight="0" windowWidth="0" guid="{0FE7F4D1-BDAC-4A9A-B62E-04C13208ED00}" name="Filtre 3"/>
    <customWorkbookView activeSheetId="0" maximized="1" windowHeight="0" windowWidth="0" guid="{9DC5C3C4-AFDD-406F-8560-4376B76F2AB6}" name="Filtre 2"/>
    <customWorkbookView activeSheetId="0" maximized="1" windowHeight="0" windowWidth="0" guid="{61BFB675-AD62-40D8-8BF0-59DD92A06096}" name="Filtre 9"/>
    <customWorkbookView activeSheetId="0" maximized="1" windowHeight="0" windowWidth="0" guid="{2D10EDF7-8C93-4A8A-8C0B-360D0B896F90}" name="Filtre 8"/>
    <customWorkbookView activeSheetId="0" maximized="1" windowHeight="0" windowWidth="0" guid="{D7E14F80-CAEE-4E31-A547-4F1E19D72126}" name="Filtre 7"/>
    <customWorkbookView activeSheetId="0" maximized="1" windowHeight="0" windowWidth="0" guid="{70B995D3-3AEB-4DFE-A0CA-D6FFCCE596BC}" name="Filter 1"/>
    <customWorkbookView activeSheetId="0" maximized="1" windowHeight="0" windowWidth="0" guid="{B6AC0261-399D-4425-9E51-23C08CE5B4D5}" name="Filtre 6"/>
    <customWorkbookView activeSheetId="0" maximized="1" windowHeight="0" windowWidth="0" guid="{4DB25A29-0A20-41B4-A119-9D022EFF2EB8}" name="Filtre 10"/>
    <customWorkbookView activeSheetId="0" maximized="1" windowHeight="0" windowWidth="0" guid="{90E1DF85-7252-44D2-BA7D-CC3767CD0E8B}" name="Filtre 1"/>
  </customWorkbookViews>
</workbook>
</file>

<file path=xl/sharedStrings.xml><?xml version="1.0" encoding="utf-8"?>
<sst xmlns="http://schemas.openxmlformats.org/spreadsheetml/2006/main" count="5574" uniqueCount="521">
  <si>
    <t>Company Name</t>
  </si>
  <si>
    <t>Employee Schedule Jan 2017</t>
  </si>
  <si>
    <t>Shift Details</t>
  </si>
  <si>
    <t>Shift</t>
  </si>
  <si>
    <r>
      <rPr>
        <rFont val="Lato"/>
        <color rgb="FFFFFFFF"/>
        <sz val="10.0"/>
      </rPr>
      <t>Duration</t>
    </r>
    <r>
      <rPr>
        <rFont val="Lato"/>
        <color rgb="FFFFFFFF"/>
        <sz val="6.0"/>
      </rPr>
      <t xml:space="preserve"> </t>
    </r>
  </si>
  <si>
    <t>Period</t>
  </si>
  <si>
    <t>Hourly Wage</t>
  </si>
  <si>
    <t>Employees per Shift</t>
  </si>
  <si>
    <t>A</t>
  </si>
  <si>
    <t>8 hours</t>
  </si>
  <si>
    <t>08:00 - 16:00</t>
  </si>
  <si>
    <t>B</t>
  </si>
  <si>
    <t>16:00 - 00:00</t>
  </si>
  <si>
    <t>C</t>
  </si>
  <si>
    <t>00:00 - 07:00</t>
  </si>
  <si>
    <t>Employee Wage Overview</t>
  </si>
  <si>
    <t>Employee's Name</t>
  </si>
  <si>
    <t>Monthly Wage</t>
  </si>
  <si>
    <t>Name</t>
  </si>
  <si>
    <t>W1</t>
  </si>
  <si>
    <t>W2</t>
  </si>
  <si>
    <t>W3</t>
  </si>
  <si>
    <t>W4</t>
  </si>
  <si>
    <t>W5</t>
  </si>
  <si>
    <t>Wendy Writer</t>
  </si>
  <si>
    <t>Ronny Reader</t>
  </si>
  <si>
    <t>Abby Author</t>
  </si>
  <si>
    <t>Casey Creator</t>
  </si>
  <si>
    <t>Perry Presenter</t>
  </si>
  <si>
    <t>Vinny Viewer</t>
  </si>
  <si>
    <t>Molly Maker</t>
  </si>
  <si>
    <t>Berry Books</t>
  </si>
  <si>
    <t>Total Hours / per week</t>
  </si>
  <si>
    <t>26 - 30 Temmuz</t>
  </si>
  <si>
    <t>Temmuz 4. Hafta</t>
  </si>
  <si>
    <t>Dikkat  ➜</t>
  </si>
  <si>
    <t>Fotoğrafçılar sekmesindeki üçgen tuşa basarak kendi isminizi aratıp, daha hızlı bir şekilde işlem yapabilirsiniz.</t>
  </si>
  <si>
    <t>Fotoğrafçılar</t>
  </si>
  <si>
    <t>Şehir</t>
  </si>
  <si>
    <t>Ekip</t>
  </si>
  <si>
    <t>Top. Gün</t>
  </si>
  <si>
    <t>Top. Hedef Randevu</t>
  </si>
  <si>
    <t>Furkan Berat Altunkaya</t>
  </si>
  <si>
    <t>Furkan Berat Altunkaya 2</t>
  </si>
  <si>
    <t>Bedirhan Ankara</t>
  </si>
  <si>
    <t>Furkan Ankara</t>
  </si>
  <si>
    <t>Gizem Fukul</t>
  </si>
  <si>
    <t>Onur Ay</t>
  </si>
  <si>
    <t>Ahmet Kasap</t>
  </si>
  <si>
    <t>Ahmet Emeklioğlu</t>
  </si>
  <si>
    <t>Önder Örtel</t>
  </si>
  <si>
    <t>Özlem Çuhadar</t>
  </si>
  <si>
    <t>Hamdi Can Hikmet</t>
  </si>
  <si>
    <t>Tamay Alper Gökdemir</t>
  </si>
  <si>
    <t>Serhat Tarancı</t>
  </si>
  <si>
    <t xml:space="preserve">Eda Sıla Doğan </t>
  </si>
  <si>
    <t>Burak Güralp</t>
  </si>
  <si>
    <t>Sedat Kocagöz</t>
  </si>
  <si>
    <t>Alev Sağdıç</t>
  </si>
  <si>
    <t>Freelance</t>
  </si>
  <si>
    <t>Ali Aksu</t>
  </si>
  <si>
    <t>Nazım Öztel</t>
  </si>
  <si>
    <t>Aras Gürol</t>
  </si>
  <si>
    <t>Barkın Örken</t>
  </si>
  <si>
    <t>Filamingo</t>
  </si>
  <si>
    <t>Başar Gerçek</t>
  </si>
  <si>
    <t>Berkan Aydeniz</t>
  </si>
  <si>
    <t>Buğra Sertdemir</t>
  </si>
  <si>
    <t>Bülent Şahin</t>
  </si>
  <si>
    <t xml:space="preserve">Cemil Yılmaz </t>
  </si>
  <si>
    <t>Ceren Kalafat</t>
  </si>
  <si>
    <t>Deniz Tepe</t>
  </si>
  <si>
    <t>Doğa Sertdemir</t>
  </si>
  <si>
    <t>Ebrar Kılıç</t>
  </si>
  <si>
    <t>Edanur Aktürk</t>
  </si>
  <si>
    <t>Elif Demet</t>
  </si>
  <si>
    <t>Emir Demir</t>
  </si>
  <si>
    <t>Engin Kutlu</t>
  </si>
  <si>
    <t>Furkan Salihoğlu</t>
  </si>
  <si>
    <t>Gözde Balseven</t>
  </si>
  <si>
    <t>Hilmi Kütük</t>
  </si>
  <si>
    <t>Numan Süleyman Erol</t>
  </si>
  <si>
    <t>Oğuzhan Kadıoğlu</t>
  </si>
  <si>
    <t>Oğuzhan Kaykaç</t>
  </si>
  <si>
    <t>Okan Akdağ</t>
  </si>
  <si>
    <t>Osman Gültekin</t>
  </si>
  <si>
    <t>Samet İnan</t>
  </si>
  <si>
    <t>Selin Balseven</t>
  </si>
  <si>
    <t>Sezer Demirbaş</t>
  </si>
  <si>
    <t>Şafak Cömert</t>
  </si>
  <si>
    <t>Yiğit Koçer</t>
  </si>
  <si>
    <t>Berhan Aybars</t>
  </si>
  <si>
    <t xml:space="preserve">Gündüz Akşamoldu </t>
  </si>
  <si>
    <t>Murat Megus</t>
  </si>
  <si>
    <t>Sabri Görkem Etçi</t>
  </si>
  <si>
    <t>Berker Dalmış</t>
  </si>
  <si>
    <t>Levent Akdeniz</t>
  </si>
  <si>
    <t>Kathade Elhalaf</t>
  </si>
  <si>
    <t>Zeynep Zülal Örman</t>
  </si>
  <si>
    <t>Burçin Sezer</t>
  </si>
  <si>
    <t xml:space="preserve">Fuat Eren </t>
  </si>
  <si>
    <t>Recep Çakır</t>
  </si>
  <si>
    <t>Zeynep Yazıcı</t>
  </si>
  <si>
    <t>Sakarya</t>
  </si>
  <si>
    <t>Mustafa Kemal İbiş</t>
  </si>
  <si>
    <t xml:space="preserve">Ahmet Koç </t>
  </si>
  <si>
    <t>2 - 6 Ağustos</t>
  </si>
  <si>
    <t>Ağustos 1. Hafta</t>
  </si>
  <si>
    <t>Medya Özgür Deniz</t>
  </si>
  <si>
    <t>Ergin Avcı</t>
  </si>
  <si>
    <t>Antalya</t>
  </si>
  <si>
    <t>9-13 Ağustos</t>
  </si>
  <si>
    <t>Ağustos 2. Hafta</t>
  </si>
  <si>
    <t>Ali Can Görktan</t>
  </si>
  <si>
    <t>Halil İbrahim Bozkır</t>
  </si>
  <si>
    <t>16-20 Ağustos</t>
  </si>
  <si>
    <t>Ağustos 3. Hafta</t>
  </si>
  <si>
    <t>Caner Kaan Balseven</t>
  </si>
  <si>
    <t>Hilal Deniz</t>
  </si>
  <si>
    <t>Kardelen Toker</t>
  </si>
  <si>
    <t>Merve Nur Aktaş</t>
  </si>
  <si>
    <t>23-27 Ağustos</t>
  </si>
  <si>
    <t>Ağustos 4. Hafta</t>
  </si>
  <si>
    <t>Canan Yardımcı</t>
  </si>
  <si>
    <t>Emre Acar</t>
  </si>
  <si>
    <t>Emircan Erdönmez</t>
  </si>
  <si>
    <t>Handan Sağlam</t>
  </si>
  <si>
    <t>Ulaş Çolaker</t>
  </si>
  <si>
    <t>Hasan Ceylan</t>
  </si>
  <si>
    <t>İzmir</t>
  </si>
  <si>
    <t>Covid</t>
  </si>
  <si>
    <t>30 Ağustos - 3 Eylül</t>
  </si>
  <si>
    <t>Ağustos 5. Hafta</t>
  </si>
  <si>
    <t>Ali Can Kılıç</t>
  </si>
  <si>
    <t>Berkan Bakırcıoğlu</t>
  </si>
  <si>
    <t>Cansu Alkış</t>
  </si>
  <si>
    <t>Emir Pektekin</t>
  </si>
  <si>
    <t>Murat Şengül</t>
  </si>
  <si>
    <t>Tuğçe Yavaş</t>
  </si>
  <si>
    <t>Buket Köken</t>
  </si>
  <si>
    <t>6-10 Eylül</t>
  </si>
  <si>
    <t>Eylül 1. Hafta</t>
  </si>
  <si>
    <t>13-17 Eylül</t>
  </si>
  <si>
    <t>Eylül 2. Hafta</t>
  </si>
  <si>
    <t>İlke Aktaş</t>
  </si>
  <si>
    <t>Reyhan Tekintürk</t>
  </si>
  <si>
    <t>Selin Dilmaç</t>
  </si>
  <si>
    <t>Rümeysa Kekeç</t>
  </si>
  <si>
    <t>Serkan Özdalgıç</t>
  </si>
  <si>
    <t>20-24 Eylül</t>
  </si>
  <si>
    <t>Eylül 3. Hafta</t>
  </si>
  <si>
    <t>Sıddık Yakar</t>
  </si>
  <si>
    <t>Fatih Özpelit</t>
  </si>
  <si>
    <t>Hasan Karakaş</t>
  </si>
  <si>
    <t>Özgür Teke</t>
  </si>
  <si>
    <t>27 Eylül - 1 Ekim</t>
  </si>
  <si>
    <t>Eylül 4. Hafta</t>
  </si>
  <si>
    <t>4 - 8 Ekim</t>
  </si>
  <si>
    <t>Ekim 1. Hafta</t>
  </si>
  <si>
    <t>Gökhan Önol</t>
  </si>
  <si>
    <t>Emre Akgül</t>
  </si>
  <si>
    <t>Ali Tımarcıoğlu</t>
  </si>
  <si>
    <t>11 - 15 Ekim</t>
  </si>
  <si>
    <t>Ekim 2. Hafta</t>
  </si>
  <si>
    <t>Ahmet Balcı</t>
  </si>
  <si>
    <t>Muammer Çakır</t>
  </si>
  <si>
    <t>İsa Örken</t>
  </si>
  <si>
    <t>Rabia Şen</t>
  </si>
  <si>
    <t>Umut Egemen Erz</t>
  </si>
  <si>
    <t>Hikmet Avcı</t>
  </si>
  <si>
    <t>18 - 22 Ekim</t>
  </si>
  <si>
    <t>Ekim 3. Hafta</t>
  </si>
  <si>
    <t>Mustafa Devecioğlu</t>
  </si>
  <si>
    <t>Erdem Ahmet Çelik</t>
  </si>
  <si>
    <t>Elif Kesen</t>
  </si>
  <si>
    <t>Oğuz Oktay</t>
  </si>
  <si>
    <t>Sedat Erbay</t>
  </si>
  <si>
    <t>25 - 29 Ekim</t>
  </si>
  <si>
    <t>Ekim 4. Hafta</t>
  </si>
  <si>
    <t>1 - 5 Kasım</t>
  </si>
  <si>
    <t>Kasım 1. Hafta</t>
  </si>
  <si>
    <t>Bilecik</t>
  </si>
  <si>
    <t>8 - 12 Kasım</t>
  </si>
  <si>
    <t>Kasım 2. Hafta</t>
  </si>
  <si>
    <t>Balıkesir</t>
  </si>
  <si>
    <t>Mahattin Sultanlı</t>
  </si>
  <si>
    <t>Sibel Ulukaya</t>
  </si>
  <si>
    <t>15 - 19 Kasım</t>
  </si>
  <si>
    <t>Kasım 3. Hafta</t>
  </si>
  <si>
    <t>Buğra Dilek</t>
  </si>
  <si>
    <t>Feridun İşçi</t>
  </si>
  <si>
    <t>Ahmet Kiriş</t>
  </si>
  <si>
    <t>Hakan Aygün</t>
  </si>
  <si>
    <t>Anıl Çay</t>
  </si>
  <si>
    <t>22 - 26 Kasım</t>
  </si>
  <si>
    <t>Kasım 4. Hafta</t>
  </si>
  <si>
    <t>Hülya Özbek</t>
  </si>
  <si>
    <t>Olcay Mirzanlı</t>
  </si>
  <si>
    <t>Okan Çetinkaya</t>
  </si>
  <si>
    <t>Ahmet Tanyıldızı</t>
  </si>
  <si>
    <t>Furkan Erşahin</t>
  </si>
  <si>
    <t>Nur Öztürk</t>
  </si>
  <si>
    <t>Serkan Cüre</t>
  </si>
  <si>
    <t>Ece Özşahin</t>
  </si>
  <si>
    <t>29 Kasım - 3 Aralık</t>
  </si>
  <si>
    <t>Kasım 5. Hafta</t>
  </si>
  <si>
    <t>Zonguldak</t>
  </si>
  <si>
    <t>6 - 10 Aralık</t>
  </si>
  <si>
    <t>Aralık 1. Hafta</t>
  </si>
  <si>
    <t>Ali Mert Bilal</t>
  </si>
  <si>
    <t>Sefa Setirek</t>
  </si>
  <si>
    <t>Osmaniye</t>
  </si>
  <si>
    <t>13 - 17 Aralık</t>
  </si>
  <si>
    <t>Aralık 2. Hafta</t>
  </si>
  <si>
    <t>Hanife Zengin</t>
  </si>
  <si>
    <t>20 - 24 Aralık</t>
  </si>
  <si>
    <t>Aralık 3. Hafta</t>
  </si>
  <si>
    <t>Meltem Telci</t>
  </si>
  <si>
    <t>Ufuk Güler</t>
  </si>
  <si>
    <t>27 - 31 Aralık</t>
  </si>
  <si>
    <t>Aralık 4. Hafta</t>
  </si>
  <si>
    <t>Murat Erhan</t>
  </si>
  <si>
    <t>3 - 7 Ocak</t>
  </si>
  <si>
    <t>Ocak 1. Hafta</t>
  </si>
  <si>
    <t>Orkun Çoban</t>
  </si>
  <si>
    <t>Pınar Ardıç</t>
  </si>
  <si>
    <t>Tülay Alptekin</t>
  </si>
  <si>
    <t>Mehmet Ayhan Adak</t>
  </si>
  <si>
    <t>10 - 14 Ocak</t>
  </si>
  <si>
    <t>Ocak 2. Hafta</t>
  </si>
  <si>
    <t>Mehmet Ali Acar</t>
  </si>
  <si>
    <t>Bartın</t>
  </si>
  <si>
    <t>İlayda Gümüş</t>
  </si>
  <si>
    <t>Hacı Baba Lale</t>
  </si>
  <si>
    <t>17 - 21 Ocak</t>
  </si>
  <si>
    <t>Ocak 3. Hafta</t>
  </si>
  <si>
    <t>Batuhan Karasu</t>
  </si>
  <si>
    <t>İstanbul</t>
  </si>
  <si>
    <t>Rabia Baş</t>
  </si>
  <si>
    <t>24 - 28 Ocak</t>
  </si>
  <si>
    <t>Ocak 4. Hafta</t>
  </si>
  <si>
    <t>Enes Teke</t>
  </si>
  <si>
    <t>Sema Doğru</t>
  </si>
  <si>
    <t>Muzaffer Köprü</t>
  </si>
  <si>
    <t>31 Ocak - 4 Şubat</t>
  </si>
  <si>
    <t>Şubat 1. Hafta</t>
  </si>
  <si>
    <t>Hüseyin Alıcı</t>
  </si>
  <si>
    <t>Tolga Alp</t>
  </si>
  <si>
    <t>Şükrü Türkmen</t>
  </si>
  <si>
    <t>Afra Nur Şahin</t>
  </si>
  <si>
    <t>Yaprak Akdeniz</t>
  </si>
  <si>
    <t>Yunus Taşçı</t>
  </si>
  <si>
    <t>Eray Adıgüzel</t>
  </si>
  <si>
    <t>Umut Kurtulmuş</t>
  </si>
  <si>
    <t>Ferhat Bozkurt</t>
  </si>
  <si>
    <t>Mesut Sevda</t>
  </si>
  <si>
    <t>Şeyma Tekerek</t>
  </si>
  <si>
    <t>Sefa Başaran</t>
  </si>
  <si>
    <t>Enes İyier</t>
  </si>
  <si>
    <t>7 - 11 Şubat</t>
  </si>
  <si>
    <t>Şubat 2. Hafta</t>
  </si>
  <si>
    <t>Zeynep Akın</t>
  </si>
  <si>
    <t>Aydın</t>
  </si>
  <si>
    <t>Veli İgın</t>
  </si>
  <si>
    <t>Sinan Özkesen</t>
  </si>
  <si>
    <t>Mustafa İşler</t>
  </si>
  <si>
    <t>Özkan Kırdar</t>
  </si>
  <si>
    <t>Aydın Akça</t>
  </si>
  <si>
    <t>Ayşegül Süer</t>
  </si>
  <si>
    <t>14 - 18 Şubat</t>
  </si>
  <si>
    <t>Şubat 3. Hafta</t>
  </si>
  <si>
    <t>Mustafa Uluca</t>
  </si>
  <si>
    <t>Özgür Aykaç</t>
  </si>
  <si>
    <t>Ömer Ayrıç</t>
  </si>
  <si>
    <t>Tuğba Sezgin</t>
  </si>
  <si>
    <t>Aleyna Küççük</t>
  </si>
  <si>
    <t>Hakan Gülşen</t>
  </si>
  <si>
    <t>21 - 25 Şubat</t>
  </si>
  <si>
    <t>Şubat 4. Hafta</t>
  </si>
  <si>
    <t>Taha Şahin</t>
  </si>
  <si>
    <t>07 - 11 Mart</t>
  </si>
  <si>
    <t>Not</t>
  </si>
  <si>
    <t xml:space="preserve">Fatih Muhammed Metin </t>
  </si>
  <si>
    <t>Özhan oruç</t>
  </si>
  <si>
    <t>Sebahattin Yum</t>
  </si>
  <si>
    <t>Erkan Selçin</t>
  </si>
  <si>
    <t>Etibar Mammadov</t>
  </si>
  <si>
    <t>Mücahit Oğuzhan Topçu</t>
  </si>
  <si>
    <t>Ali Koşan</t>
  </si>
  <si>
    <t>Merve Nur Akbana</t>
  </si>
  <si>
    <t>Yakup Durak</t>
  </si>
  <si>
    <t>Yücel Albayrak</t>
  </si>
  <si>
    <t>Seyit Merwan Yalçındağ</t>
  </si>
  <si>
    <t>Yunus Emre Tokul</t>
  </si>
  <si>
    <t>Nilay Kaplan</t>
  </si>
  <si>
    <t>Önay Ferat</t>
  </si>
  <si>
    <t xml:space="preserve">Burak Basoglu </t>
  </si>
  <si>
    <t>14 - 18 Mart</t>
  </si>
  <si>
    <t>İşten ayrıldı.</t>
  </si>
  <si>
    <t>İşten ayrıldı</t>
  </si>
  <si>
    <t>Merwan Yalçındağ</t>
  </si>
  <si>
    <t>Diyarbakır</t>
  </si>
  <si>
    <t>Ebru Eski</t>
  </si>
  <si>
    <t>Karaman ilinde olacak cumartesi, pazar, pazartesi ve salı</t>
  </si>
  <si>
    <t>data problemi</t>
  </si>
  <si>
    <t>20 - 25 Mart</t>
  </si>
  <si>
    <t xml:space="preserve">bu hafta çalışmayacak </t>
  </si>
  <si>
    <t>bu hafta çalışmayacak</t>
  </si>
  <si>
    <t>Dursine Aylak</t>
  </si>
  <si>
    <t>işten ayrıldı</t>
  </si>
  <si>
    <t>işten ayrıldı.</t>
  </si>
  <si>
    <t xml:space="preserve">1 nisana kadar alınmayacak ondan sonrasına haber verecek </t>
  </si>
  <si>
    <t xml:space="preserve">pzt gününe istemiyor diğer günler belli değil </t>
  </si>
  <si>
    <t>Çalışmıyor</t>
  </si>
  <si>
    <t>çalışmıyor</t>
  </si>
  <si>
    <t>28 Mart - 01 Nisan</t>
  </si>
  <si>
    <t>pazartesi 12'den sonra</t>
  </si>
  <si>
    <t xml:space="preserve">haber gelene kadar randevu alınmayacak </t>
  </si>
  <si>
    <t>son randevu 16:00 olacak</t>
  </si>
  <si>
    <t>haber gelene kadar alınmayacak</t>
  </si>
  <si>
    <t>Data Oldukça Çalışıyor</t>
  </si>
  <si>
    <t>Haber gelene kadar alınmıyor</t>
  </si>
  <si>
    <t>Bu hafta çalışmıyor</t>
  </si>
  <si>
    <t>Data yok</t>
  </si>
  <si>
    <t xml:space="preserve">bu hafta alınmayacak </t>
  </si>
  <si>
    <t>Furkan Solak</t>
  </si>
  <si>
    <t>Hatay</t>
  </si>
  <si>
    <t>04 - 08 Nisan</t>
  </si>
  <si>
    <t xml:space="preserve">16 nisandan itibaren alınacak </t>
  </si>
  <si>
    <t>Haber verene kadar alınmıyor</t>
  </si>
  <si>
    <t xml:space="preserve">pzt akşam saatlerinde randevu alınacak </t>
  </si>
  <si>
    <t>Kendi işleri başlamış devam etmeyecekmiş</t>
  </si>
  <si>
    <t>ulaşılmıyor</t>
  </si>
  <si>
    <t>Süleyman Tezcan</t>
  </si>
  <si>
    <t xml:space="preserve">15 nisana kadar alınmayacak </t>
  </si>
  <si>
    <t>Buse Selen</t>
  </si>
  <si>
    <t>Kübra Güvenç</t>
  </si>
  <si>
    <t>Emel Fidan</t>
  </si>
  <si>
    <t>bu hafta alınmayacak</t>
  </si>
  <si>
    <t xml:space="preserve">ramazan 2. haftası alınacak </t>
  </si>
  <si>
    <t>bu hafta alınmaycak</t>
  </si>
  <si>
    <t xml:space="preserve">ulaşılamadı </t>
  </si>
  <si>
    <t xml:space="preserve">haber gelene kadar alınmyacak </t>
  </si>
  <si>
    <t xml:space="preserve">işten ayrıldı </t>
  </si>
  <si>
    <t xml:space="preserve">haber gelene kadar alınmayacak </t>
  </si>
  <si>
    <t>Mehmet Barka</t>
  </si>
  <si>
    <t>Gümüşhane</t>
  </si>
  <si>
    <t xml:space="preserve"> </t>
  </si>
  <si>
    <t>11 - 15 Nisan</t>
  </si>
  <si>
    <t xml:space="preserve">izmirde çekim sağlayacak </t>
  </si>
  <si>
    <t>18 - 22 Nisan</t>
  </si>
  <si>
    <t xml:space="preserve">Irmak Kutlu </t>
  </si>
  <si>
    <t>Berna Gülaçtı</t>
  </si>
  <si>
    <t xml:space="preserve">salı izmirde alınan randevuların çekimi sağlanacak / - HABER GELENE KADAR ALINMAYACAK </t>
  </si>
  <si>
    <t xml:space="preserve">Sefa Bayar </t>
  </si>
  <si>
    <t>Şanlıurfa</t>
  </si>
  <si>
    <t xml:space="preserve">Süleyman Tezcan </t>
  </si>
  <si>
    <t>Bolu</t>
  </si>
  <si>
    <t>25 - 29 Nisan</t>
  </si>
  <si>
    <t>işten çıktyı</t>
  </si>
  <si>
    <t>işten çıktı</t>
  </si>
  <si>
    <t>bu hafta çalışmıyor</t>
  </si>
  <si>
    <t xml:space="preserve">12.17 arası </t>
  </si>
  <si>
    <t xml:space="preserve">Sena Altınay  </t>
  </si>
  <si>
    <t>17:00'a kadar</t>
  </si>
  <si>
    <t>saat 17:00a kadar randevu</t>
  </si>
  <si>
    <t xml:space="preserve"> - balıkesirde çekim sağlayacak</t>
  </si>
  <si>
    <t>Tunahan Tırımoğlu</t>
  </si>
  <si>
    <t>arandı açmadı haber gelene kadar almayın der</t>
  </si>
  <si>
    <t>alınmıyor</t>
  </si>
  <si>
    <t>09-14 MAYIS</t>
  </si>
  <si>
    <t>Özhan Oruç</t>
  </si>
  <si>
    <t>Adana</t>
  </si>
  <si>
    <t>Emrah Karaçayır</t>
  </si>
  <si>
    <t>Mustafa Ocak</t>
  </si>
  <si>
    <t>Bursa</t>
  </si>
  <si>
    <t>Muhlis Ali Alçı</t>
  </si>
  <si>
    <t xml:space="preserve">Meryem Türk </t>
  </si>
  <si>
    <t xml:space="preserve">ALINMAYACAK </t>
  </si>
  <si>
    <t>pzt alınmayacak pzt günü haber verecek sabahtan</t>
  </si>
  <si>
    <t xml:space="preserve">pzt alınmayacak pzt günü haber verecek </t>
  </si>
  <si>
    <t xml:space="preserve">2 hafta sonra alınacak </t>
  </si>
  <si>
    <t>Burak Şenyürel</t>
  </si>
  <si>
    <t>Samsun</t>
  </si>
  <si>
    <t>Emre Ceyhan</t>
  </si>
  <si>
    <t>16-22 MAYIS</t>
  </si>
  <si>
    <t xml:space="preserve">Bu hafta Ankarada değil </t>
  </si>
  <si>
    <t>Selman Hilmi Kaya</t>
  </si>
  <si>
    <t xml:space="preserve">12 den sonra alınacak </t>
  </si>
  <si>
    <t xml:space="preserve">17.00 kadar </t>
  </si>
  <si>
    <t xml:space="preserve">Damla Yıldız </t>
  </si>
  <si>
    <t>23-29 MAYIS</t>
  </si>
  <si>
    <t>İramnur Çıngı</t>
  </si>
  <si>
    <t>Ankara</t>
  </si>
  <si>
    <t>bu hafta alınmıyor</t>
  </si>
  <si>
    <t>Mukaddes Neşet</t>
  </si>
  <si>
    <t>Zeynep Kaya</t>
  </si>
  <si>
    <t>Aydan Sarıtaş</t>
  </si>
  <si>
    <t>21 - 27 Mart</t>
  </si>
  <si>
    <t>full</t>
  </si>
  <si>
    <t xml:space="preserve">salı perşembe cuma </t>
  </si>
  <si>
    <t xml:space="preserve">pzt salı perşembe </t>
  </si>
  <si>
    <t xml:space="preserve">salı çarşamba cuma </t>
  </si>
  <si>
    <t>pzt hariç full</t>
  </si>
  <si>
    <t>Aktif Şehirler</t>
  </si>
  <si>
    <t>Fotoğrafçı</t>
  </si>
  <si>
    <t>Ahmet Can Mülayim</t>
  </si>
  <si>
    <t>Trabzon</t>
  </si>
  <si>
    <t>Ahmet Koç</t>
  </si>
  <si>
    <t>Asude Yazıcı</t>
  </si>
  <si>
    <t>Mersin</t>
  </si>
  <si>
    <t>Kocaeli</t>
  </si>
  <si>
    <t>Eskişehir</t>
  </si>
  <si>
    <t>Denizli</t>
  </si>
  <si>
    <t>Tekirdağ</t>
  </si>
  <si>
    <t>Berkant Bakırcıoğlu</t>
  </si>
  <si>
    <t>Muğla</t>
  </si>
  <si>
    <t>Gaziantep</t>
  </si>
  <si>
    <t>Çanakkale</t>
  </si>
  <si>
    <t>Uşak</t>
  </si>
  <si>
    <t>Malatya</t>
  </si>
  <si>
    <t>Burdur</t>
  </si>
  <si>
    <t>Eda Sıla Doğan</t>
  </si>
  <si>
    <t>Erzurum</t>
  </si>
  <si>
    <t>Kahramanmaraş</t>
  </si>
  <si>
    <t>Egemen Erz</t>
  </si>
  <si>
    <t>Konya</t>
  </si>
  <si>
    <t>Kayseri</t>
  </si>
  <si>
    <t>Manisa</t>
  </si>
  <si>
    <t>Emre Çifcibaşı</t>
  </si>
  <si>
    <t>Isparta</t>
  </si>
  <si>
    <t>Edirne</t>
  </si>
  <si>
    <t>Afyonkarahisar</t>
  </si>
  <si>
    <t>Karabük</t>
  </si>
  <si>
    <t>Katade Elhalaf</t>
  </si>
  <si>
    <t>Yalova</t>
  </si>
  <si>
    <t>Murat Aslankara</t>
  </si>
  <si>
    <t>Sivas</t>
  </si>
  <si>
    <t>Düzce</t>
  </si>
  <si>
    <t>Ordu</t>
  </si>
  <si>
    <t>Numan Erol</t>
  </si>
  <si>
    <t>Elazığ</t>
  </si>
  <si>
    <t>Oğulcan Yeğin</t>
  </si>
  <si>
    <t>Sinop</t>
  </si>
  <si>
    <t>Kırklareli</t>
  </si>
  <si>
    <t>Çankırı</t>
  </si>
  <si>
    <t>Çorum</t>
  </si>
  <si>
    <t>Kastamonu</t>
  </si>
  <si>
    <t>Aksaray</t>
  </si>
  <si>
    <t>Van</t>
  </si>
  <si>
    <t>Tokat</t>
  </si>
  <si>
    <t>Adıyaman</t>
  </si>
  <si>
    <t>Rize</t>
  </si>
  <si>
    <t>Batman</t>
  </si>
  <si>
    <t>Kırıkkale</t>
  </si>
  <si>
    <t>Zeynep Zülal Orman</t>
  </si>
  <si>
    <t>Giresun</t>
  </si>
  <si>
    <t>Amasya</t>
  </si>
  <si>
    <t>Kırşehir</t>
  </si>
  <si>
    <t>Kütahya</t>
  </si>
  <si>
    <t>Kilis</t>
  </si>
  <si>
    <t>Tunceli</t>
  </si>
  <si>
    <t>Ağrı</t>
  </si>
  <si>
    <t>Siirt</t>
  </si>
  <si>
    <t>Artvin</t>
  </si>
  <si>
    <t>Yozgat</t>
  </si>
  <si>
    <t>Kars</t>
  </si>
  <si>
    <t>Mardin</t>
  </si>
  <si>
    <t>Iğdır</t>
  </si>
  <si>
    <t>Niğde</t>
  </si>
  <si>
    <t>Bingöl</t>
  </si>
  <si>
    <t>Karaman</t>
  </si>
  <si>
    <t>Erzincan</t>
  </si>
  <si>
    <t>Nevşehir</t>
  </si>
  <si>
    <t>Ardahan</t>
  </si>
  <si>
    <t>Bitlis</t>
  </si>
  <si>
    <t>Muş</t>
  </si>
  <si>
    <t>Şırnak</t>
  </si>
  <si>
    <t>Hakkari</t>
  </si>
  <si>
    <t>Bayburt</t>
  </si>
  <si>
    <t>Kadir Yaren</t>
  </si>
  <si>
    <t xml:space="preserve">Ahmet BALCI </t>
  </si>
  <si>
    <t>Asım Öçal</t>
  </si>
  <si>
    <t>Ahmet Göçen</t>
  </si>
  <si>
    <t>Afyon</t>
  </si>
  <si>
    <t>Mehmet Ali Yemlihalıoğlu</t>
  </si>
  <si>
    <t>Eser Tekin</t>
  </si>
  <si>
    <t>Sebahattin YUM</t>
  </si>
  <si>
    <t>erkan selçin</t>
  </si>
  <si>
    <t>26-30 Temmuz</t>
  </si>
  <si>
    <t>2-6 Ağustos</t>
  </si>
  <si>
    <t>23-27Ağustos</t>
  </si>
  <si>
    <t>21- 25 Şubat</t>
  </si>
  <si>
    <t>Hedef Randevu</t>
  </si>
  <si>
    <t>Aktif Fotocu</t>
  </si>
  <si>
    <t>Top. Randevu</t>
  </si>
  <si>
    <t>Gerçekleşen</t>
  </si>
  <si>
    <t>CC Ort</t>
  </si>
  <si>
    <t>30 Ağu-3 Eylül</t>
  </si>
  <si>
    <t>27 Eylül-1 Ekim</t>
  </si>
  <si>
    <t>4-8 Ekim</t>
  </si>
  <si>
    <t>11-15 Ekim</t>
  </si>
  <si>
    <t>18-22 Ekim</t>
  </si>
  <si>
    <t>25-29 Ekim</t>
  </si>
  <si>
    <t>1-5 Kasım</t>
  </si>
  <si>
    <t>8-12 Kasım</t>
  </si>
  <si>
    <t>15-19 Kasım</t>
  </si>
  <si>
    <t>22-26 Kasım</t>
  </si>
  <si>
    <t>29 Kasım-3 Aralık</t>
  </si>
  <si>
    <t>6-10 Aralık</t>
  </si>
  <si>
    <t>13-17 Aralık</t>
  </si>
  <si>
    <t>20-24 Aralık</t>
  </si>
  <si>
    <t>27-31 Aralık</t>
  </si>
  <si>
    <t>3-7 Ocak</t>
  </si>
  <si>
    <t>10-14 Ocak</t>
  </si>
  <si>
    <t>17-21 Ocak</t>
  </si>
  <si>
    <t>24-28 Ocak</t>
  </si>
  <si>
    <t>31 Ocak-4 Şubat</t>
  </si>
  <si>
    <t>7-11 Şubat</t>
  </si>
  <si>
    <t>14-18 Şubat</t>
  </si>
  <si>
    <t>21-25 Şubat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</si>
</sst>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mm yyyy"/>
    <numFmt numFmtId="165" formatCode="&quot;$&quot;#,##0"/>
    <numFmt numFmtId="166" formatCode="m/d"/>
    <numFmt numFmtId="167" formatCode="dd&quot;.&quot;mm"/>
    <numFmt numFmtId="168" formatCode="0.0"/>
  </numFmts>
  <fonts count="60">
    <font>
      <sz val="10.0"/>
      <color rgb="FF000000"/>
      <name val="Arial"/>
    </font>
    <font>
      <b/>
      <sz val="20.0"/>
      <color rgb="FF434343"/>
      <name val="Lato"/>
    </font>
    <font>
      <sz val="10.0"/>
      <color rgb="FF434343"/>
      <name val="Lato"/>
    </font>
    <font>
      <sz val="10.0"/>
      <color rgb="FF434343"/>
      <name val="Raleway"/>
    </font>
    <font>
      <b/>
      <sz val="20.0"/>
      <color rgb="FF434343"/>
      <name val="Raleway"/>
    </font>
    <font>
      <b/>
      <color rgb="FF434343"/>
      <name val="Lato"/>
    </font>
    <font>
      <color rgb="FFFF9900"/>
      <name val="Lato"/>
    </font>
    <font>
      <name val="Lato"/>
    </font>
    <font>
      <b/>
      <color rgb="FF434343"/>
      <name val="Raleway"/>
    </font>
    <font>
      <sz val="12.0"/>
      <color rgb="FF000000"/>
      <name val="Lato"/>
    </font>
    <font>
      <b/>
      <sz val="24.0"/>
      <color rgb="FF434343"/>
      <name val="Lato"/>
    </font>
    <font>
      <b/>
      <sz val="24.0"/>
      <color rgb="FFFF9E00"/>
      <name val="Lato"/>
    </font>
    <font>
      <b/>
      <name val="Lato"/>
    </font>
    <font>
      <b/>
      <sz val="26.0"/>
      <color rgb="FF000000"/>
      <name val="Lato"/>
    </font>
    <font>
      <sz val="14.0"/>
      <name val="Lato"/>
    </font>
    <font>
      <b/>
      <sz val="30.0"/>
      <color rgb="FF000000"/>
      <name val="Raleway"/>
    </font>
    <font>
      <color rgb="FF434343"/>
      <name val="Lato"/>
    </font>
    <font>
      <sz val="10.0"/>
      <name val="Lato"/>
    </font>
    <font>
      <sz val="36.0"/>
      <color rgb="FF000000"/>
      <name val="Lato"/>
    </font>
    <font>
      <b/>
      <sz val="36.0"/>
      <color rgb="FF000000"/>
      <name val="Lato"/>
    </font>
    <font>
      <b/>
      <sz val="24.0"/>
      <color rgb="FF000000"/>
      <name val="Lato"/>
    </font>
    <font>
      <b/>
      <sz val="10.0"/>
      <color rgb="FF000000"/>
      <name val="Lato"/>
    </font>
    <font>
      <sz val="7.0"/>
      <color rgb="FF434343"/>
      <name val="Lato"/>
    </font>
    <font>
      <sz val="10.0"/>
      <color rgb="FFFFFFFF"/>
      <name val="Lato"/>
    </font>
    <font/>
    <font>
      <b/>
      <sz val="10.0"/>
      <color rgb="FF434343"/>
      <name val="Lato"/>
    </font>
    <font>
      <sz val="12.0"/>
      <color rgb="FF434343"/>
      <name val="Lato"/>
    </font>
    <font>
      <b/>
      <sz val="14.0"/>
      <color rgb="FF434343"/>
      <name val="Lato"/>
    </font>
    <font>
      <b/>
      <sz val="20.0"/>
      <color rgb="FF434343"/>
      <name val="Avenir"/>
    </font>
    <font>
      <sz val="10.0"/>
      <color rgb="FF434343"/>
      <name val="Avenir"/>
    </font>
    <font>
      <b/>
      <color rgb="FF434343"/>
      <name val="Avenir"/>
    </font>
    <font>
      <name val="Avenir"/>
    </font>
    <font>
      <sz val="12.0"/>
      <color rgb="FF000000"/>
      <name val="Avenir"/>
    </font>
    <font>
      <b/>
      <sz val="24.0"/>
      <color rgb="FF434343"/>
      <name val="Avenir"/>
    </font>
    <font>
      <b/>
      <name val="Avenir"/>
    </font>
    <font>
      <b/>
      <sz val="26.0"/>
      <color rgb="FF000000"/>
      <name val="Avenir"/>
    </font>
    <font>
      <sz val="14.0"/>
      <name val="Avenir"/>
    </font>
    <font>
      <b/>
      <sz val="30.0"/>
      <color rgb="FF000000"/>
      <name val="Avenir"/>
    </font>
    <font>
      <sz val="10.0"/>
      <name val="Avenir"/>
    </font>
    <font>
      <b/>
      <sz val="14.0"/>
      <color rgb="FF583FB6"/>
      <name val="Avenir"/>
    </font>
    <font>
      <color rgb="FF434343"/>
      <name val="Avenir"/>
    </font>
    <font>
      <color rgb="FF000000"/>
      <name val="Avenir"/>
    </font>
    <font>
      <color rgb="FF583FB6"/>
      <name val="Avenir"/>
    </font>
    <font>
      <sz val="7.0"/>
      <name val="Avenir"/>
    </font>
    <font>
      <sz val="9.0"/>
      <color rgb="FF434343"/>
      <name val="Avenir"/>
    </font>
    <font>
      <b/>
      <sz val="9.0"/>
      <color rgb="FF434343"/>
      <name val="Avenir"/>
    </font>
    <font>
      <sz val="9.0"/>
      <color rgb="FF000000"/>
      <name val="Avenir"/>
    </font>
    <font>
      <sz val="7.0"/>
      <color rgb="FF000000"/>
      <name val="Avenir"/>
    </font>
    <font>
      <sz val="6.0"/>
      <name val="Avenir"/>
    </font>
    <font>
      <b/>
      <sz val="14.0"/>
      <name val="Avenir"/>
    </font>
    <font>
      <b/>
      <sz val="10.0"/>
      <color rgb="FF434343"/>
      <name val="Avenir"/>
    </font>
    <font>
      <name val="Arial"/>
    </font>
    <font>
      <color rgb="FF000000"/>
      <name val="Roboto"/>
    </font>
    <font>
      <b/>
      <color rgb="FF5C3DBD"/>
      <name val="&quot;Avenir Book&quot;"/>
    </font>
    <font>
      <sz val="12.0"/>
      <color rgb="FF000000"/>
      <name val="Calibri"/>
    </font>
    <font>
      <b/>
      <color rgb="FFF8D349"/>
      <name val="Avenir"/>
    </font>
    <font>
      <b/>
      <color rgb="FF583FB6"/>
      <name val="Avenir"/>
    </font>
    <font>
      <b/>
      <sz val="11.0"/>
      <color rgb="FF5C3DBD"/>
      <name val="Calibri"/>
    </font>
    <font>
      <b/>
      <sz val="12.0"/>
      <color rgb="FF5C3DBD"/>
      <name val="Calibri"/>
    </font>
    <font>
      <color rgb="FFFFD10C"/>
      <name val="Avenir"/>
    </font>
  </fonts>
  <fills count="17">
    <fill>
      <patternFill patternType="none"/>
    </fill>
    <fill>
      <patternFill patternType="lightGray"/>
    </fill>
    <fill>
      <patternFill patternType="solid">
        <fgColor rgb="FF41D0A9"/>
        <bgColor rgb="FF41D0A9"/>
      </patternFill>
    </fill>
    <fill>
      <patternFill patternType="solid">
        <fgColor rgb="FFFF9E00"/>
        <bgColor rgb="FFFF9E00"/>
      </patternFill>
    </fill>
    <fill>
      <patternFill patternType="solid">
        <fgColor rgb="FF434343"/>
        <bgColor rgb="FF434343"/>
      </patternFill>
    </fill>
    <fill>
      <patternFill patternType="solid">
        <fgColor rgb="FFF2FAEF"/>
        <bgColor rgb="FFF2FAEF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583FB6"/>
        <bgColor rgb="FF583FB6"/>
      </patternFill>
    </fill>
    <fill>
      <patternFill patternType="solid">
        <fgColor rgb="FFF8D349"/>
        <bgColor rgb="FFF8D349"/>
      </patternFill>
    </fill>
    <fill>
      <patternFill patternType="solid">
        <fgColor rgb="FFEFEFEF"/>
        <bgColor rgb="FFEFEFEF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FFD20B"/>
        <bgColor rgb="FFFFD20B"/>
      </patternFill>
    </fill>
    <fill>
      <patternFill patternType="solid">
        <fgColor rgb="FFF4B084"/>
        <bgColor rgb="FFF4B084"/>
      </patternFill>
    </fill>
    <fill>
      <patternFill patternType="solid">
        <fgColor rgb="FFDA9694"/>
        <bgColor rgb="FFDA9694"/>
      </patternFill>
    </fill>
    <fill>
      <patternFill patternType="solid">
        <fgColor rgb="FF5D3EBE"/>
        <bgColor rgb="FF5D3EBE"/>
      </patternFill>
    </fill>
  </fills>
  <borders count="38">
    <border/>
    <border>
      <left style="thin">
        <color rgb="FF434343"/>
      </left>
      <right style="thin">
        <color rgb="FFCCCCCC"/>
      </right>
      <top style="thin">
        <color rgb="FF434343"/>
      </top>
      <bottom style="thin">
        <color rgb="FFCCCCCC"/>
      </bottom>
    </border>
    <border>
      <left style="thin">
        <color rgb="FFCCCCCC"/>
      </left>
      <top style="thin">
        <color rgb="FF434343"/>
      </top>
      <bottom style="thin">
        <color rgb="FFCCCCCC"/>
      </bottom>
    </border>
    <border>
      <top style="thin">
        <color rgb="FF434343"/>
      </top>
      <bottom style="thin">
        <color rgb="FFCCCCCC"/>
      </bottom>
    </border>
    <border>
      <right style="thin">
        <color rgb="FFCCCCCC"/>
      </right>
      <top style="thin">
        <color rgb="FF434343"/>
      </top>
      <bottom style="thin">
        <color rgb="FFCCCCCC"/>
      </bottom>
    </border>
    <border>
      <right style="thin">
        <color rgb="FF434343"/>
      </right>
      <top style="thin">
        <color rgb="FF434343"/>
      </top>
      <bottom style="thin">
        <color rgb="FFCCCCCC"/>
      </bottom>
    </border>
    <border>
      <left style="thin">
        <color rgb="FF434343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right style="thin">
        <color rgb="FF434343"/>
      </right>
      <top style="thin">
        <color rgb="FFCCCCCC"/>
      </top>
      <bottom style="thin">
        <color rgb="FFCCCCCC"/>
      </bottom>
    </border>
    <border>
      <left style="thin">
        <color rgb="FF434343"/>
      </left>
      <right style="thin">
        <color rgb="FFCCCCCC"/>
      </right>
      <top style="thin">
        <color rgb="FFCCCCCC"/>
      </top>
      <bottom style="thin">
        <color rgb="FF434343"/>
      </bottom>
    </border>
    <border>
      <left style="thin">
        <color rgb="FFCCCCCC"/>
      </left>
      <top style="thin">
        <color rgb="FFCCCCCC"/>
      </top>
      <bottom style="thin">
        <color rgb="FF434343"/>
      </bottom>
    </border>
    <border>
      <top style="thin">
        <color rgb="FFCCCCCC"/>
      </top>
      <bottom style="thin">
        <color rgb="FF434343"/>
      </bottom>
    </border>
    <border>
      <right style="thin">
        <color rgb="FFCCCCCC"/>
      </right>
      <top style="thin">
        <color rgb="FFCCCCCC"/>
      </top>
      <bottom style="thin">
        <color rgb="FF434343"/>
      </bottom>
    </border>
    <border>
      <right style="thin">
        <color rgb="FF434343"/>
      </right>
      <top style="thin">
        <color rgb="FFCCCCCC"/>
      </top>
      <bottom style="thin">
        <color rgb="FF434343"/>
      </bottom>
    </border>
    <border>
      <left style="thin">
        <color rgb="FF434343"/>
      </left>
      <right style="thin">
        <color rgb="FFCCCCCC"/>
      </right>
      <top style="thin">
        <color rgb="FFCCCCCC"/>
      </top>
    </border>
    <border>
      <left style="thin">
        <color rgb="FFCCCCCC"/>
      </left>
      <top style="thin">
        <color rgb="FFCCCCCC"/>
      </top>
    </border>
    <border>
      <top style="thin">
        <color rgb="FFCCCCCC"/>
      </top>
    </border>
    <border>
      <right style="thin">
        <color rgb="FF999999"/>
      </right>
      <top style="thin">
        <color rgb="FFCCCCCC"/>
      </top>
    </border>
    <border>
      <right style="thin">
        <color rgb="FF434343"/>
      </right>
      <top style="thin">
        <color rgb="FFCCCCCC"/>
      </top>
    </border>
    <border>
      <left style="thin">
        <color rgb="FF434343"/>
      </left>
      <right style="thin">
        <color rgb="FFCCCCCC"/>
      </right>
      <top style="thin">
        <color rgb="FF999999"/>
      </top>
      <bottom style="thin">
        <color rgb="FFCCCCCC"/>
      </bottom>
    </border>
    <border>
      <left style="thin">
        <color rgb="FFCCCCCC"/>
      </left>
      <top style="thin">
        <color rgb="FF999999"/>
      </top>
      <bottom style="thin">
        <color rgb="FFCCCCCC"/>
      </bottom>
    </border>
    <border>
      <right style="thin">
        <color rgb="FFCCCCCC"/>
      </right>
      <top style="thin">
        <color rgb="FF999999"/>
      </top>
      <bottom style="thin">
        <color rgb="FFCCCCCC"/>
      </bottom>
    </border>
    <border>
      <right style="thin">
        <color rgb="FF999999"/>
      </right>
      <top style="thin">
        <color rgb="FF999999"/>
      </top>
      <bottom style="thin">
        <color rgb="FFCCCCCC"/>
      </bottom>
    </border>
    <border>
      <top style="thin">
        <color rgb="FF999999"/>
      </top>
      <bottom style="thin">
        <color rgb="FFCCCCCC"/>
      </bottom>
    </border>
    <border>
      <right style="thin">
        <color rgb="FF434343"/>
      </right>
      <top style="thin">
        <color rgb="FF999999"/>
      </top>
      <bottom style="thin">
        <color rgb="FFCCCCCC"/>
      </bottom>
    </border>
    <border>
      <right style="thin">
        <color rgb="FF999999"/>
      </right>
      <top style="thin">
        <color rgb="FFCCCCCC"/>
      </top>
      <bottom style="thin">
        <color rgb="FFCCCCCC"/>
      </bottom>
    </border>
    <border>
      <right style="thin">
        <color rgb="FF999999"/>
      </right>
      <top style="thin">
        <color rgb="FFCCCCCC"/>
      </top>
      <bottom style="thin">
        <color rgb="FF434343"/>
      </bottom>
    </border>
    <border>
      <left style="thin">
        <color rgb="FF666666"/>
      </left>
      <right style="thin">
        <color rgb="FF666666"/>
      </right>
      <top style="thin">
        <color rgb="FFCCCCCC"/>
      </top>
      <bottom style="thin">
        <color rgb="FFCCCCCC"/>
      </bottom>
    </border>
    <border>
      <right style="thin">
        <color rgb="FFCCCCCC"/>
      </right>
      <bottom style="thin">
        <color rgb="FFCCCCCC"/>
      </bottom>
    </border>
    <border>
      <left style="thin">
        <color rgb="FFCCCCCC"/>
      </left>
      <right style="thin">
        <color rgb="FFCCCCCC"/>
      </right>
      <bottom style="thin">
        <color rgb="FFCCCCCC"/>
      </bottom>
    </border>
    <border>
      <right style="thin">
        <color rgb="FF666666"/>
      </right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right style="thin">
        <color rgb="FF666666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666666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horizontal="right" readingOrder="0" vertical="top"/>
    </xf>
    <xf borderId="0" fillId="0" fontId="3" numFmtId="0" xfId="0" applyAlignment="1" applyFont="1">
      <alignment horizontal="right" readingOrder="0" vertical="center"/>
    </xf>
    <xf borderId="0" fillId="0" fontId="4" numFmtId="0" xfId="0" applyAlignment="1" applyFont="1">
      <alignment horizontal="left" vertical="center"/>
    </xf>
    <xf borderId="0" fillId="0" fontId="5" numFmtId="0" xfId="0" applyAlignment="1" applyFont="1">
      <alignment horizontal="left" vertical="center"/>
    </xf>
    <xf borderId="0" fillId="0" fontId="6" numFmtId="0" xfId="0" applyFont="1"/>
    <xf borderId="0" fillId="0" fontId="7" numFmtId="0" xfId="0" applyFont="1"/>
    <xf borderId="0" fillId="0" fontId="8" numFmtId="0" xfId="0" applyAlignment="1" applyFont="1">
      <alignment horizontal="left" vertical="center"/>
    </xf>
    <xf borderId="0" fillId="2" fontId="9" numFmtId="164" xfId="0" applyAlignment="1" applyFill="1" applyFont="1" applyNumberFormat="1">
      <alignment horizontal="left" readingOrder="0" vertical="bottom"/>
    </xf>
    <xf borderId="0" fillId="3" fontId="9" numFmtId="164" xfId="0" applyAlignment="1" applyFill="1" applyFont="1" applyNumberFormat="1">
      <alignment horizontal="left" readingOrder="0" vertical="bottom"/>
    </xf>
    <xf borderId="0" fillId="3" fontId="10" numFmtId="0" xfId="0" applyAlignment="1" applyFont="1">
      <alignment horizontal="left" readingOrder="0" shrinkToFit="0" vertical="top" wrapText="1"/>
    </xf>
    <xf borderId="0" fillId="3" fontId="11" numFmtId="0" xfId="0" applyAlignment="1" applyFont="1">
      <alignment horizontal="left" readingOrder="0" shrinkToFit="0" vertical="top" wrapText="1"/>
    </xf>
    <xf borderId="0" fillId="0" fontId="10" numFmtId="0" xfId="0" applyAlignment="1" applyFont="1">
      <alignment horizontal="left" readingOrder="0" shrinkToFit="0" vertical="top" wrapText="1"/>
    </xf>
    <xf borderId="0" fillId="0" fontId="12" numFmtId="0" xfId="0" applyAlignment="1" applyFont="1">
      <alignment horizontal="left" vertical="center"/>
    </xf>
    <xf borderId="0" fillId="0" fontId="13" numFmtId="0" xfId="0" applyAlignment="1" applyFont="1">
      <alignment horizontal="left" readingOrder="0" shrinkToFit="0" vertical="center" wrapText="1"/>
    </xf>
    <xf borderId="0" fillId="0" fontId="14" numFmtId="0" xfId="0" applyAlignment="1" applyFont="1">
      <alignment horizontal="center" readingOrder="0" vertical="center"/>
    </xf>
    <xf borderId="0" fillId="0" fontId="15" numFmtId="0" xfId="0" applyAlignment="1" applyFont="1">
      <alignment horizontal="left" readingOrder="0" shrinkToFit="0" vertical="center" wrapText="1"/>
    </xf>
    <xf borderId="0" fillId="0" fontId="16" numFmtId="0" xfId="0" applyAlignment="1" applyFont="1">
      <alignment horizontal="left" vertical="center"/>
    </xf>
    <xf borderId="0" fillId="0" fontId="17" numFmtId="0" xfId="0" applyAlignment="1" applyFont="1">
      <alignment horizontal="left" readingOrder="0" vertical="top"/>
    </xf>
    <xf borderId="0" fillId="0" fontId="18" numFmtId="0" xfId="0" applyAlignment="1" applyFont="1">
      <alignment horizontal="left" readingOrder="0" shrinkToFit="0" vertical="top" wrapText="1"/>
    </xf>
    <xf borderId="0" fillId="0" fontId="18" numFmtId="0" xfId="0" applyAlignment="1" applyFont="1">
      <alignment horizontal="left" readingOrder="0" shrinkToFit="0" vertical="center" wrapText="1"/>
    </xf>
    <xf borderId="0" fillId="0" fontId="19" numFmtId="0" xfId="0" applyAlignment="1" applyFont="1">
      <alignment horizontal="left" readingOrder="0" shrinkToFit="0" vertical="top" wrapText="1"/>
    </xf>
    <xf borderId="0" fillId="0" fontId="19" numFmtId="0" xfId="0" applyAlignment="1" applyFont="1">
      <alignment horizontal="left" readingOrder="0" shrinkToFit="0" vertical="center" wrapText="1"/>
    </xf>
    <xf borderId="0" fillId="0" fontId="20" numFmtId="0" xfId="0" applyAlignment="1" applyFont="1">
      <alignment horizontal="left" readingOrder="0" vertical="center"/>
    </xf>
    <xf borderId="0" fillId="0" fontId="10" numFmtId="0" xfId="0" applyAlignment="1" applyFont="1">
      <alignment horizontal="left" readingOrder="0" vertical="center"/>
    </xf>
    <xf borderId="0" fillId="0" fontId="21" numFmtId="0" xfId="0" applyAlignment="1" applyFont="1">
      <alignment horizontal="left" readingOrder="0" vertical="center"/>
    </xf>
    <xf borderId="0" fillId="0" fontId="16" numFmtId="0" xfId="0" applyAlignment="1" applyFont="1">
      <alignment horizontal="left" vertical="center"/>
    </xf>
    <xf borderId="0" fillId="0" fontId="16" numFmtId="0" xfId="0" applyAlignment="1" applyFont="1">
      <alignment vertical="center"/>
    </xf>
    <xf borderId="0" fillId="0" fontId="22" numFmtId="0" xfId="0" applyAlignment="1" applyFont="1">
      <alignment horizontal="left" vertical="center"/>
    </xf>
    <xf borderId="1" fillId="4" fontId="23" numFmtId="0" xfId="0" applyAlignment="1" applyBorder="1" applyFill="1" applyFont="1">
      <alignment horizontal="center" readingOrder="0" vertical="center"/>
    </xf>
    <xf borderId="2" fillId="4" fontId="23" numFmtId="0" xfId="0" applyAlignment="1" applyBorder="1" applyFont="1">
      <alignment horizontal="center" readingOrder="0" vertical="center"/>
    </xf>
    <xf borderId="3" fillId="0" fontId="24" numFmtId="0" xfId="0" applyBorder="1" applyFont="1"/>
    <xf borderId="4" fillId="0" fontId="24" numFmtId="0" xfId="0" applyBorder="1" applyFont="1"/>
    <xf borderId="5" fillId="0" fontId="24" numFmtId="0" xfId="0" applyBorder="1" applyFont="1"/>
    <xf borderId="6" fillId="0" fontId="16" numFmtId="0" xfId="0" applyAlignment="1" applyBorder="1" applyFont="1">
      <alignment horizontal="center" readingOrder="0" vertical="center"/>
    </xf>
    <xf borderId="7" fillId="0" fontId="16" numFmtId="0" xfId="0" applyAlignment="1" applyBorder="1" applyFont="1">
      <alignment horizontal="center" readingOrder="0" vertical="center"/>
    </xf>
    <xf borderId="8" fillId="0" fontId="24" numFmtId="0" xfId="0" applyBorder="1" applyFont="1"/>
    <xf borderId="9" fillId="0" fontId="24" numFmtId="0" xfId="0" applyBorder="1" applyFont="1"/>
    <xf borderId="7" fillId="0" fontId="16" numFmtId="165" xfId="0" applyAlignment="1" applyBorder="1" applyFont="1" applyNumberFormat="1">
      <alignment horizontal="center" readingOrder="0" vertical="center"/>
    </xf>
    <xf borderId="10" fillId="0" fontId="24" numFmtId="0" xfId="0" applyBorder="1" applyFont="1"/>
    <xf borderId="11" fillId="0" fontId="16" numFmtId="0" xfId="0" applyAlignment="1" applyBorder="1" applyFont="1">
      <alignment horizontal="center" readingOrder="0" vertical="center"/>
    </xf>
    <xf borderId="12" fillId="0" fontId="16" numFmtId="0" xfId="0" applyAlignment="1" applyBorder="1" applyFont="1">
      <alignment horizontal="center" readingOrder="0" vertical="center"/>
    </xf>
    <xf borderId="13" fillId="0" fontId="24" numFmtId="0" xfId="0" applyBorder="1" applyFont="1"/>
    <xf borderId="14" fillId="0" fontId="24" numFmtId="0" xfId="0" applyBorder="1" applyFont="1"/>
    <xf borderId="12" fillId="0" fontId="16" numFmtId="165" xfId="0" applyAlignment="1" applyBorder="1" applyFont="1" applyNumberFormat="1">
      <alignment horizontal="center" readingOrder="0" vertical="center"/>
    </xf>
    <xf borderId="15" fillId="0" fontId="24" numFmtId="0" xfId="0" applyBorder="1" applyFont="1"/>
    <xf borderId="0" fillId="0" fontId="22" numFmtId="0" xfId="0" applyAlignment="1" applyFont="1">
      <alignment horizontal="center" vertical="center"/>
    </xf>
    <xf borderId="0" fillId="0" fontId="25" numFmtId="0" xfId="0" applyAlignment="1" applyFont="1">
      <alignment horizontal="left" readingOrder="0" vertical="center"/>
    </xf>
    <xf borderId="0" fillId="0" fontId="26" numFmtId="0" xfId="0" applyAlignment="1" applyFont="1">
      <alignment horizontal="center" vertical="center"/>
    </xf>
    <xf borderId="0" fillId="0" fontId="26" numFmtId="0" xfId="0" applyAlignment="1" applyFont="1">
      <alignment horizontal="center" vertical="center"/>
    </xf>
    <xf borderId="16" fillId="5" fontId="26" numFmtId="166" xfId="0" applyAlignment="1" applyBorder="1" applyFill="1" applyFont="1" applyNumberFormat="1">
      <alignment horizontal="center" vertical="center"/>
    </xf>
    <xf borderId="17" fillId="5" fontId="25" numFmtId="0" xfId="0" applyAlignment="1" applyBorder="1" applyFont="1">
      <alignment horizontal="center" readingOrder="0" vertical="center"/>
    </xf>
    <xf borderId="18" fillId="0" fontId="24" numFmtId="0" xfId="0" applyBorder="1" applyFont="1"/>
    <xf borderId="19" fillId="0" fontId="24" numFmtId="0" xfId="0" applyBorder="1" applyFont="1"/>
    <xf borderId="18" fillId="5" fontId="25" numFmtId="0" xfId="0" applyAlignment="1" applyBorder="1" applyFont="1">
      <alignment horizontal="center" readingOrder="0" vertical="center"/>
    </xf>
    <xf borderId="20" fillId="0" fontId="24" numFmtId="0" xfId="0" applyBorder="1" applyFont="1"/>
    <xf borderId="21" fillId="5" fontId="25" numFmtId="0" xfId="0" applyAlignment="1" applyBorder="1" applyFont="1">
      <alignment horizontal="left" readingOrder="0" vertical="center"/>
    </xf>
    <xf borderId="22" fillId="5" fontId="22" numFmtId="0" xfId="0" applyAlignment="1" applyBorder="1" applyFont="1">
      <alignment horizontal="center" readingOrder="0" vertical="center"/>
    </xf>
    <xf borderId="23" fillId="0" fontId="24" numFmtId="0" xfId="0" applyBorder="1" applyFont="1"/>
    <xf borderId="24" fillId="0" fontId="24" numFmtId="0" xfId="0" applyBorder="1" applyFont="1"/>
    <xf borderId="25" fillId="5" fontId="22" numFmtId="0" xfId="0" applyAlignment="1" applyBorder="1" applyFont="1">
      <alignment horizontal="center" readingOrder="0" vertical="center"/>
    </xf>
    <xf borderId="25" fillId="5" fontId="22" numFmtId="0" xfId="0" applyAlignment="1" applyBorder="1" applyFont="1">
      <alignment horizontal="center" vertical="center"/>
    </xf>
    <xf borderId="22" fillId="5" fontId="22" numFmtId="0" xfId="0" applyAlignment="1" applyBorder="1" applyFont="1">
      <alignment horizontal="center" vertical="center"/>
    </xf>
    <xf borderId="25" fillId="5" fontId="25" numFmtId="0" xfId="0" applyAlignment="1" applyBorder="1" applyFont="1">
      <alignment horizontal="center" readingOrder="0" vertical="center"/>
    </xf>
    <xf borderId="25" fillId="0" fontId="24" numFmtId="0" xfId="0" applyBorder="1" applyFont="1"/>
    <xf borderId="26" fillId="0" fontId="24" numFmtId="0" xfId="0" applyBorder="1" applyFont="1"/>
    <xf borderId="6" fillId="6" fontId="16" numFmtId="0" xfId="0" applyAlignment="1" applyBorder="1" applyFill="1" applyFont="1">
      <alignment horizontal="left" vertical="center"/>
    </xf>
    <xf borderId="7" fillId="6" fontId="2" numFmtId="0" xfId="0" applyAlignment="1" applyBorder="1" applyFont="1">
      <alignment horizontal="center" readingOrder="0" vertical="center"/>
    </xf>
    <xf borderId="27" fillId="0" fontId="24" numFmtId="0" xfId="0" applyBorder="1" applyFont="1"/>
    <xf borderId="8" fillId="6" fontId="2" numFmtId="0" xfId="0" applyAlignment="1" applyBorder="1" applyFont="1">
      <alignment horizontal="center" readingOrder="0" vertical="center"/>
    </xf>
    <xf borderId="6" fillId="7" fontId="16" numFmtId="0" xfId="0" applyAlignment="1" applyBorder="1" applyFill="1" applyFont="1">
      <alignment horizontal="left" vertical="center"/>
    </xf>
    <xf borderId="7" fillId="7" fontId="2" numFmtId="0" xfId="0" applyAlignment="1" applyBorder="1" applyFont="1">
      <alignment horizontal="center" readingOrder="0" vertical="center"/>
    </xf>
    <xf borderId="8" fillId="7" fontId="2" numFmtId="0" xfId="0" applyAlignment="1" applyBorder="1" applyFont="1">
      <alignment horizontal="center" readingOrder="0" vertical="center"/>
    </xf>
    <xf borderId="0" fillId="0" fontId="27" numFmtId="166" xfId="0" applyAlignment="1" applyFont="1" applyNumberFormat="1">
      <alignment horizontal="left" vertical="center"/>
    </xf>
    <xf borderId="11" fillId="5" fontId="22" numFmtId="4" xfId="0" applyAlignment="1" applyBorder="1" applyFont="1" applyNumberFormat="1">
      <alignment horizontal="left" readingOrder="0" vertical="center"/>
    </xf>
    <xf borderId="12" fillId="5" fontId="25" numFmtId="3" xfId="0" applyAlignment="1" applyBorder="1" applyFont="1" applyNumberFormat="1">
      <alignment horizontal="center" readingOrder="0" vertical="center"/>
    </xf>
    <xf borderId="28" fillId="0" fontId="24" numFmtId="0" xfId="0" applyBorder="1" applyFont="1"/>
    <xf borderId="13" fillId="5" fontId="25" numFmtId="3" xfId="0" applyAlignment="1" applyBorder="1" applyFont="1" applyNumberFormat="1">
      <alignment horizontal="center" readingOrder="0" vertical="center"/>
    </xf>
    <xf borderId="13" fillId="5" fontId="27" numFmtId="4" xfId="0" applyAlignment="1" applyBorder="1" applyFont="1" applyNumberFormat="1">
      <alignment horizontal="left" readingOrder="0" vertical="center"/>
    </xf>
    <xf borderId="0" fillId="0" fontId="16" numFmtId="4" xfId="0" applyAlignment="1" applyFont="1" applyNumberFormat="1">
      <alignment vertical="center"/>
    </xf>
    <xf borderId="0" fillId="0" fontId="27" numFmtId="4" xfId="0" applyAlignment="1" applyFont="1" applyNumberFormat="1">
      <alignment horizontal="left" readingOrder="0" vertical="center"/>
    </xf>
    <xf borderId="0" fillId="0" fontId="22" numFmtId="4" xfId="0" applyAlignment="1" applyFont="1" applyNumberFormat="1">
      <alignment horizontal="center" readingOrder="0" vertical="center"/>
    </xf>
    <xf borderId="0" fillId="0" fontId="28" numFmtId="0" xfId="0" applyAlignment="1" applyFont="1">
      <alignment horizontal="left" vertical="center"/>
    </xf>
    <xf borderId="0" fillId="0" fontId="28" numFmtId="0" xfId="0" applyAlignment="1" applyFont="1">
      <alignment horizontal="center" readingOrder="0" vertical="center"/>
    </xf>
    <xf borderId="0" fillId="0" fontId="29" numFmtId="0" xfId="0" applyAlignment="1" applyFont="1">
      <alignment horizontal="right" readingOrder="0" vertical="top"/>
    </xf>
    <xf borderId="0" fillId="0" fontId="30" numFmtId="0" xfId="0" applyAlignment="1" applyFont="1">
      <alignment horizontal="left" vertical="center"/>
    </xf>
    <xf borderId="0" fillId="0" fontId="31" numFmtId="0" xfId="0" applyFont="1"/>
    <xf borderId="0" fillId="8" fontId="32" numFmtId="164" xfId="0" applyAlignment="1" applyFill="1" applyFont="1" applyNumberFormat="1">
      <alignment horizontal="left" readingOrder="0" vertical="bottom"/>
    </xf>
    <xf borderId="0" fillId="9" fontId="32" numFmtId="164" xfId="0" applyAlignment="1" applyFill="1" applyFont="1" applyNumberFormat="1">
      <alignment horizontal="left" readingOrder="0" vertical="bottom"/>
    </xf>
    <xf borderId="0" fillId="0" fontId="33" numFmtId="0" xfId="0" applyAlignment="1" applyFont="1">
      <alignment horizontal="left" readingOrder="0" shrinkToFit="0" vertical="top" wrapText="1"/>
    </xf>
    <xf borderId="0" fillId="0" fontId="34" numFmtId="0" xfId="0" applyAlignment="1" applyFont="1">
      <alignment horizontal="left" vertical="center"/>
    </xf>
    <xf borderId="0" fillId="0" fontId="35" numFmtId="0" xfId="0" applyAlignment="1" applyFont="1">
      <alignment horizontal="left" readingOrder="0" shrinkToFit="0" vertical="center" wrapText="1"/>
    </xf>
    <xf borderId="0" fillId="0" fontId="36" numFmtId="0" xfId="0" applyAlignment="1" applyFont="1">
      <alignment horizontal="center" readingOrder="0" vertical="center"/>
    </xf>
    <xf borderId="0" fillId="0" fontId="37" numFmtId="0" xfId="0" applyAlignment="1" applyFont="1">
      <alignment horizontal="left" readingOrder="0" shrinkToFit="0" vertical="center" wrapText="1"/>
    </xf>
    <xf borderId="0" fillId="0" fontId="38" numFmtId="0" xfId="0" applyAlignment="1" applyFont="1">
      <alignment horizontal="left" readingOrder="0" vertical="top"/>
    </xf>
    <xf borderId="0" fillId="0" fontId="37" numFmtId="0" xfId="0" applyAlignment="1" applyFont="1">
      <alignment horizontal="left" readingOrder="0" shrinkToFit="0" vertical="top" wrapText="1"/>
    </xf>
    <xf borderId="0" fillId="0" fontId="31" numFmtId="0" xfId="0" applyAlignment="1" applyFont="1">
      <alignment vertical="bottom"/>
    </xf>
    <xf borderId="0" fillId="9" fontId="39" numFmtId="0" xfId="0" applyAlignment="1" applyFont="1">
      <alignment horizontal="center" readingOrder="0" shrinkToFit="0" vertical="center" wrapText="1"/>
    </xf>
    <xf borderId="0" fillId="9" fontId="40" numFmtId="0" xfId="0" applyAlignment="1" applyFont="1">
      <alignment horizontal="left" shrinkToFit="0" wrapText="0"/>
    </xf>
    <xf borderId="0" fillId="9" fontId="41" numFmtId="0" xfId="0" applyAlignment="1" applyFont="1">
      <alignment readingOrder="0" shrinkToFit="0" vertical="center" wrapText="0"/>
    </xf>
    <xf borderId="0" fillId="0" fontId="40" numFmtId="0" xfId="0" applyAlignment="1" applyFont="1">
      <alignment horizontal="left" shrinkToFit="0" wrapText="0"/>
    </xf>
    <xf borderId="0" fillId="9" fontId="42" numFmtId="0" xfId="0" applyAlignment="1" applyFont="1">
      <alignment readingOrder="0" shrinkToFit="0" vertical="center" wrapText="1"/>
    </xf>
    <xf borderId="0" fillId="0" fontId="31" numFmtId="0" xfId="0" applyAlignment="1" applyFont="1">
      <alignment horizontal="left" readingOrder="0" vertical="center"/>
    </xf>
    <xf borderId="0" fillId="0" fontId="31" numFmtId="0" xfId="0" applyAlignment="1" applyFont="1">
      <alignment horizontal="left" vertical="center"/>
    </xf>
    <xf borderId="0" fillId="0" fontId="43" numFmtId="0" xfId="0" applyAlignment="1" applyFont="1">
      <alignment horizontal="center" vertical="center"/>
    </xf>
    <xf borderId="29" fillId="7" fontId="30" numFmtId="0" xfId="0" applyAlignment="1" applyBorder="1" applyFont="1">
      <alignment readingOrder="0" vertical="center"/>
    </xf>
    <xf borderId="30" fillId="7" fontId="44" numFmtId="0" xfId="0" applyAlignment="1" applyBorder="1" applyFont="1">
      <alignment horizontal="center" readingOrder="0" vertical="center"/>
    </xf>
    <xf borderId="31" fillId="7" fontId="44" numFmtId="0" xfId="0" applyAlignment="1" applyBorder="1" applyFont="1">
      <alignment horizontal="center" readingOrder="0" vertical="center"/>
    </xf>
    <xf borderId="31" fillId="7" fontId="45" numFmtId="167" xfId="0" applyAlignment="1" applyBorder="1" applyFont="1" applyNumberFormat="1">
      <alignment horizontal="center" readingOrder="0" vertical="center"/>
    </xf>
    <xf borderId="32" fillId="7" fontId="44" numFmtId="0" xfId="0" applyAlignment="1" applyBorder="1" applyFont="1">
      <alignment horizontal="center" readingOrder="0" vertical="center"/>
    </xf>
    <xf borderId="0" fillId="0" fontId="31" numFmtId="0" xfId="0" applyAlignment="1" applyFont="1">
      <alignment vertical="center"/>
    </xf>
    <xf borderId="0" fillId="0" fontId="31" numFmtId="0" xfId="0" applyAlignment="1" applyFont="1">
      <alignment readingOrder="0"/>
    </xf>
    <xf borderId="9" fillId="0" fontId="46" numFmtId="0" xfId="0" applyAlignment="1" applyBorder="1" applyFont="1">
      <alignment horizontal="center" readingOrder="0" vertical="center"/>
    </xf>
    <xf borderId="33" fillId="0" fontId="46" numFmtId="0" xfId="0" applyAlignment="1" applyBorder="1" applyFont="1">
      <alignment horizontal="center" readingOrder="0" vertical="center"/>
    </xf>
    <xf borderId="33" fillId="0" fontId="47" numFmtId="0" xfId="0" applyAlignment="1" applyBorder="1" applyFont="1">
      <alignment horizontal="center" readingOrder="0" vertical="center"/>
    </xf>
    <xf borderId="34" fillId="10" fontId="44" numFmtId="0" xfId="0" applyAlignment="1" applyBorder="1" applyFill="1" applyFont="1">
      <alignment horizontal="center" readingOrder="0" vertical="center"/>
    </xf>
    <xf borderId="0" fillId="0" fontId="48" numFmtId="0" xfId="0" applyFont="1"/>
    <xf borderId="0" fillId="0" fontId="38" numFmtId="0" xfId="0" applyAlignment="1" applyFont="1">
      <alignment readingOrder="0" vertical="bottom"/>
    </xf>
    <xf borderId="0" fillId="0" fontId="49" numFmtId="166" xfId="0" applyAlignment="1" applyFont="1" applyNumberFormat="1">
      <alignment horizontal="left" vertical="center"/>
    </xf>
    <xf borderId="0" fillId="0" fontId="31" numFmtId="0" xfId="0" applyAlignment="1" applyFont="1">
      <alignment horizontal="left" vertical="center"/>
    </xf>
    <xf borderId="0" fillId="0" fontId="43" numFmtId="0" xfId="0" applyAlignment="1" applyFont="1">
      <alignment horizontal="left" vertical="center"/>
    </xf>
    <xf borderId="33" fillId="0" fontId="46" numFmtId="0" xfId="0" applyAlignment="1" applyBorder="1" applyFont="1">
      <alignment horizontal="center" vertical="center"/>
    </xf>
    <xf borderId="0" fillId="0" fontId="43" numFmtId="0" xfId="0" applyAlignment="1" applyFont="1">
      <alignment horizontal="center" vertical="center"/>
    </xf>
    <xf borderId="0" fillId="0" fontId="49" numFmtId="166" xfId="0" applyAlignment="1" applyFont="1" applyNumberFormat="1">
      <alignment horizontal="left" readingOrder="0" vertical="center"/>
    </xf>
    <xf borderId="0" fillId="0" fontId="38" numFmtId="0" xfId="0" applyAlignment="1" applyFont="1">
      <alignment horizontal="left" readingOrder="0" vertical="center"/>
    </xf>
    <xf borderId="35" fillId="0" fontId="46" numFmtId="0" xfId="0" applyAlignment="1" applyBorder="1" applyFont="1">
      <alignment horizontal="center" readingOrder="0" vertical="center"/>
    </xf>
    <xf borderId="29" fillId="7" fontId="50" numFmtId="0" xfId="0" applyAlignment="1" applyBorder="1" applyFont="1">
      <alignment readingOrder="0" vertical="center"/>
    </xf>
    <xf borderId="0" fillId="0" fontId="38" numFmtId="0" xfId="0" applyAlignment="1" applyFont="1">
      <alignment readingOrder="0"/>
    </xf>
    <xf borderId="0" fillId="6" fontId="46" numFmtId="0" xfId="0" applyFont="1"/>
    <xf borderId="0" fillId="0" fontId="38" numFmtId="0" xfId="0" applyAlignment="1" applyFont="1">
      <alignment vertical="bottom"/>
    </xf>
    <xf borderId="0" fillId="0" fontId="38" numFmtId="0" xfId="0" applyFont="1"/>
    <xf borderId="0" fillId="6" fontId="46" numFmtId="0" xfId="0" applyAlignment="1" applyFont="1">
      <alignment readingOrder="0"/>
    </xf>
    <xf borderId="0" fillId="11" fontId="38" numFmtId="0" xfId="0" applyFill="1" applyFont="1"/>
    <xf borderId="0" fillId="10" fontId="44" numFmtId="0" xfId="0" applyAlignment="1" applyFont="1">
      <alignment horizontal="center" readingOrder="0" vertical="center"/>
    </xf>
    <xf borderId="34" fillId="10" fontId="44" numFmtId="3" xfId="0" applyAlignment="1" applyBorder="1" applyFont="1" applyNumberFormat="1">
      <alignment horizontal="center" readingOrder="0" vertical="center"/>
    </xf>
    <xf borderId="0" fillId="11" fontId="38" numFmtId="0" xfId="0" applyAlignment="1" applyFont="1">
      <alignment readingOrder="0"/>
    </xf>
    <xf borderId="0" fillId="12" fontId="38" numFmtId="0" xfId="0" applyFill="1" applyFont="1"/>
    <xf borderId="8" fillId="0" fontId="47" numFmtId="0" xfId="0" applyAlignment="1" applyBorder="1" applyFont="1">
      <alignment horizontal="center" readingOrder="0" vertical="center"/>
    </xf>
    <xf borderId="0" fillId="11" fontId="28" numFmtId="0" xfId="0" applyAlignment="1" applyFont="1">
      <alignment horizontal="left" vertical="center"/>
    </xf>
    <xf borderId="0" fillId="0" fontId="38" numFmtId="0" xfId="0" applyAlignment="1" applyFont="1">
      <alignment readingOrder="0"/>
    </xf>
    <xf borderId="0" fillId="0" fontId="31" numFmtId="0" xfId="0" applyAlignment="1" applyFont="1">
      <alignment readingOrder="0" vertical="center"/>
    </xf>
    <xf borderId="9" fillId="0" fontId="46" numFmtId="0" xfId="0" applyAlignment="1" applyBorder="1" applyFont="1">
      <alignment horizontal="left" readingOrder="0" vertical="center"/>
    </xf>
    <xf borderId="0" fillId="0" fontId="46" numFmtId="0" xfId="0" applyAlignment="1" applyFont="1">
      <alignment horizontal="center" readingOrder="0" vertical="center"/>
    </xf>
    <xf borderId="9" fillId="0" fontId="46" numFmtId="0" xfId="0" applyAlignment="1" applyBorder="1" applyFont="1">
      <alignment horizontal="center"/>
    </xf>
    <xf borderId="34" fillId="10" fontId="44" numFmtId="0" xfId="0" applyAlignment="1" applyBorder="1" applyFont="1">
      <alignment horizontal="center"/>
    </xf>
    <xf borderId="33" fillId="0" fontId="46" numFmtId="0" xfId="0" applyAlignment="1" applyBorder="1" applyFont="1">
      <alignment horizontal="center"/>
    </xf>
    <xf borderId="0" fillId="0" fontId="24" numFmtId="0" xfId="0" applyAlignment="1" applyFont="1">
      <alignment readingOrder="0"/>
    </xf>
    <xf borderId="0" fillId="0" fontId="51" numFmtId="0" xfId="0" applyAlignment="1" applyFont="1">
      <alignment vertical="bottom"/>
    </xf>
    <xf borderId="0" fillId="0" fontId="51" numFmtId="0" xfId="0" applyAlignment="1" applyFont="1">
      <alignment readingOrder="0" vertical="bottom"/>
    </xf>
    <xf borderId="0" fillId="6" fontId="52" numFmtId="0" xfId="0" applyAlignment="1" applyFont="1">
      <alignment readingOrder="0"/>
    </xf>
    <xf borderId="36" fillId="0" fontId="51" numFmtId="0" xfId="0" applyAlignment="1" applyBorder="1" applyFont="1">
      <alignment vertical="bottom"/>
    </xf>
    <xf borderId="34" fillId="7" fontId="44" numFmtId="0" xfId="0" applyAlignment="1" applyBorder="1" applyFont="1">
      <alignment horizontal="center" readingOrder="0" vertical="center"/>
    </xf>
    <xf borderId="34" fillId="10" fontId="44" numFmtId="0" xfId="0" applyAlignment="1" applyBorder="1" applyFont="1">
      <alignment horizontal="center" readingOrder="0"/>
    </xf>
    <xf borderId="0" fillId="0" fontId="29" numFmtId="0" xfId="0" applyAlignment="1" applyFont="1">
      <alignment horizontal="left" readingOrder="0" vertical="top"/>
    </xf>
    <xf borderId="32" fillId="7" fontId="44" numFmtId="0" xfId="0" applyAlignment="1" applyBorder="1" applyFont="1">
      <alignment horizontal="left" readingOrder="0" vertical="center"/>
    </xf>
    <xf borderId="34" fillId="10" fontId="44" numFmtId="0" xfId="0" applyAlignment="1" applyBorder="1" applyFont="1">
      <alignment horizontal="left" readingOrder="0" vertical="center"/>
    </xf>
    <xf borderId="34" fillId="7" fontId="44" numFmtId="0" xfId="0" applyAlignment="1" applyBorder="1" applyFont="1">
      <alignment horizontal="left" readingOrder="0" vertical="center"/>
    </xf>
    <xf borderId="34" fillId="10" fontId="44" numFmtId="0" xfId="0" applyAlignment="1" applyBorder="1" applyFont="1">
      <alignment horizontal="left" readingOrder="0"/>
    </xf>
    <xf borderId="0" fillId="10" fontId="44" numFmtId="0" xfId="0" applyAlignment="1" applyFont="1">
      <alignment horizontal="left" readingOrder="0" vertical="center"/>
    </xf>
    <xf borderId="0" fillId="0" fontId="24" numFmtId="0" xfId="0" applyAlignment="1" applyFont="1">
      <alignment horizontal="left"/>
    </xf>
    <xf borderId="0" fillId="0" fontId="31" numFmtId="0" xfId="0" applyAlignment="1" applyFont="1">
      <alignment vertical="bottom"/>
    </xf>
    <xf borderId="0" fillId="0" fontId="31" numFmtId="0" xfId="0" applyAlignment="1" applyFont="1">
      <alignment readingOrder="0" vertical="bottom"/>
    </xf>
    <xf borderId="0" fillId="6" fontId="41" numFmtId="0" xfId="0" applyAlignment="1" applyFont="1">
      <alignment readingOrder="0"/>
    </xf>
    <xf borderId="0" fillId="11" fontId="28" numFmtId="0" xfId="0" applyAlignment="1" applyFont="1">
      <alignment horizontal="left" readingOrder="0" vertical="center"/>
    </xf>
    <xf borderId="9" fillId="0" fontId="46" numFmtId="0" xfId="0" applyAlignment="1" applyBorder="1" applyFont="1">
      <alignment horizontal="center" readingOrder="0"/>
    </xf>
    <xf borderId="33" fillId="0" fontId="46" numFmtId="0" xfId="0" applyAlignment="1" applyBorder="1" applyFont="1">
      <alignment horizontal="center" readingOrder="0"/>
    </xf>
    <xf borderId="34" fillId="6" fontId="44" numFmtId="0" xfId="0" applyAlignment="1" applyBorder="1" applyFont="1">
      <alignment horizontal="left" readingOrder="0" vertical="center"/>
    </xf>
    <xf borderId="36" fillId="6" fontId="31" numFmtId="0" xfId="0" applyAlignment="1" applyBorder="1" applyFont="1">
      <alignment horizontal="left" vertical="bottom"/>
    </xf>
    <xf borderId="0" fillId="6" fontId="31" numFmtId="0" xfId="0" applyAlignment="1" applyFont="1">
      <alignment horizontal="left" readingOrder="0" vertical="bottom"/>
    </xf>
    <xf borderId="0" fillId="13" fontId="53" numFmtId="0" xfId="0" applyAlignment="1" applyFill="1" applyFont="1">
      <alignment readingOrder="0" shrinkToFit="0" vertical="bottom" wrapText="0"/>
    </xf>
    <xf borderId="0" fillId="11" fontId="31" numFmtId="0" xfId="0" applyFont="1"/>
    <xf borderId="0" fillId="11" fontId="31" numFmtId="0" xfId="0" applyAlignment="1" applyFont="1">
      <alignment readingOrder="0"/>
    </xf>
    <xf borderId="0" fillId="14" fontId="53" numFmtId="0" xfId="0" applyAlignment="1" applyFill="1" applyFont="1">
      <alignment readingOrder="0" shrinkToFit="0" vertical="bottom" wrapText="0"/>
    </xf>
    <xf borderId="0" fillId="0" fontId="54" numFmtId="0" xfId="0" applyAlignment="1" applyFont="1">
      <alignment readingOrder="0" shrinkToFit="0" vertical="bottom" wrapText="0"/>
    </xf>
    <xf borderId="0" fillId="0" fontId="51" numFmtId="0" xfId="0" applyAlignment="1" applyFont="1">
      <alignment vertical="bottom"/>
    </xf>
    <xf borderId="0" fillId="11" fontId="24" numFmtId="0" xfId="0" applyAlignment="1" applyFont="1">
      <alignment readingOrder="0"/>
    </xf>
    <xf borderId="0" fillId="8" fontId="55" numFmtId="0" xfId="0" applyAlignment="1" applyFont="1">
      <alignment horizontal="center" readingOrder="0"/>
    </xf>
    <xf borderId="0" fillId="9" fontId="56" numFmtId="0" xfId="0" applyAlignment="1" applyFont="1">
      <alignment readingOrder="0"/>
    </xf>
    <xf borderId="0" fillId="0" fontId="24" numFmtId="0" xfId="0" applyAlignment="1" applyFont="1">
      <alignment horizontal="center"/>
    </xf>
    <xf borderId="0" fillId="0" fontId="24" numFmtId="0" xfId="0" applyAlignment="1" applyFont="1">
      <alignment horizontal="center" readingOrder="0"/>
    </xf>
    <xf borderId="0" fillId="0" fontId="24" numFmtId="168" xfId="0" applyAlignment="1" applyFont="1" applyNumberFormat="1">
      <alignment horizontal="center"/>
    </xf>
    <xf borderId="0" fillId="13" fontId="57" numFmtId="0" xfId="0" applyAlignment="1" applyFont="1">
      <alignment readingOrder="0" shrinkToFit="0" vertical="bottom" wrapText="0"/>
    </xf>
    <xf borderId="0" fillId="13" fontId="58" numFmtId="0" xfId="0" applyAlignment="1" applyFont="1">
      <alignment readingOrder="0" shrinkToFit="0" vertical="bottom" wrapText="0"/>
    </xf>
    <xf borderId="0" fillId="15" fontId="53" numFmtId="0" xfId="0" applyAlignment="1" applyFill="1" applyFont="1">
      <alignment readingOrder="0" shrinkToFit="0" vertical="bottom" wrapText="0"/>
    </xf>
    <xf borderId="0" fillId="15" fontId="58" numFmtId="0" xfId="0" applyAlignment="1" applyFont="1">
      <alignment readingOrder="0" shrinkToFit="0" vertical="bottom" wrapText="0"/>
    </xf>
    <xf borderId="0" fillId="7" fontId="34" numFmtId="0" xfId="0" applyFont="1"/>
    <xf borderId="0" fillId="0" fontId="34" numFmtId="0" xfId="0" applyFont="1"/>
    <xf borderId="0" fillId="16" fontId="59" numFmtId="0" xfId="0" applyAlignment="1" applyFill="1" applyFont="1">
      <alignment horizontal="center" vertical="bottom"/>
    </xf>
    <xf borderId="37" fillId="0" fontId="51" numFmtId="0" xfId="0" applyAlignment="1" applyBorder="1" applyFont="1">
      <alignment shrinkToFit="0" vertical="bottom" wrapText="0"/>
    </xf>
  </cellXfs>
  <cellStyles count="1">
    <cellStyle xfId="0" name="Normal" builtinId="0"/>
  </cellStyles>
  <dxfs count="2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8.xml"/><Relationship Id="rId42" Type="http://schemas.openxmlformats.org/officeDocument/2006/relationships/worksheet" Target="worksheets/sheet40.xml"/><Relationship Id="rId41" Type="http://schemas.openxmlformats.org/officeDocument/2006/relationships/worksheet" Target="worksheets/sheet39.xml"/><Relationship Id="rId44" Type="http://schemas.openxmlformats.org/officeDocument/2006/relationships/worksheet" Target="worksheets/sheet42.xml"/><Relationship Id="rId43" Type="http://schemas.openxmlformats.org/officeDocument/2006/relationships/worksheet" Target="worksheets/sheet41.xml"/><Relationship Id="rId46" Type="http://schemas.openxmlformats.org/officeDocument/2006/relationships/worksheet" Target="worksheets/sheet44.xml"/><Relationship Id="rId45" Type="http://schemas.openxmlformats.org/officeDocument/2006/relationships/worksheet" Target="worksheets/sheet43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48" Type="http://schemas.openxmlformats.org/officeDocument/2006/relationships/worksheet" Target="worksheets/sheet46.xml"/><Relationship Id="rId47" Type="http://schemas.openxmlformats.org/officeDocument/2006/relationships/worksheet" Target="worksheets/sheet45.xml"/><Relationship Id="rId49" Type="http://schemas.openxmlformats.org/officeDocument/2006/relationships/worksheet" Target="worksheets/sheet4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33" Type="http://schemas.openxmlformats.org/officeDocument/2006/relationships/worksheet" Target="worksheets/sheet31.xml"/><Relationship Id="rId32" Type="http://schemas.openxmlformats.org/officeDocument/2006/relationships/worksheet" Target="worksheets/sheet30.xml"/><Relationship Id="rId35" Type="http://schemas.openxmlformats.org/officeDocument/2006/relationships/worksheet" Target="worksheets/sheet33.xml"/><Relationship Id="rId34" Type="http://schemas.openxmlformats.org/officeDocument/2006/relationships/worksheet" Target="worksheets/sheet32.xml"/><Relationship Id="rId37" Type="http://schemas.openxmlformats.org/officeDocument/2006/relationships/worksheet" Target="worksheets/sheet35.xml"/><Relationship Id="rId36" Type="http://schemas.openxmlformats.org/officeDocument/2006/relationships/worksheet" Target="worksheets/sheet34.xml"/><Relationship Id="rId39" Type="http://schemas.openxmlformats.org/officeDocument/2006/relationships/worksheet" Target="worksheets/sheet37.xml"/><Relationship Id="rId38" Type="http://schemas.openxmlformats.org/officeDocument/2006/relationships/worksheet" Target="worksheets/sheet36.xml"/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29" Type="http://schemas.openxmlformats.org/officeDocument/2006/relationships/worksheet" Target="worksheets/sheet27.xml"/><Relationship Id="rId51" Type="http://schemas.openxmlformats.org/officeDocument/2006/relationships/chartsheet" Target="chartsheets/sheet1.xml"/><Relationship Id="rId50" Type="http://schemas.openxmlformats.org/officeDocument/2006/relationships/worksheet" Target="worksheets/sheet48.xml"/><Relationship Id="rId52" Type="http://schemas.openxmlformats.org/officeDocument/2006/relationships/chartsheet" Target="chart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Özet Tablo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Hedef Randevu</c:v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cat>
            <c:strRef>
              <c:f>'Özet'!$A$29:$A$61</c:f>
            </c:strRef>
          </c:cat>
          <c:val>
            <c:numRef>
              <c:f>'Özet'!$B$29:$B$61</c:f>
              <c:numCache/>
            </c:numRef>
          </c:val>
        </c:ser>
        <c:axId val="387680591"/>
        <c:axId val="1396612144"/>
      </c:barChart>
      <c:lineChart>
        <c:ser>
          <c:idx val="1"/>
          <c:order val="1"/>
          <c:tx>
            <c:v>Toplam Randevu</c:v>
          </c:tx>
          <c:spPr>
            <a:ln cmpd="sng">
              <a:solidFill>
                <a:srgbClr val="DB4437"/>
              </a:solidFill>
            </a:ln>
          </c:spPr>
          <c:marker>
            <c:symbol val="none"/>
          </c:marker>
          <c:cat>
            <c:strRef>
              <c:f>'Özet'!$A$29:$A$61</c:f>
            </c:strRef>
          </c:cat>
          <c:val>
            <c:numRef>
              <c:f>'Özet'!$C$29:$C$61</c:f>
              <c:numCache/>
            </c:numRef>
          </c:val>
          <c:smooth val="0"/>
        </c:ser>
        <c:ser>
          <c:idx val="2"/>
          <c:order val="2"/>
          <c:tx>
            <c:v>Başarılı Randevu</c:v>
          </c:tx>
          <c:spPr>
            <a:ln cmpd="sng">
              <a:solidFill>
                <a:srgbClr val="F4B400"/>
              </a:solidFill>
            </a:ln>
          </c:spPr>
          <c:marker>
            <c:symbol val="none"/>
          </c:marker>
          <c:cat>
            <c:strRef>
              <c:f>'Özet'!$A$29:$A$61</c:f>
            </c:strRef>
          </c:cat>
          <c:val>
            <c:numRef>
              <c:f>'Özet'!$D$29:$D$61</c:f>
              <c:numCache/>
            </c:numRef>
          </c:val>
          <c:smooth val="0"/>
        </c:ser>
        <c:ser>
          <c:idx val="3"/>
          <c:order val="3"/>
          <c:tx>
            <c:v>Fotoğrafçı Sayısı</c:v>
          </c:tx>
          <c:spPr>
            <a:ln cmpd="sng">
              <a:solidFill>
                <a:srgbClr val="0F9D58"/>
              </a:solidFill>
            </a:ln>
          </c:spPr>
          <c:marker>
            <c:symbol val="none"/>
          </c:marker>
          <c:cat>
            <c:strRef>
              <c:f>'Özet'!$A$29:$A$61</c:f>
            </c:strRef>
          </c:cat>
          <c:val>
            <c:numRef>
              <c:f>'Özet'!$E$29:$E$61</c:f>
              <c:numCache/>
            </c:numRef>
          </c:val>
          <c:smooth val="0"/>
        </c:ser>
        <c:ser>
          <c:idx val="4"/>
          <c:order val="4"/>
          <c:tx>
            <c:v>Call Center Ort.</c:v>
          </c:tx>
          <c:spPr>
            <a:ln cmpd="sng">
              <a:solidFill>
                <a:srgbClr val="FF6D00"/>
              </a:solidFill>
            </a:ln>
          </c:spPr>
          <c:marker>
            <c:symbol val="none"/>
          </c:marker>
          <c:cat>
            <c:strRef>
              <c:f>'Özet'!$A$29:$A$61</c:f>
            </c:strRef>
          </c:cat>
          <c:val>
            <c:numRef>
              <c:f>'Özet'!$F$29:$F$61</c:f>
              <c:numCache/>
            </c:numRef>
          </c:val>
          <c:smooth val="0"/>
        </c:ser>
        <c:axId val="387680591"/>
        <c:axId val="1396612144"/>
      </c:lineChart>
      <c:catAx>
        <c:axId val="3876805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396612144"/>
      </c:catAx>
      <c:valAx>
        <c:axId val="139661214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387680591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Özet Tablo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'Özet'!$B$5</c:f>
            </c:strRef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cat>
            <c:strRef>
              <c:f>'Özet'!$A$6:$A$28</c:f>
            </c:strRef>
          </c:cat>
          <c:val>
            <c:numRef>
              <c:f>'Özet'!$B$6:$B$28</c:f>
              <c:numCache/>
            </c:numRef>
          </c:val>
        </c:ser>
        <c:axId val="1369293195"/>
        <c:axId val="1225570886"/>
      </c:barChart>
      <c:lineChart>
        <c:ser>
          <c:idx val="1"/>
          <c:order val="1"/>
          <c:tx>
            <c:strRef>
              <c:f>'Özet'!$C$5</c:f>
            </c:strRef>
          </c:tx>
          <c:spPr>
            <a:ln cmpd="sng">
              <a:solidFill>
                <a:srgbClr val="DB4437"/>
              </a:solidFill>
            </a:ln>
          </c:spPr>
          <c:marker>
            <c:symbol val="none"/>
          </c:marker>
          <c:cat>
            <c:strRef>
              <c:f>'Özet'!$A$6:$A$28</c:f>
            </c:strRef>
          </c:cat>
          <c:val>
            <c:numRef>
              <c:f>'Özet'!$C$6:$C$28</c:f>
              <c:numCache/>
            </c:numRef>
          </c:val>
          <c:smooth val="0"/>
        </c:ser>
        <c:ser>
          <c:idx val="2"/>
          <c:order val="2"/>
          <c:tx>
            <c:strRef>
              <c:f>'Özet'!$D$5</c:f>
            </c:strRef>
          </c:tx>
          <c:spPr>
            <a:ln cmpd="sng">
              <a:solidFill>
                <a:srgbClr val="F4B400"/>
              </a:solidFill>
            </a:ln>
          </c:spPr>
          <c:marker>
            <c:symbol val="none"/>
          </c:marker>
          <c:cat>
            <c:strRef>
              <c:f>'Özet'!$A$6:$A$28</c:f>
            </c:strRef>
          </c:cat>
          <c:val>
            <c:numRef>
              <c:f>'Özet'!$D$6:$D$28</c:f>
              <c:numCache/>
            </c:numRef>
          </c:val>
          <c:smooth val="0"/>
        </c:ser>
        <c:ser>
          <c:idx val="3"/>
          <c:order val="3"/>
          <c:tx>
            <c:strRef>
              <c:f>'Özet'!$E$5</c:f>
            </c:strRef>
          </c:tx>
          <c:spPr>
            <a:ln cmpd="sng">
              <a:solidFill>
                <a:srgbClr val="0F9D58"/>
              </a:solidFill>
            </a:ln>
          </c:spPr>
          <c:marker>
            <c:symbol val="none"/>
          </c:marker>
          <c:cat>
            <c:strRef>
              <c:f>'Özet'!$A$6:$A$28</c:f>
            </c:strRef>
          </c:cat>
          <c:val>
            <c:numRef>
              <c:f>'Özet'!$E$6:$E$28</c:f>
              <c:numCache/>
            </c:numRef>
          </c:val>
          <c:smooth val="0"/>
        </c:ser>
        <c:ser>
          <c:idx val="4"/>
          <c:order val="4"/>
          <c:tx>
            <c:strRef>
              <c:f>'Özet'!$F$5</c:f>
            </c:strRef>
          </c:tx>
          <c:spPr>
            <a:ln cmpd="sng">
              <a:solidFill>
                <a:srgbClr val="FF6D00"/>
              </a:solidFill>
            </a:ln>
          </c:spPr>
          <c:marker>
            <c:symbol val="none"/>
          </c:marker>
          <c:cat>
            <c:strRef>
              <c:f>'Özet'!$A$6:$A$28</c:f>
            </c:strRef>
          </c:cat>
          <c:val>
            <c:numRef>
              <c:f>'Özet'!$F$6:$F$28</c:f>
              <c:numCache/>
            </c:numRef>
          </c:val>
          <c:smooth val="0"/>
        </c:ser>
        <c:axId val="1369293195"/>
        <c:axId val="1225570886"/>
      </c:lineChart>
      <c:catAx>
        <c:axId val="13692931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225570886"/>
      </c:catAx>
      <c:valAx>
        <c:axId val="122557088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369293195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/Relationships>
</file>

<file path=xl/chart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/Relationships>
</file>

<file path=xl/chartsheets/sheet1.xml><?xml version="1.0" encoding="utf-8"?>
<chart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drawing r:id="rId1"/>
</chartsheet>
</file>

<file path=xl/drawings/_rels/drawing49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50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absoluteAnchor>
    <xdr:pos x="0" y="0"/>
    <xdr:ext cx="8610600" cy="62769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absoluteAnchor>
</xdr:wsDr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absoluteAnchor>
    <xdr:pos x="0" y="0"/>
    <xdr:ext cx="8610600" cy="62769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absolute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3" width="2.63"/>
    <col customWidth="1" min="4" max="4" width="25.13"/>
    <col customWidth="1" min="5" max="44" width="2.0"/>
    <col customWidth="1" min="45" max="47" width="2.63"/>
  </cols>
  <sheetData>
    <row r="1" ht="7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2"/>
      <c r="AD1" s="2"/>
      <c r="AE1" s="2"/>
      <c r="AF1" s="2"/>
      <c r="AG1" s="2"/>
      <c r="AH1" s="3"/>
      <c r="AI1" s="3"/>
      <c r="AL1" s="4"/>
      <c r="AM1" s="4"/>
      <c r="AN1" s="4"/>
      <c r="AO1" s="4"/>
      <c r="AP1" s="4"/>
      <c r="AQ1" s="4"/>
      <c r="AR1" s="4"/>
      <c r="AS1" s="4"/>
      <c r="AT1" s="5"/>
      <c r="AU1" s="5"/>
    </row>
    <row r="2" ht="15.0" customHeight="1">
      <c r="A2" s="6"/>
      <c r="B2" s="6"/>
      <c r="C2" s="6"/>
      <c r="D2" s="7"/>
      <c r="E2" s="7"/>
      <c r="F2" s="7"/>
      <c r="G2" s="7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6"/>
      <c r="AI2" s="6"/>
      <c r="AJ2" s="6"/>
      <c r="AK2" s="6"/>
      <c r="AL2" s="9"/>
      <c r="AM2" s="9"/>
      <c r="AN2" s="9"/>
      <c r="AO2" s="9"/>
      <c r="AP2" s="9"/>
      <c r="AQ2" s="9"/>
      <c r="AR2" s="9"/>
      <c r="AS2" s="9"/>
      <c r="AT2" s="9"/>
      <c r="AU2" s="9"/>
    </row>
    <row r="3" ht="15.0" customHeight="1">
      <c r="A3" s="6"/>
      <c r="B3" s="6"/>
      <c r="C3" s="6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6"/>
      <c r="AI3" s="6"/>
      <c r="AJ3" s="6"/>
      <c r="AK3" s="6"/>
      <c r="AL3" s="9"/>
      <c r="AM3" s="9"/>
      <c r="AN3" s="9"/>
      <c r="AO3" s="9"/>
      <c r="AP3" s="9"/>
      <c r="AQ3" s="9"/>
      <c r="AR3" s="9"/>
      <c r="AS3" s="9"/>
      <c r="AT3" s="9"/>
      <c r="AU3" s="9"/>
    </row>
    <row r="4" ht="15.0" customHeight="1">
      <c r="A4" s="6"/>
      <c r="B4" s="6"/>
      <c r="C4" s="6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6"/>
      <c r="AI4" s="6"/>
      <c r="AJ4" s="6"/>
      <c r="AK4" s="6"/>
      <c r="AL4" s="9"/>
      <c r="AM4" s="9"/>
      <c r="AN4" s="9"/>
      <c r="AO4" s="9"/>
      <c r="AP4" s="9"/>
      <c r="AQ4" s="9"/>
      <c r="AR4" s="9"/>
      <c r="AS4" s="9"/>
      <c r="AT4" s="9"/>
      <c r="AU4" s="9"/>
    </row>
    <row r="5" ht="3.75" customHeight="1">
      <c r="A5" s="6"/>
      <c r="B5" s="6"/>
      <c r="C5" s="6"/>
      <c r="D5" s="10"/>
      <c r="E5" s="11"/>
      <c r="F5" s="11"/>
      <c r="G5" s="12"/>
      <c r="H5" s="13"/>
      <c r="I5" s="13"/>
      <c r="J5" s="13"/>
      <c r="K5" s="13"/>
      <c r="L5" s="12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6"/>
      <c r="AI5" s="6"/>
      <c r="AJ5" s="6"/>
      <c r="AK5" s="6"/>
      <c r="AL5" s="9"/>
      <c r="AM5" s="9"/>
      <c r="AN5" s="9"/>
      <c r="AO5" s="9"/>
      <c r="AP5" s="9"/>
      <c r="AQ5" s="9"/>
      <c r="AR5" s="9"/>
      <c r="AS5" s="9"/>
      <c r="AT5" s="9"/>
      <c r="AU5" s="9"/>
    </row>
    <row r="6" ht="15.0" customHeight="1">
      <c r="A6" s="6"/>
      <c r="B6" s="6"/>
      <c r="C6" s="6"/>
      <c r="D6" s="8"/>
      <c r="E6" s="8"/>
      <c r="F6" s="8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6"/>
      <c r="AI6" s="6"/>
      <c r="AJ6" s="6"/>
      <c r="AK6" s="6"/>
      <c r="AL6" s="9"/>
      <c r="AM6" s="9"/>
      <c r="AN6" s="9"/>
      <c r="AO6" s="9"/>
      <c r="AP6" s="9"/>
      <c r="AQ6" s="9"/>
      <c r="AR6" s="9"/>
      <c r="AS6" s="9"/>
      <c r="AT6" s="9"/>
      <c r="AU6" s="9"/>
    </row>
    <row r="7" ht="15.0" customHeight="1">
      <c r="A7" s="15"/>
      <c r="B7" s="15"/>
      <c r="C7" s="15"/>
      <c r="D7" s="8"/>
      <c r="E7" s="8"/>
      <c r="F7" s="8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5"/>
      <c r="AB7" s="17"/>
      <c r="AC7" s="17"/>
      <c r="AD7" s="17"/>
      <c r="AE7" s="15"/>
      <c r="AF7" s="15"/>
      <c r="AG7" s="15"/>
      <c r="AH7" s="15"/>
      <c r="AI7" s="8"/>
      <c r="AJ7" s="15"/>
      <c r="AK7" s="15"/>
      <c r="AL7" s="9"/>
      <c r="AM7" s="9"/>
      <c r="AN7" s="9"/>
      <c r="AO7" s="9"/>
      <c r="AP7" s="9"/>
      <c r="AQ7" s="9"/>
      <c r="AR7" s="9"/>
      <c r="AS7" s="9"/>
      <c r="AT7" s="9"/>
      <c r="AU7" s="9"/>
    </row>
    <row r="8" ht="15.0" customHeight="1">
      <c r="A8" s="15"/>
      <c r="B8" s="15"/>
      <c r="C8" s="15"/>
      <c r="D8" s="18" t="s">
        <v>0</v>
      </c>
      <c r="AA8" s="15"/>
      <c r="AB8" s="17"/>
      <c r="AE8" s="15"/>
      <c r="AF8" s="15"/>
      <c r="AG8" s="15"/>
      <c r="AH8" s="15"/>
      <c r="AI8" s="8"/>
      <c r="AJ8" s="15"/>
      <c r="AK8" s="15"/>
      <c r="AL8" s="9"/>
      <c r="AM8" s="9"/>
      <c r="AN8" s="9"/>
      <c r="AO8" s="9"/>
      <c r="AP8" s="9"/>
      <c r="AQ8" s="9"/>
      <c r="AR8" s="9"/>
      <c r="AS8" s="9"/>
      <c r="AT8" s="9"/>
      <c r="AU8" s="9"/>
    </row>
    <row r="9" ht="15.0" customHeight="1">
      <c r="A9" s="19"/>
      <c r="B9" s="19"/>
      <c r="C9" s="19"/>
      <c r="D9" s="20" t="s">
        <v>1</v>
      </c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2"/>
      <c r="AH9" s="22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</row>
    <row r="10" ht="15.0" customHeight="1">
      <c r="A10" s="6"/>
      <c r="B10" s="6"/>
      <c r="C10" s="6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4"/>
      <c r="AH10" s="24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</row>
    <row r="11" ht="15.0" customHeight="1">
      <c r="A11" s="6"/>
      <c r="B11" s="6"/>
      <c r="C11" s="6"/>
      <c r="D11" s="25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</row>
    <row r="12" ht="15.0" customHeight="1">
      <c r="A12" s="6"/>
      <c r="B12" s="6"/>
      <c r="C12" s="6"/>
      <c r="D12" s="25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</row>
    <row r="13" ht="15.0" customHeight="1">
      <c r="A13" s="19"/>
      <c r="B13" s="19"/>
      <c r="C13" s="19"/>
      <c r="D13" s="27" t="s">
        <v>2</v>
      </c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</row>
    <row r="14" ht="15.0" customHeight="1">
      <c r="A14" s="28"/>
      <c r="B14" s="28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</row>
    <row r="15" ht="30.0" customHeight="1">
      <c r="A15" s="30"/>
      <c r="B15" s="30"/>
      <c r="C15" s="29"/>
      <c r="D15" s="31" t="s">
        <v>3</v>
      </c>
      <c r="E15" s="32" t="s">
        <v>4</v>
      </c>
      <c r="F15" s="33"/>
      <c r="G15" s="33"/>
      <c r="H15" s="33"/>
      <c r="I15" s="33"/>
      <c r="J15" s="33"/>
      <c r="K15" s="33"/>
      <c r="L15" s="33"/>
      <c r="M15" s="33"/>
      <c r="N15" s="34"/>
      <c r="O15" s="32" t="s">
        <v>5</v>
      </c>
      <c r="P15" s="33"/>
      <c r="Q15" s="33"/>
      <c r="R15" s="33"/>
      <c r="S15" s="33"/>
      <c r="T15" s="33"/>
      <c r="U15" s="33"/>
      <c r="V15" s="33"/>
      <c r="W15" s="33"/>
      <c r="X15" s="34"/>
      <c r="Y15" s="32" t="s">
        <v>6</v>
      </c>
      <c r="Z15" s="33"/>
      <c r="AA15" s="33"/>
      <c r="AB15" s="33"/>
      <c r="AC15" s="33"/>
      <c r="AD15" s="33"/>
      <c r="AE15" s="33"/>
      <c r="AF15" s="33"/>
      <c r="AG15" s="33"/>
      <c r="AH15" s="34"/>
      <c r="AI15" s="32" t="s">
        <v>7</v>
      </c>
      <c r="AJ15" s="33"/>
      <c r="AK15" s="33"/>
      <c r="AL15" s="33"/>
      <c r="AM15" s="33"/>
      <c r="AN15" s="33"/>
      <c r="AO15" s="33"/>
      <c r="AP15" s="33"/>
      <c r="AQ15" s="33"/>
      <c r="AR15" s="35"/>
      <c r="AS15" s="29"/>
      <c r="AT15" s="29"/>
      <c r="AU15" s="29"/>
    </row>
    <row r="16" ht="22.5" customHeight="1">
      <c r="A16" s="30"/>
      <c r="B16" s="30"/>
      <c r="C16" s="29"/>
      <c r="D16" s="36" t="s">
        <v>8</v>
      </c>
      <c r="E16" s="37" t="s">
        <v>9</v>
      </c>
      <c r="F16" s="38"/>
      <c r="G16" s="38"/>
      <c r="H16" s="38"/>
      <c r="I16" s="38"/>
      <c r="J16" s="38"/>
      <c r="K16" s="38"/>
      <c r="L16" s="38"/>
      <c r="M16" s="38"/>
      <c r="N16" s="38"/>
      <c r="O16" s="37" t="s">
        <v>10</v>
      </c>
      <c r="P16" s="38"/>
      <c r="Q16" s="38"/>
      <c r="R16" s="38"/>
      <c r="S16" s="38"/>
      <c r="T16" s="38"/>
      <c r="U16" s="38"/>
      <c r="V16" s="38"/>
      <c r="W16" s="38"/>
      <c r="X16" s="39"/>
      <c r="Y16" s="40">
        <v>50.0</v>
      </c>
      <c r="Z16" s="38"/>
      <c r="AA16" s="38"/>
      <c r="AB16" s="38"/>
      <c r="AC16" s="38"/>
      <c r="AD16" s="38"/>
      <c r="AE16" s="38"/>
      <c r="AF16" s="38"/>
      <c r="AG16" s="38"/>
      <c r="AH16" s="39"/>
      <c r="AI16" s="37">
        <v>3.0</v>
      </c>
      <c r="AJ16" s="38"/>
      <c r="AK16" s="38"/>
      <c r="AL16" s="38"/>
      <c r="AM16" s="38"/>
      <c r="AN16" s="38"/>
      <c r="AO16" s="38"/>
      <c r="AP16" s="38"/>
      <c r="AQ16" s="38"/>
      <c r="AR16" s="41"/>
      <c r="AS16" s="29"/>
      <c r="AT16" s="29"/>
      <c r="AU16" s="29"/>
    </row>
    <row r="17" ht="22.5" customHeight="1">
      <c r="A17" s="30"/>
      <c r="B17" s="30"/>
      <c r="C17" s="29"/>
      <c r="D17" s="36" t="s">
        <v>11</v>
      </c>
      <c r="E17" s="37" t="s">
        <v>9</v>
      </c>
      <c r="F17" s="38"/>
      <c r="G17" s="38"/>
      <c r="H17" s="38"/>
      <c r="I17" s="38"/>
      <c r="J17" s="38"/>
      <c r="K17" s="38"/>
      <c r="L17" s="38"/>
      <c r="M17" s="38"/>
      <c r="N17" s="38"/>
      <c r="O17" s="37" t="s">
        <v>12</v>
      </c>
      <c r="P17" s="38"/>
      <c r="Q17" s="38"/>
      <c r="R17" s="38"/>
      <c r="S17" s="38"/>
      <c r="T17" s="38"/>
      <c r="U17" s="38"/>
      <c r="V17" s="38"/>
      <c r="W17" s="38"/>
      <c r="X17" s="39"/>
      <c r="Y17" s="40">
        <v>50.0</v>
      </c>
      <c r="Z17" s="38"/>
      <c r="AA17" s="38"/>
      <c r="AB17" s="38"/>
      <c r="AC17" s="38"/>
      <c r="AD17" s="38"/>
      <c r="AE17" s="38"/>
      <c r="AF17" s="38"/>
      <c r="AG17" s="38"/>
      <c r="AH17" s="39"/>
      <c r="AI17" s="37">
        <v>3.0</v>
      </c>
      <c r="AJ17" s="38"/>
      <c r="AK17" s="38"/>
      <c r="AL17" s="38"/>
      <c r="AM17" s="38"/>
      <c r="AN17" s="38"/>
      <c r="AO17" s="38"/>
      <c r="AP17" s="38"/>
      <c r="AQ17" s="38"/>
      <c r="AR17" s="41"/>
      <c r="AS17" s="29"/>
      <c r="AT17" s="29"/>
      <c r="AU17" s="29"/>
    </row>
    <row r="18" ht="22.5" customHeight="1">
      <c r="A18" s="30"/>
      <c r="B18" s="30"/>
      <c r="C18" s="29"/>
      <c r="D18" s="42" t="s">
        <v>13</v>
      </c>
      <c r="E18" s="43" t="s">
        <v>9</v>
      </c>
      <c r="F18" s="44"/>
      <c r="G18" s="44"/>
      <c r="H18" s="44"/>
      <c r="I18" s="44"/>
      <c r="J18" s="44"/>
      <c r="K18" s="44"/>
      <c r="L18" s="44"/>
      <c r="M18" s="44"/>
      <c r="N18" s="44"/>
      <c r="O18" s="43" t="s">
        <v>14</v>
      </c>
      <c r="P18" s="44"/>
      <c r="Q18" s="44"/>
      <c r="R18" s="44"/>
      <c r="S18" s="44"/>
      <c r="T18" s="44"/>
      <c r="U18" s="44"/>
      <c r="V18" s="44"/>
      <c r="W18" s="44"/>
      <c r="X18" s="45"/>
      <c r="Y18" s="46">
        <v>85.0</v>
      </c>
      <c r="Z18" s="44"/>
      <c r="AA18" s="44"/>
      <c r="AB18" s="44"/>
      <c r="AC18" s="44"/>
      <c r="AD18" s="44"/>
      <c r="AE18" s="44"/>
      <c r="AF18" s="44"/>
      <c r="AG18" s="44"/>
      <c r="AH18" s="45"/>
      <c r="AI18" s="43">
        <v>3.0</v>
      </c>
      <c r="AJ18" s="44"/>
      <c r="AK18" s="44"/>
      <c r="AL18" s="44"/>
      <c r="AM18" s="44"/>
      <c r="AN18" s="44"/>
      <c r="AO18" s="44"/>
      <c r="AP18" s="44"/>
      <c r="AQ18" s="44"/>
      <c r="AR18" s="47"/>
      <c r="AS18" s="29"/>
      <c r="AT18" s="29"/>
      <c r="AU18" s="29"/>
    </row>
    <row r="19" ht="15.0" customHeight="1">
      <c r="A19" s="48"/>
      <c r="B19" s="48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29"/>
      <c r="AT19" s="29"/>
      <c r="AU19" s="29"/>
    </row>
    <row r="20" ht="15.0" customHeight="1">
      <c r="A20" s="29"/>
      <c r="B20" s="29"/>
      <c r="C20" s="29"/>
      <c r="D20" s="4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29"/>
      <c r="AT20" s="29"/>
      <c r="AU20" s="29"/>
    </row>
    <row r="21" ht="15.0" customHeight="1">
      <c r="A21" s="29"/>
      <c r="B21" s="29"/>
      <c r="C21" s="29"/>
      <c r="D21" s="27" t="s">
        <v>15</v>
      </c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29"/>
      <c r="AT21" s="29"/>
      <c r="AU21" s="29"/>
    </row>
    <row r="22" ht="15.0" customHeight="1">
      <c r="A22" s="29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  <c r="AR22" s="29"/>
      <c r="AS22" s="29"/>
      <c r="AT22" s="29"/>
      <c r="AU22" s="29"/>
    </row>
    <row r="23" ht="30.0" customHeight="1">
      <c r="A23" s="29"/>
      <c r="B23" s="29"/>
      <c r="C23" s="29"/>
      <c r="D23" s="31" t="s">
        <v>16</v>
      </c>
      <c r="E23" s="32" t="s">
        <v>3</v>
      </c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3"/>
      <c r="AB23" s="33"/>
      <c r="AC23" s="33"/>
      <c r="AD23" s="33"/>
      <c r="AE23" s="33"/>
      <c r="AF23" s="33"/>
      <c r="AG23" s="33"/>
      <c r="AH23" s="34"/>
      <c r="AI23" s="32" t="s">
        <v>17</v>
      </c>
      <c r="AJ23" s="33"/>
      <c r="AK23" s="33"/>
      <c r="AL23" s="33"/>
      <c r="AM23" s="33"/>
      <c r="AN23" s="33"/>
      <c r="AO23" s="33"/>
      <c r="AP23" s="33"/>
      <c r="AQ23" s="33"/>
      <c r="AR23" s="35"/>
      <c r="AS23" s="29"/>
      <c r="AT23" s="29"/>
      <c r="AU23" s="29"/>
    </row>
    <row r="24" ht="22.5" customHeight="1">
      <c r="A24" s="50"/>
      <c r="B24" s="50"/>
      <c r="C24" s="51"/>
      <c r="D24" s="52"/>
      <c r="E24" s="53" t="s">
        <v>8</v>
      </c>
      <c r="F24" s="54"/>
      <c r="G24" s="54"/>
      <c r="H24" s="54"/>
      <c r="I24" s="54"/>
      <c r="J24" s="54"/>
      <c r="K24" s="54"/>
      <c r="L24" s="54"/>
      <c r="M24" s="54"/>
      <c r="N24" s="55"/>
      <c r="O24" s="56" t="s">
        <v>11</v>
      </c>
      <c r="P24" s="54"/>
      <c r="Q24" s="54"/>
      <c r="R24" s="54"/>
      <c r="S24" s="54"/>
      <c r="T24" s="54"/>
      <c r="U24" s="54"/>
      <c r="V24" s="54"/>
      <c r="W24" s="54"/>
      <c r="X24" s="55"/>
      <c r="Y24" s="56" t="s">
        <v>13</v>
      </c>
      <c r="Z24" s="54"/>
      <c r="AA24" s="54"/>
      <c r="AB24" s="54"/>
      <c r="AC24" s="54"/>
      <c r="AD24" s="54"/>
      <c r="AE24" s="54"/>
      <c r="AF24" s="54"/>
      <c r="AG24" s="54"/>
      <c r="AH24" s="55"/>
      <c r="AI24" s="56"/>
      <c r="AJ24" s="54"/>
      <c r="AK24" s="54"/>
      <c r="AL24" s="54"/>
      <c r="AM24" s="54"/>
      <c r="AN24" s="54"/>
      <c r="AO24" s="54"/>
      <c r="AP24" s="54"/>
      <c r="AQ24" s="54"/>
      <c r="AR24" s="57"/>
      <c r="AS24" s="50"/>
      <c r="AT24" s="50"/>
      <c r="AU24" s="50"/>
    </row>
    <row r="25" ht="22.5" customHeight="1">
      <c r="A25" s="29"/>
      <c r="B25" s="29"/>
      <c r="C25" s="48"/>
      <c r="D25" s="58" t="s">
        <v>18</v>
      </c>
      <c r="E25" s="59" t="s">
        <v>19</v>
      </c>
      <c r="F25" s="60"/>
      <c r="G25" s="59" t="s">
        <v>20</v>
      </c>
      <c r="H25" s="60"/>
      <c r="I25" s="59" t="s">
        <v>21</v>
      </c>
      <c r="J25" s="60"/>
      <c r="K25" s="59" t="s">
        <v>22</v>
      </c>
      <c r="L25" s="60"/>
      <c r="M25" s="59" t="s">
        <v>23</v>
      </c>
      <c r="N25" s="61"/>
      <c r="O25" s="62" t="s">
        <v>19</v>
      </c>
      <c r="P25" s="60"/>
      <c r="Q25" s="59" t="s">
        <v>20</v>
      </c>
      <c r="R25" s="60"/>
      <c r="S25" s="59" t="s">
        <v>21</v>
      </c>
      <c r="T25" s="60"/>
      <c r="U25" s="59" t="s">
        <v>22</v>
      </c>
      <c r="V25" s="60"/>
      <c r="W25" s="59" t="s">
        <v>23</v>
      </c>
      <c r="X25" s="61"/>
      <c r="Y25" s="63" t="s">
        <v>19</v>
      </c>
      <c r="Z25" s="60"/>
      <c r="AA25" s="64" t="s">
        <v>20</v>
      </c>
      <c r="AB25" s="60"/>
      <c r="AC25" s="64" t="s">
        <v>21</v>
      </c>
      <c r="AD25" s="60"/>
      <c r="AE25" s="64" t="s">
        <v>22</v>
      </c>
      <c r="AF25" s="60"/>
      <c r="AG25" s="59" t="s">
        <v>23</v>
      </c>
      <c r="AH25" s="61"/>
      <c r="AI25" s="65"/>
      <c r="AJ25" s="66"/>
      <c r="AK25" s="66"/>
      <c r="AL25" s="66"/>
      <c r="AM25" s="66"/>
      <c r="AN25" s="66"/>
      <c r="AO25" s="66"/>
      <c r="AP25" s="66"/>
      <c r="AQ25" s="66"/>
      <c r="AR25" s="67"/>
      <c r="AS25" s="29"/>
      <c r="AT25" s="29"/>
      <c r="AU25" s="29"/>
    </row>
    <row r="26" ht="22.5" customHeight="1">
      <c r="A26" s="29"/>
      <c r="B26" s="29"/>
      <c r="C26" s="29"/>
      <c r="D26" s="68" t="s">
        <v>24</v>
      </c>
      <c r="E26" s="69" t="str">
        <f>'26.07'!L15+'26.07'!L27+'26.07'!L39+'26.07'!L50+'26.07'!L62+#REF!+#REF!</f>
        <v>#REF!</v>
      </c>
      <c r="F26" s="39"/>
      <c r="G26" s="69" t="str">
        <f t="shared" ref="G26:G33" si="1">'Week 2 Shifts'!AC20+'Week 2 Shifts'!AC32+'Week 2 Shifts'!AC44+'Week 2 Shifts'!AC56+'Week 2 Shifts'!AC68+'Week 2 Shifts'!AC80+'Week 2 Shifts'!AC92</f>
        <v>#REF!</v>
      </c>
      <c r="H26" s="39"/>
      <c r="I26" s="69" t="str">
        <f t="shared" ref="I26:I33" si="2">'Week 3 Shifts'!AC20+'Week 3 Shifts'!AC32+'Week 3 Shifts'!AC56+'Week 3 Shifts'!AC68+'Week 3 Shifts'!AC80+'Week 3 Shifts'!AC92</f>
        <v>#REF!</v>
      </c>
      <c r="J26" s="39"/>
      <c r="K26" s="69" t="str">
        <f t="shared" ref="K26:K33" si="3">'Week 4 Shifts'!AC20+'Week 4 Shifts'!AC32+'Week 4 Shifts'!AC44+'Week 4 Shifts'!AC56+'Week 4 Shifts'!AC68+'Week 4 Shifts'!AC80+'Week 4 Shifts'!AC92</f>
        <v>#REF!</v>
      </c>
      <c r="L26" s="39"/>
      <c r="M26" s="69" t="str">
        <f t="shared" ref="M26:M33" si="4">'Week 5 Shifts'!AC20+'Week 5 Shifts'!AC32+'Week 5 Shifts'!AC44+'Week 5 Shifts'!AC56+'Week 5 Shifts'!AC68+'Week 5 Shifts'!AC80+'Week 5 Shifts'!AC92</f>
        <v>#REF!</v>
      </c>
      <c r="N26" s="70"/>
      <c r="O26" s="71" t="str">
        <f t="shared" ref="O26:O33" si="5">#REF!+#REF!+#REF!+#REF!+#REF!+#REF!+#REF!</f>
        <v>#REF!</v>
      </c>
      <c r="P26" s="39"/>
      <c r="Q26" s="69" t="str">
        <f t="shared" ref="Q26:Q33" si="6">'Week 2 Shifts'!AE20+'Week 2 Shifts'!AE32+'Week 2 Shifts'!AE44+'Week 2 Shifts'!AE56+'Week 2 Shifts'!AE68+'Week 2 Shifts'!AE80+'Week 2 Shifts'!AE92</f>
        <v>#REF!</v>
      </c>
      <c r="R26" s="39"/>
      <c r="S26" s="69" t="str">
        <f t="shared" ref="S26:S33" si="7">'Week 3 Shifts'!AE20+'Week 3 Shifts'!AE32+'Week 3 Shifts'!AE44+'Week 3 Shifts'!AE56+'Week 3 Shifts'!AE68+'Week 3 Shifts'!AE80+'Week 3 Shifts'!AE92</f>
        <v>#REF!</v>
      </c>
      <c r="T26" s="39"/>
      <c r="U26" s="69" t="str">
        <f t="shared" ref="U26:U33" si="8">'Week 4 Shifts'!AE20+'Week 4 Shifts'!AE32+'Week 4 Shifts'!AE44+'Week 4 Shifts'!AE56+'Week 4 Shifts'!AE68+'Week 4 Shifts'!AE80+'Week 4 Shifts'!AE92</f>
        <v>#REF!</v>
      </c>
      <c r="V26" s="39"/>
      <c r="W26" s="69" t="str">
        <f t="shared" ref="W26:W33" si="9">'Week 5 Shifts'!AE20+'Week 5 Shifts'!AE32+'Week 5 Shifts'!AE44+'Week 5 Shifts'!AE56+'Week 5 Shifts'!AE68+'Week 5 Shifts'!AE80+'Week 5 Shifts'!AE92</f>
        <v>#REF!</v>
      </c>
      <c r="X26" s="70"/>
      <c r="Y26" s="71" t="str">
        <f t="shared" ref="Y26:Y33" si="10">#REF!+#REF!+#REF!+#REF!+#REF!+#REF!+#REF!</f>
        <v>#REF!</v>
      </c>
      <c r="Z26" s="39"/>
      <c r="AA26" s="69" t="str">
        <f t="shared" ref="AA26:AA33" si="11">'Week 2 Shifts'!AG20+'Week 2 Shifts'!AG32+'Week 2 Shifts'!AG44+'Week 2 Shifts'!AG56+'Week 2 Shifts'!AG68+'Week 2 Shifts'!AG80+'Week 2 Shifts'!AG92</f>
        <v>#REF!</v>
      </c>
      <c r="AB26" s="39"/>
      <c r="AC26" s="69" t="str">
        <f t="shared" ref="AC26:AC33" si="12">'Week 3 Shifts'!AG20+'Week 3 Shifts'!AG32+'Week 3 Shifts'!AG44+'Week 3 Shifts'!AG56+'Week 3 Shifts'!AG68+'Week 3 Shifts'!AG80+'Week 3 Shifts'!AG92</f>
        <v>#REF!</v>
      </c>
      <c r="AD26" s="39"/>
      <c r="AE26" s="69" t="str">
        <f t="shared" ref="AE26:AE33" si="13">'Week 4 Shifts'!AG20+'Week 4 Shifts'!AG32+'Week 4 Shifts'!AG44+'Week 4 Shifts'!AG56+'Week 4 Shifts'!AG68+'Week 4 Shifts'!AG80+'Week 4 Shifts'!AG92</f>
        <v>#REF!</v>
      </c>
      <c r="AF26" s="39"/>
      <c r="AG26" s="69" t="str">
        <f t="shared" ref="AG26:AG33" si="14">'Week 5 Shifts'!AG20+'Week 5 Shifts'!AG32+'Week 5 Shifts'!AG44+'Week 5 Shifts'!AG56+'Week 5 Shifts'!AG68+'Week 5 Shifts'!AG80+'Week 5 Shifts'!AG92</f>
        <v>#REF!</v>
      </c>
      <c r="AH26" s="70"/>
      <c r="AI26" s="71" t="str">
        <f>SUM(E26:N26)*Y16+SUM(O26:X26)*Y17+SUM(Y26:AH26)*Y18</f>
        <v>#REF!</v>
      </c>
      <c r="AJ26" s="38"/>
      <c r="AK26" s="38"/>
      <c r="AL26" s="38"/>
      <c r="AM26" s="38"/>
      <c r="AN26" s="38"/>
      <c r="AO26" s="38"/>
      <c r="AP26" s="38"/>
      <c r="AQ26" s="38"/>
      <c r="AR26" s="41"/>
      <c r="AS26" s="29"/>
      <c r="AT26" s="29"/>
      <c r="AU26" s="29"/>
    </row>
    <row r="27" ht="22.5" customHeight="1">
      <c r="A27" s="29"/>
      <c r="B27" s="29"/>
      <c r="C27" s="29"/>
      <c r="D27" s="72" t="s">
        <v>25</v>
      </c>
      <c r="E27" s="73" t="str">
        <f>'26.07'!L16+'26.07'!L28+'26.07'!L40+'26.07'!L51+'26.07'!L63+#REF!+#REF!</f>
        <v>#REF!</v>
      </c>
      <c r="F27" s="39"/>
      <c r="G27" s="73" t="str">
        <f t="shared" si="1"/>
        <v>#REF!</v>
      </c>
      <c r="H27" s="39"/>
      <c r="I27" s="73" t="str">
        <f t="shared" si="2"/>
        <v>#REF!</v>
      </c>
      <c r="J27" s="39"/>
      <c r="K27" s="73" t="str">
        <f t="shared" si="3"/>
        <v>#REF!</v>
      </c>
      <c r="L27" s="39"/>
      <c r="M27" s="73" t="str">
        <f t="shared" si="4"/>
        <v>#REF!</v>
      </c>
      <c r="N27" s="70"/>
      <c r="O27" s="74" t="str">
        <f t="shared" si="5"/>
        <v>#REF!</v>
      </c>
      <c r="P27" s="39"/>
      <c r="Q27" s="73" t="str">
        <f t="shared" si="6"/>
        <v>#REF!</v>
      </c>
      <c r="R27" s="39"/>
      <c r="S27" s="73" t="str">
        <f t="shared" si="7"/>
        <v>#REF!</v>
      </c>
      <c r="T27" s="39"/>
      <c r="U27" s="73" t="str">
        <f t="shared" si="8"/>
        <v>#REF!</v>
      </c>
      <c r="V27" s="39"/>
      <c r="W27" s="73" t="str">
        <f t="shared" si="9"/>
        <v>#REF!</v>
      </c>
      <c r="X27" s="70"/>
      <c r="Y27" s="74" t="str">
        <f t="shared" si="10"/>
        <v>#REF!</v>
      </c>
      <c r="Z27" s="39"/>
      <c r="AA27" s="73" t="str">
        <f t="shared" si="11"/>
        <v>#REF!</v>
      </c>
      <c r="AB27" s="39"/>
      <c r="AC27" s="73" t="str">
        <f t="shared" si="12"/>
        <v>#REF!</v>
      </c>
      <c r="AD27" s="39"/>
      <c r="AE27" s="73" t="str">
        <f t="shared" si="13"/>
        <v>#REF!</v>
      </c>
      <c r="AF27" s="39"/>
      <c r="AG27" s="73" t="str">
        <f t="shared" si="14"/>
        <v>#REF!</v>
      </c>
      <c r="AH27" s="70"/>
      <c r="AI27" s="74" t="str">
        <f>SUM(E27:N27)*Y16+SUM(O27:X27)*Y17+SUM(Y27:AH27)*Y18</f>
        <v>#REF!</v>
      </c>
      <c r="AJ27" s="38"/>
      <c r="AK27" s="38"/>
      <c r="AL27" s="38"/>
      <c r="AM27" s="38"/>
      <c r="AN27" s="38"/>
      <c r="AO27" s="38"/>
      <c r="AP27" s="38"/>
      <c r="AQ27" s="38"/>
      <c r="AR27" s="41"/>
      <c r="AS27" s="29"/>
      <c r="AT27" s="29"/>
      <c r="AU27" s="29"/>
    </row>
    <row r="28" ht="22.5" customHeight="1">
      <c r="A28" s="75"/>
      <c r="B28" s="75"/>
      <c r="C28" s="29"/>
      <c r="D28" s="68" t="s">
        <v>26</v>
      </c>
      <c r="E28" s="69" t="str">
        <f>'26.07'!L17+'26.07'!L29+'26.07'!L41+'26.07'!L52+'26.07'!L64+#REF!+#REF!</f>
        <v>#REF!</v>
      </c>
      <c r="F28" s="39"/>
      <c r="G28" s="69" t="str">
        <f t="shared" si="1"/>
        <v>#REF!</v>
      </c>
      <c r="H28" s="39"/>
      <c r="I28" s="69" t="str">
        <f t="shared" si="2"/>
        <v>#REF!</v>
      </c>
      <c r="J28" s="39"/>
      <c r="K28" s="69" t="str">
        <f t="shared" si="3"/>
        <v>#REF!</v>
      </c>
      <c r="L28" s="39"/>
      <c r="M28" s="69" t="str">
        <f t="shared" si="4"/>
        <v>#REF!</v>
      </c>
      <c r="N28" s="70"/>
      <c r="O28" s="71" t="str">
        <f t="shared" si="5"/>
        <v>#REF!</v>
      </c>
      <c r="P28" s="39"/>
      <c r="Q28" s="69" t="str">
        <f t="shared" si="6"/>
        <v>#REF!</v>
      </c>
      <c r="R28" s="39"/>
      <c r="S28" s="69" t="str">
        <f t="shared" si="7"/>
        <v>#REF!</v>
      </c>
      <c r="T28" s="39"/>
      <c r="U28" s="69" t="str">
        <f t="shared" si="8"/>
        <v>#REF!</v>
      </c>
      <c r="V28" s="39"/>
      <c r="W28" s="69" t="str">
        <f t="shared" si="9"/>
        <v>#REF!</v>
      </c>
      <c r="X28" s="70"/>
      <c r="Y28" s="71" t="str">
        <f t="shared" si="10"/>
        <v>#REF!</v>
      </c>
      <c r="Z28" s="39"/>
      <c r="AA28" s="69" t="str">
        <f t="shared" si="11"/>
        <v>#REF!</v>
      </c>
      <c r="AB28" s="39"/>
      <c r="AC28" s="69" t="str">
        <f t="shared" si="12"/>
        <v>#REF!</v>
      </c>
      <c r="AD28" s="39"/>
      <c r="AE28" s="69" t="str">
        <f t="shared" si="13"/>
        <v>#REF!</v>
      </c>
      <c r="AF28" s="39"/>
      <c r="AG28" s="69" t="str">
        <f t="shared" si="14"/>
        <v>#REF!</v>
      </c>
      <c r="AH28" s="70"/>
      <c r="AI28" s="71" t="str">
        <f>SUM(E28:N28)*Y16+SUM(O28:X28)*Y17+SUM(Y28:AH28)*Y18</f>
        <v>#REF!</v>
      </c>
      <c r="AJ28" s="38"/>
      <c r="AK28" s="38"/>
      <c r="AL28" s="38"/>
      <c r="AM28" s="38"/>
      <c r="AN28" s="38"/>
      <c r="AO28" s="38"/>
      <c r="AP28" s="38"/>
      <c r="AQ28" s="38"/>
      <c r="AR28" s="41"/>
      <c r="AS28" s="75"/>
      <c r="AT28" s="75"/>
      <c r="AU28" s="75"/>
    </row>
    <row r="29" ht="22.5" customHeight="1">
      <c r="A29" s="28"/>
      <c r="B29" s="28"/>
      <c r="C29" s="29"/>
      <c r="D29" s="72" t="s">
        <v>27</v>
      </c>
      <c r="E29" s="73" t="str">
        <f>'26.07'!L18+'26.07'!L30+'26.07'!L42+'26.07'!L53+'26.07'!L66+#REF!+#REF!</f>
        <v>#REF!</v>
      </c>
      <c r="F29" s="39"/>
      <c r="G29" s="73" t="str">
        <f t="shared" si="1"/>
        <v>#REF!</v>
      </c>
      <c r="H29" s="39"/>
      <c r="I29" s="73" t="str">
        <f t="shared" si="2"/>
        <v>#REF!</v>
      </c>
      <c r="J29" s="39"/>
      <c r="K29" s="73" t="str">
        <f t="shared" si="3"/>
        <v>#REF!</v>
      </c>
      <c r="L29" s="39"/>
      <c r="M29" s="73" t="str">
        <f t="shared" si="4"/>
        <v>#REF!</v>
      </c>
      <c r="N29" s="70"/>
      <c r="O29" s="74" t="str">
        <f t="shared" si="5"/>
        <v>#REF!</v>
      </c>
      <c r="P29" s="39"/>
      <c r="Q29" s="73" t="str">
        <f t="shared" si="6"/>
        <v>#REF!</v>
      </c>
      <c r="R29" s="39"/>
      <c r="S29" s="73" t="str">
        <f t="shared" si="7"/>
        <v>#REF!</v>
      </c>
      <c r="T29" s="39"/>
      <c r="U29" s="73" t="str">
        <f t="shared" si="8"/>
        <v>#REF!</v>
      </c>
      <c r="V29" s="39"/>
      <c r="W29" s="73" t="str">
        <f t="shared" si="9"/>
        <v>#REF!</v>
      </c>
      <c r="X29" s="70"/>
      <c r="Y29" s="74" t="str">
        <f t="shared" si="10"/>
        <v>#REF!</v>
      </c>
      <c r="Z29" s="39"/>
      <c r="AA29" s="73" t="str">
        <f t="shared" si="11"/>
        <v>#REF!</v>
      </c>
      <c r="AB29" s="39"/>
      <c r="AC29" s="73" t="str">
        <f t="shared" si="12"/>
        <v>#REF!</v>
      </c>
      <c r="AD29" s="39"/>
      <c r="AE29" s="73" t="str">
        <f t="shared" si="13"/>
        <v>#REF!</v>
      </c>
      <c r="AF29" s="39"/>
      <c r="AG29" s="73" t="str">
        <f t="shared" si="14"/>
        <v>#REF!</v>
      </c>
      <c r="AH29" s="70"/>
      <c r="AI29" s="74" t="str">
        <f>SUM(E29:N29)*Y16+SUM(O29:X29)*Y17+SUM(Y29:AH29)*Y18</f>
        <v>#REF!</v>
      </c>
      <c r="AJ29" s="38"/>
      <c r="AK29" s="38"/>
      <c r="AL29" s="38"/>
      <c r="AM29" s="38"/>
      <c r="AN29" s="38"/>
      <c r="AO29" s="38"/>
      <c r="AP29" s="38"/>
      <c r="AQ29" s="38"/>
      <c r="AR29" s="41"/>
      <c r="AS29" s="28"/>
      <c r="AT29" s="28"/>
      <c r="AU29" s="28"/>
    </row>
    <row r="30" ht="22.5" customHeight="1">
      <c r="A30" s="30"/>
      <c r="B30" s="30"/>
      <c r="C30" s="29"/>
      <c r="D30" s="68" t="s">
        <v>28</v>
      </c>
      <c r="E30" s="69" t="str">
        <f>'26.07'!L19+'26.07'!L31+'26.07'!L43+'26.07'!L54+'26.07'!L67+#REF!+#REF!</f>
        <v>#REF!</v>
      </c>
      <c r="F30" s="39"/>
      <c r="G30" s="69" t="str">
        <f t="shared" si="1"/>
        <v>#REF!</v>
      </c>
      <c r="H30" s="39"/>
      <c r="I30" s="69" t="str">
        <f t="shared" si="2"/>
        <v>#REF!</v>
      </c>
      <c r="J30" s="39"/>
      <c r="K30" s="69" t="str">
        <f t="shared" si="3"/>
        <v>#REF!</v>
      </c>
      <c r="L30" s="39"/>
      <c r="M30" s="69" t="str">
        <f t="shared" si="4"/>
        <v>#REF!</v>
      </c>
      <c r="N30" s="70"/>
      <c r="O30" s="71" t="str">
        <f t="shared" si="5"/>
        <v>#REF!</v>
      </c>
      <c r="P30" s="39"/>
      <c r="Q30" s="69" t="str">
        <f t="shared" si="6"/>
        <v>#REF!</v>
      </c>
      <c r="R30" s="39"/>
      <c r="S30" s="69" t="str">
        <f t="shared" si="7"/>
        <v>#REF!</v>
      </c>
      <c r="T30" s="39"/>
      <c r="U30" s="69" t="str">
        <f t="shared" si="8"/>
        <v>#REF!</v>
      </c>
      <c r="V30" s="39"/>
      <c r="W30" s="69" t="str">
        <f t="shared" si="9"/>
        <v>#REF!</v>
      </c>
      <c r="X30" s="70"/>
      <c r="Y30" s="71" t="str">
        <f t="shared" si="10"/>
        <v>#REF!</v>
      </c>
      <c r="Z30" s="39"/>
      <c r="AA30" s="69" t="str">
        <f t="shared" si="11"/>
        <v>#REF!</v>
      </c>
      <c r="AB30" s="39"/>
      <c r="AC30" s="69" t="str">
        <f t="shared" si="12"/>
        <v>#REF!</v>
      </c>
      <c r="AD30" s="39"/>
      <c r="AE30" s="69" t="str">
        <f t="shared" si="13"/>
        <v>#REF!</v>
      </c>
      <c r="AF30" s="39"/>
      <c r="AG30" s="69" t="str">
        <f t="shared" si="14"/>
        <v>#REF!</v>
      </c>
      <c r="AH30" s="70"/>
      <c r="AI30" s="71" t="str">
        <f>SUM(E30:L30)*Y16+SUM(O30:V30)*Y17+SUM(Y30:AF30)*Y18</f>
        <v>#REF!</v>
      </c>
      <c r="AJ30" s="38"/>
      <c r="AK30" s="38"/>
      <c r="AL30" s="38"/>
      <c r="AM30" s="38"/>
      <c r="AN30" s="38"/>
      <c r="AO30" s="38"/>
      <c r="AP30" s="38"/>
      <c r="AQ30" s="38"/>
      <c r="AR30" s="41"/>
      <c r="AS30" s="30"/>
      <c r="AT30" s="30"/>
      <c r="AU30" s="30"/>
    </row>
    <row r="31" ht="22.5" customHeight="1">
      <c r="A31" s="48"/>
      <c r="B31" s="48"/>
      <c r="C31" s="29"/>
      <c r="D31" s="72" t="s">
        <v>29</v>
      </c>
      <c r="E31" s="73" t="str">
        <f>'26.07'!L20+'26.07'!L32+'26.07'!L44+'26.07'!L55+'26.07'!L68+#REF!+#REF!</f>
        <v>#REF!</v>
      </c>
      <c r="F31" s="39"/>
      <c r="G31" s="73" t="str">
        <f t="shared" si="1"/>
        <v>#REF!</v>
      </c>
      <c r="H31" s="39"/>
      <c r="I31" s="73" t="str">
        <f t="shared" si="2"/>
        <v>#REF!</v>
      </c>
      <c r="J31" s="39"/>
      <c r="K31" s="73" t="str">
        <f t="shared" si="3"/>
        <v>#REF!</v>
      </c>
      <c r="L31" s="39"/>
      <c r="M31" s="73" t="str">
        <f t="shared" si="4"/>
        <v>#REF!</v>
      </c>
      <c r="N31" s="70"/>
      <c r="O31" s="74" t="str">
        <f t="shared" si="5"/>
        <v>#REF!</v>
      </c>
      <c r="P31" s="39"/>
      <c r="Q31" s="73" t="str">
        <f t="shared" si="6"/>
        <v>#REF!</v>
      </c>
      <c r="R31" s="39"/>
      <c r="S31" s="73" t="str">
        <f t="shared" si="7"/>
        <v>#REF!</v>
      </c>
      <c r="T31" s="39"/>
      <c r="U31" s="73" t="str">
        <f t="shared" si="8"/>
        <v>#REF!</v>
      </c>
      <c r="V31" s="39"/>
      <c r="W31" s="73" t="str">
        <f t="shared" si="9"/>
        <v>#REF!</v>
      </c>
      <c r="X31" s="70"/>
      <c r="Y31" s="74" t="str">
        <f t="shared" si="10"/>
        <v>#REF!</v>
      </c>
      <c r="Z31" s="39"/>
      <c r="AA31" s="73" t="str">
        <f t="shared" si="11"/>
        <v>#REF!</v>
      </c>
      <c r="AB31" s="39"/>
      <c r="AC31" s="73" t="str">
        <f t="shared" si="12"/>
        <v>#REF!</v>
      </c>
      <c r="AD31" s="39"/>
      <c r="AE31" s="73" t="str">
        <f t="shared" si="13"/>
        <v>#REF!</v>
      </c>
      <c r="AF31" s="39"/>
      <c r="AG31" s="73" t="str">
        <f t="shared" si="14"/>
        <v>#REF!</v>
      </c>
      <c r="AH31" s="70"/>
      <c r="AI31" s="74" t="str">
        <f>SUM(E31:N31)*Y16+SUM(O31:X31)*Y17+SUM(Y31:AH31)*Y18</f>
        <v>#REF!</v>
      </c>
      <c r="AJ31" s="38"/>
      <c r="AK31" s="38"/>
      <c r="AL31" s="38"/>
      <c r="AM31" s="38"/>
      <c r="AN31" s="38"/>
      <c r="AO31" s="38"/>
      <c r="AP31" s="38"/>
      <c r="AQ31" s="38"/>
      <c r="AR31" s="41"/>
      <c r="AS31" s="48"/>
      <c r="AT31" s="48"/>
      <c r="AU31" s="48"/>
    </row>
    <row r="32" ht="22.5" customHeight="1">
      <c r="A32" s="29"/>
      <c r="B32" s="29"/>
      <c r="C32" s="29"/>
      <c r="D32" s="68" t="s">
        <v>30</v>
      </c>
      <c r="E32" s="69" t="str">
        <f>'26.07'!L21+'26.07'!L33+'26.07'!L45+'26.07'!L56+'26.07'!L69+#REF!+#REF!</f>
        <v>#REF!</v>
      </c>
      <c r="F32" s="39"/>
      <c r="G32" s="69" t="str">
        <f t="shared" si="1"/>
        <v>#REF!</v>
      </c>
      <c r="H32" s="39"/>
      <c r="I32" s="69" t="str">
        <f t="shared" si="2"/>
        <v>#REF!</v>
      </c>
      <c r="J32" s="39"/>
      <c r="K32" s="69" t="str">
        <f t="shared" si="3"/>
        <v>#REF!</v>
      </c>
      <c r="L32" s="39"/>
      <c r="M32" s="69" t="str">
        <f t="shared" si="4"/>
        <v>#REF!</v>
      </c>
      <c r="N32" s="70"/>
      <c r="O32" s="71" t="str">
        <f t="shared" si="5"/>
        <v>#REF!</v>
      </c>
      <c r="P32" s="39"/>
      <c r="Q32" s="69" t="str">
        <f t="shared" si="6"/>
        <v>#REF!</v>
      </c>
      <c r="R32" s="39"/>
      <c r="S32" s="69" t="str">
        <f t="shared" si="7"/>
        <v>#REF!</v>
      </c>
      <c r="T32" s="39"/>
      <c r="U32" s="69" t="str">
        <f t="shared" si="8"/>
        <v>#REF!</v>
      </c>
      <c r="V32" s="39"/>
      <c r="W32" s="69" t="str">
        <f t="shared" si="9"/>
        <v>#REF!</v>
      </c>
      <c r="X32" s="70"/>
      <c r="Y32" s="71" t="str">
        <f t="shared" si="10"/>
        <v>#REF!</v>
      </c>
      <c r="Z32" s="39"/>
      <c r="AA32" s="69" t="str">
        <f t="shared" si="11"/>
        <v>#REF!</v>
      </c>
      <c r="AB32" s="39"/>
      <c r="AC32" s="69" t="str">
        <f t="shared" si="12"/>
        <v>#REF!</v>
      </c>
      <c r="AD32" s="39"/>
      <c r="AE32" s="69" t="str">
        <f t="shared" si="13"/>
        <v>#REF!</v>
      </c>
      <c r="AF32" s="39"/>
      <c r="AG32" s="69" t="str">
        <f t="shared" si="14"/>
        <v>#REF!</v>
      </c>
      <c r="AH32" s="70"/>
      <c r="AI32" s="71" t="str">
        <f>SUM(E32:N32)*Y16+SUM(O32:X32)*Y17+SUM(Y32:AH32)*Y18</f>
        <v>#REF!</v>
      </c>
      <c r="AJ32" s="38"/>
      <c r="AK32" s="38"/>
      <c r="AL32" s="38"/>
      <c r="AM32" s="38"/>
      <c r="AN32" s="38"/>
      <c r="AO32" s="38"/>
      <c r="AP32" s="38"/>
      <c r="AQ32" s="38"/>
      <c r="AR32" s="41"/>
      <c r="AS32" s="29"/>
      <c r="AT32" s="29"/>
      <c r="AU32" s="29"/>
    </row>
    <row r="33" ht="22.5" customHeight="1">
      <c r="A33" s="29"/>
      <c r="B33" s="29"/>
      <c r="C33" s="29"/>
      <c r="D33" s="72" t="s">
        <v>31</v>
      </c>
      <c r="E33" s="73" t="str">
        <f>'26.07'!L22+'26.07'!L34+'26.07'!L46+'26.07'!L57+'26.07'!L70+#REF!+#REF!</f>
        <v>#REF!</v>
      </c>
      <c r="F33" s="39"/>
      <c r="G33" s="73" t="str">
        <f t="shared" si="1"/>
        <v>#REF!</v>
      </c>
      <c r="H33" s="39"/>
      <c r="I33" s="73" t="str">
        <f t="shared" si="2"/>
        <v>#REF!</v>
      </c>
      <c r="J33" s="39"/>
      <c r="K33" s="73" t="str">
        <f t="shared" si="3"/>
        <v>#REF!</v>
      </c>
      <c r="L33" s="39"/>
      <c r="M33" s="73" t="str">
        <f t="shared" si="4"/>
        <v>#REF!</v>
      </c>
      <c r="N33" s="70"/>
      <c r="O33" s="74" t="str">
        <f t="shared" si="5"/>
        <v>#REF!</v>
      </c>
      <c r="P33" s="39"/>
      <c r="Q33" s="73" t="str">
        <f t="shared" si="6"/>
        <v>#REF!</v>
      </c>
      <c r="R33" s="39"/>
      <c r="S33" s="73" t="str">
        <f t="shared" si="7"/>
        <v>#REF!</v>
      </c>
      <c r="T33" s="39"/>
      <c r="U33" s="73" t="str">
        <f t="shared" si="8"/>
        <v>#REF!</v>
      </c>
      <c r="V33" s="39"/>
      <c r="W33" s="73" t="str">
        <f t="shared" si="9"/>
        <v>#REF!</v>
      </c>
      <c r="X33" s="70"/>
      <c r="Y33" s="74" t="str">
        <f t="shared" si="10"/>
        <v>#REF!</v>
      </c>
      <c r="Z33" s="39"/>
      <c r="AA33" s="73" t="str">
        <f t="shared" si="11"/>
        <v>#REF!</v>
      </c>
      <c r="AB33" s="39"/>
      <c r="AC33" s="73" t="str">
        <f t="shared" si="12"/>
        <v>#REF!</v>
      </c>
      <c r="AD33" s="39"/>
      <c r="AE33" s="73" t="str">
        <f t="shared" si="13"/>
        <v>#REF!</v>
      </c>
      <c r="AF33" s="39"/>
      <c r="AG33" s="73" t="str">
        <f t="shared" si="14"/>
        <v>#REF!</v>
      </c>
      <c r="AH33" s="70"/>
      <c r="AI33" s="74" t="str">
        <f>SUM(E33:N33)*Y16+SUM(O33:X33)*Y17+SUM(Y33:AH33)*Y18</f>
        <v>#REF!</v>
      </c>
      <c r="AJ33" s="38"/>
      <c r="AK33" s="38"/>
      <c r="AL33" s="38"/>
      <c r="AM33" s="38"/>
      <c r="AN33" s="38"/>
      <c r="AO33" s="38"/>
      <c r="AP33" s="38"/>
      <c r="AQ33" s="38"/>
      <c r="AR33" s="41"/>
      <c r="AS33" s="29"/>
      <c r="AT33" s="29"/>
      <c r="AU33" s="29"/>
    </row>
    <row r="34" ht="22.5" customHeight="1">
      <c r="A34" s="29"/>
      <c r="B34" s="29"/>
      <c r="C34" s="75"/>
      <c r="D34" s="76" t="s">
        <v>32</v>
      </c>
      <c r="E34" s="77" t="str">
        <f>SUM(E26:F33)</f>
        <v>#REF!</v>
      </c>
      <c r="F34" s="45"/>
      <c r="G34" s="77" t="str">
        <f>SUM(G26:H33)</f>
        <v>#REF!</v>
      </c>
      <c r="H34" s="45"/>
      <c r="I34" s="77" t="str">
        <f>SUM(I26:J33)</f>
        <v>#REF!</v>
      </c>
      <c r="J34" s="45"/>
      <c r="K34" s="77" t="str">
        <f>SUM(K26:L33)</f>
        <v>#REF!</v>
      </c>
      <c r="L34" s="45"/>
      <c r="M34" s="77" t="str">
        <f>SUM(M26:N33)</f>
        <v>#REF!</v>
      </c>
      <c r="N34" s="78"/>
      <c r="O34" s="79" t="str">
        <f>SUM(O26:P33)</f>
        <v>#REF!</v>
      </c>
      <c r="P34" s="45"/>
      <c r="Q34" s="77" t="str">
        <f>SUM(Q26:R33)</f>
        <v>#REF!</v>
      </c>
      <c r="R34" s="45"/>
      <c r="S34" s="77" t="str">
        <f>SUM(S26:T33)</f>
        <v>#REF!</v>
      </c>
      <c r="T34" s="45"/>
      <c r="U34" s="77" t="str">
        <f>SUM(U26:V33)</f>
        <v>#REF!</v>
      </c>
      <c r="V34" s="45"/>
      <c r="W34" s="77" t="str">
        <f>SUM(W26:X33)</f>
        <v>#REF!</v>
      </c>
      <c r="X34" s="78"/>
      <c r="Y34" s="79" t="str">
        <f>SUM(Y26:Z33)</f>
        <v>#REF!</v>
      </c>
      <c r="Z34" s="45"/>
      <c r="AA34" s="77" t="str">
        <f>SUM(AA26:AB33)</f>
        <v>#REF!</v>
      </c>
      <c r="AB34" s="45"/>
      <c r="AC34" s="77" t="str">
        <f>SUM(AC26:AD33)</f>
        <v>#REF!</v>
      </c>
      <c r="AD34" s="45"/>
      <c r="AE34" s="77" t="str">
        <f>SUM(AE26:AF33)</f>
        <v>#REF!</v>
      </c>
      <c r="AF34" s="45"/>
      <c r="AG34" s="77" t="str">
        <f>SUM(AG26:AH33)</f>
        <v>#REF!</v>
      </c>
      <c r="AH34" s="78"/>
      <c r="AI34" s="80"/>
      <c r="AJ34" s="44"/>
      <c r="AK34" s="44"/>
      <c r="AL34" s="44"/>
      <c r="AM34" s="44"/>
      <c r="AN34" s="44"/>
      <c r="AO34" s="44"/>
      <c r="AP34" s="44"/>
      <c r="AQ34" s="44"/>
      <c r="AR34" s="47"/>
      <c r="AS34" s="29"/>
      <c r="AT34" s="29"/>
      <c r="AU34" s="29"/>
    </row>
    <row r="35" ht="22.5" customHeight="1">
      <c r="A35" s="29"/>
      <c r="B35" s="29"/>
      <c r="C35" s="28"/>
      <c r="D35" s="81"/>
      <c r="E35" s="82"/>
      <c r="F35" s="82"/>
      <c r="G35" s="82"/>
      <c r="H35" s="82"/>
      <c r="I35" s="82"/>
      <c r="J35" s="82"/>
      <c r="K35" s="82"/>
      <c r="L35" s="82"/>
      <c r="M35" s="82"/>
      <c r="N35" s="82"/>
      <c r="O35" s="82"/>
      <c r="P35" s="82"/>
      <c r="Q35" s="82"/>
      <c r="R35" s="82"/>
      <c r="S35" s="82"/>
      <c r="T35" s="82"/>
      <c r="U35" s="82"/>
      <c r="V35" s="82"/>
      <c r="W35" s="82"/>
      <c r="X35" s="82"/>
      <c r="Y35" s="82"/>
      <c r="Z35" s="82"/>
      <c r="AA35" s="82"/>
      <c r="AB35" s="82"/>
      <c r="AC35" s="82"/>
      <c r="AD35" s="82"/>
      <c r="AE35" s="82"/>
      <c r="AF35" s="82"/>
      <c r="AG35" s="82"/>
      <c r="AH35" s="82"/>
      <c r="AI35" s="83"/>
      <c r="AL35" s="83"/>
      <c r="AM35" s="83"/>
      <c r="AN35" s="83"/>
      <c r="AO35" s="83"/>
      <c r="AP35" s="83"/>
      <c r="AQ35" s="83"/>
      <c r="AR35" s="83"/>
      <c r="AS35" s="29"/>
      <c r="AT35" s="29"/>
      <c r="AU35" s="29"/>
    </row>
    <row r="36" ht="22.5" customHeight="1">
      <c r="A36" s="29"/>
      <c r="B36" s="29"/>
      <c r="C36" s="29"/>
      <c r="D36" s="81"/>
      <c r="E36" s="82"/>
      <c r="F36" s="82"/>
      <c r="G36" s="82"/>
      <c r="H36" s="82"/>
      <c r="I36" s="82"/>
      <c r="J36" s="82"/>
      <c r="K36" s="82"/>
      <c r="L36" s="82"/>
      <c r="M36" s="82"/>
      <c r="N36" s="82"/>
      <c r="O36" s="82"/>
      <c r="P36" s="82"/>
      <c r="Q36" s="82"/>
      <c r="R36" s="82"/>
      <c r="S36" s="82"/>
      <c r="T36" s="82"/>
      <c r="U36" s="82"/>
      <c r="V36" s="82"/>
      <c r="W36" s="82"/>
      <c r="X36" s="82"/>
      <c r="Y36" s="82"/>
      <c r="Z36" s="82"/>
      <c r="AA36" s="82"/>
      <c r="AB36" s="82"/>
      <c r="AC36" s="82"/>
      <c r="AD36" s="82"/>
      <c r="AE36" s="82"/>
      <c r="AF36" s="82"/>
      <c r="AG36" s="82"/>
      <c r="AH36" s="82"/>
      <c r="AI36" s="83"/>
      <c r="AJ36" s="83"/>
      <c r="AK36" s="83"/>
      <c r="AL36" s="83"/>
      <c r="AM36" s="83"/>
      <c r="AN36" s="83"/>
      <c r="AO36" s="83"/>
      <c r="AP36" s="83"/>
      <c r="AQ36" s="83"/>
      <c r="AR36" s="83"/>
      <c r="AS36" s="29"/>
      <c r="AT36" s="29"/>
      <c r="AU36" s="29"/>
    </row>
    <row r="37" ht="22.5" customHeight="1">
      <c r="A37" s="29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9"/>
      <c r="AH37" s="29"/>
      <c r="AI37" s="29"/>
      <c r="AJ37" s="29"/>
      <c r="AK37" s="29"/>
      <c r="AL37" s="29"/>
      <c r="AM37" s="29"/>
      <c r="AN37" s="29"/>
      <c r="AO37" s="29"/>
      <c r="AP37" s="29"/>
      <c r="AQ37" s="29"/>
      <c r="AR37" s="29"/>
      <c r="AS37" s="29"/>
      <c r="AT37" s="29"/>
      <c r="AU37" s="29"/>
    </row>
    <row r="38" ht="7.5" customHeight="1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  <c r="AG38" s="29"/>
      <c r="AH38" s="29"/>
      <c r="AI38" s="29"/>
      <c r="AJ38" s="29"/>
      <c r="AK38" s="29"/>
      <c r="AL38" s="29"/>
      <c r="AM38" s="29"/>
      <c r="AN38" s="29"/>
      <c r="AO38" s="29"/>
      <c r="AP38" s="29"/>
      <c r="AQ38" s="29"/>
      <c r="AR38" s="29"/>
      <c r="AS38" s="29"/>
      <c r="AT38" s="29"/>
      <c r="AU38" s="29"/>
    </row>
  </sheetData>
  <autoFilter ref="$D$25:$D$33"/>
  <mergeCells count="187">
    <mergeCell ref="AI1:AK1"/>
    <mergeCell ref="D8:Z8"/>
    <mergeCell ref="AB8:AD8"/>
    <mergeCell ref="D9:F9"/>
    <mergeCell ref="O15:X15"/>
    <mergeCell ref="Y15:AH15"/>
    <mergeCell ref="AI15:AR15"/>
    <mergeCell ref="Y17:AH17"/>
    <mergeCell ref="AI17:AR17"/>
    <mergeCell ref="E15:N15"/>
    <mergeCell ref="E16:N16"/>
    <mergeCell ref="O16:X16"/>
    <mergeCell ref="Y16:AH16"/>
    <mergeCell ref="AI16:AR16"/>
    <mergeCell ref="E17:N17"/>
    <mergeCell ref="O17:X17"/>
    <mergeCell ref="O24:X24"/>
    <mergeCell ref="Y24:AH24"/>
    <mergeCell ref="E18:N18"/>
    <mergeCell ref="O18:X18"/>
    <mergeCell ref="Y18:AH18"/>
    <mergeCell ref="AI18:AR18"/>
    <mergeCell ref="E23:AH23"/>
    <mergeCell ref="AI23:AR23"/>
    <mergeCell ref="AI24:AR24"/>
    <mergeCell ref="AE25:AF25"/>
    <mergeCell ref="AG25:AH25"/>
    <mergeCell ref="AI25:AR25"/>
    <mergeCell ref="Q25:R25"/>
    <mergeCell ref="S25:T25"/>
    <mergeCell ref="U25:V25"/>
    <mergeCell ref="W25:X25"/>
    <mergeCell ref="Y25:Z25"/>
    <mergeCell ref="AA25:AB25"/>
    <mergeCell ref="AC25:AD25"/>
    <mergeCell ref="E24:N24"/>
    <mergeCell ref="E25:F25"/>
    <mergeCell ref="G25:H25"/>
    <mergeCell ref="I25:J25"/>
    <mergeCell ref="K25:L25"/>
    <mergeCell ref="M25:N25"/>
    <mergeCell ref="O25:P25"/>
    <mergeCell ref="AG26:AH26"/>
    <mergeCell ref="AI26:AR26"/>
    <mergeCell ref="S26:T26"/>
    <mergeCell ref="U26:V26"/>
    <mergeCell ref="W26:X26"/>
    <mergeCell ref="Y26:Z26"/>
    <mergeCell ref="AA26:AB26"/>
    <mergeCell ref="AC26:AD26"/>
    <mergeCell ref="AE26:AF26"/>
    <mergeCell ref="E26:F26"/>
    <mergeCell ref="G26:H26"/>
    <mergeCell ref="I26:J26"/>
    <mergeCell ref="K26:L26"/>
    <mergeCell ref="M26:N26"/>
    <mergeCell ref="O26:P26"/>
    <mergeCell ref="Q26:R26"/>
    <mergeCell ref="AG27:AH27"/>
    <mergeCell ref="AI27:AR27"/>
    <mergeCell ref="S27:T27"/>
    <mergeCell ref="U27:V27"/>
    <mergeCell ref="W27:X27"/>
    <mergeCell ref="Y27:Z27"/>
    <mergeCell ref="AA27:AB27"/>
    <mergeCell ref="AC27:AD27"/>
    <mergeCell ref="AE27:AF27"/>
    <mergeCell ref="E27:F27"/>
    <mergeCell ref="G27:H27"/>
    <mergeCell ref="I27:J27"/>
    <mergeCell ref="K27:L27"/>
    <mergeCell ref="M27:N27"/>
    <mergeCell ref="O27:P27"/>
    <mergeCell ref="Q27:R27"/>
    <mergeCell ref="AG30:AH30"/>
    <mergeCell ref="AI30:AR30"/>
    <mergeCell ref="S30:T30"/>
    <mergeCell ref="U30:V30"/>
    <mergeCell ref="W30:X30"/>
    <mergeCell ref="Y30:Z30"/>
    <mergeCell ref="AA30:AB30"/>
    <mergeCell ref="AC30:AD30"/>
    <mergeCell ref="AE30:AF30"/>
    <mergeCell ref="AG28:AH28"/>
    <mergeCell ref="AI28:AR28"/>
    <mergeCell ref="S28:T28"/>
    <mergeCell ref="U28:V28"/>
    <mergeCell ref="W28:X28"/>
    <mergeCell ref="Y28:Z28"/>
    <mergeCell ref="AA28:AB28"/>
    <mergeCell ref="AC28:AD28"/>
    <mergeCell ref="AE28:AF28"/>
    <mergeCell ref="E28:F28"/>
    <mergeCell ref="G28:H28"/>
    <mergeCell ref="I28:J28"/>
    <mergeCell ref="K28:L28"/>
    <mergeCell ref="M28:N28"/>
    <mergeCell ref="O28:P28"/>
    <mergeCell ref="Q28:R28"/>
    <mergeCell ref="AG29:AH29"/>
    <mergeCell ref="AI29:AR29"/>
    <mergeCell ref="S29:T29"/>
    <mergeCell ref="U29:V29"/>
    <mergeCell ref="W29:X29"/>
    <mergeCell ref="Y29:Z29"/>
    <mergeCell ref="AA29:AB29"/>
    <mergeCell ref="AC29:AD29"/>
    <mergeCell ref="AE29:AF29"/>
    <mergeCell ref="E29:F29"/>
    <mergeCell ref="G29:H29"/>
    <mergeCell ref="I29:J29"/>
    <mergeCell ref="K29:L29"/>
    <mergeCell ref="M29:N29"/>
    <mergeCell ref="O29:P29"/>
    <mergeCell ref="Q29:R29"/>
    <mergeCell ref="E30:F30"/>
    <mergeCell ref="G30:H30"/>
    <mergeCell ref="I30:J30"/>
    <mergeCell ref="K30:L30"/>
    <mergeCell ref="M30:N30"/>
    <mergeCell ref="O30:P30"/>
    <mergeCell ref="Q30:R30"/>
    <mergeCell ref="AG33:AH33"/>
    <mergeCell ref="AI33:AR33"/>
    <mergeCell ref="S33:T33"/>
    <mergeCell ref="U33:V33"/>
    <mergeCell ref="W33:X33"/>
    <mergeCell ref="Y33:Z33"/>
    <mergeCell ref="AA33:AB33"/>
    <mergeCell ref="AC33:AD33"/>
    <mergeCell ref="AE33:AF33"/>
    <mergeCell ref="E34:F34"/>
    <mergeCell ref="G34:H34"/>
    <mergeCell ref="I34:J34"/>
    <mergeCell ref="K34:L34"/>
    <mergeCell ref="M34:N34"/>
    <mergeCell ref="O34:P34"/>
    <mergeCell ref="Q34:R34"/>
    <mergeCell ref="AG34:AH34"/>
    <mergeCell ref="AI34:AR34"/>
    <mergeCell ref="AI35:AK35"/>
    <mergeCell ref="S34:T34"/>
    <mergeCell ref="U34:V34"/>
    <mergeCell ref="W34:X34"/>
    <mergeCell ref="Y34:Z34"/>
    <mergeCell ref="AA34:AB34"/>
    <mergeCell ref="AC34:AD34"/>
    <mergeCell ref="AE34:AF34"/>
    <mergeCell ref="AG31:AH31"/>
    <mergeCell ref="AI31:AR31"/>
    <mergeCell ref="S31:T31"/>
    <mergeCell ref="U31:V31"/>
    <mergeCell ref="W31:X31"/>
    <mergeCell ref="Y31:Z31"/>
    <mergeCell ref="AA31:AB31"/>
    <mergeCell ref="AC31:AD31"/>
    <mergeCell ref="AE31:AF31"/>
    <mergeCell ref="E31:F31"/>
    <mergeCell ref="G31:H31"/>
    <mergeCell ref="I31:J31"/>
    <mergeCell ref="K31:L31"/>
    <mergeCell ref="M31:N31"/>
    <mergeCell ref="O31:P31"/>
    <mergeCell ref="Q31:R31"/>
    <mergeCell ref="AG32:AH32"/>
    <mergeCell ref="AI32:AR32"/>
    <mergeCell ref="S32:T32"/>
    <mergeCell ref="U32:V32"/>
    <mergeCell ref="W32:X32"/>
    <mergeCell ref="Y32:Z32"/>
    <mergeCell ref="AA32:AB32"/>
    <mergeCell ref="AC32:AD32"/>
    <mergeCell ref="AE32:AF32"/>
    <mergeCell ref="E32:F32"/>
    <mergeCell ref="G32:H32"/>
    <mergeCell ref="I32:J32"/>
    <mergeCell ref="K32:L32"/>
    <mergeCell ref="M32:N32"/>
    <mergeCell ref="O32:P32"/>
    <mergeCell ref="Q32:R32"/>
    <mergeCell ref="E33:F33"/>
    <mergeCell ref="G33:H33"/>
    <mergeCell ref="I33:J33"/>
    <mergeCell ref="K33:L33"/>
    <mergeCell ref="M33:N33"/>
    <mergeCell ref="O33:P33"/>
    <mergeCell ref="Q33:R33"/>
  </mergeCells>
  <conditionalFormatting sqref="AB1:AK1 D2:D3">
    <cfRule type="notContainsBlanks" dxfId="0" priority="1">
      <formula>LEN(TRIM(AB1))&gt;0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3" width="2.63"/>
    <col customWidth="1" min="4" max="4" width="20.38"/>
    <col customWidth="1" min="5" max="5" width="11.38"/>
    <col customWidth="1" min="6" max="6" width="16.63"/>
    <col customWidth="1" min="7" max="11" width="8.63"/>
    <col customWidth="1" min="12" max="12" width="12.63"/>
    <col customWidth="1" min="13" max="13" width="15.13"/>
    <col customWidth="1" min="14" max="15" width="2.63"/>
  </cols>
  <sheetData>
    <row r="1" ht="7.5" customHeight="1">
      <c r="A1" s="84"/>
      <c r="B1" s="84"/>
      <c r="C1" s="84"/>
      <c r="D1" s="84"/>
      <c r="E1" s="84"/>
      <c r="F1" s="84"/>
      <c r="G1" s="84"/>
      <c r="H1" s="84"/>
      <c r="I1" s="84"/>
      <c r="J1" s="84"/>
      <c r="K1" s="84"/>
      <c r="L1" s="85"/>
      <c r="M1" s="86"/>
      <c r="N1" s="86"/>
      <c r="O1" s="86"/>
    </row>
    <row r="2" ht="15.0" customHeight="1">
      <c r="A2" s="87"/>
      <c r="B2" s="87"/>
      <c r="C2" s="87"/>
      <c r="D2" s="88"/>
      <c r="E2" s="88"/>
      <c r="F2" s="88"/>
      <c r="G2" s="88"/>
      <c r="H2" s="88"/>
      <c r="I2" s="88"/>
      <c r="J2" s="88"/>
      <c r="K2" s="88"/>
      <c r="L2" s="88"/>
      <c r="M2" s="87"/>
      <c r="N2" s="87"/>
      <c r="O2" s="87"/>
    </row>
    <row r="3" ht="3.75" customHeight="1">
      <c r="A3" s="87"/>
      <c r="B3" s="87"/>
      <c r="C3" s="87"/>
      <c r="D3" s="89"/>
      <c r="E3" s="90"/>
      <c r="F3" s="90"/>
      <c r="G3" s="90"/>
      <c r="H3" s="90"/>
      <c r="I3" s="90"/>
      <c r="J3" s="90"/>
      <c r="K3" s="90"/>
      <c r="L3" s="90"/>
      <c r="M3" s="87"/>
      <c r="N3" s="87"/>
      <c r="O3" s="87"/>
    </row>
    <row r="4" ht="15.0" customHeight="1">
      <c r="A4" s="87"/>
      <c r="B4" s="87"/>
      <c r="C4" s="87"/>
      <c r="D4" s="88"/>
      <c r="E4" s="88"/>
      <c r="F4" s="88"/>
      <c r="G4" s="91"/>
      <c r="H4" s="91"/>
      <c r="I4" s="91"/>
      <c r="J4" s="91"/>
      <c r="K4" s="91"/>
      <c r="L4" s="91"/>
      <c r="M4" s="87"/>
      <c r="N4" s="87"/>
      <c r="O4" s="87"/>
    </row>
    <row r="5" ht="15.0" customHeight="1">
      <c r="A5" s="92"/>
      <c r="B5" s="92"/>
      <c r="C5" s="92"/>
      <c r="D5" s="88"/>
      <c r="E5" s="88"/>
      <c r="F5" s="88"/>
      <c r="G5" s="93"/>
      <c r="H5" s="93"/>
      <c r="I5" s="93"/>
      <c r="J5" s="93"/>
      <c r="K5" s="93"/>
      <c r="L5" s="94"/>
      <c r="M5" s="88"/>
      <c r="N5" s="92"/>
      <c r="O5" s="92"/>
    </row>
    <row r="6" ht="15.0" customHeight="1">
      <c r="A6" s="92"/>
      <c r="B6" s="92"/>
      <c r="C6" s="92"/>
      <c r="D6" s="95" t="s">
        <v>33</v>
      </c>
      <c r="L6" s="94"/>
      <c r="M6" s="88"/>
      <c r="N6" s="92"/>
      <c r="O6" s="92"/>
    </row>
    <row r="7" ht="15.0" customHeight="1">
      <c r="A7" s="92"/>
      <c r="B7" s="92"/>
      <c r="C7" s="92"/>
      <c r="D7" s="96" t="s">
        <v>34</v>
      </c>
      <c r="G7" s="97"/>
      <c r="H7" s="97"/>
      <c r="I7" s="97"/>
      <c r="J7" s="97"/>
      <c r="K7" s="97"/>
      <c r="L7" s="92"/>
      <c r="M7" s="92"/>
      <c r="N7" s="92"/>
      <c r="O7" s="92"/>
    </row>
    <row r="8" ht="15.0" customHeight="1">
      <c r="A8" s="92"/>
      <c r="B8" s="92"/>
      <c r="C8" s="92"/>
      <c r="D8" s="97"/>
      <c r="E8" s="97"/>
      <c r="F8" s="97"/>
      <c r="G8" s="97"/>
      <c r="H8" s="97"/>
      <c r="I8" s="97"/>
      <c r="J8" s="97"/>
      <c r="K8" s="97"/>
      <c r="L8" s="92"/>
      <c r="M8" s="92"/>
      <c r="N8" s="92"/>
      <c r="O8" s="92"/>
    </row>
    <row r="9" ht="15.0" customHeight="1">
      <c r="A9" s="92"/>
      <c r="B9" s="92"/>
      <c r="C9" s="98"/>
      <c r="D9" s="99" t="s">
        <v>35</v>
      </c>
      <c r="E9" s="100"/>
      <c r="F9" s="101"/>
      <c r="G9" s="101"/>
      <c r="H9" s="101"/>
      <c r="I9" s="101"/>
      <c r="J9" s="101"/>
      <c r="K9" s="101"/>
      <c r="L9" s="101"/>
      <c r="M9" s="100"/>
      <c r="N9" s="102"/>
      <c r="O9" s="102"/>
    </row>
    <row r="10" ht="15.0" customHeight="1">
      <c r="A10" s="92"/>
      <c r="B10" s="92"/>
      <c r="C10" s="98"/>
      <c r="E10" s="100"/>
      <c r="F10" s="103" t="s">
        <v>36</v>
      </c>
      <c r="N10" s="102"/>
      <c r="O10" s="102"/>
    </row>
    <row r="11" ht="15.0" customHeight="1">
      <c r="A11" s="92"/>
      <c r="B11" s="92"/>
      <c r="C11" s="98"/>
      <c r="E11" s="100"/>
      <c r="N11" s="102"/>
      <c r="O11" s="102"/>
    </row>
    <row r="12" ht="15.0" customHeight="1">
      <c r="A12" s="88"/>
      <c r="B12" s="92"/>
      <c r="C12" s="92"/>
      <c r="E12" s="100"/>
      <c r="F12" s="100"/>
      <c r="G12" s="100"/>
      <c r="H12" s="100"/>
      <c r="I12" s="100"/>
      <c r="J12" s="100"/>
      <c r="K12" s="100"/>
      <c r="L12" s="100"/>
      <c r="M12" s="100"/>
      <c r="N12" s="102"/>
      <c r="O12" s="102"/>
    </row>
    <row r="13" ht="15.0" customHeight="1">
      <c r="A13" s="88"/>
      <c r="B13" s="104"/>
      <c r="C13" s="104"/>
      <c r="D13" s="104"/>
      <c r="E13" s="104"/>
      <c r="F13" s="105"/>
      <c r="G13" s="105"/>
      <c r="H13" s="105"/>
      <c r="I13" s="105"/>
      <c r="J13" s="105"/>
      <c r="K13" s="105"/>
      <c r="L13" s="104"/>
      <c r="M13" s="104"/>
      <c r="N13" s="104"/>
      <c r="O13" s="104"/>
    </row>
    <row r="14" ht="20.25" customHeight="1">
      <c r="A14" s="106"/>
      <c r="B14" s="106"/>
      <c r="C14" s="106"/>
      <c r="D14" s="107" t="s">
        <v>37</v>
      </c>
      <c r="E14" s="108" t="s">
        <v>38</v>
      </c>
      <c r="F14" s="109" t="s">
        <v>39</v>
      </c>
      <c r="G14" s="110">
        <v>44403.0</v>
      </c>
      <c r="H14" s="110">
        <v>44404.0</v>
      </c>
      <c r="I14" s="110">
        <v>44405.0</v>
      </c>
      <c r="J14" s="110">
        <v>44406.0</v>
      </c>
      <c r="K14" s="110">
        <v>44407.0</v>
      </c>
      <c r="L14" s="111" t="s">
        <v>40</v>
      </c>
      <c r="M14" s="111" t="s">
        <v>41</v>
      </c>
      <c r="N14" s="88"/>
      <c r="O14" s="88"/>
    </row>
    <row r="15" ht="15.0" customHeight="1">
      <c r="A15" s="112"/>
      <c r="B15" s="112"/>
      <c r="C15" s="112"/>
      <c r="D15" s="113" t="s">
        <v>42</v>
      </c>
      <c r="E15" s="114" t="str">
        <f>VLOOKUP(D15,Data!H:I,2,0)</f>
        <v>Adana</v>
      </c>
      <c r="F15" s="115"/>
      <c r="G15" s="116" t="b">
        <v>1</v>
      </c>
      <c r="H15" s="116" t="b">
        <v>1</v>
      </c>
      <c r="I15" s="116" t="b">
        <v>1</v>
      </c>
      <c r="J15" s="116" t="b">
        <v>1</v>
      </c>
      <c r="K15" s="116" t="b">
        <v>1</v>
      </c>
      <c r="L15" s="117">
        <f t="shared" ref="L15:L74" si="1">COUNTIF(G15:K15,"TRUE")</f>
        <v>5</v>
      </c>
      <c r="M15" s="117">
        <f t="shared" ref="M15:M74" si="2">L15*4</f>
        <v>20</v>
      </c>
      <c r="N15" s="88"/>
      <c r="O15" s="88"/>
    </row>
    <row r="16" ht="15.0" customHeight="1">
      <c r="A16" s="112"/>
      <c r="B16" s="112"/>
      <c r="C16" s="112"/>
      <c r="D16" s="113" t="s">
        <v>43</v>
      </c>
      <c r="E16" s="114" t="str">
        <f>VLOOKUP(D16,Data!H:I,2,0)</f>
        <v>Adana</v>
      </c>
      <c r="F16" s="115"/>
      <c r="G16" s="116" t="b">
        <v>1</v>
      </c>
      <c r="H16" s="116" t="b">
        <v>1</v>
      </c>
      <c r="I16" s="116" t="b">
        <v>1</v>
      </c>
      <c r="J16" s="116" t="b">
        <v>1</v>
      </c>
      <c r="K16" s="116" t="b">
        <v>1</v>
      </c>
      <c r="L16" s="117">
        <f t="shared" si="1"/>
        <v>5</v>
      </c>
      <c r="M16" s="117">
        <f t="shared" si="2"/>
        <v>20</v>
      </c>
      <c r="N16" s="88"/>
      <c r="O16" s="88"/>
    </row>
    <row r="17" ht="15.0" customHeight="1">
      <c r="A17" s="112"/>
      <c r="B17" s="112"/>
      <c r="C17" s="112"/>
      <c r="D17" s="98" t="s">
        <v>44</v>
      </c>
      <c r="E17" s="114" t="str">
        <f>VLOOKUP(D17,Data!H:I,2,0)</f>
        <v>Ankara</v>
      </c>
      <c r="F17" s="115"/>
      <c r="G17" s="116" t="b">
        <v>0</v>
      </c>
      <c r="H17" s="116" t="b">
        <v>1</v>
      </c>
      <c r="I17" s="116" t="b">
        <v>0</v>
      </c>
      <c r="J17" s="116" t="b">
        <v>1</v>
      </c>
      <c r="K17" s="116" t="b">
        <v>0</v>
      </c>
      <c r="L17" s="117">
        <f t="shared" si="1"/>
        <v>2</v>
      </c>
      <c r="M17" s="117">
        <f t="shared" si="2"/>
        <v>8</v>
      </c>
      <c r="N17" s="88"/>
      <c r="O17" s="88"/>
    </row>
    <row r="18" ht="15.0" customHeight="1">
      <c r="A18" s="112"/>
      <c r="B18" s="112"/>
      <c r="C18" s="112"/>
      <c r="D18" s="98" t="s">
        <v>45</v>
      </c>
      <c r="E18" s="114" t="str">
        <f>VLOOKUP(D18,Data!H:I,2,0)</f>
        <v>Ankara</v>
      </c>
      <c r="F18" s="115"/>
      <c r="G18" s="116" t="b">
        <v>1</v>
      </c>
      <c r="H18" s="116" t="b">
        <v>1</v>
      </c>
      <c r="I18" s="116" t="b">
        <v>0</v>
      </c>
      <c r="J18" s="116" t="b">
        <v>0</v>
      </c>
      <c r="K18" s="116" t="b">
        <v>0</v>
      </c>
      <c r="L18" s="117">
        <f t="shared" si="1"/>
        <v>2</v>
      </c>
      <c r="M18" s="117">
        <f t="shared" si="2"/>
        <v>8</v>
      </c>
      <c r="N18" s="118"/>
      <c r="O18" s="88"/>
    </row>
    <row r="19" ht="15.0" customHeight="1">
      <c r="A19" s="112"/>
      <c r="B19" s="112"/>
      <c r="C19" s="112"/>
      <c r="D19" s="98" t="s">
        <v>46</v>
      </c>
      <c r="E19" s="114" t="str">
        <f>VLOOKUP(D19,Data!H:I,2,0)</f>
        <v>Ankara</v>
      </c>
      <c r="F19" s="115"/>
      <c r="G19" s="116" t="b">
        <v>1</v>
      </c>
      <c r="H19" s="116" t="b">
        <v>1</v>
      </c>
      <c r="I19" s="116" t="b">
        <v>1</v>
      </c>
      <c r="J19" s="116" t="b">
        <v>1</v>
      </c>
      <c r="K19" s="116" t="b">
        <v>1</v>
      </c>
      <c r="L19" s="117">
        <f t="shared" si="1"/>
        <v>5</v>
      </c>
      <c r="M19" s="117">
        <f t="shared" si="2"/>
        <v>20</v>
      </c>
      <c r="N19" s="118"/>
      <c r="O19" s="113"/>
    </row>
    <row r="20" ht="15.0" customHeight="1">
      <c r="A20" s="112"/>
      <c r="B20" s="112"/>
      <c r="C20" s="112"/>
      <c r="D20" s="98" t="s">
        <v>47</v>
      </c>
      <c r="E20" s="114" t="str">
        <f>VLOOKUP(D20,Data!H:I,2,0)</f>
        <v>Ankara</v>
      </c>
      <c r="F20" s="115"/>
      <c r="G20" s="116" t="b">
        <v>1</v>
      </c>
      <c r="H20" s="116" t="b">
        <v>1</v>
      </c>
      <c r="I20" s="116" t="b">
        <v>1</v>
      </c>
      <c r="J20" s="116" t="b">
        <v>1</v>
      </c>
      <c r="K20" s="116" t="b">
        <v>1</v>
      </c>
      <c r="L20" s="117">
        <f t="shared" si="1"/>
        <v>5</v>
      </c>
      <c r="M20" s="117">
        <f t="shared" si="2"/>
        <v>20</v>
      </c>
      <c r="N20" s="88"/>
      <c r="O20" s="88"/>
    </row>
    <row r="21" ht="15.0" customHeight="1">
      <c r="A21" s="112"/>
      <c r="B21" s="112"/>
      <c r="C21" s="112"/>
      <c r="D21" s="119" t="s">
        <v>48</v>
      </c>
      <c r="E21" s="114" t="str">
        <f>VLOOKUP(D21,Data!H:I,2,0)</f>
        <v>Ankara</v>
      </c>
      <c r="F21" s="115"/>
      <c r="G21" s="116" t="b">
        <v>1</v>
      </c>
      <c r="H21" s="116" t="b">
        <v>1</v>
      </c>
      <c r="I21" s="116" t="b">
        <v>1</v>
      </c>
      <c r="J21" s="116" t="b">
        <v>1</v>
      </c>
      <c r="K21" s="116" t="b">
        <v>1</v>
      </c>
      <c r="L21" s="117">
        <f t="shared" si="1"/>
        <v>5</v>
      </c>
      <c r="M21" s="117">
        <f t="shared" si="2"/>
        <v>20</v>
      </c>
      <c r="N21" s="88"/>
      <c r="O21" s="88"/>
    </row>
    <row r="22" ht="15.0" customHeight="1">
      <c r="A22" s="112"/>
      <c r="B22" s="112"/>
      <c r="C22" s="112"/>
      <c r="D22" s="88" t="s">
        <v>49</v>
      </c>
      <c r="E22" s="114" t="str">
        <f>VLOOKUP(D22,Data!H:I,2,0)</f>
        <v>Antalya</v>
      </c>
      <c r="F22" s="115"/>
      <c r="G22" s="116" t="b">
        <v>1</v>
      </c>
      <c r="H22" s="116" t="b">
        <v>1</v>
      </c>
      <c r="I22" s="116" t="b">
        <v>0</v>
      </c>
      <c r="J22" s="116" t="b">
        <v>1</v>
      </c>
      <c r="K22" s="116" t="b">
        <v>0</v>
      </c>
      <c r="L22" s="117">
        <f t="shared" si="1"/>
        <v>3</v>
      </c>
      <c r="M22" s="117">
        <f t="shared" si="2"/>
        <v>12</v>
      </c>
      <c r="N22" s="88"/>
      <c r="O22" s="88"/>
    </row>
    <row r="23" ht="15.0" customHeight="1">
      <c r="A23" s="120"/>
      <c r="B23" s="120"/>
      <c r="C23" s="120"/>
      <c r="D23" s="113" t="s">
        <v>50</v>
      </c>
      <c r="E23" s="114" t="str">
        <f>VLOOKUP(D23,Data!H:I,2,0)</f>
        <v>Antalya</v>
      </c>
      <c r="F23" s="115"/>
      <c r="G23" s="116" t="b">
        <v>1</v>
      </c>
      <c r="H23" s="116" t="b">
        <v>1</v>
      </c>
      <c r="I23" s="116" t="b">
        <v>1</v>
      </c>
      <c r="J23" s="116" t="b">
        <v>1</v>
      </c>
      <c r="K23" s="116" t="b">
        <v>1</v>
      </c>
      <c r="L23" s="117">
        <f t="shared" si="1"/>
        <v>5</v>
      </c>
      <c r="M23" s="117">
        <f t="shared" si="2"/>
        <v>20</v>
      </c>
      <c r="N23" s="120"/>
      <c r="O23" s="120"/>
    </row>
    <row r="24" ht="15.0" customHeight="1">
      <c r="A24" s="121"/>
      <c r="B24" s="121"/>
      <c r="C24" s="121"/>
      <c r="D24" s="113" t="s">
        <v>51</v>
      </c>
      <c r="E24" s="114" t="str">
        <f>VLOOKUP(D24,Data!H:I,2,0)</f>
        <v>Aydın</v>
      </c>
      <c r="F24" s="115"/>
      <c r="G24" s="116" t="b">
        <v>0</v>
      </c>
      <c r="H24" s="116" t="b">
        <v>0</v>
      </c>
      <c r="I24" s="116" t="b">
        <v>0</v>
      </c>
      <c r="J24" s="116" t="b">
        <v>0</v>
      </c>
      <c r="K24" s="116" t="b">
        <v>0</v>
      </c>
      <c r="L24" s="117">
        <f t="shared" si="1"/>
        <v>0</v>
      </c>
      <c r="M24" s="117">
        <f t="shared" si="2"/>
        <v>0</v>
      </c>
      <c r="N24" s="121"/>
      <c r="O24" s="121"/>
    </row>
    <row r="25" ht="15.0" customHeight="1">
      <c r="A25" s="122"/>
      <c r="B25" s="122"/>
      <c r="C25" s="122"/>
      <c r="D25" s="88" t="s">
        <v>52</v>
      </c>
      <c r="E25" s="114" t="str">
        <f>VLOOKUP(D25,Data!H:I,2,0)</f>
        <v>Bursa</v>
      </c>
      <c r="F25" s="115"/>
      <c r="G25" s="116" t="b">
        <v>1</v>
      </c>
      <c r="H25" s="116" t="b">
        <v>1</v>
      </c>
      <c r="I25" s="116" t="b">
        <v>1</v>
      </c>
      <c r="J25" s="116" t="b">
        <v>1</v>
      </c>
      <c r="K25" s="116" t="b">
        <v>1</v>
      </c>
      <c r="L25" s="117">
        <f t="shared" si="1"/>
        <v>5</v>
      </c>
      <c r="M25" s="117">
        <f t="shared" si="2"/>
        <v>20</v>
      </c>
      <c r="N25" s="122"/>
      <c r="O25" s="122"/>
    </row>
    <row r="26" ht="15.0" customHeight="1">
      <c r="A26" s="106"/>
      <c r="B26" s="106"/>
      <c r="C26" s="106"/>
      <c r="D26" s="113" t="s">
        <v>53</v>
      </c>
      <c r="E26" s="114" t="str">
        <f>VLOOKUP(D26,Data!H:I,2,0)</f>
        <v>Bursa</v>
      </c>
      <c r="F26" s="123"/>
      <c r="G26" s="116" t="b">
        <v>1</v>
      </c>
      <c r="H26" s="116" t="b">
        <v>1</v>
      </c>
      <c r="I26" s="116" t="b">
        <v>0</v>
      </c>
      <c r="J26" s="116" t="b">
        <v>0</v>
      </c>
      <c r="K26" s="116" t="b">
        <v>0</v>
      </c>
      <c r="L26" s="117">
        <f t="shared" si="1"/>
        <v>2</v>
      </c>
      <c r="M26" s="117">
        <f t="shared" si="2"/>
        <v>8</v>
      </c>
      <c r="N26" s="106"/>
      <c r="O26" s="106"/>
    </row>
    <row r="27" ht="15.0" customHeight="1">
      <c r="A27" s="112"/>
      <c r="B27" s="112"/>
      <c r="C27" s="112"/>
      <c r="D27" s="88" t="s">
        <v>54</v>
      </c>
      <c r="E27" s="114" t="str">
        <f>VLOOKUP(D27,Data!H:I,2,0)</f>
        <v>Diyarbakır</v>
      </c>
      <c r="F27" s="115"/>
      <c r="G27" s="116" t="b">
        <v>0</v>
      </c>
      <c r="H27" s="116" t="b">
        <v>1</v>
      </c>
      <c r="I27" s="116" t="b">
        <v>1</v>
      </c>
      <c r="J27" s="116" t="b">
        <v>1</v>
      </c>
      <c r="K27" s="116" t="b">
        <v>1</v>
      </c>
      <c r="L27" s="117">
        <f t="shared" si="1"/>
        <v>4</v>
      </c>
      <c r="M27" s="117">
        <f t="shared" si="2"/>
        <v>16</v>
      </c>
      <c r="N27" s="112"/>
      <c r="O27" s="112"/>
    </row>
    <row r="28" ht="15.0" customHeight="1">
      <c r="A28" s="112"/>
      <c r="B28" s="112"/>
      <c r="C28" s="112"/>
      <c r="D28" s="88" t="s">
        <v>55</v>
      </c>
      <c r="E28" s="114" t="str">
        <f>VLOOKUP(D28,Data!H:I,2,0)</f>
        <v>Erzurum</v>
      </c>
      <c r="F28" s="115"/>
      <c r="G28" s="116" t="b">
        <v>1</v>
      </c>
      <c r="H28" s="116" t="b">
        <v>1</v>
      </c>
      <c r="I28" s="116" t="b">
        <v>0</v>
      </c>
      <c r="J28" s="116" t="b">
        <v>0</v>
      </c>
      <c r="K28" s="116" t="b">
        <v>0</v>
      </c>
      <c r="L28" s="117">
        <f t="shared" si="1"/>
        <v>2</v>
      </c>
      <c r="M28" s="117">
        <f t="shared" si="2"/>
        <v>8</v>
      </c>
      <c r="N28" s="112"/>
      <c r="O28" s="112"/>
    </row>
    <row r="29" ht="15.0" customHeight="1">
      <c r="A29" s="112"/>
      <c r="B29" s="112"/>
      <c r="C29" s="112"/>
      <c r="D29" s="88" t="s">
        <v>56</v>
      </c>
      <c r="E29" s="114" t="str">
        <f>VLOOKUP(D29,Data!H:I,2,0)</f>
        <v>Gaziantep</v>
      </c>
      <c r="F29" s="115"/>
      <c r="G29" s="116" t="b">
        <v>1</v>
      </c>
      <c r="H29" s="116" t="b">
        <v>1</v>
      </c>
      <c r="I29" s="116" t="b">
        <v>1</v>
      </c>
      <c r="J29" s="116" t="b">
        <v>1</v>
      </c>
      <c r="K29" s="116" t="b">
        <v>1</v>
      </c>
      <c r="L29" s="117">
        <f t="shared" si="1"/>
        <v>5</v>
      </c>
      <c r="M29" s="117">
        <f t="shared" si="2"/>
        <v>20</v>
      </c>
      <c r="N29" s="112"/>
      <c r="O29" s="112"/>
    </row>
    <row r="30" ht="15.0" customHeight="1">
      <c r="A30" s="112"/>
      <c r="B30" s="112"/>
      <c r="C30" s="112"/>
      <c r="D30" s="88" t="s">
        <v>57</v>
      </c>
      <c r="E30" s="114" t="str">
        <f>VLOOKUP(D30,Data!H:I,2,0)</f>
        <v>Isparta</v>
      </c>
      <c r="F30" s="115"/>
      <c r="G30" s="116" t="b">
        <v>1</v>
      </c>
      <c r="H30" s="116" t="b">
        <v>1</v>
      </c>
      <c r="I30" s="116" t="b">
        <v>0</v>
      </c>
      <c r="J30" s="116" t="b">
        <v>0</v>
      </c>
      <c r="K30" s="116" t="b">
        <v>0</v>
      </c>
      <c r="L30" s="117">
        <f t="shared" si="1"/>
        <v>2</v>
      </c>
      <c r="M30" s="117">
        <f t="shared" si="2"/>
        <v>8</v>
      </c>
      <c r="N30" s="112"/>
      <c r="O30" s="112"/>
    </row>
    <row r="31" ht="15.0" customHeight="1">
      <c r="A31" s="112"/>
      <c r="B31" s="112"/>
      <c r="C31" s="112"/>
      <c r="D31" s="113" t="s">
        <v>58</v>
      </c>
      <c r="E31" s="114" t="str">
        <f>VLOOKUP(D31,Data!H:I,2,0)</f>
        <v>İstanbul</v>
      </c>
      <c r="F31" s="115" t="s">
        <v>59</v>
      </c>
      <c r="G31" s="116" t="b">
        <v>1</v>
      </c>
      <c r="H31" s="116" t="b">
        <v>1</v>
      </c>
      <c r="I31" s="116" t="b">
        <v>0</v>
      </c>
      <c r="J31" s="116" t="b">
        <v>1</v>
      </c>
      <c r="K31" s="116" t="b">
        <v>1</v>
      </c>
      <c r="L31" s="117">
        <f t="shared" si="1"/>
        <v>4</v>
      </c>
      <c r="M31" s="117">
        <f t="shared" si="2"/>
        <v>16</v>
      </c>
      <c r="N31" s="112"/>
      <c r="O31" s="112"/>
    </row>
    <row r="32" ht="15.0" customHeight="1">
      <c r="A32" s="112"/>
      <c r="B32" s="112"/>
      <c r="C32" s="112"/>
      <c r="D32" s="88" t="s">
        <v>60</v>
      </c>
      <c r="E32" s="114" t="str">
        <f>VLOOKUP(D32,Data!H:I,2,0)</f>
        <v>İstanbul</v>
      </c>
      <c r="F32" s="115" t="s">
        <v>61</v>
      </c>
      <c r="G32" s="116" t="b">
        <v>0</v>
      </c>
      <c r="H32" s="116" t="b">
        <v>0</v>
      </c>
      <c r="I32" s="116" t="b">
        <v>0</v>
      </c>
      <c r="J32" s="116" t="b">
        <v>0</v>
      </c>
      <c r="K32" s="116" t="b">
        <v>0</v>
      </c>
      <c r="L32" s="117">
        <f t="shared" si="1"/>
        <v>0</v>
      </c>
      <c r="M32" s="117">
        <f t="shared" si="2"/>
        <v>0</v>
      </c>
      <c r="N32" s="112"/>
      <c r="O32" s="112"/>
    </row>
    <row r="33" ht="15.0" customHeight="1">
      <c r="A33" s="112"/>
      <c r="B33" s="112"/>
      <c r="C33" s="112"/>
      <c r="D33" s="88" t="s">
        <v>62</v>
      </c>
      <c r="E33" s="114" t="str">
        <f>VLOOKUP(D33,Data!H:I,2,0)</f>
        <v>İstanbul</v>
      </c>
      <c r="F33" s="115" t="s">
        <v>61</v>
      </c>
      <c r="G33" s="116" t="b">
        <v>0</v>
      </c>
      <c r="H33" s="116" t="b">
        <v>1</v>
      </c>
      <c r="I33" s="116" t="b">
        <v>0</v>
      </c>
      <c r="J33" s="116" t="b">
        <v>1</v>
      </c>
      <c r="K33" s="116" t="b">
        <v>0</v>
      </c>
      <c r="L33" s="117">
        <f t="shared" si="1"/>
        <v>2</v>
      </c>
      <c r="M33" s="117">
        <f t="shared" si="2"/>
        <v>8</v>
      </c>
      <c r="N33" s="112"/>
      <c r="O33" s="112"/>
    </row>
    <row r="34" ht="15.0" customHeight="1">
      <c r="A34" s="112"/>
      <c r="B34" s="112"/>
      <c r="C34" s="112"/>
      <c r="D34" s="88" t="s">
        <v>63</v>
      </c>
      <c r="E34" s="114" t="str">
        <f>VLOOKUP(D34,Data!H:I,2,0)</f>
        <v>İstanbul</v>
      </c>
      <c r="F34" s="115" t="s">
        <v>64</v>
      </c>
      <c r="G34" s="116" t="b">
        <v>1</v>
      </c>
      <c r="H34" s="116" t="b">
        <v>1</v>
      </c>
      <c r="I34" s="116" t="b">
        <v>1</v>
      </c>
      <c r="J34" s="116" t="b">
        <v>1</v>
      </c>
      <c r="K34" s="116" t="b">
        <v>0</v>
      </c>
      <c r="L34" s="117">
        <f t="shared" si="1"/>
        <v>4</v>
      </c>
      <c r="M34" s="117">
        <f t="shared" si="2"/>
        <v>16</v>
      </c>
      <c r="N34" s="112"/>
      <c r="O34" s="112"/>
    </row>
    <row r="35" ht="15.0" customHeight="1">
      <c r="A35" s="120"/>
      <c r="B35" s="120"/>
      <c r="C35" s="120"/>
      <c r="D35" s="88" t="s">
        <v>65</v>
      </c>
      <c r="E35" s="114" t="str">
        <f>VLOOKUP(D35,Data!H:I,2,0)</f>
        <v>İstanbul</v>
      </c>
      <c r="F35" s="115" t="s">
        <v>64</v>
      </c>
      <c r="G35" s="116" t="b">
        <v>1</v>
      </c>
      <c r="H35" s="116" t="b">
        <v>1</v>
      </c>
      <c r="I35" s="116" t="b">
        <v>1</v>
      </c>
      <c r="J35" s="116" t="b">
        <v>1</v>
      </c>
      <c r="K35" s="116" t="b">
        <v>1</v>
      </c>
      <c r="L35" s="117">
        <f t="shared" si="1"/>
        <v>5</v>
      </c>
      <c r="M35" s="117">
        <f t="shared" si="2"/>
        <v>20</v>
      </c>
      <c r="N35" s="120"/>
      <c r="O35" s="120"/>
    </row>
    <row r="36" ht="15.0" customHeight="1">
      <c r="A36" s="121"/>
      <c r="B36" s="121"/>
      <c r="C36" s="121"/>
      <c r="D36" s="113" t="s">
        <v>66</v>
      </c>
      <c r="E36" s="114" t="str">
        <f>VLOOKUP(D36,Data!H:I,2,0)</f>
        <v>İstanbul</v>
      </c>
      <c r="F36" s="115" t="s">
        <v>59</v>
      </c>
      <c r="G36" s="116" t="b">
        <v>1</v>
      </c>
      <c r="H36" s="116" t="b">
        <v>1</v>
      </c>
      <c r="I36" s="116" t="b">
        <v>0</v>
      </c>
      <c r="J36" s="116" t="b">
        <v>1</v>
      </c>
      <c r="K36" s="116" t="b">
        <v>0</v>
      </c>
      <c r="L36" s="117">
        <f t="shared" si="1"/>
        <v>3</v>
      </c>
      <c r="M36" s="117">
        <f t="shared" si="2"/>
        <v>12</v>
      </c>
      <c r="N36" s="121"/>
      <c r="O36" s="121"/>
    </row>
    <row r="37" ht="15.0" customHeight="1">
      <c r="A37" s="122"/>
      <c r="B37" s="122"/>
      <c r="C37" s="122"/>
      <c r="D37" s="88" t="s">
        <v>67</v>
      </c>
      <c r="E37" s="114" t="str">
        <f>VLOOKUP(D37,Data!H:I,2,0)</f>
        <v>İstanbul</v>
      </c>
      <c r="F37" s="115" t="s">
        <v>64</v>
      </c>
      <c r="G37" s="116" t="b">
        <v>0</v>
      </c>
      <c r="H37" s="116" t="b">
        <v>0</v>
      </c>
      <c r="I37" s="116" t="b">
        <v>0</v>
      </c>
      <c r="J37" s="116" t="b">
        <v>0</v>
      </c>
      <c r="K37" s="116" t="b">
        <v>0</v>
      </c>
      <c r="L37" s="117">
        <f t="shared" si="1"/>
        <v>0</v>
      </c>
      <c r="M37" s="117">
        <f t="shared" si="2"/>
        <v>0</v>
      </c>
      <c r="N37" s="122"/>
      <c r="O37" s="122"/>
    </row>
    <row r="38" ht="15.0" customHeight="1">
      <c r="A38" s="124"/>
      <c r="B38" s="124"/>
      <c r="C38" s="124"/>
      <c r="D38" s="113" t="s">
        <v>68</v>
      </c>
      <c r="E38" s="114" t="str">
        <f>VLOOKUP(D38,Data!H:I,2,0)</f>
        <v>İstanbul</v>
      </c>
      <c r="F38" s="115" t="s">
        <v>59</v>
      </c>
      <c r="G38" s="116" t="b">
        <v>0</v>
      </c>
      <c r="H38" s="116" t="b">
        <v>0</v>
      </c>
      <c r="I38" s="116" t="b">
        <v>0</v>
      </c>
      <c r="J38" s="116" t="b">
        <v>0</v>
      </c>
      <c r="K38" s="116" t="b">
        <v>0</v>
      </c>
      <c r="L38" s="117">
        <f t="shared" si="1"/>
        <v>0</v>
      </c>
      <c r="M38" s="117">
        <f t="shared" si="2"/>
        <v>0</v>
      </c>
      <c r="N38" s="124"/>
      <c r="O38" s="124"/>
    </row>
    <row r="39" ht="15.0" customHeight="1">
      <c r="A39" s="112"/>
      <c r="B39" s="112"/>
      <c r="C39" s="112"/>
      <c r="D39" s="88" t="s">
        <v>69</v>
      </c>
      <c r="E39" s="114" t="str">
        <f>VLOOKUP(D39,Data!H:I,2,0)</f>
        <v>İstanbul</v>
      </c>
      <c r="F39" s="115" t="s">
        <v>61</v>
      </c>
      <c r="G39" s="116" t="b">
        <v>0</v>
      </c>
      <c r="H39" s="116" t="b">
        <v>0</v>
      </c>
      <c r="I39" s="116" t="b">
        <v>0</v>
      </c>
      <c r="J39" s="116" t="b">
        <v>0</v>
      </c>
      <c r="K39" s="116" t="b">
        <v>0</v>
      </c>
      <c r="L39" s="117">
        <f t="shared" si="1"/>
        <v>0</v>
      </c>
      <c r="M39" s="117">
        <f t="shared" si="2"/>
        <v>0</v>
      </c>
      <c r="N39" s="112"/>
      <c r="O39" s="112"/>
    </row>
    <row r="40" ht="15.0" customHeight="1">
      <c r="A40" s="112"/>
      <c r="B40" s="112"/>
      <c r="C40" s="112"/>
      <c r="D40" s="113" t="s">
        <v>70</v>
      </c>
      <c r="E40" s="114" t="str">
        <f>VLOOKUP(D40,Data!H:I,2,0)</f>
        <v>İstanbul</v>
      </c>
      <c r="F40" s="115" t="s">
        <v>59</v>
      </c>
      <c r="G40" s="116" t="b">
        <v>0</v>
      </c>
      <c r="H40" s="116" t="b">
        <v>0</v>
      </c>
      <c r="I40" s="116" t="b">
        <v>0</v>
      </c>
      <c r="J40" s="116" t="b">
        <v>1</v>
      </c>
      <c r="K40" s="116" t="b">
        <v>0</v>
      </c>
      <c r="L40" s="117">
        <f t="shared" si="1"/>
        <v>1</v>
      </c>
      <c r="M40" s="117">
        <f t="shared" si="2"/>
        <v>4</v>
      </c>
      <c r="N40" s="112"/>
      <c r="O40" s="112"/>
    </row>
    <row r="41" ht="15.0" customHeight="1">
      <c r="A41" s="112"/>
      <c r="B41" s="112"/>
      <c r="C41" s="112"/>
      <c r="D41" s="88" t="s">
        <v>71</v>
      </c>
      <c r="E41" s="114" t="str">
        <f>VLOOKUP(D41,Data!H:I,2,0)</f>
        <v>İstanbul</v>
      </c>
      <c r="F41" s="115" t="s">
        <v>64</v>
      </c>
      <c r="G41" s="116" t="b">
        <v>1</v>
      </c>
      <c r="H41" s="116" t="b">
        <v>1</v>
      </c>
      <c r="I41" s="116" t="b">
        <v>1</v>
      </c>
      <c r="J41" s="116" t="b">
        <v>1</v>
      </c>
      <c r="K41" s="116" t="b">
        <v>1</v>
      </c>
      <c r="L41" s="117">
        <f t="shared" si="1"/>
        <v>5</v>
      </c>
      <c r="M41" s="117">
        <f t="shared" si="2"/>
        <v>20</v>
      </c>
      <c r="N41" s="112"/>
      <c r="O41" s="112"/>
    </row>
    <row r="42" ht="15.0" customHeight="1">
      <c r="A42" s="112"/>
      <c r="B42" s="112"/>
      <c r="C42" s="112"/>
      <c r="D42" s="88" t="s">
        <v>72</v>
      </c>
      <c r="E42" s="114" t="str">
        <f>VLOOKUP(D42,Data!H:I,2,0)</f>
        <v>İstanbul</v>
      </c>
      <c r="F42" s="115" t="s">
        <v>64</v>
      </c>
      <c r="G42" s="116" t="b">
        <v>1</v>
      </c>
      <c r="H42" s="116" t="b">
        <v>1</v>
      </c>
      <c r="I42" s="116" t="b">
        <v>1</v>
      </c>
      <c r="J42" s="116" t="b">
        <v>1</v>
      </c>
      <c r="K42" s="116" t="b">
        <v>1</v>
      </c>
      <c r="L42" s="117">
        <f t="shared" si="1"/>
        <v>5</v>
      </c>
      <c r="M42" s="117">
        <f t="shared" si="2"/>
        <v>20</v>
      </c>
      <c r="N42" s="112"/>
      <c r="O42" s="112"/>
    </row>
    <row r="43" ht="15.0" customHeight="1">
      <c r="A43" s="112"/>
      <c r="B43" s="112"/>
      <c r="C43" s="112"/>
      <c r="D43" s="88" t="s">
        <v>73</v>
      </c>
      <c r="E43" s="114" t="str">
        <f>VLOOKUP(D43,Data!H:I,2,0)</f>
        <v>İstanbul</v>
      </c>
      <c r="F43" s="115" t="s">
        <v>64</v>
      </c>
      <c r="G43" s="116" t="b">
        <v>0</v>
      </c>
      <c r="H43" s="116" t="b">
        <v>0</v>
      </c>
      <c r="I43" s="116" t="b">
        <v>0</v>
      </c>
      <c r="J43" s="116" t="b">
        <v>0</v>
      </c>
      <c r="K43" s="116" t="b">
        <v>0</v>
      </c>
      <c r="L43" s="117">
        <f t="shared" si="1"/>
        <v>0</v>
      </c>
      <c r="M43" s="117">
        <f t="shared" si="2"/>
        <v>0</v>
      </c>
      <c r="N43" s="112"/>
      <c r="O43" s="112"/>
    </row>
    <row r="44" ht="15.0" customHeight="1">
      <c r="A44" s="112"/>
      <c r="B44" s="112"/>
      <c r="C44" s="112"/>
      <c r="D44" s="88" t="s">
        <v>74</v>
      </c>
      <c r="E44" s="114" t="str">
        <f>VLOOKUP(D44,Data!H:I,2,0)</f>
        <v>İstanbul</v>
      </c>
      <c r="F44" s="115" t="s">
        <v>64</v>
      </c>
      <c r="G44" s="116" t="b">
        <v>0</v>
      </c>
      <c r="H44" s="116" t="b">
        <v>1</v>
      </c>
      <c r="I44" s="116" t="b">
        <v>0</v>
      </c>
      <c r="J44" s="116" t="b">
        <v>1</v>
      </c>
      <c r="K44" s="116" t="b">
        <v>1</v>
      </c>
      <c r="L44" s="117">
        <f t="shared" si="1"/>
        <v>3</v>
      </c>
      <c r="M44" s="117">
        <f t="shared" si="2"/>
        <v>12</v>
      </c>
      <c r="N44" s="112"/>
      <c r="O44" s="112"/>
    </row>
    <row r="45" ht="15.0" customHeight="1">
      <c r="A45" s="112"/>
      <c r="B45" s="112"/>
      <c r="C45" s="112"/>
      <c r="D45" s="113" t="s">
        <v>75</v>
      </c>
      <c r="E45" s="114" t="str">
        <f>VLOOKUP(D45,Data!H:I,2,0)</f>
        <v>İstanbul</v>
      </c>
      <c r="F45" s="115" t="s">
        <v>59</v>
      </c>
      <c r="G45" s="116" t="b">
        <v>1</v>
      </c>
      <c r="H45" s="116" t="b">
        <v>1</v>
      </c>
      <c r="I45" s="116" t="b">
        <v>1</v>
      </c>
      <c r="J45" s="116" t="b">
        <v>1</v>
      </c>
      <c r="K45" s="116" t="b">
        <v>1</v>
      </c>
      <c r="L45" s="117">
        <f t="shared" si="1"/>
        <v>5</v>
      </c>
      <c r="M45" s="117">
        <f t="shared" si="2"/>
        <v>20</v>
      </c>
      <c r="N45" s="112"/>
      <c r="O45" s="112"/>
    </row>
    <row r="46" ht="15.0" customHeight="1">
      <c r="A46" s="112"/>
      <c r="B46" s="112"/>
      <c r="C46" s="112"/>
      <c r="D46" s="113" t="s">
        <v>76</v>
      </c>
      <c r="E46" s="114" t="str">
        <f>VLOOKUP(D46,Data!H:I,2,0)</f>
        <v>İstanbul</v>
      </c>
      <c r="F46" s="115" t="s">
        <v>59</v>
      </c>
      <c r="G46" s="116" t="b">
        <v>1</v>
      </c>
      <c r="H46" s="116" t="b">
        <v>1</v>
      </c>
      <c r="I46" s="116" t="b">
        <v>1</v>
      </c>
      <c r="J46" s="116" t="b">
        <v>0</v>
      </c>
      <c r="K46" s="116" t="b">
        <v>0</v>
      </c>
      <c r="L46" s="117">
        <f t="shared" si="1"/>
        <v>3</v>
      </c>
      <c r="M46" s="117">
        <f t="shared" si="2"/>
        <v>12</v>
      </c>
      <c r="N46" s="112"/>
      <c r="O46" s="112"/>
    </row>
    <row r="47" ht="15.0" customHeight="1">
      <c r="A47" s="125"/>
      <c r="B47" s="125"/>
      <c r="C47" s="125"/>
      <c r="D47" s="113" t="s">
        <v>77</v>
      </c>
      <c r="E47" s="114" t="str">
        <f>VLOOKUP(D47,Data!H:I,2,0)</f>
        <v>İstanbul</v>
      </c>
      <c r="F47" s="115" t="s">
        <v>59</v>
      </c>
      <c r="G47" s="116" t="b">
        <v>0</v>
      </c>
      <c r="H47" s="116" t="b">
        <v>0</v>
      </c>
      <c r="I47" s="116" t="b">
        <v>0</v>
      </c>
      <c r="J47" s="116" t="b">
        <v>0</v>
      </c>
      <c r="K47" s="116" t="b">
        <v>0</v>
      </c>
      <c r="L47" s="117">
        <f t="shared" si="1"/>
        <v>0</v>
      </c>
      <c r="M47" s="117">
        <f t="shared" si="2"/>
        <v>0</v>
      </c>
      <c r="N47" s="125"/>
      <c r="O47" s="125"/>
    </row>
    <row r="48" ht="15.0" customHeight="1">
      <c r="A48" s="126"/>
      <c r="B48" s="126"/>
      <c r="C48" s="126"/>
      <c r="D48" s="113" t="s">
        <v>78</v>
      </c>
      <c r="E48" s="114" t="str">
        <f>VLOOKUP(D48,Data!H:I,2,0)</f>
        <v>İstanbul</v>
      </c>
      <c r="F48" s="115" t="s">
        <v>59</v>
      </c>
      <c r="G48" s="116" t="b">
        <v>1</v>
      </c>
      <c r="H48" s="116" t="b">
        <v>1</v>
      </c>
      <c r="I48" s="116" t="b">
        <v>0</v>
      </c>
      <c r="J48" s="116" t="b">
        <v>1</v>
      </c>
      <c r="K48" s="116" t="b">
        <v>1</v>
      </c>
      <c r="L48" s="117">
        <f t="shared" si="1"/>
        <v>4</v>
      </c>
      <c r="M48" s="117">
        <f t="shared" si="2"/>
        <v>16</v>
      </c>
      <c r="N48" s="126"/>
      <c r="O48" s="126"/>
    </row>
    <row r="49" ht="15.0" customHeight="1">
      <c r="A49" s="122"/>
      <c r="B49" s="122"/>
      <c r="C49" s="122"/>
      <c r="D49" s="113" t="s">
        <v>79</v>
      </c>
      <c r="E49" s="114" t="str">
        <f>VLOOKUP(D49,Data!H:I,2,0)</f>
        <v>İstanbul</v>
      </c>
      <c r="F49" s="115" t="s">
        <v>59</v>
      </c>
      <c r="G49" s="116" t="b">
        <v>1</v>
      </c>
      <c r="H49" s="116" t="b">
        <v>1</v>
      </c>
      <c r="I49" s="116" t="b">
        <v>1</v>
      </c>
      <c r="J49" s="116" t="b">
        <v>1</v>
      </c>
      <c r="K49" s="116" t="b">
        <v>1</v>
      </c>
      <c r="L49" s="117">
        <f t="shared" si="1"/>
        <v>5</v>
      </c>
      <c r="M49" s="117">
        <f t="shared" si="2"/>
        <v>20</v>
      </c>
      <c r="N49" s="122"/>
      <c r="O49" s="122"/>
    </row>
    <row r="50" ht="15.0" customHeight="1">
      <c r="A50" s="124"/>
      <c r="B50" s="124"/>
      <c r="C50" s="124"/>
      <c r="D50" s="113" t="s">
        <v>80</v>
      </c>
      <c r="E50" s="114" t="str">
        <f>VLOOKUP(D50,Data!H:I,2,0)</f>
        <v>İstanbul</v>
      </c>
      <c r="F50" s="115" t="s">
        <v>59</v>
      </c>
      <c r="G50" s="116" t="b">
        <v>0</v>
      </c>
      <c r="H50" s="116" t="b">
        <v>0</v>
      </c>
      <c r="I50" s="116" t="b">
        <v>0</v>
      </c>
      <c r="J50" s="116" t="b">
        <v>1</v>
      </c>
      <c r="K50" s="116" t="b">
        <v>0</v>
      </c>
      <c r="L50" s="117">
        <f t="shared" si="1"/>
        <v>1</v>
      </c>
      <c r="M50" s="117">
        <f t="shared" si="2"/>
        <v>4</v>
      </c>
      <c r="N50" s="124"/>
      <c r="O50" s="124"/>
    </row>
    <row r="51" ht="15.0" customHeight="1">
      <c r="A51" s="112"/>
      <c r="B51" s="112"/>
      <c r="C51" s="112"/>
      <c r="D51" s="113" t="s">
        <v>81</v>
      </c>
      <c r="E51" s="114" t="str">
        <f>VLOOKUP(D51,Data!H:I,2,0)</f>
        <v>İstanbul</v>
      </c>
      <c r="F51" s="115" t="s">
        <v>59</v>
      </c>
      <c r="G51" s="116" t="b">
        <v>0</v>
      </c>
      <c r="H51" s="116" t="b">
        <v>0</v>
      </c>
      <c r="I51" s="116" t="b">
        <v>0</v>
      </c>
      <c r="J51" s="116" t="b">
        <v>0</v>
      </c>
      <c r="K51" s="116" t="b">
        <v>0</v>
      </c>
      <c r="L51" s="117">
        <f t="shared" si="1"/>
        <v>0</v>
      </c>
      <c r="M51" s="117">
        <f t="shared" si="2"/>
        <v>0</v>
      </c>
      <c r="N51" s="112"/>
      <c r="O51" s="112"/>
    </row>
    <row r="52" ht="15.0" customHeight="1">
      <c r="A52" s="112"/>
      <c r="B52" s="112"/>
      <c r="C52" s="112"/>
      <c r="D52" s="88" t="s">
        <v>82</v>
      </c>
      <c r="E52" s="114" t="str">
        <f>VLOOKUP(D52,Data!H:I,2,0)</f>
        <v>İstanbul</v>
      </c>
      <c r="F52" s="115" t="s">
        <v>64</v>
      </c>
      <c r="G52" s="116" t="b">
        <v>1</v>
      </c>
      <c r="H52" s="116" t="b">
        <v>1</v>
      </c>
      <c r="I52" s="116" t="b">
        <v>1</v>
      </c>
      <c r="J52" s="116" t="b">
        <v>1</v>
      </c>
      <c r="K52" s="116" t="b">
        <v>1</v>
      </c>
      <c r="L52" s="117">
        <f t="shared" si="1"/>
        <v>5</v>
      </c>
      <c r="M52" s="117">
        <f t="shared" si="2"/>
        <v>20</v>
      </c>
      <c r="N52" s="112"/>
      <c r="O52" s="112"/>
    </row>
    <row r="53" ht="15.0" customHeight="1">
      <c r="A53" s="112"/>
      <c r="B53" s="112"/>
      <c r="C53" s="112"/>
      <c r="D53" s="88" t="s">
        <v>83</v>
      </c>
      <c r="E53" s="114" t="str">
        <f>VLOOKUP(D53,Data!H:I,2,0)</f>
        <v>İstanbul</v>
      </c>
      <c r="F53" s="115" t="s">
        <v>61</v>
      </c>
      <c r="G53" s="116" t="b">
        <v>1</v>
      </c>
      <c r="H53" s="116" t="b">
        <v>1</v>
      </c>
      <c r="I53" s="116" t="b">
        <v>1</v>
      </c>
      <c r="J53" s="116" t="b">
        <v>1</v>
      </c>
      <c r="K53" s="116" t="b">
        <v>1</v>
      </c>
      <c r="L53" s="117">
        <f t="shared" si="1"/>
        <v>5</v>
      </c>
      <c r="M53" s="117">
        <f t="shared" si="2"/>
        <v>20</v>
      </c>
      <c r="N53" s="112"/>
      <c r="O53" s="112"/>
    </row>
    <row r="54" ht="15.0" customHeight="1">
      <c r="A54" s="112"/>
      <c r="B54" s="112"/>
      <c r="C54" s="112"/>
      <c r="D54" s="88" t="s">
        <v>84</v>
      </c>
      <c r="E54" s="114" t="str">
        <f>VLOOKUP(D54,Data!H:I,2,0)</f>
        <v>İstanbul</v>
      </c>
      <c r="F54" s="115" t="s">
        <v>61</v>
      </c>
      <c r="G54" s="116" t="b">
        <v>0</v>
      </c>
      <c r="H54" s="116" t="b">
        <v>0</v>
      </c>
      <c r="I54" s="116" t="b">
        <v>0</v>
      </c>
      <c r="J54" s="116" t="b">
        <v>0</v>
      </c>
      <c r="K54" s="116" t="b">
        <v>0</v>
      </c>
      <c r="L54" s="117">
        <f t="shared" si="1"/>
        <v>0</v>
      </c>
      <c r="M54" s="117">
        <f t="shared" si="2"/>
        <v>0</v>
      </c>
      <c r="N54" s="112"/>
      <c r="O54" s="112"/>
    </row>
    <row r="55" ht="15.0" customHeight="1">
      <c r="A55" s="112"/>
      <c r="B55" s="112"/>
      <c r="C55" s="112"/>
      <c r="D55" s="88" t="s">
        <v>85</v>
      </c>
      <c r="E55" s="114" t="str">
        <f>VLOOKUP(D55,Data!H:I,2,0)</f>
        <v>İstanbul</v>
      </c>
      <c r="F55" s="115" t="s">
        <v>64</v>
      </c>
      <c r="G55" s="116" t="b">
        <v>1</v>
      </c>
      <c r="H55" s="116" t="b">
        <v>1</v>
      </c>
      <c r="I55" s="116" t="b">
        <v>1</v>
      </c>
      <c r="J55" s="116" t="b">
        <v>1</v>
      </c>
      <c r="K55" s="116" t="b">
        <v>1</v>
      </c>
      <c r="L55" s="117">
        <f t="shared" si="1"/>
        <v>5</v>
      </c>
      <c r="M55" s="117">
        <f t="shared" si="2"/>
        <v>20</v>
      </c>
      <c r="N55" s="112"/>
      <c r="O55" s="112"/>
    </row>
    <row r="56" ht="15.0" customHeight="1">
      <c r="A56" s="112"/>
      <c r="B56" s="112"/>
      <c r="C56" s="112"/>
      <c r="D56" s="113" t="s">
        <v>86</v>
      </c>
      <c r="E56" s="114" t="str">
        <f>VLOOKUP(D56,Data!H:I,2,0)</f>
        <v>İstanbul</v>
      </c>
      <c r="F56" s="115" t="s">
        <v>59</v>
      </c>
      <c r="G56" s="116" t="b">
        <v>1</v>
      </c>
      <c r="H56" s="116" t="b">
        <v>1</v>
      </c>
      <c r="I56" s="116" t="b">
        <v>1</v>
      </c>
      <c r="J56" s="116" t="b">
        <v>1</v>
      </c>
      <c r="K56" s="116" t="b">
        <v>1</v>
      </c>
      <c r="L56" s="117">
        <f t="shared" si="1"/>
        <v>5</v>
      </c>
      <c r="M56" s="117">
        <f t="shared" si="2"/>
        <v>20</v>
      </c>
      <c r="N56" s="112"/>
      <c r="O56" s="112"/>
    </row>
    <row r="57" ht="15.0" customHeight="1">
      <c r="A57" s="112"/>
      <c r="B57" s="112"/>
      <c r="C57" s="112"/>
      <c r="D57" s="113" t="s">
        <v>87</v>
      </c>
      <c r="E57" s="114" t="str">
        <f>VLOOKUP(D57,Data!H:I,2,0)</f>
        <v>İstanbul</v>
      </c>
      <c r="F57" s="115" t="s">
        <v>59</v>
      </c>
      <c r="G57" s="116" t="b">
        <v>1</v>
      </c>
      <c r="H57" s="116" t="b">
        <v>1</v>
      </c>
      <c r="I57" s="116" t="b">
        <v>1</v>
      </c>
      <c r="J57" s="116" t="b">
        <v>1</v>
      </c>
      <c r="K57" s="116" t="b">
        <v>1</v>
      </c>
      <c r="L57" s="117">
        <f t="shared" si="1"/>
        <v>5</v>
      </c>
      <c r="M57" s="117">
        <f t="shared" si="2"/>
        <v>20</v>
      </c>
      <c r="N57" s="112"/>
      <c r="O57" s="112"/>
    </row>
    <row r="58" ht="15.0" customHeight="1">
      <c r="A58" s="112"/>
      <c r="B58" s="112"/>
      <c r="C58" s="112"/>
      <c r="D58" s="88" t="s">
        <v>88</v>
      </c>
      <c r="E58" s="114" t="str">
        <f>VLOOKUP(D58,Data!H:I,2,0)</f>
        <v>İstanbul</v>
      </c>
      <c r="F58" s="115" t="s">
        <v>61</v>
      </c>
      <c r="G58" s="116" t="b">
        <v>0</v>
      </c>
      <c r="H58" s="116" t="b">
        <v>1</v>
      </c>
      <c r="I58" s="116" t="b">
        <v>1</v>
      </c>
      <c r="J58" s="116" t="b">
        <v>1</v>
      </c>
      <c r="K58" s="116" t="b">
        <v>1</v>
      </c>
      <c r="L58" s="117">
        <f t="shared" si="1"/>
        <v>4</v>
      </c>
      <c r="M58" s="117">
        <f t="shared" si="2"/>
        <v>16</v>
      </c>
      <c r="N58" s="112"/>
      <c r="O58" s="112"/>
    </row>
    <row r="59" ht="15.0" customHeight="1">
      <c r="A59" s="125"/>
      <c r="B59" s="125"/>
      <c r="C59" s="125"/>
      <c r="D59" s="88" t="s">
        <v>89</v>
      </c>
      <c r="E59" s="114" t="str">
        <f>VLOOKUP(D59,Data!H:I,2,0)</f>
        <v>İstanbul</v>
      </c>
      <c r="F59" s="115" t="s">
        <v>64</v>
      </c>
      <c r="G59" s="116" t="b">
        <v>1</v>
      </c>
      <c r="H59" s="116" t="b">
        <v>1</v>
      </c>
      <c r="I59" s="116" t="b">
        <v>1</v>
      </c>
      <c r="J59" s="116" t="b">
        <v>1</v>
      </c>
      <c r="K59" s="116" t="b">
        <v>1</v>
      </c>
      <c r="L59" s="117">
        <f t="shared" si="1"/>
        <v>5</v>
      </c>
      <c r="M59" s="117">
        <f t="shared" si="2"/>
        <v>20</v>
      </c>
      <c r="N59" s="125"/>
      <c r="O59" s="125"/>
    </row>
    <row r="60" ht="15.0" customHeight="1">
      <c r="A60" s="126"/>
      <c r="B60" s="126"/>
      <c r="C60" s="126"/>
      <c r="D60" s="113" t="s">
        <v>90</v>
      </c>
      <c r="E60" s="114" t="str">
        <f>VLOOKUP(D60,Data!H:I,2,0)</f>
        <v>İstanbul</v>
      </c>
      <c r="F60" s="115" t="s">
        <v>59</v>
      </c>
      <c r="G60" s="116" t="b">
        <v>0</v>
      </c>
      <c r="H60" s="116" t="b">
        <v>0</v>
      </c>
      <c r="I60" s="116" t="b">
        <v>0</v>
      </c>
      <c r="J60" s="116" t="b">
        <v>0</v>
      </c>
      <c r="K60" s="116" t="b">
        <v>0</v>
      </c>
      <c r="L60" s="117">
        <f t="shared" si="1"/>
        <v>0</v>
      </c>
      <c r="M60" s="117">
        <f t="shared" si="2"/>
        <v>0</v>
      </c>
      <c r="N60" s="126"/>
      <c r="O60" s="126"/>
    </row>
    <row r="61" ht="15.0" customHeight="1">
      <c r="A61" s="122"/>
      <c r="B61" s="122"/>
      <c r="C61" s="122"/>
      <c r="D61" s="88" t="s">
        <v>91</v>
      </c>
      <c r="E61" s="114" t="str">
        <f>VLOOKUP(D61,Data!H:I,2,0)</f>
        <v>İzmir</v>
      </c>
      <c r="F61" s="115" t="s">
        <v>61</v>
      </c>
      <c r="G61" s="116" t="b">
        <v>0</v>
      </c>
      <c r="H61" s="116" t="b">
        <v>1</v>
      </c>
      <c r="I61" s="116" t="b">
        <v>1</v>
      </c>
      <c r="J61" s="116" t="b">
        <v>1</v>
      </c>
      <c r="K61" s="116" t="b">
        <v>1</v>
      </c>
      <c r="L61" s="117">
        <f t="shared" si="1"/>
        <v>4</v>
      </c>
      <c r="M61" s="117">
        <f t="shared" si="2"/>
        <v>16</v>
      </c>
      <c r="N61" s="122"/>
      <c r="O61" s="122"/>
    </row>
    <row r="62" ht="15.0" customHeight="1">
      <c r="A62" s="124"/>
      <c r="B62" s="124"/>
      <c r="C62" s="124"/>
      <c r="D62" s="88" t="s">
        <v>92</v>
      </c>
      <c r="E62" s="114" t="str">
        <f>VLOOKUP(D62,Data!H:I,2,0)</f>
        <v>İzmir</v>
      </c>
      <c r="F62" s="115" t="s">
        <v>61</v>
      </c>
      <c r="G62" s="116" t="b">
        <v>0</v>
      </c>
      <c r="H62" s="116" t="b">
        <v>1</v>
      </c>
      <c r="I62" s="116" t="b">
        <v>1</v>
      </c>
      <c r="J62" s="116" t="b">
        <v>1</v>
      </c>
      <c r="K62" s="116" t="b">
        <v>1</v>
      </c>
      <c r="L62" s="117">
        <f t="shared" si="1"/>
        <v>4</v>
      </c>
      <c r="M62" s="117">
        <f t="shared" si="2"/>
        <v>16</v>
      </c>
      <c r="N62" s="124"/>
      <c r="O62" s="124"/>
    </row>
    <row r="63" ht="15.0" customHeight="1">
      <c r="A63" s="112"/>
      <c r="B63" s="112"/>
      <c r="C63" s="112"/>
      <c r="D63" s="113" t="s">
        <v>93</v>
      </c>
      <c r="E63" s="114" t="str">
        <f>VLOOKUP(D63,Data!H:I,2,0)</f>
        <v>İzmir</v>
      </c>
      <c r="F63" s="115" t="s">
        <v>59</v>
      </c>
      <c r="G63" s="116" t="b">
        <v>1</v>
      </c>
      <c r="H63" s="116" t="b">
        <v>1</v>
      </c>
      <c r="I63" s="116" t="b">
        <v>1</v>
      </c>
      <c r="J63" s="116" t="b">
        <v>0</v>
      </c>
      <c r="K63" s="116" t="b">
        <v>0</v>
      </c>
      <c r="L63" s="117">
        <f t="shared" si="1"/>
        <v>3</v>
      </c>
      <c r="M63" s="117">
        <f t="shared" si="2"/>
        <v>12</v>
      </c>
      <c r="N63" s="112"/>
      <c r="O63" s="112"/>
    </row>
    <row r="64" ht="15.0" customHeight="1">
      <c r="A64" s="112"/>
      <c r="B64" s="112"/>
      <c r="C64" s="112"/>
      <c r="D64" s="88" t="s">
        <v>94</v>
      </c>
      <c r="E64" s="114" t="str">
        <f>VLOOKUP(D64,Data!H:I,2,0)</f>
        <v>İzmir</v>
      </c>
      <c r="F64" s="115" t="s">
        <v>61</v>
      </c>
      <c r="G64" s="116" t="b">
        <v>1</v>
      </c>
      <c r="H64" s="116" t="b">
        <v>0</v>
      </c>
      <c r="I64" s="116" t="b">
        <v>1</v>
      </c>
      <c r="J64" s="116" t="b">
        <v>1</v>
      </c>
      <c r="K64" s="116" t="b">
        <v>1</v>
      </c>
      <c r="L64" s="117">
        <f t="shared" si="1"/>
        <v>4</v>
      </c>
      <c r="M64" s="117">
        <f t="shared" si="2"/>
        <v>16</v>
      </c>
      <c r="N64" s="112"/>
      <c r="O64" s="112"/>
    </row>
    <row r="65" ht="15.0" customHeight="1">
      <c r="A65" s="112"/>
      <c r="B65" s="112"/>
      <c r="C65" s="112"/>
      <c r="D65" s="88" t="s">
        <v>95</v>
      </c>
      <c r="E65" s="114" t="str">
        <f>VLOOKUP(D65,Data!H:I,2,0)</f>
        <v>Kocaeli</v>
      </c>
      <c r="F65" s="115" t="s">
        <v>61</v>
      </c>
      <c r="G65" s="116" t="b">
        <v>1</v>
      </c>
      <c r="H65" s="116" t="b">
        <v>1</v>
      </c>
      <c r="I65" s="116" t="b">
        <v>0</v>
      </c>
      <c r="J65" s="116" t="b">
        <v>0</v>
      </c>
      <c r="K65" s="116" t="b">
        <v>0</v>
      </c>
      <c r="L65" s="117">
        <f t="shared" si="1"/>
        <v>2</v>
      </c>
      <c r="M65" s="117">
        <f t="shared" si="2"/>
        <v>8</v>
      </c>
      <c r="N65" s="112"/>
      <c r="O65" s="112"/>
    </row>
    <row r="66" ht="15.0" customHeight="1">
      <c r="A66" s="112"/>
      <c r="B66" s="112"/>
      <c r="C66" s="112"/>
      <c r="D66" s="88" t="s">
        <v>96</v>
      </c>
      <c r="E66" s="114" t="str">
        <f>VLOOKUP(D66,Data!H:I,2,0)</f>
        <v>Kocaeli</v>
      </c>
      <c r="F66" s="115" t="s">
        <v>61</v>
      </c>
      <c r="G66" s="116" t="b">
        <v>0</v>
      </c>
      <c r="H66" s="116" t="b">
        <v>0</v>
      </c>
      <c r="I66" s="116" t="b">
        <v>1</v>
      </c>
      <c r="J66" s="116" t="b">
        <v>1</v>
      </c>
      <c r="K66" s="116" t="b">
        <v>1</v>
      </c>
      <c r="L66" s="117">
        <f t="shared" si="1"/>
        <v>3</v>
      </c>
      <c r="M66" s="117">
        <f t="shared" si="2"/>
        <v>12</v>
      </c>
      <c r="N66" s="112"/>
      <c r="O66" s="112"/>
    </row>
    <row r="67" ht="15.0" customHeight="1">
      <c r="A67" s="112"/>
      <c r="B67" s="112"/>
      <c r="C67" s="112"/>
      <c r="D67" s="88" t="s">
        <v>97</v>
      </c>
      <c r="E67" s="114" t="str">
        <f>VLOOKUP(D67,Data!H:I,2,0)</f>
        <v>Konya</v>
      </c>
      <c r="F67" s="115" t="s">
        <v>61</v>
      </c>
      <c r="G67" s="116" t="b">
        <v>1</v>
      </c>
      <c r="H67" s="116" t="b">
        <v>1</v>
      </c>
      <c r="I67" s="116" t="b">
        <v>1</v>
      </c>
      <c r="J67" s="116" t="b">
        <v>1</v>
      </c>
      <c r="K67" s="116" t="b">
        <v>0</v>
      </c>
      <c r="L67" s="117">
        <f t="shared" si="1"/>
        <v>4</v>
      </c>
      <c r="M67" s="117">
        <f t="shared" si="2"/>
        <v>16</v>
      </c>
      <c r="N67" s="112"/>
      <c r="O67" s="112"/>
    </row>
    <row r="68" ht="15.0" customHeight="1">
      <c r="A68" s="112"/>
      <c r="B68" s="112"/>
      <c r="C68" s="112"/>
      <c r="D68" s="88" t="s">
        <v>98</v>
      </c>
      <c r="E68" s="114" t="str">
        <f>VLOOKUP(D68,Data!H:I,2,0)</f>
        <v>Manisa</v>
      </c>
      <c r="F68" s="115" t="s">
        <v>61</v>
      </c>
      <c r="G68" s="116" t="b">
        <v>0</v>
      </c>
      <c r="H68" s="116" t="b">
        <v>0</v>
      </c>
      <c r="I68" s="116" t="b">
        <v>0</v>
      </c>
      <c r="J68" s="116" t="b">
        <v>0</v>
      </c>
      <c r="K68" s="116" t="b">
        <v>0</v>
      </c>
      <c r="L68" s="117">
        <f t="shared" si="1"/>
        <v>0</v>
      </c>
      <c r="M68" s="117">
        <f t="shared" si="2"/>
        <v>0</v>
      </c>
      <c r="N68" s="112"/>
      <c r="O68" s="112"/>
    </row>
    <row r="69" ht="15.0" customHeight="1">
      <c r="A69" s="112"/>
      <c r="B69" s="112"/>
      <c r="C69" s="112"/>
      <c r="D69" s="88" t="s">
        <v>99</v>
      </c>
      <c r="E69" s="114" t="str">
        <f>VLOOKUP(D69,Data!H:I,2,0)</f>
        <v>Mersin</v>
      </c>
      <c r="F69" s="115" t="s">
        <v>61</v>
      </c>
      <c r="G69" s="116" t="b">
        <v>1</v>
      </c>
      <c r="H69" s="116" t="b">
        <v>0</v>
      </c>
      <c r="I69" s="116" t="b">
        <v>0</v>
      </c>
      <c r="J69" s="116" t="b">
        <v>1</v>
      </c>
      <c r="K69" s="116" t="b">
        <v>0</v>
      </c>
      <c r="L69" s="117">
        <f t="shared" si="1"/>
        <v>2</v>
      </c>
      <c r="M69" s="117">
        <f t="shared" si="2"/>
        <v>8</v>
      </c>
      <c r="N69" s="112"/>
      <c r="O69" s="112"/>
    </row>
    <row r="70" ht="15.0" customHeight="1">
      <c r="A70" s="112"/>
      <c r="B70" s="112"/>
      <c r="C70" s="112"/>
      <c r="D70" s="88" t="s">
        <v>100</v>
      </c>
      <c r="E70" s="114" t="str">
        <f>VLOOKUP(D70,Data!H:I,2,0)</f>
        <v>Muğla</v>
      </c>
      <c r="F70" s="127" t="s">
        <v>61</v>
      </c>
      <c r="G70" s="116" t="b">
        <v>0</v>
      </c>
      <c r="H70" s="116" t="b">
        <v>1</v>
      </c>
      <c r="I70" s="116" t="b">
        <v>0</v>
      </c>
      <c r="J70" s="116" t="b">
        <v>0</v>
      </c>
      <c r="K70" s="116" t="b">
        <v>0</v>
      </c>
      <c r="L70" s="117">
        <f t="shared" si="1"/>
        <v>1</v>
      </c>
      <c r="M70" s="117">
        <f t="shared" si="2"/>
        <v>4</v>
      </c>
      <c r="N70" s="112"/>
      <c r="O70" s="112"/>
    </row>
    <row r="71" ht="15.0" customHeight="1">
      <c r="A71" s="112"/>
      <c r="B71" s="112"/>
      <c r="C71" s="112"/>
      <c r="D71" s="88" t="s">
        <v>101</v>
      </c>
      <c r="E71" s="114" t="str">
        <f>VLOOKUP(D71,Data!H:I,2,0)</f>
        <v>Samsun</v>
      </c>
      <c r="F71" s="127" t="s">
        <v>61</v>
      </c>
      <c r="G71" s="116" t="b">
        <v>1</v>
      </c>
      <c r="H71" s="116" t="b">
        <v>1</v>
      </c>
      <c r="I71" s="116" t="b">
        <v>1</v>
      </c>
      <c r="J71" s="116" t="b">
        <v>0</v>
      </c>
      <c r="K71" s="116" t="b">
        <v>0</v>
      </c>
      <c r="L71" s="117">
        <f t="shared" si="1"/>
        <v>3</v>
      </c>
      <c r="M71" s="117">
        <f t="shared" si="2"/>
        <v>12</v>
      </c>
      <c r="N71" s="112"/>
      <c r="O71" s="112"/>
    </row>
    <row r="72" ht="15.0" customHeight="1">
      <c r="A72" s="112"/>
      <c r="B72" s="112"/>
      <c r="C72" s="112"/>
      <c r="D72" s="113" t="s">
        <v>102</v>
      </c>
      <c r="E72" s="114" t="s">
        <v>103</v>
      </c>
      <c r="F72" s="127" t="s">
        <v>64</v>
      </c>
      <c r="G72" s="116" t="b">
        <v>0</v>
      </c>
      <c r="H72" s="116" t="b">
        <v>0</v>
      </c>
      <c r="I72" s="116" t="b">
        <v>0</v>
      </c>
      <c r="J72" s="116" t="b">
        <v>1</v>
      </c>
      <c r="K72" s="116" t="b">
        <v>0</v>
      </c>
      <c r="L72" s="117">
        <f t="shared" si="1"/>
        <v>1</v>
      </c>
      <c r="M72" s="117">
        <f t="shared" si="2"/>
        <v>4</v>
      </c>
      <c r="N72" s="112"/>
      <c r="O72" s="112"/>
    </row>
    <row r="73" ht="15.0" customHeight="1">
      <c r="A73" s="112"/>
      <c r="B73" s="112"/>
      <c r="C73" s="112"/>
      <c r="D73" s="113" t="s">
        <v>104</v>
      </c>
      <c r="E73" s="114" t="str">
        <f>VLOOKUP(D73,Data!H:I,2,0)</f>
        <v>Tekirdağ</v>
      </c>
      <c r="F73" s="127" t="s">
        <v>59</v>
      </c>
      <c r="G73" s="116" t="b">
        <v>1</v>
      </c>
      <c r="H73" s="116" t="b">
        <v>1</v>
      </c>
      <c r="I73" s="116" t="b">
        <v>1</v>
      </c>
      <c r="J73" s="116" t="b">
        <v>1</v>
      </c>
      <c r="K73" s="116" t="b">
        <v>0</v>
      </c>
      <c r="L73" s="117">
        <f t="shared" si="1"/>
        <v>4</v>
      </c>
      <c r="M73" s="117">
        <f t="shared" si="2"/>
        <v>16</v>
      </c>
      <c r="N73" s="112"/>
      <c r="O73" s="112"/>
    </row>
    <row r="74" ht="15.0" customHeight="1">
      <c r="A74" s="112"/>
      <c r="B74" s="112"/>
      <c r="C74" s="112"/>
      <c r="D74" s="88" t="s">
        <v>105</v>
      </c>
      <c r="E74" s="114" t="str">
        <f>VLOOKUP(D74,Data!H:I,2,0)</f>
        <v>Trabzon</v>
      </c>
      <c r="F74" s="127" t="s">
        <v>61</v>
      </c>
      <c r="G74" s="116" t="b">
        <v>0</v>
      </c>
      <c r="H74" s="116" t="b">
        <v>0</v>
      </c>
      <c r="I74" s="116" t="b">
        <v>0</v>
      </c>
      <c r="J74" s="116" t="b">
        <v>0</v>
      </c>
      <c r="K74" s="116" t="b">
        <v>0</v>
      </c>
      <c r="L74" s="117">
        <f t="shared" si="1"/>
        <v>0</v>
      </c>
      <c r="M74" s="117">
        <f t="shared" si="2"/>
        <v>0</v>
      </c>
      <c r="N74" s="112"/>
      <c r="O74" s="112"/>
    </row>
    <row r="75" ht="15.0" customHeight="1">
      <c r="A75" s="112"/>
      <c r="B75" s="112"/>
      <c r="C75" s="112"/>
      <c r="G75" s="117">
        <f t="shared" ref="G75:K75" si="3">4*(COUNTIF(G14:G74,"true"))+9</f>
        <v>153</v>
      </c>
      <c r="H75" s="117">
        <f t="shared" si="3"/>
        <v>177</v>
      </c>
      <c r="I75" s="117">
        <f t="shared" si="3"/>
        <v>133</v>
      </c>
      <c r="J75" s="117">
        <f t="shared" si="3"/>
        <v>165</v>
      </c>
      <c r="K75" s="117">
        <f t="shared" si="3"/>
        <v>121</v>
      </c>
      <c r="M75" s="117">
        <f>SUM(M15:M74)</f>
        <v>704</v>
      </c>
      <c r="N75" s="112"/>
      <c r="O75" s="112"/>
    </row>
  </sheetData>
  <customSheetViews>
    <customSheetView guid="{70B995D3-3AEB-4DFE-A0CA-D6FFCCE596BC}" filter="1" showAutoFilter="1">
      <autoFilter ref="$D$14:$D$75"/>
    </customSheetView>
  </customSheetViews>
  <mergeCells count="4">
    <mergeCell ref="D6:K6"/>
    <mergeCell ref="D7:F7"/>
    <mergeCell ref="D9:D12"/>
    <mergeCell ref="F10:M11"/>
  </mergeCells>
  <conditionalFormatting sqref="G15:K74">
    <cfRule type="cellIs" dxfId="1" priority="1" operator="equal">
      <formula>"False"</formula>
    </cfRule>
  </conditionalFormatting>
  <conditionalFormatting sqref="G15:K74">
    <cfRule type="cellIs" dxfId="0" priority="2" operator="equal">
      <formula>"TRUE"</formula>
    </cfRule>
  </conditionalFormatting>
  <dataValidations>
    <dataValidation type="list" allowBlank="1" showErrorMessage="1" sqref="E15:E74">
      <formula1>Data!$A$2:$A$10</formula1>
    </dataValidation>
    <dataValidation type="list" allowBlank="1" showErrorMessage="1" sqref="F15:F74">
      <formula1>Data!$C$2:$C$8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3" width="2.63"/>
    <col customWidth="1" min="4" max="4" width="20.38"/>
    <col customWidth="1" min="5" max="5" width="11.38"/>
    <col customWidth="1" min="6" max="6" width="16.63"/>
    <col customWidth="1" min="7" max="11" width="8.63"/>
    <col customWidth="1" min="12" max="12" width="12.63"/>
    <col customWidth="1" min="13" max="13" width="15.13"/>
    <col customWidth="1" min="14" max="15" width="2.63"/>
  </cols>
  <sheetData>
    <row r="1" ht="7.5" customHeight="1">
      <c r="A1" s="84"/>
      <c r="B1" s="84"/>
      <c r="C1" s="84"/>
      <c r="D1" s="84"/>
      <c r="E1" s="84"/>
      <c r="F1" s="84"/>
      <c r="G1" s="84"/>
      <c r="H1" s="84"/>
      <c r="I1" s="84"/>
      <c r="J1" s="84"/>
      <c r="K1" s="84"/>
      <c r="L1" s="85"/>
      <c r="M1" s="86"/>
      <c r="N1" s="86"/>
      <c r="O1" s="86"/>
    </row>
    <row r="2" ht="15.0" customHeight="1">
      <c r="A2" s="87"/>
      <c r="B2" s="87"/>
      <c r="C2" s="87"/>
      <c r="D2" s="88"/>
      <c r="E2" s="88"/>
      <c r="F2" s="88"/>
      <c r="G2" s="88"/>
      <c r="H2" s="88"/>
      <c r="I2" s="88"/>
      <c r="J2" s="88"/>
      <c r="K2" s="88"/>
      <c r="L2" s="88"/>
      <c r="M2" s="87"/>
      <c r="N2" s="87"/>
      <c r="O2" s="87"/>
    </row>
    <row r="3" ht="3.75" customHeight="1">
      <c r="A3" s="87"/>
      <c r="B3" s="87"/>
      <c r="C3" s="87"/>
      <c r="D3" s="89"/>
      <c r="E3" s="90"/>
      <c r="F3" s="90"/>
      <c r="G3" s="90"/>
      <c r="H3" s="90"/>
      <c r="I3" s="90"/>
      <c r="J3" s="90"/>
      <c r="K3" s="90"/>
      <c r="L3" s="90"/>
      <c r="M3" s="87"/>
      <c r="N3" s="87"/>
      <c r="O3" s="87"/>
    </row>
    <row r="4" ht="15.0" customHeight="1">
      <c r="A4" s="87"/>
      <c r="B4" s="87"/>
      <c r="C4" s="87"/>
      <c r="D4" s="88"/>
      <c r="E4" s="88"/>
      <c r="F4" s="88"/>
      <c r="G4" s="91"/>
      <c r="H4" s="91"/>
      <c r="I4" s="91"/>
      <c r="J4" s="91"/>
      <c r="K4" s="91"/>
      <c r="L4" s="91"/>
      <c r="M4" s="87"/>
      <c r="N4" s="87"/>
      <c r="O4" s="87"/>
    </row>
    <row r="5" ht="15.0" customHeight="1">
      <c r="A5" s="92"/>
      <c r="B5" s="92"/>
      <c r="C5" s="92"/>
      <c r="D5" s="88"/>
      <c r="E5" s="88"/>
      <c r="F5" s="88"/>
      <c r="G5" s="93"/>
      <c r="H5" s="93"/>
      <c r="I5" s="93"/>
      <c r="J5" s="93"/>
      <c r="K5" s="93"/>
      <c r="L5" s="94"/>
      <c r="M5" s="88"/>
      <c r="N5" s="92"/>
      <c r="O5" s="92"/>
    </row>
    <row r="6" ht="15.0" customHeight="1">
      <c r="A6" s="92"/>
      <c r="B6" s="92"/>
      <c r="C6" s="92"/>
      <c r="D6" s="95" t="s">
        <v>106</v>
      </c>
      <c r="L6" s="94"/>
      <c r="M6" s="88"/>
      <c r="N6" s="92"/>
      <c r="O6" s="92"/>
    </row>
    <row r="7" ht="15.0" customHeight="1">
      <c r="A7" s="92"/>
      <c r="B7" s="92"/>
      <c r="C7" s="92"/>
      <c r="D7" s="96" t="s">
        <v>107</v>
      </c>
      <c r="G7" s="97"/>
      <c r="H7" s="97"/>
      <c r="I7" s="97"/>
      <c r="J7" s="97"/>
      <c r="K7" s="97"/>
      <c r="L7" s="92"/>
      <c r="M7" s="92"/>
      <c r="N7" s="92"/>
      <c r="O7" s="92"/>
    </row>
    <row r="8" ht="15.0" customHeight="1">
      <c r="A8" s="92"/>
      <c r="B8" s="92"/>
      <c r="C8" s="92"/>
      <c r="D8" s="97"/>
      <c r="E8" s="97"/>
      <c r="F8" s="97"/>
      <c r="G8" s="97"/>
      <c r="H8" s="97"/>
      <c r="I8" s="97"/>
      <c r="J8" s="97"/>
      <c r="K8" s="97"/>
      <c r="L8" s="92"/>
      <c r="M8" s="92"/>
      <c r="N8" s="92"/>
      <c r="O8" s="92"/>
    </row>
    <row r="9" ht="15.0" customHeight="1">
      <c r="A9" s="92"/>
      <c r="B9" s="92"/>
      <c r="C9" s="98"/>
      <c r="D9" s="99" t="s">
        <v>35</v>
      </c>
      <c r="E9" s="100"/>
      <c r="F9" s="101"/>
      <c r="G9" s="101"/>
      <c r="H9" s="101"/>
      <c r="I9" s="101"/>
      <c r="J9" s="101"/>
      <c r="K9" s="101"/>
      <c r="L9" s="101"/>
      <c r="M9" s="100"/>
      <c r="N9" s="102"/>
      <c r="O9" s="102"/>
    </row>
    <row r="10" ht="15.0" customHeight="1">
      <c r="A10" s="92"/>
      <c r="B10" s="92"/>
      <c r="C10" s="98"/>
      <c r="E10" s="100"/>
      <c r="F10" s="103" t="s">
        <v>36</v>
      </c>
      <c r="N10" s="102"/>
      <c r="O10" s="102"/>
    </row>
    <row r="11" ht="15.0" customHeight="1">
      <c r="A11" s="92"/>
      <c r="B11" s="92"/>
      <c r="C11" s="98"/>
      <c r="E11" s="100"/>
      <c r="N11" s="102"/>
      <c r="O11" s="102"/>
    </row>
    <row r="12" ht="15.0" customHeight="1">
      <c r="A12" s="88"/>
      <c r="B12" s="92"/>
      <c r="C12" s="92"/>
      <c r="E12" s="100"/>
      <c r="F12" s="100"/>
      <c r="G12" s="100"/>
      <c r="H12" s="100"/>
      <c r="I12" s="100"/>
      <c r="J12" s="100"/>
      <c r="K12" s="100"/>
      <c r="L12" s="100"/>
      <c r="M12" s="100"/>
      <c r="N12" s="102"/>
      <c r="O12" s="102"/>
    </row>
    <row r="13" ht="15.0" customHeight="1">
      <c r="A13" s="88"/>
      <c r="B13" s="104"/>
      <c r="C13" s="104"/>
      <c r="D13" s="104"/>
      <c r="E13" s="104"/>
      <c r="F13" s="105"/>
      <c r="G13" s="105"/>
      <c r="H13" s="105"/>
      <c r="I13" s="105"/>
      <c r="J13" s="105"/>
      <c r="K13" s="105"/>
      <c r="L13" s="104"/>
      <c r="M13" s="104"/>
      <c r="N13" s="104"/>
      <c r="O13" s="104"/>
    </row>
    <row r="14" ht="15.0" customHeight="1">
      <c r="A14" s="106"/>
      <c r="B14" s="106"/>
      <c r="C14" s="106"/>
      <c r="D14" s="128" t="s">
        <v>37</v>
      </c>
      <c r="E14" s="108" t="s">
        <v>38</v>
      </c>
      <c r="F14" s="109" t="s">
        <v>39</v>
      </c>
      <c r="G14" s="110">
        <v>44410.0</v>
      </c>
      <c r="H14" s="110">
        <v>44411.0</v>
      </c>
      <c r="I14" s="110">
        <v>44412.0</v>
      </c>
      <c r="J14" s="110">
        <v>44413.0</v>
      </c>
      <c r="K14" s="110">
        <v>44414.0</v>
      </c>
      <c r="L14" s="111" t="s">
        <v>40</v>
      </c>
      <c r="M14" s="111" t="s">
        <v>41</v>
      </c>
      <c r="N14" s="88"/>
      <c r="O14" s="88"/>
    </row>
    <row r="15" ht="15.0" customHeight="1">
      <c r="A15" s="112"/>
      <c r="B15" s="112"/>
      <c r="C15" s="112"/>
      <c r="D15" s="129" t="s">
        <v>42</v>
      </c>
      <c r="E15" s="130" t="str">
        <f>VLOOKUP(D15,Data!H:I,2,0)</f>
        <v>Adana</v>
      </c>
      <c r="F15" s="115"/>
      <c r="G15" s="115" t="b">
        <v>1</v>
      </c>
      <c r="H15" s="115" t="b">
        <v>1</v>
      </c>
      <c r="I15" s="115" t="b">
        <v>1</v>
      </c>
      <c r="J15" s="115" t="b">
        <v>1</v>
      </c>
      <c r="K15" s="115" t="b">
        <v>0</v>
      </c>
      <c r="L15" s="117">
        <f t="shared" ref="L15:L73" si="1">COUNTIF(G15:K15,"TRUE")</f>
        <v>4</v>
      </c>
      <c r="M15" s="117">
        <f t="shared" ref="M15:M73" si="2">L15*4</f>
        <v>16</v>
      </c>
      <c r="N15" s="88"/>
      <c r="O15" s="88"/>
    </row>
    <row r="16" ht="15.0" customHeight="1">
      <c r="A16" s="112"/>
      <c r="B16" s="112"/>
      <c r="C16" s="112"/>
      <c r="D16" s="129" t="s">
        <v>43</v>
      </c>
      <c r="E16" s="130" t="str">
        <f>VLOOKUP(D16,Data!H:I,2,0)</f>
        <v>Adana</v>
      </c>
      <c r="F16" s="115"/>
      <c r="G16" s="115" t="b">
        <v>1</v>
      </c>
      <c r="H16" s="115" t="b">
        <v>1</v>
      </c>
      <c r="I16" s="115" t="b">
        <v>0</v>
      </c>
      <c r="J16" s="115" t="b">
        <v>0</v>
      </c>
      <c r="K16" s="115" t="b">
        <v>0</v>
      </c>
      <c r="L16" s="117">
        <f t="shared" si="1"/>
        <v>2</v>
      </c>
      <c r="M16" s="117">
        <f t="shared" si="2"/>
        <v>8</v>
      </c>
      <c r="N16" s="88"/>
      <c r="O16" s="88"/>
    </row>
    <row r="17" ht="15.0" customHeight="1">
      <c r="A17" s="112"/>
      <c r="B17" s="112"/>
      <c r="C17" s="112"/>
      <c r="D17" s="131" t="s">
        <v>44</v>
      </c>
      <c r="E17" s="130" t="str">
        <f>VLOOKUP(D17,Data!H:I,2,0)</f>
        <v>Ankara</v>
      </c>
      <c r="F17" s="115" t="s">
        <v>108</v>
      </c>
      <c r="G17" s="115" t="b">
        <v>0</v>
      </c>
      <c r="H17" s="115" t="b">
        <v>1</v>
      </c>
      <c r="I17" s="115" t="b">
        <v>0</v>
      </c>
      <c r="J17" s="115" t="b">
        <v>1</v>
      </c>
      <c r="K17" s="115" t="b">
        <v>0</v>
      </c>
      <c r="L17" s="117">
        <f t="shared" si="1"/>
        <v>2</v>
      </c>
      <c r="M17" s="117">
        <f t="shared" si="2"/>
        <v>8</v>
      </c>
      <c r="N17" s="88"/>
      <c r="O17" s="88"/>
    </row>
    <row r="18" ht="15.0" customHeight="1">
      <c r="A18" s="112"/>
      <c r="B18" s="112"/>
      <c r="C18" s="112"/>
      <c r="D18" s="131" t="s">
        <v>45</v>
      </c>
      <c r="E18" s="130" t="str">
        <f>VLOOKUP(D18,Data!H:I,2,0)</f>
        <v>Ankara</v>
      </c>
      <c r="F18" s="115" t="s">
        <v>108</v>
      </c>
      <c r="G18" s="115" t="b">
        <v>0</v>
      </c>
      <c r="H18" s="115" t="b">
        <v>1</v>
      </c>
      <c r="I18" s="115" t="b">
        <v>1</v>
      </c>
      <c r="J18" s="115" t="b">
        <v>0</v>
      </c>
      <c r="K18" s="115" t="b">
        <v>0</v>
      </c>
      <c r="L18" s="117">
        <f t="shared" si="1"/>
        <v>2</v>
      </c>
      <c r="M18" s="117">
        <f t="shared" si="2"/>
        <v>8</v>
      </c>
      <c r="N18" s="118"/>
      <c r="O18" s="88"/>
    </row>
    <row r="19" ht="15.0" customHeight="1">
      <c r="A19" s="112"/>
      <c r="B19" s="112"/>
      <c r="C19" s="112"/>
      <c r="D19" s="131" t="s">
        <v>46</v>
      </c>
      <c r="E19" s="130" t="str">
        <f>VLOOKUP(D19,Data!H:I,2,0)</f>
        <v>Ankara</v>
      </c>
      <c r="F19" s="115" t="s">
        <v>108</v>
      </c>
      <c r="G19" s="115" t="b">
        <v>1</v>
      </c>
      <c r="H19" s="115" t="b">
        <v>1</v>
      </c>
      <c r="I19" s="115" t="b">
        <v>1</v>
      </c>
      <c r="J19" s="115" t="b">
        <v>1</v>
      </c>
      <c r="K19" s="115" t="b">
        <v>1</v>
      </c>
      <c r="L19" s="117">
        <f t="shared" si="1"/>
        <v>5</v>
      </c>
      <c r="M19" s="117">
        <f t="shared" si="2"/>
        <v>20</v>
      </c>
      <c r="N19" s="118"/>
      <c r="O19" s="113"/>
    </row>
    <row r="20" ht="15.0" customHeight="1">
      <c r="A20" s="112"/>
      <c r="B20" s="112"/>
      <c r="C20" s="112"/>
      <c r="D20" s="119" t="s">
        <v>48</v>
      </c>
      <c r="E20" s="130" t="str">
        <f>VLOOKUP(D20,Data!H:I,2,0)</f>
        <v>Ankara</v>
      </c>
      <c r="F20" s="115" t="s">
        <v>108</v>
      </c>
      <c r="G20" s="115" t="b">
        <v>1</v>
      </c>
      <c r="H20" s="115" t="b">
        <v>1</v>
      </c>
      <c r="I20" s="115" t="b">
        <v>1</v>
      </c>
      <c r="J20" s="115" t="b">
        <v>1</v>
      </c>
      <c r="K20" s="115" t="b">
        <v>1</v>
      </c>
      <c r="L20" s="117">
        <f t="shared" si="1"/>
        <v>5</v>
      </c>
      <c r="M20" s="117">
        <f t="shared" si="2"/>
        <v>20</v>
      </c>
      <c r="N20" s="88"/>
      <c r="O20" s="88"/>
    </row>
    <row r="21" ht="15.0" customHeight="1">
      <c r="A21" s="112"/>
      <c r="B21" s="112"/>
      <c r="C21" s="112"/>
      <c r="D21" s="131" t="s">
        <v>47</v>
      </c>
      <c r="E21" s="130" t="str">
        <f>VLOOKUP(D21,Data!H:I,2,0)</f>
        <v>Ankara</v>
      </c>
      <c r="F21" s="115" t="s">
        <v>108</v>
      </c>
      <c r="G21" s="115" t="b">
        <v>1</v>
      </c>
      <c r="H21" s="115" t="b">
        <v>1</v>
      </c>
      <c r="I21" s="115" t="b">
        <v>1</v>
      </c>
      <c r="J21" s="115" t="b">
        <v>1</v>
      </c>
      <c r="K21" s="115" t="b">
        <v>1</v>
      </c>
      <c r="L21" s="117">
        <f t="shared" si="1"/>
        <v>5</v>
      </c>
      <c r="M21" s="117">
        <f t="shared" si="2"/>
        <v>20</v>
      </c>
      <c r="N21" s="88"/>
      <c r="O21" s="88"/>
    </row>
    <row r="22" ht="15.0" customHeight="1">
      <c r="A22" s="112"/>
      <c r="B22" s="112"/>
      <c r="C22" s="112"/>
      <c r="D22" s="132" t="s">
        <v>49</v>
      </c>
      <c r="E22" s="130" t="str">
        <f>VLOOKUP(D22,Data!H:I,2,0)</f>
        <v>Antalya</v>
      </c>
      <c r="F22" s="115"/>
      <c r="G22" s="115" t="b">
        <v>0</v>
      </c>
      <c r="H22" s="115" t="b">
        <v>0</v>
      </c>
      <c r="I22" s="115" t="b">
        <v>0</v>
      </c>
      <c r="J22" s="115" t="b">
        <v>0</v>
      </c>
      <c r="K22" s="115" t="b">
        <v>0</v>
      </c>
      <c r="L22" s="117">
        <f t="shared" si="1"/>
        <v>0</v>
      </c>
      <c r="M22" s="117">
        <f t="shared" si="2"/>
        <v>0</v>
      </c>
      <c r="N22" s="88"/>
      <c r="O22" s="88"/>
    </row>
    <row r="23" ht="15.0" customHeight="1">
      <c r="A23" s="120"/>
      <c r="B23" s="120"/>
      <c r="C23" s="120"/>
      <c r="D23" s="129" t="s">
        <v>50</v>
      </c>
      <c r="E23" s="130" t="str">
        <f>VLOOKUP(D23,Data!H:I,2,0)</f>
        <v>Antalya</v>
      </c>
      <c r="F23" s="115"/>
      <c r="G23" s="115" t="b">
        <v>1</v>
      </c>
      <c r="H23" s="115" t="b">
        <v>0</v>
      </c>
      <c r="I23" s="115" t="b">
        <v>0</v>
      </c>
      <c r="J23" s="115" t="b">
        <v>0</v>
      </c>
      <c r="K23" s="115" t="b">
        <v>0</v>
      </c>
      <c r="L23" s="117">
        <f t="shared" si="1"/>
        <v>1</v>
      </c>
      <c r="M23" s="117">
        <f t="shared" si="2"/>
        <v>4</v>
      </c>
      <c r="N23" s="120"/>
      <c r="O23" s="120"/>
    </row>
    <row r="24" ht="15.0" customHeight="1">
      <c r="A24" s="120"/>
      <c r="B24" s="120"/>
      <c r="C24" s="120"/>
      <c r="D24" s="129" t="s">
        <v>109</v>
      </c>
      <c r="E24" s="133" t="s">
        <v>110</v>
      </c>
      <c r="F24" s="115"/>
      <c r="G24" s="115" t="b">
        <v>0</v>
      </c>
      <c r="H24" s="115" t="b">
        <v>0</v>
      </c>
      <c r="I24" s="115" t="b">
        <v>0</v>
      </c>
      <c r="J24" s="115" t="b">
        <v>1</v>
      </c>
      <c r="K24" s="115" t="b">
        <v>1</v>
      </c>
      <c r="L24" s="117">
        <f t="shared" si="1"/>
        <v>2</v>
      </c>
      <c r="M24" s="117">
        <f t="shared" si="2"/>
        <v>8</v>
      </c>
      <c r="N24" s="120"/>
      <c r="O24" s="120"/>
    </row>
    <row r="25" ht="15.0" customHeight="1">
      <c r="A25" s="121"/>
      <c r="B25" s="121"/>
      <c r="C25" s="121"/>
      <c r="D25" s="129" t="s">
        <v>51</v>
      </c>
      <c r="E25" s="130" t="str">
        <f>VLOOKUP(D25,Data!H:I,2,0)</f>
        <v>Aydın</v>
      </c>
      <c r="F25" s="115"/>
      <c r="G25" s="115" t="b">
        <v>0</v>
      </c>
      <c r="H25" s="115" t="b">
        <v>1</v>
      </c>
      <c r="I25" s="115" t="b">
        <v>1</v>
      </c>
      <c r="J25" s="115" t="b">
        <v>0</v>
      </c>
      <c r="K25" s="115" t="b">
        <v>0</v>
      </c>
      <c r="L25" s="117">
        <f t="shared" si="1"/>
        <v>2</v>
      </c>
      <c r="M25" s="117">
        <f t="shared" si="2"/>
        <v>8</v>
      </c>
      <c r="N25" s="121"/>
      <c r="O25" s="121"/>
    </row>
    <row r="26" ht="15.0" customHeight="1">
      <c r="A26" s="122"/>
      <c r="B26" s="122"/>
      <c r="C26" s="122"/>
      <c r="D26" s="132" t="s">
        <v>52</v>
      </c>
      <c r="E26" s="130" t="str">
        <f>VLOOKUP(D26,Data!H:I,2,0)</f>
        <v>Bursa</v>
      </c>
      <c r="F26" s="115"/>
      <c r="G26" s="115" t="b">
        <v>1</v>
      </c>
      <c r="H26" s="115" t="b">
        <v>1</v>
      </c>
      <c r="I26" s="115" t="b">
        <v>1</v>
      </c>
      <c r="J26" s="115" t="b">
        <v>1</v>
      </c>
      <c r="K26" s="115" t="b">
        <v>1</v>
      </c>
      <c r="L26" s="117">
        <f t="shared" si="1"/>
        <v>5</v>
      </c>
      <c r="M26" s="117">
        <f t="shared" si="2"/>
        <v>20</v>
      </c>
      <c r="N26" s="122"/>
      <c r="O26" s="122"/>
    </row>
    <row r="27" ht="15.0" customHeight="1">
      <c r="A27" s="106"/>
      <c r="B27" s="106"/>
      <c r="C27" s="106"/>
      <c r="D27" s="129" t="s">
        <v>53</v>
      </c>
      <c r="E27" s="130" t="str">
        <f>VLOOKUP(D27,Data!H:I,2,0)</f>
        <v>Bursa</v>
      </c>
      <c r="F27" s="123"/>
      <c r="G27" s="115" t="b">
        <v>1</v>
      </c>
      <c r="H27" s="115" t="b">
        <v>1</v>
      </c>
      <c r="I27" s="115" t="b">
        <v>1</v>
      </c>
      <c r="J27" s="115" t="b">
        <v>1</v>
      </c>
      <c r="K27" s="115" t="b">
        <v>1</v>
      </c>
      <c r="L27" s="117">
        <f t="shared" si="1"/>
        <v>5</v>
      </c>
      <c r="M27" s="117">
        <f t="shared" si="2"/>
        <v>20</v>
      </c>
      <c r="N27" s="106"/>
      <c r="O27" s="106"/>
    </row>
    <row r="28" ht="15.0" customHeight="1">
      <c r="A28" s="112"/>
      <c r="B28" s="112"/>
      <c r="C28" s="112"/>
      <c r="D28" s="132" t="s">
        <v>54</v>
      </c>
      <c r="E28" s="130" t="str">
        <f>VLOOKUP(D28,Data!H:I,2,0)</f>
        <v>Diyarbakır</v>
      </c>
      <c r="F28" s="115"/>
      <c r="G28" s="115" t="b">
        <v>1</v>
      </c>
      <c r="H28" s="115" t="b">
        <v>1</v>
      </c>
      <c r="I28" s="115" t="b">
        <v>1</v>
      </c>
      <c r="J28" s="115" t="b">
        <v>1</v>
      </c>
      <c r="K28" s="115" t="b">
        <v>0</v>
      </c>
      <c r="L28" s="117">
        <f t="shared" si="1"/>
        <v>4</v>
      </c>
      <c r="M28" s="117">
        <f t="shared" si="2"/>
        <v>16</v>
      </c>
      <c r="N28" s="112"/>
      <c r="O28" s="112"/>
    </row>
    <row r="29" ht="15.0" customHeight="1">
      <c r="A29" s="112"/>
      <c r="B29" s="112"/>
      <c r="C29" s="112"/>
      <c r="D29" s="132" t="s">
        <v>55</v>
      </c>
      <c r="E29" s="130" t="str">
        <f>VLOOKUP(D29,Data!H:I,2,0)</f>
        <v>Erzurum</v>
      </c>
      <c r="F29" s="115"/>
      <c r="G29" s="115" t="b">
        <v>1</v>
      </c>
      <c r="H29" s="115" t="b">
        <v>1</v>
      </c>
      <c r="I29" s="115" t="b">
        <v>1</v>
      </c>
      <c r="J29" s="115" t="b">
        <v>1</v>
      </c>
      <c r="K29" s="115" t="b">
        <v>0</v>
      </c>
      <c r="L29" s="117">
        <f t="shared" si="1"/>
        <v>4</v>
      </c>
      <c r="M29" s="117">
        <f t="shared" si="2"/>
        <v>16</v>
      </c>
      <c r="N29" s="112"/>
      <c r="O29" s="112"/>
    </row>
    <row r="30" ht="15.0" customHeight="1">
      <c r="A30" s="112"/>
      <c r="B30" s="112"/>
      <c r="C30" s="112"/>
      <c r="D30" s="132" t="s">
        <v>56</v>
      </c>
      <c r="E30" s="130" t="str">
        <f>VLOOKUP(D30,Data!H:I,2,0)</f>
        <v>Gaziantep</v>
      </c>
      <c r="F30" s="115"/>
      <c r="G30" s="115" t="b">
        <v>1</v>
      </c>
      <c r="H30" s="115" t="b">
        <v>1</v>
      </c>
      <c r="I30" s="115" t="b">
        <v>1</v>
      </c>
      <c r="J30" s="115" t="b">
        <v>1</v>
      </c>
      <c r="K30" s="115" t="b">
        <v>1</v>
      </c>
      <c r="L30" s="117">
        <f t="shared" si="1"/>
        <v>5</v>
      </c>
      <c r="M30" s="117">
        <f t="shared" si="2"/>
        <v>20</v>
      </c>
      <c r="N30" s="112"/>
      <c r="O30" s="112"/>
    </row>
    <row r="31" ht="15.0" customHeight="1">
      <c r="A31" s="112"/>
      <c r="B31" s="112"/>
      <c r="C31" s="112"/>
      <c r="D31" s="134" t="s">
        <v>57</v>
      </c>
      <c r="E31" s="130" t="str">
        <f>VLOOKUP(D31,Data!H:I,2,0)</f>
        <v>Isparta</v>
      </c>
      <c r="F31" s="115"/>
      <c r="G31" s="115" t="b">
        <v>0</v>
      </c>
      <c r="H31" s="115" t="b">
        <v>0</v>
      </c>
      <c r="I31" s="115" t="b">
        <v>0</v>
      </c>
      <c r="J31" s="115" t="b">
        <v>0</v>
      </c>
      <c r="K31" s="115" t="b">
        <v>0</v>
      </c>
      <c r="L31" s="117">
        <f t="shared" si="1"/>
        <v>0</v>
      </c>
      <c r="M31" s="117">
        <f t="shared" si="2"/>
        <v>0</v>
      </c>
      <c r="N31" s="112"/>
      <c r="O31" s="112"/>
    </row>
    <row r="32" ht="15.0" customHeight="1">
      <c r="A32" s="112"/>
      <c r="B32" s="112"/>
      <c r="C32" s="112"/>
      <c r="D32" s="132" t="s">
        <v>63</v>
      </c>
      <c r="E32" s="130" t="str">
        <f>VLOOKUP(D32,Data!H:I,2,0)</f>
        <v>İstanbul</v>
      </c>
      <c r="F32" s="115" t="s">
        <v>64</v>
      </c>
      <c r="G32" s="115" t="b">
        <v>1</v>
      </c>
      <c r="H32" s="115" t="b">
        <v>1</v>
      </c>
      <c r="I32" s="115" t="b">
        <v>1</v>
      </c>
      <c r="J32" s="115" t="b">
        <v>1</v>
      </c>
      <c r="K32" s="115" t="b">
        <v>0</v>
      </c>
      <c r="L32" s="117">
        <f t="shared" si="1"/>
        <v>4</v>
      </c>
      <c r="M32" s="117">
        <f t="shared" si="2"/>
        <v>16</v>
      </c>
      <c r="N32" s="112"/>
      <c r="O32" s="112"/>
    </row>
    <row r="33" ht="15.0" customHeight="1">
      <c r="A33" s="112"/>
      <c r="B33" s="112"/>
      <c r="C33" s="112"/>
      <c r="D33" s="132" t="s">
        <v>65</v>
      </c>
      <c r="E33" s="130" t="str">
        <f>VLOOKUP(D33,Data!H:I,2,0)</f>
        <v>İstanbul</v>
      </c>
      <c r="F33" s="115" t="s">
        <v>64</v>
      </c>
      <c r="G33" s="115" t="b">
        <v>1</v>
      </c>
      <c r="H33" s="115" t="b">
        <v>1</v>
      </c>
      <c r="I33" s="115" t="b">
        <v>1</v>
      </c>
      <c r="J33" s="115" t="b">
        <v>1</v>
      </c>
      <c r="K33" s="115" t="b">
        <v>0</v>
      </c>
      <c r="L33" s="117">
        <f t="shared" si="1"/>
        <v>4</v>
      </c>
      <c r="M33" s="117">
        <f t="shared" si="2"/>
        <v>16</v>
      </c>
      <c r="N33" s="112"/>
      <c r="O33" s="112"/>
    </row>
    <row r="34" ht="15.0" customHeight="1">
      <c r="A34" s="112"/>
      <c r="B34" s="112"/>
      <c r="C34" s="112"/>
      <c r="D34" s="132" t="s">
        <v>67</v>
      </c>
      <c r="E34" s="130" t="str">
        <f>VLOOKUP(D34,Data!H:I,2,0)</f>
        <v>İstanbul</v>
      </c>
      <c r="F34" s="115" t="s">
        <v>64</v>
      </c>
      <c r="G34" s="115" t="b">
        <v>0</v>
      </c>
      <c r="H34" s="115" t="b">
        <v>0</v>
      </c>
      <c r="I34" s="115" t="b">
        <v>0</v>
      </c>
      <c r="J34" s="115" t="b">
        <v>0</v>
      </c>
      <c r="K34" s="115" t="b">
        <v>0</v>
      </c>
      <c r="L34" s="117">
        <f t="shared" si="1"/>
        <v>0</v>
      </c>
      <c r="M34" s="117">
        <f t="shared" si="2"/>
        <v>0</v>
      </c>
      <c r="N34" s="112"/>
      <c r="O34" s="112"/>
    </row>
    <row r="35" ht="15.0" customHeight="1">
      <c r="A35" s="112"/>
      <c r="B35" s="112"/>
      <c r="C35" s="112"/>
      <c r="D35" s="132" t="s">
        <v>71</v>
      </c>
      <c r="E35" s="130" t="str">
        <f>VLOOKUP(D35,Data!H:I,2,0)</f>
        <v>İstanbul</v>
      </c>
      <c r="F35" s="115" t="s">
        <v>64</v>
      </c>
      <c r="G35" s="115" t="b">
        <v>1</v>
      </c>
      <c r="H35" s="115" t="b">
        <v>1</v>
      </c>
      <c r="I35" s="115" t="b">
        <v>1</v>
      </c>
      <c r="J35" s="115" t="b">
        <v>1</v>
      </c>
      <c r="K35" s="115" t="b">
        <v>1</v>
      </c>
      <c r="L35" s="117">
        <f t="shared" si="1"/>
        <v>5</v>
      </c>
      <c r="M35" s="117">
        <f t="shared" si="2"/>
        <v>20</v>
      </c>
      <c r="N35" s="112"/>
      <c r="O35" s="112"/>
    </row>
    <row r="36" ht="15.0" customHeight="1">
      <c r="A36" s="120"/>
      <c r="B36" s="120"/>
      <c r="C36" s="120"/>
      <c r="D36" s="132" t="s">
        <v>72</v>
      </c>
      <c r="E36" s="130" t="str">
        <f>VLOOKUP(D36,Data!H:I,2,0)</f>
        <v>İstanbul</v>
      </c>
      <c r="F36" s="115" t="s">
        <v>64</v>
      </c>
      <c r="G36" s="115" t="b">
        <v>1</v>
      </c>
      <c r="H36" s="115" t="b">
        <v>0</v>
      </c>
      <c r="I36" s="115" t="b">
        <v>1</v>
      </c>
      <c r="J36" s="115" t="b">
        <v>1</v>
      </c>
      <c r="K36" s="115" t="b">
        <v>1</v>
      </c>
      <c r="L36" s="117">
        <f t="shared" si="1"/>
        <v>4</v>
      </c>
      <c r="M36" s="117">
        <f t="shared" si="2"/>
        <v>16</v>
      </c>
      <c r="N36" s="120"/>
      <c r="O36" s="120"/>
    </row>
    <row r="37" ht="15.0" customHeight="1">
      <c r="A37" s="121"/>
      <c r="B37" s="121"/>
      <c r="C37" s="121"/>
      <c r="D37" s="132" t="s">
        <v>73</v>
      </c>
      <c r="E37" s="130" t="str">
        <f>VLOOKUP(D37,Data!H:I,2,0)</f>
        <v>İstanbul</v>
      </c>
      <c r="F37" s="115" t="s">
        <v>64</v>
      </c>
      <c r="G37" s="115" t="b">
        <v>0</v>
      </c>
      <c r="H37" s="115" t="b">
        <v>0</v>
      </c>
      <c r="I37" s="115" t="b">
        <v>0</v>
      </c>
      <c r="J37" s="115" t="b">
        <v>0</v>
      </c>
      <c r="K37" s="115" t="b">
        <v>0</v>
      </c>
      <c r="L37" s="117">
        <f t="shared" si="1"/>
        <v>0</v>
      </c>
      <c r="M37" s="117">
        <f t="shared" si="2"/>
        <v>0</v>
      </c>
      <c r="N37" s="121"/>
      <c r="O37" s="121"/>
    </row>
    <row r="38" ht="15.0" customHeight="1">
      <c r="A38" s="122"/>
      <c r="B38" s="122"/>
      <c r="C38" s="122"/>
      <c r="D38" s="132" t="s">
        <v>74</v>
      </c>
      <c r="E38" s="130" t="str">
        <f>VLOOKUP(D38,Data!H:I,2,0)</f>
        <v>İstanbul</v>
      </c>
      <c r="F38" s="115" t="s">
        <v>64</v>
      </c>
      <c r="G38" s="115" t="b">
        <v>1</v>
      </c>
      <c r="H38" s="115" t="b">
        <v>1</v>
      </c>
      <c r="I38" s="115" t="b">
        <v>1</v>
      </c>
      <c r="J38" s="115" t="b">
        <v>1</v>
      </c>
      <c r="K38" s="115" t="b">
        <v>1</v>
      </c>
      <c r="L38" s="117">
        <f t="shared" si="1"/>
        <v>5</v>
      </c>
      <c r="M38" s="117">
        <f t="shared" si="2"/>
        <v>20</v>
      </c>
      <c r="N38" s="122"/>
      <c r="O38" s="122"/>
    </row>
    <row r="39" ht="15.0" customHeight="1">
      <c r="A39" s="124"/>
      <c r="B39" s="124"/>
      <c r="C39" s="124"/>
      <c r="D39" s="132" t="s">
        <v>82</v>
      </c>
      <c r="E39" s="130" t="str">
        <f>VLOOKUP(D39,Data!H:I,2,0)</f>
        <v>İstanbul</v>
      </c>
      <c r="F39" s="115" t="s">
        <v>64</v>
      </c>
      <c r="G39" s="115" t="b">
        <v>1</v>
      </c>
      <c r="H39" s="115" t="b">
        <v>1</v>
      </c>
      <c r="I39" s="115" t="b">
        <v>1</v>
      </c>
      <c r="J39" s="115" t="b">
        <v>0</v>
      </c>
      <c r="K39" s="115" t="b">
        <v>0</v>
      </c>
      <c r="L39" s="117">
        <f t="shared" si="1"/>
        <v>3</v>
      </c>
      <c r="M39" s="117">
        <f t="shared" si="2"/>
        <v>12</v>
      </c>
      <c r="N39" s="124"/>
      <c r="O39" s="124"/>
    </row>
    <row r="40" ht="15.0" customHeight="1">
      <c r="A40" s="112"/>
      <c r="B40" s="112"/>
      <c r="C40" s="112"/>
      <c r="D40" s="132" t="s">
        <v>85</v>
      </c>
      <c r="E40" s="130" t="str">
        <f>VLOOKUP(D40,Data!H:I,2,0)</f>
        <v>İstanbul</v>
      </c>
      <c r="F40" s="115" t="s">
        <v>64</v>
      </c>
      <c r="G40" s="115" t="b">
        <v>0</v>
      </c>
      <c r="H40" s="115" t="b">
        <v>0</v>
      </c>
      <c r="I40" s="115" t="b">
        <v>0</v>
      </c>
      <c r="J40" s="115" t="b">
        <v>0</v>
      </c>
      <c r="K40" s="115" t="b">
        <v>0</v>
      </c>
      <c r="L40" s="117">
        <f t="shared" si="1"/>
        <v>0</v>
      </c>
      <c r="M40" s="117">
        <f t="shared" si="2"/>
        <v>0</v>
      </c>
      <c r="N40" s="112"/>
      <c r="O40" s="112"/>
    </row>
    <row r="41" ht="15.0" customHeight="1">
      <c r="A41" s="112"/>
      <c r="B41" s="112"/>
      <c r="C41" s="112"/>
      <c r="D41" s="132" t="s">
        <v>89</v>
      </c>
      <c r="E41" s="130" t="str">
        <f>VLOOKUP(D41,Data!H:I,2,0)</f>
        <v>İstanbul</v>
      </c>
      <c r="F41" s="115" t="s">
        <v>64</v>
      </c>
      <c r="G41" s="115" t="b">
        <v>0</v>
      </c>
      <c r="H41" s="115" t="b">
        <v>1</v>
      </c>
      <c r="I41" s="115" t="b">
        <v>1</v>
      </c>
      <c r="J41" s="115" t="b">
        <v>1</v>
      </c>
      <c r="K41" s="115" t="b">
        <v>1</v>
      </c>
      <c r="L41" s="117">
        <f t="shared" si="1"/>
        <v>4</v>
      </c>
      <c r="M41" s="117">
        <f t="shared" si="2"/>
        <v>16</v>
      </c>
      <c r="N41" s="112"/>
      <c r="O41" s="112"/>
    </row>
    <row r="42" ht="15.0" customHeight="1">
      <c r="A42" s="112"/>
      <c r="B42" s="112"/>
      <c r="C42" s="112"/>
      <c r="D42" s="129" t="s">
        <v>58</v>
      </c>
      <c r="E42" s="130" t="str">
        <f>VLOOKUP(D42,Data!H:I,2,0)</f>
        <v>İstanbul</v>
      </c>
      <c r="F42" s="115" t="s">
        <v>59</v>
      </c>
      <c r="G42" s="115" t="b">
        <v>1</v>
      </c>
      <c r="H42" s="115" t="b">
        <v>1</v>
      </c>
      <c r="I42" s="115" t="b">
        <v>1</v>
      </c>
      <c r="J42" s="115" t="b">
        <v>1</v>
      </c>
      <c r="K42" s="115" t="b">
        <v>1</v>
      </c>
      <c r="L42" s="117">
        <f t="shared" si="1"/>
        <v>5</v>
      </c>
      <c r="M42" s="117">
        <f t="shared" si="2"/>
        <v>20</v>
      </c>
      <c r="N42" s="112"/>
      <c r="O42" s="112"/>
    </row>
    <row r="43" ht="15.0" customHeight="1">
      <c r="A43" s="112"/>
      <c r="B43" s="112"/>
      <c r="C43" s="112"/>
      <c r="D43" s="129" t="s">
        <v>66</v>
      </c>
      <c r="E43" s="130" t="str">
        <f>VLOOKUP(D43,Data!H:I,2,0)</f>
        <v>İstanbul</v>
      </c>
      <c r="F43" s="115" t="s">
        <v>59</v>
      </c>
      <c r="G43" s="115" t="b">
        <v>1</v>
      </c>
      <c r="H43" s="115" t="b">
        <v>0</v>
      </c>
      <c r="I43" s="115" t="b">
        <v>1</v>
      </c>
      <c r="J43" s="115" t="b">
        <v>1</v>
      </c>
      <c r="K43" s="115" t="b">
        <v>1</v>
      </c>
      <c r="L43" s="117">
        <f t="shared" si="1"/>
        <v>4</v>
      </c>
      <c r="M43" s="117">
        <f t="shared" si="2"/>
        <v>16</v>
      </c>
      <c r="N43" s="112"/>
      <c r="O43" s="112"/>
    </row>
    <row r="44" ht="15.0" customHeight="1">
      <c r="A44" s="112"/>
      <c r="B44" s="112"/>
      <c r="C44" s="112"/>
      <c r="D44" s="129" t="s">
        <v>68</v>
      </c>
      <c r="E44" s="130" t="str">
        <f>VLOOKUP(D44,Data!H:I,2,0)</f>
        <v>İstanbul</v>
      </c>
      <c r="F44" s="115" t="s">
        <v>59</v>
      </c>
      <c r="G44" s="115" t="b">
        <v>0</v>
      </c>
      <c r="H44" s="115" t="b">
        <v>0</v>
      </c>
      <c r="I44" s="115" t="b">
        <v>0</v>
      </c>
      <c r="J44" s="115" t="b">
        <v>0</v>
      </c>
      <c r="K44" s="115" t="b">
        <v>0</v>
      </c>
      <c r="L44" s="117">
        <f t="shared" si="1"/>
        <v>0</v>
      </c>
      <c r="M44" s="117">
        <f t="shared" si="2"/>
        <v>0</v>
      </c>
      <c r="N44" s="112"/>
      <c r="O44" s="112"/>
    </row>
    <row r="45" ht="15.0" customHeight="1">
      <c r="A45" s="112"/>
      <c r="B45" s="112"/>
      <c r="C45" s="112"/>
      <c r="D45" s="129" t="s">
        <v>70</v>
      </c>
      <c r="E45" s="130" t="str">
        <f>VLOOKUP(D45,Data!H:I,2,0)</f>
        <v>İstanbul</v>
      </c>
      <c r="F45" s="115" t="s">
        <v>59</v>
      </c>
      <c r="G45" s="115" t="b">
        <v>0</v>
      </c>
      <c r="H45" s="115" t="b">
        <v>0</v>
      </c>
      <c r="I45" s="115" t="b">
        <v>0</v>
      </c>
      <c r="J45" s="115" t="b">
        <v>0</v>
      </c>
      <c r="K45" s="115" t="b">
        <v>0</v>
      </c>
      <c r="L45" s="117">
        <f t="shared" si="1"/>
        <v>0</v>
      </c>
      <c r="M45" s="117">
        <f t="shared" si="2"/>
        <v>0</v>
      </c>
      <c r="N45" s="112"/>
      <c r="O45" s="112"/>
    </row>
    <row r="46" ht="15.0" customHeight="1">
      <c r="A46" s="112"/>
      <c r="B46" s="112"/>
      <c r="C46" s="112"/>
      <c r="D46" s="129" t="s">
        <v>75</v>
      </c>
      <c r="E46" s="130" t="str">
        <f>VLOOKUP(D46,Data!H:I,2,0)</f>
        <v>İstanbul</v>
      </c>
      <c r="F46" s="115" t="s">
        <v>59</v>
      </c>
      <c r="G46" s="115" t="b">
        <v>1</v>
      </c>
      <c r="H46" s="115" t="b">
        <v>1</v>
      </c>
      <c r="I46" s="115" t="b">
        <v>1</v>
      </c>
      <c r="J46" s="115" t="b">
        <v>0</v>
      </c>
      <c r="K46" s="115" t="b">
        <v>0</v>
      </c>
      <c r="L46" s="117">
        <f t="shared" si="1"/>
        <v>3</v>
      </c>
      <c r="M46" s="117">
        <f t="shared" si="2"/>
        <v>12</v>
      </c>
      <c r="N46" s="112"/>
      <c r="O46" s="112"/>
    </row>
    <row r="47" ht="15.0" customHeight="1">
      <c r="A47" s="112"/>
      <c r="B47" s="112"/>
      <c r="C47" s="112"/>
      <c r="D47" s="129" t="s">
        <v>76</v>
      </c>
      <c r="E47" s="130" t="str">
        <f>VLOOKUP(D47,Data!H:I,2,0)</f>
        <v>İstanbul</v>
      </c>
      <c r="F47" s="115" t="s">
        <v>59</v>
      </c>
      <c r="G47" s="115" t="b">
        <v>0</v>
      </c>
      <c r="H47" s="115" t="b">
        <v>0</v>
      </c>
      <c r="I47" s="115" t="b">
        <v>0</v>
      </c>
      <c r="J47" s="115" t="b">
        <v>0</v>
      </c>
      <c r="K47" s="115" t="b">
        <v>0</v>
      </c>
      <c r="L47" s="117">
        <f t="shared" si="1"/>
        <v>0</v>
      </c>
      <c r="M47" s="117">
        <f t="shared" si="2"/>
        <v>0</v>
      </c>
      <c r="N47" s="112"/>
      <c r="O47" s="112"/>
    </row>
    <row r="48" ht="15.0" customHeight="1">
      <c r="A48" s="125"/>
      <c r="B48" s="125"/>
      <c r="C48" s="125"/>
      <c r="D48" s="129" t="s">
        <v>77</v>
      </c>
      <c r="E48" s="130" t="str">
        <f>VLOOKUP(D48,Data!H:I,2,0)</f>
        <v>İstanbul</v>
      </c>
      <c r="F48" s="115" t="s">
        <v>59</v>
      </c>
      <c r="G48" s="115" t="b">
        <v>0</v>
      </c>
      <c r="H48" s="115" t="b">
        <v>1</v>
      </c>
      <c r="I48" s="115" t="b">
        <v>1</v>
      </c>
      <c r="J48" s="115" t="b">
        <v>1</v>
      </c>
      <c r="K48" s="115" t="b">
        <v>0</v>
      </c>
      <c r="L48" s="117">
        <f t="shared" si="1"/>
        <v>3</v>
      </c>
      <c r="M48" s="117">
        <f t="shared" si="2"/>
        <v>12</v>
      </c>
      <c r="N48" s="125"/>
      <c r="O48" s="125"/>
    </row>
    <row r="49" ht="15.0" customHeight="1">
      <c r="A49" s="126"/>
      <c r="B49" s="126"/>
      <c r="C49" s="126"/>
      <c r="D49" s="129" t="s">
        <v>78</v>
      </c>
      <c r="E49" s="130" t="str">
        <f>VLOOKUP(D49,Data!H:I,2,0)</f>
        <v>İstanbul</v>
      </c>
      <c r="F49" s="115" t="s">
        <v>59</v>
      </c>
      <c r="G49" s="115" t="b">
        <v>1</v>
      </c>
      <c r="H49" s="115" t="b">
        <v>1</v>
      </c>
      <c r="I49" s="115" t="b">
        <v>1</v>
      </c>
      <c r="J49" s="115" t="b">
        <v>0</v>
      </c>
      <c r="K49" s="115" t="b">
        <v>1</v>
      </c>
      <c r="L49" s="117">
        <f t="shared" si="1"/>
        <v>4</v>
      </c>
      <c r="M49" s="117">
        <f t="shared" si="2"/>
        <v>16</v>
      </c>
      <c r="N49" s="126"/>
      <c r="O49" s="126"/>
    </row>
    <row r="50" ht="15.0" customHeight="1">
      <c r="A50" s="122"/>
      <c r="B50" s="122"/>
      <c r="C50" s="122"/>
      <c r="D50" s="129" t="s">
        <v>79</v>
      </c>
      <c r="E50" s="130" t="str">
        <f>VLOOKUP(D50,Data!H:I,2,0)</f>
        <v>İstanbul</v>
      </c>
      <c r="F50" s="115" t="s">
        <v>59</v>
      </c>
      <c r="G50" s="115" t="b">
        <v>1</v>
      </c>
      <c r="H50" s="115" t="b">
        <v>1</v>
      </c>
      <c r="I50" s="115" t="b">
        <v>1</v>
      </c>
      <c r="J50" s="115" t="b">
        <v>1</v>
      </c>
      <c r="K50" s="115" t="b">
        <v>1</v>
      </c>
      <c r="L50" s="117">
        <f t="shared" si="1"/>
        <v>5</v>
      </c>
      <c r="M50" s="117">
        <f t="shared" si="2"/>
        <v>20</v>
      </c>
      <c r="N50" s="122"/>
      <c r="O50" s="122"/>
    </row>
    <row r="51" ht="15.0" customHeight="1">
      <c r="A51" s="124"/>
      <c r="B51" s="124"/>
      <c r="C51" s="124"/>
      <c r="D51" s="129" t="s">
        <v>80</v>
      </c>
      <c r="E51" s="130" t="str">
        <f>VLOOKUP(D51,Data!H:I,2,0)</f>
        <v>İstanbul</v>
      </c>
      <c r="F51" s="115" t="s">
        <v>59</v>
      </c>
      <c r="G51" s="115" t="b">
        <v>1</v>
      </c>
      <c r="H51" s="115" t="b">
        <v>1</v>
      </c>
      <c r="I51" s="115" t="b">
        <v>1</v>
      </c>
      <c r="J51" s="115" t="b">
        <v>1</v>
      </c>
      <c r="K51" s="115" t="b">
        <v>1</v>
      </c>
      <c r="L51" s="117">
        <f t="shared" si="1"/>
        <v>5</v>
      </c>
      <c r="M51" s="117">
        <f t="shared" si="2"/>
        <v>20</v>
      </c>
      <c r="N51" s="124"/>
      <c r="O51" s="124"/>
    </row>
    <row r="52" ht="15.0" customHeight="1">
      <c r="A52" s="112"/>
      <c r="B52" s="112"/>
      <c r="C52" s="112"/>
      <c r="D52" s="129" t="s">
        <v>81</v>
      </c>
      <c r="E52" s="130" t="str">
        <f>VLOOKUP(D52,Data!H:I,2,0)</f>
        <v>İstanbul</v>
      </c>
      <c r="F52" s="115" t="s">
        <v>59</v>
      </c>
      <c r="G52" s="115" t="b">
        <v>0</v>
      </c>
      <c r="H52" s="115" t="b">
        <v>1</v>
      </c>
      <c r="I52" s="115" t="b">
        <v>1</v>
      </c>
      <c r="J52" s="115" t="b">
        <v>1</v>
      </c>
      <c r="K52" s="115" t="b">
        <v>0</v>
      </c>
      <c r="L52" s="117">
        <f t="shared" si="1"/>
        <v>3</v>
      </c>
      <c r="M52" s="117">
        <f t="shared" si="2"/>
        <v>12</v>
      </c>
      <c r="N52" s="112"/>
      <c r="O52" s="112"/>
    </row>
    <row r="53" ht="15.0" customHeight="1">
      <c r="A53" s="112"/>
      <c r="B53" s="112"/>
      <c r="C53" s="112"/>
      <c r="D53" s="129" t="s">
        <v>86</v>
      </c>
      <c r="E53" s="130" t="str">
        <f>VLOOKUP(D53,Data!H:I,2,0)</f>
        <v>İstanbul</v>
      </c>
      <c r="F53" s="115" t="s">
        <v>59</v>
      </c>
      <c r="G53" s="115" t="b">
        <v>1</v>
      </c>
      <c r="H53" s="115" t="b">
        <v>1</v>
      </c>
      <c r="I53" s="115" t="b">
        <v>1</v>
      </c>
      <c r="J53" s="115" t="b">
        <v>0</v>
      </c>
      <c r="K53" s="115" t="b">
        <v>0</v>
      </c>
      <c r="L53" s="117">
        <f t="shared" si="1"/>
        <v>3</v>
      </c>
      <c r="M53" s="117">
        <f t="shared" si="2"/>
        <v>12</v>
      </c>
      <c r="N53" s="112"/>
      <c r="O53" s="112"/>
    </row>
    <row r="54" ht="15.0" customHeight="1">
      <c r="A54" s="112"/>
      <c r="B54" s="112"/>
      <c r="C54" s="112"/>
      <c r="D54" s="129" t="s">
        <v>87</v>
      </c>
      <c r="E54" s="130" t="str">
        <f>VLOOKUP(D54,Data!H:I,2,0)</f>
        <v>İstanbul</v>
      </c>
      <c r="F54" s="115" t="s">
        <v>59</v>
      </c>
      <c r="G54" s="115" t="b">
        <v>1</v>
      </c>
      <c r="H54" s="115" t="b">
        <v>1</v>
      </c>
      <c r="I54" s="115" t="b">
        <v>1</v>
      </c>
      <c r="J54" s="115" t="b">
        <v>1</v>
      </c>
      <c r="K54" s="115" t="b">
        <v>1</v>
      </c>
      <c r="L54" s="117">
        <f t="shared" si="1"/>
        <v>5</v>
      </c>
      <c r="M54" s="117">
        <f t="shared" si="2"/>
        <v>20</v>
      </c>
      <c r="N54" s="112"/>
      <c r="O54" s="112"/>
    </row>
    <row r="55" ht="15.0" customHeight="1">
      <c r="A55" s="112"/>
      <c r="B55" s="112"/>
      <c r="C55" s="112"/>
      <c r="D55" s="129" t="s">
        <v>90</v>
      </c>
      <c r="E55" s="130" t="str">
        <f>VLOOKUP(D55,Data!H:I,2,0)</f>
        <v>İstanbul</v>
      </c>
      <c r="F55" s="115" t="s">
        <v>59</v>
      </c>
      <c r="G55" s="115" t="b">
        <v>0</v>
      </c>
      <c r="H55" s="115" t="b">
        <v>0</v>
      </c>
      <c r="I55" s="115" t="b">
        <v>0</v>
      </c>
      <c r="J55" s="115" t="b">
        <v>0</v>
      </c>
      <c r="K55" s="115" t="b">
        <v>0</v>
      </c>
      <c r="L55" s="117">
        <f t="shared" si="1"/>
        <v>0</v>
      </c>
      <c r="M55" s="117">
        <f t="shared" si="2"/>
        <v>0</v>
      </c>
      <c r="N55" s="112"/>
      <c r="O55" s="112"/>
    </row>
    <row r="56" ht="15.0" customHeight="1">
      <c r="A56" s="112"/>
      <c r="B56" s="112"/>
      <c r="C56" s="112"/>
      <c r="D56" s="132" t="s">
        <v>60</v>
      </c>
      <c r="E56" s="130" t="str">
        <f>VLOOKUP(D56,Data!H:I,2,0)</f>
        <v>İstanbul</v>
      </c>
      <c r="F56" s="115" t="s">
        <v>61</v>
      </c>
      <c r="G56" s="115" t="b">
        <v>0</v>
      </c>
      <c r="H56" s="115" t="b">
        <v>0</v>
      </c>
      <c r="I56" s="115" t="b">
        <v>1</v>
      </c>
      <c r="J56" s="115" t="b">
        <v>0</v>
      </c>
      <c r="K56" s="115" t="b">
        <v>0</v>
      </c>
      <c r="L56" s="117">
        <f t="shared" si="1"/>
        <v>1</v>
      </c>
      <c r="M56" s="117">
        <f t="shared" si="2"/>
        <v>4</v>
      </c>
      <c r="N56" s="112"/>
      <c r="O56" s="112"/>
    </row>
    <row r="57" ht="15.0" customHeight="1">
      <c r="A57" s="112"/>
      <c r="B57" s="112"/>
      <c r="C57" s="112"/>
      <c r="D57" s="132" t="s">
        <v>62</v>
      </c>
      <c r="E57" s="130" t="str">
        <f>VLOOKUP(D57,Data!H:I,2,0)</f>
        <v>İstanbul</v>
      </c>
      <c r="F57" s="115" t="s">
        <v>61</v>
      </c>
      <c r="G57" s="115" t="b">
        <v>0</v>
      </c>
      <c r="H57" s="115" t="b">
        <v>1</v>
      </c>
      <c r="I57" s="115" t="b">
        <v>0</v>
      </c>
      <c r="J57" s="115" t="b">
        <v>1</v>
      </c>
      <c r="K57" s="115" t="b">
        <v>0</v>
      </c>
      <c r="L57" s="117">
        <f t="shared" si="1"/>
        <v>2</v>
      </c>
      <c r="M57" s="117">
        <f t="shared" si="2"/>
        <v>8</v>
      </c>
      <c r="N57" s="112"/>
      <c r="O57" s="112"/>
    </row>
    <row r="58" ht="15.0" customHeight="1">
      <c r="A58" s="112"/>
      <c r="B58" s="112"/>
      <c r="C58" s="112"/>
      <c r="D58" s="132" t="s">
        <v>69</v>
      </c>
      <c r="E58" s="130" t="str">
        <f>VLOOKUP(D58,Data!H:I,2,0)</f>
        <v>İstanbul</v>
      </c>
      <c r="F58" s="115" t="s">
        <v>61</v>
      </c>
      <c r="G58" s="115" t="b">
        <v>0</v>
      </c>
      <c r="H58" s="115" t="b">
        <v>0</v>
      </c>
      <c r="I58" s="115" t="b">
        <v>0</v>
      </c>
      <c r="J58" s="115" t="b">
        <v>0</v>
      </c>
      <c r="K58" s="115" t="b">
        <v>0</v>
      </c>
      <c r="L58" s="117">
        <f t="shared" si="1"/>
        <v>0</v>
      </c>
      <c r="M58" s="117">
        <f t="shared" si="2"/>
        <v>0</v>
      </c>
      <c r="N58" s="112"/>
      <c r="O58" s="112"/>
    </row>
    <row r="59" ht="15.0" customHeight="1">
      <c r="A59" s="112"/>
      <c r="B59" s="112"/>
      <c r="C59" s="112"/>
      <c r="D59" s="132" t="s">
        <v>83</v>
      </c>
      <c r="E59" s="130" t="str">
        <f>VLOOKUP(D59,Data!H:I,2,0)</f>
        <v>İstanbul</v>
      </c>
      <c r="F59" s="115" t="s">
        <v>61</v>
      </c>
      <c r="G59" s="115" t="b">
        <v>1</v>
      </c>
      <c r="H59" s="115" t="b">
        <v>1</v>
      </c>
      <c r="I59" s="115" t="b">
        <v>1</v>
      </c>
      <c r="J59" s="115" t="b">
        <v>1</v>
      </c>
      <c r="K59" s="115" t="b">
        <v>1</v>
      </c>
      <c r="L59" s="117">
        <f t="shared" si="1"/>
        <v>5</v>
      </c>
      <c r="M59" s="117">
        <f t="shared" si="2"/>
        <v>20</v>
      </c>
      <c r="N59" s="112"/>
      <c r="O59" s="112"/>
    </row>
    <row r="60" ht="15.0" customHeight="1">
      <c r="A60" s="125"/>
      <c r="B60" s="125"/>
      <c r="C60" s="125"/>
      <c r="D60" s="132" t="s">
        <v>84</v>
      </c>
      <c r="E60" s="130" t="str">
        <f>VLOOKUP(D60,Data!H:I,2,0)</f>
        <v>İstanbul</v>
      </c>
      <c r="F60" s="115" t="s">
        <v>61</v>
      </c>
      <c r="G60" s="115" t="b">
        <v>0</v>
      </c>
      <c r="H60" s="115" t="b">
        <v>0</v>
      </c>
      <c r="I60" s="115" t="b">
        <v>0</v>
      </c>
      <c r="J60" s="115" t="b">
        <v>0</v>
      </c>
      <c r="K60" s="115" t="b">
        <v>0</v>
      </c>
      <c r="L60" s="117">
        <f t="shared" si="1"/>
        <v>0</v>
      </c>
      <c r="M60" s="117">
        <f t="shared" si="2"/>
        <v>0</v>
      </c>
      <c r="N60" s="125"/>
      <c r="O60" s="125"/>
    </row>
    <row r="61" ht="15.0" customHeight="1">
      <c r="A61" s="126"/>
      <c r="B61" s="126"/>
      <c r="C61" s="126"/>
      <c r="D61" s="132" t="s">
        <v>88</v>
      </c>
      <c r="E61" s="130" t="str">
        <f>VLOOKUP(D61,Data!H:I,2,0)</f>
        <v>İstanbul</v>
      </c>
      <c r="F61" s="115" t="s">
        <v>61</v>
      </c>
      <c r="G61" s="115" t="b">
        <v>1</v>
      </c>
      <c r="H61" s="115" t="b">
        <v>1</v>
      </c>
      <c r="I61" s="115" t="b">
        <v>1</v>
      </c>
      <c r="J61" s="115" t="b">
        <v>1</v>
      </c>
      <c r="K61" s="115" t="b">
        <v>1</v>
      </c>
      <c r="L61" s="117">
        <f t="shared" si="1"/>
        <v>5</v>
      </c>
      <c r="M61" s="117">
        <f t="shared" si="2"/>
        <v>20</v>
      </c>
      <c r="N61" s="126"/>
      <c r="O61" s="126"/>
    </row>
    <row r="62" ht="15.0" customHeight="1">
      <c r="A62" s="122"/>
      <c r="B62" s="122"/>
      <c r="C62" s="122"/>
      <c r="D62" s="132" t="s">
        <v>91</v>
      </c>
      <c r="E62" s="130" t="str">
        <f>VLOOKUP(D62,Data!H:I,2,0)</f>
        <v>İzmir</v>
      </c>
      <c r="F62" s="115"/>
      <c r="G62" s="115" t="b">
        <v>0</v>
      </c>
      <c r="H62" s="115" t="b">
        <v>0</v>
      </c>
      <c r="I62" s="115" t="b">
        <v>0</v>
      </c>
      <c r="J62" s="115" t="b">
        <v>0</v>
      </c>
      <c r="K62" s="115" t="b">
        <v>0</v>
      </c>
      <c r="L62" s="117">
        <f t="shared" si="1"/>
        <v>0</v>
      </c>
      <c r="M62" s="117">
        <f t="shared" si="2"/>
        <v>0</v>
      </c>
      <c r="N62" s="122"/>
      <c r="O62" s="122"/>
    </row>
    <row r="63" ht="15.0" customHeight="1">
      <c r="A63" s="124"/>
      <c r="B63" s="124"/>
      <c r="C63" s="124"/>
      <c r="D63" s="132" t="s">
        <v>92</v>
      </c>
      <c r="E63" s="130" t="str">
        <f>VLOOKUP(D63,Data!H:I,2,0)</f>
        <v>İzmir</v>
      </c>
      <c r="F63" s="115"/>
      <c r="G63" s="115" t="b">
        <v>1</v>
      </c>
      <c r="H63" s="115" t="b">
        <v>1</v>
      </c>
      <c r="I63" s="115" t="b">
        <v>1</v>
      </c>
      <c r="J63" s="115" t="b">
        <v>1</v>
      </c>
      <c r="K63" s="115" t="b">
        <v>1</v>
      </c>
      <c r="L63" s="117">
        <f t="shared" si="1"/>
        <v>5</v>
      </c>
      <c r="M63" s="117">
        <f t="shared" si="2"/>
        <v>20</v>
      </c>
      <c r="N63" s="124"/>
      <c r="O63" s="124"/>
    </row>
    <row r="64" ht="15.0" customHeight="1">
      <c r="A64" s="112"/>
      <c r="B64" s="112"/>
      <c r="C64" s="112"/>
      <c r="D64" s="129" t="s">
        <v>93</v>
      </c>
      <c r="E64" s="130" t="str">
        <f>VLOOKUP(D64,Data!H:I,2,0)</f>
        <v>İzmir</v>
      </c>
      <c r="F64" s="115"/>
      <c r="G64" s="115" t="b">
        <v>1</v>
      </c>
      <c r="H64" s="115" t="b">
        <v>1</v>
      </c>
      <c r="I64" s="115" t="b">
        <v>1</v>
      </c>
      <c r="J64" s="115" t="b">
        <v>0</v>
      </c>
      <c r="K64" s="115" t="b">
        <v>0</v>
      </c>
      <c r="L64" s="117">
        <f t="shared" si="1"/>
        <v>3</v>
      </c>
      <c r="M64" s="117">
        <f t="shared" si="2"/>
        <v>12</v>
      </c>
      <c r="N64" s="112"/>
      <c r="O64" s="112"/>
    </row>
    <row r="65" ht="15.0" customHeight="1">
      <c r="A65" s="112"/>
      <c r="B65" s="112"/>
      <c r="C65" s="112"/>
      <c r="D65" s="132" t="s">
        <v>94</v>
      </c>
      <c r="E65" s="130" t="str">
        <f>VLOOKUP(D65,Data!H:I,2,0)</f>
        <v>İzmir</v>
      </c>
      <c r="F65" s="115"/>
      <c r="G65" s="115" t="b">
        <v>1</v>
      </c>
      <c r="H65" s="115" t="b">
        <v>1</v>
      </c>
      <c r="I65" s="115" t="b">
        <v>0</v>
      </c>
      <c r="J65" s="115" t="b">
        <v>0</v>
      </c>
      <c r="K65" s="115" t="b">
        <v>0</v>
      </c>
      <c r="L65" s="117">
        <f t="shared" si="1"/>
        <v>2</v>
      </c>
      <c r="M65" s="117">
        <f t="shared" si="2"/>
        <v>8</v>
      </c>
      <c r="N65" s="112"/>
      <c r="O65" s="112"/>
    </row>
    <row r="66" ht="15.0" customHeight="1">
      <c r="A66" s="112"/>
      <c r="B66" s="112"/>
      <c r="C66" s="112"/>
      <c r="D66" s="132" t="s">
        <v>96</v>
      </c>
      <c r="E66" s="130" t="str">
        <f>VLOOKUP(D66,Data!H:I,2,0)</f>
        <v>Kocaeli</v>
      </c>
      <c r="F66" s="115"/>
      <c r="G66" s="115" t="b">
        <v>1</v>
      </c>
      <c r="H66" s="115" t="b">
        <v>1</v>
      </c>
      <c r="I66" s="115" t="b">
        <v>1</v>
      </c>
      <c r="J66" s="115" t="b">
        <v>0</v>
      </c>
      <c r="K66" s="115" t="b">
        <v>0</v>
      </c>
      <c r="L66" s="117">
        <f t="shared" si="1"/>
        <v>3</v>
      </c>
      <c r="M66" s="117">
        <f t="shared" si="2"/>
        <v>12</v>
      </c>
      <c r="N66" s="112"/>
      <c r="O66" s="112"/>
    </row>
    <row r="67" ht="15.0" customHeight="1">
      <c r="A67" s="112"/>
      <c r="B67" s="112"/>
      <c r="C67" s="112"/>
      <c r="D67" s="132" t="s">
        <v>97</v>
      </c>
      <c r="E67" s="130" t="str">
        <f>VLOOKUP(D67,Data!H:I,2,0)</f>
        <v>Konya</v>
      </c>
      <c r="F67" s="115"/>
      <c r="G67" s="115" t="b">
        <v>1</v>
      </c>
      <c r="H67" s="115" t="b">
        <v>1</v>
      </c>
      <c r="I67" s="115" t="b">
        <v>1</v>
      </c>
      <c r="J67" s="115" t="b">
        <v>0</v>
      </c>
      <c r="K67" s="115" t="b">
        <v>0</v>
      </c>
      <c r="L67" s="117">
        <f t="shared" si="1"/>
        <v>3</v>
      </c>
      <c r="M67" s="117">
        <f t="shared" si="2"/>
        <v>12</v>
      </c>
      <c r="N67" s="112"/>
      <c r="O67" s="112"/>
    </row>
    <row r="68" ht="15.0" customHeight="1">
      <c r="A68" s="112"/>
      <c r="B68" s="112"/>
      <c r="C68" s="112"/>
      <c r="D68" s="132" t="s">
        <v>98</v>
      </c>
      <c r="E68" s="130" t="str">
        <f>VLOOKUP(D68,Data!H:I,2,0)</f>
        <v>Manisa</v>
      </c>
      <c r="F68" s="123"/>
      <c r="G68" s="115" t="b">
        <v>1</v>
      </c>
      <c r="H68" s="115" t="b">
        <v>1</v>
      </c>
      <c r="I68" s="115" t="b">
        <v>0</v>
      </c>
      <c r="J68" s="115" t="b">
        <v>0</v>
      </c>
      <c r="K68" s="115" t="b">
        <v>0</v>
      </c>
      <c r="L68" s="117">
        <f t="shared" si="1"/>
        <v>2</v>
      </c>
      <c r="M68" s="117">
        <f t="shared" si="2"/>
        <v>8</v>
      </c>
      <c r="N68" s="112"/>
      <c r="O68" s="112"/>
    </row>
    <row r="69" ht="15.0" customHeight="1">
      <c r="A69" s="112"/>
      <c r="B69" s="112"/>
      <c r="C69" s="112"/>
      <c r="D69" s="132" t="s">
        <v>99</v>
      </c>
      <c r="E69" s="130" t="str">
        <f>VLOOKUP(D69,Data!H:I,2,0)</f>
        <v>Mersin</v>
      </c>
      <c r="F69" s="115"/>
      <c r="G69" s="115" t="b">
        <v>1</v>
      </c>
      <c r="H69" s="115" t="b">
        <v>0</v>
      </c>
      <c r="I69" s="115" t="b">
        <v>0</v>
      </c>
      <c r="J69" s="115" t="b">
        <v>1</v>
      </c>
      <c r="K69" s="115" t="b">
        <v>0</v>
      </c>
      <c r="L69" s="117">
        <f t="shared" si="1"/>
        <v>2</v>
      </c>
      <c r="M69" s="117">
        <f t="shared" si="2"/>
        <v>8</v>
      </c>
      <c r="N69" s="112"/>
      <c r="O69" s="112"/>
    </row>
    <row r="70" ht="15.0" customHeight="1">
      <c r="A70" s="112"/>
      <c r="B70" s="112"/>
      <c r="C70" s="112"/>
      <c r="D70" s="132" t="s">
        <v>100</v>
      </c>
      <c r="E70" s="130" t="str">
        <f>VLOOKUP(D70,Data!H:I,2,0)</f>
        <v>Muğla</v>
      </c>
      <c r="F70" s="127"/>
      <c r="G70" s="115" t="b">
        <v>0</v>
      </c>
      <c r="H70" s="115" t="b">
        <v>0</v>
      </c>
      <c r="I70" s="115" t="b">
        <v>0</v>
      </c>
      <c r="J70" s="115" t="b">
        <v>0</v>
      </c>
      <c r="K70" s="115" t="b">
        <v>0</v>
      </c>
      <c r="L70" s="117">
        <f t="shared" si="1"/>
        <v>0</v>
      </c>
      <c r="M70" s="117">
        <f t="shared" si="2"/>
        <v>0</v>
      </c>
      <c r="N70" s="112"/>
      <c r="O70" s="112"/>
    </row>
    <row r="71" ht="15.0" customHeight="1">
      <c r="A71" s="112"/>
      <c r="B71" s="112"/>
      <c r="C71" s="112"/>
      <c r="D71" s="132" t="s">
        <v>101</v>
      </c>
      <c r="E71" s="130" t="str">
        <f>VLOOKUP(D71,Data!H:I,2,0)</f>
        <v>Samsun</v>
      </c>
      <c r="F71" s="127"/>
      <c r="G71" s="115" t="b">
        <v>0</v>
      </c>
      <c r="H71" s="115" t="b">
        <v>0</v>
      </c>
      <c r="I71" s="115" t="b">
        <v>0</v>
      </c>
      <c r="J71" s="115" t="b">
        <v>0</v>
      </c>
      <c r="K71" s="115" t="b">
        <v>0</v>
      </c>
      <c r="L71" s="117">
        <f t="shared" si="1"/>
        <v>0</v>
      </c>
      <c r="M71" s="117">
        <f t="shared" si="2"/>
        <v>0</v>
      </c>
      <c r="N71" s="112"/>
      <c r="O71" s="112"/>
    </row>
    <row r="72" ht="15.0" customHeight="1">
      <c r="A72" s="112"/>
      <c r="B72" s="112"/>
      <c r="C72" s="112"/>
      <c r="D72" s="129" t="s">
        <v>104</v>
      </c>
      <c r="E72" s="130" t="str">
        <f>VLOOKUP(D72,Data!H:I,2,0)</f>
        <v>Tekirdağ</v>
      </c>
      <c r="F72" s="127"/>
      <c r="G72" s="115" t="b">
        <v>0</v>
      </c>
      <c r="H72" s="115" t="b">
        <v>0</v>
      </c>
      <c r="I72" s="115" t="b">
        <v>0</v>
      </c>
      <c r="J72" s="115" t="b">
        <v>0</v>
      </c>
      <c r="K72" s="115" t="b">
        <v>0</v>
      </c>
      <c r="L72" s="117">
        <f t="shared" si="1"/>
        <v>0</v>
      </c>
      <c r="M72" s="117">
        <f t="shared" si="2"/>
        <v>0</v>
      </c>
      <c r="N72" s="112"/>
      <c r="O72" s="112"/>
    </row>
    <row r="73" ht="15.0" customHeight="1">
      <c r="A73" s="112"/>
      <c r="B73" s="112"/>
      <c r="C73" s="112"/>
      <c r="D73" s="132" t="s">
        <v>105</v>
      </c>
      <c r="E73" s="130" t="str">
        <f>VLOOKUP(D73,Data!H:I,2,0)</f>
        <v>Trabzon</v>
      </c>
      <c r="F73" s="127" t="s">
        <v>61</v>
      </c>
      <c r="G73" s="115" t="b">
        <v>1</v>
      </c>
      <c r="H73" s="115" t="b">
        <v>1</v>
      </c>
      <c r="I73" s="115" t="b">
        <v>1</v>
      </c>
      <c r="J73" s="115" t="b">
        <v>1</v>
      </c>
      <c r="K73" s="115" t="b">
        <v>1</v>
      </c>
      <c r="L73" s="117">
        <f t="shared" si="1"/>
        <v>5</v>
      </c>
      <c r="M73" s="117">
        <f t="shared" si="2"/>
        <v>20</v>
      </c>
      <c r="N73" s="112"/>
      <c r="O73" s="112"/>
    </row>
    <row r="74" ht="15.0" customHeight="1">
      <c r="A74" s="112"/>
      <c r="B74" s="112"/>
      <c r="C74" s="112"/>
      <c r="D74" s="132"/>
      <c r="E74" s="132"/>
      <c r="F74" s="132"/>
      <c r="G74" s="117">
        <f t="shared" ref="G74:K74" si="3">4*(COUNTIF(G14:G73,"true"))+6</f>
        <v>146</v>
      </c>
      <c r="H74" s="117">
        <f t="shared" si="3"/>
        <v>158</v>
      </c>
      <c r="I74" s="117">
        <f t="shared" si="3"/>
        <v>150</v>
      </c>
      <c r="J74" s="117">
        <f t="shared" si="3"/>
        <v>126</v>
      </c>
      <c r="K74" s="117">
        <f t="shared" si="3"/>
        <v>90</v>
      </c>
      <c r="L74" s="135"/>
      <c r="M74" s="117">
        <f>SUM(M15:M73)</f>
        <v>640</v>
      </c>
      <c r="N74" s="112"/>
      <c r="O74" s="112"/>
    </row>
  </sheetData>
  <customSheetViews>
    <customSheetView guid="{70B995D3-3AEB-4DFE-A0CA-D6FFCCE596BC}" filter="1" showAutoFilter="1">
      <autoFilter ref="$D$14:$D$74"/>
    </customSheetView>
  </customSheetViews>
  <mergeCells count="4">
    <mergeCell ref="D6:K6"/>
    <mergeCell ref="D7:F7"/>
    <mergeCell ref="D9:D12"/>
    <mergeCell ref="F10:M11"/>
  </mergeCells>
  <conditionalFormatting sqref="G15:K73">
    <cfRule type="cellIs" dxfId="1" priority="1" operator="equal">
      <formula>"False"</formula>
    </cfRule>
  </conditionalFormatting>
  <conditionalFormatting sqref="G15:K73">
    <cfRule type="cellIs" dxfId="0" priority="2" operator="equal">
      <formula>"TRUE"</formula>
    </cfRule>
  </conditionalFormatting>
  <dataValidations>
    <dataValidation type="list" allowBlank="1" showErrorMessage="1" sqref="E15:E73">
      <formula1>Data!$A$2:$A$10</formula1>
    </dataValidation>
    <dataValidation type="list" allowBlank="1" showErrorMessage="1" sqref="F15:F73">
      <formula1>Data!$C$2:$C$8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3" width="2.63"/>
    <col customWidth="1" min="4" max="4" width="20.38"/>
    <col customWidth="1" min="5" max="5" width="11.38"/>
    <col customWidth="1" min="6" max="6" width="16.63"/>
    <col customWidth="1" min="7" max="11" width="8.63"/>
    <col customWidth="1" min="12" max="12" width="12.63"/>
    <col customWidth="1" min="13" max="13" width="15.13"/>
    <col customWidth="1" min="14" max="15" width="2.63"/>
  </cols>
  <sheetData>
    <row r="1" ht="7.5" customHeight="1">
      <c r="A1" s="84"/>
      <c r="B1" s="84"/>
      <c r="C1" s="84"/>
      <c r="D1" s="84"/>
      <c r="E1" s="84"/>
      <c r="F1" s="84"/>
      <c r="G1" s="84"/>
      <c r="H1" s="84"/>
      <c r="I1" s="84"/>
      <c r="J1" s="84"/>
      <c r="K1" s="84"/>
      <c r="L1" s="85"/>
      <c r="M1" s="86"/>
      <c r="N1" s="86"/>
      <c r="O1" s="86"/>
    </row>
    <row r="2" ht="15.0" customHeight="1">
      <c r="A2" s="87"/>
      <c r="B2" s="87"/>
      <c r="C2" s="87"/>
      <c r="D2" s="88"/>
      <c r="E2" s="88"/>
      <c r="F2" s="88"/>
      <c r="G2" s="88"/>
      <c r="H2" s="88"/>
      <c r="I2" s="88"/>
      <c r="J2" s="88"/>
      <c r="K2" s="88"/>
      <c r="L2" s="88"/>
      <c r="M2" s="87"/>
      <c r="N2" s="87"/>
      <c r="O2" s="87"/>
    </row>
    <row r="3" ht="3.75" customHeight="1">
      <c r="A3" s="87"/>
      <c r="B3" s="87"/>
      <c r="C3" s="87"/>
      <c r="D3" s="89"/>
      <c r="E3" s="90"/>
      <c r="F3" s="90"/>
      <c r="G3" s="90"/>
      <c r="H3" s="90"/>
      <c r="I3" s="90"/>
      <c r="J3" s="90"/>
      <c r="K3" s="90"/>
      <c r="L3" s="90"/>
      <c r="M3" s="87"/>
      <c r="N3" s="87"/>
      <c r="O3" s="87"/>
    </row>
    <row r="4" ht="15.0" customHeight="1">
      <c r="A4" s="87"/>
      <c r="B4" s="87"/>
      <c r="C4" s="87"/>
      <c r="D4" s="88"/>
      <c r="E4" s="88"/>
      <c r="F4" s="88"/>
      <c r="G4" s="91"/>
      <c r="H4" s="91"/>
      <c r="I4" s="91"/>
      <c r="J4" s="91"/>
      <c r="K4" s="91"/>
      <c r="L4" s="91"/>
      <c r="M4" s="87"/>
      <c r="N4" s="87"/>
      <c r="O4" s="87"/>
    </row>
    <row r="5" ht="15.0" customHeight="1">
      <c r="A5" s="92"/>
      <c r="B5" s="92"/>
      <c r="C5" s="92"/>
      <c r="D5" s="88"/>
      <c r="E5" s="88"/>
      <c r="F5" s="88"/>
      <c r="G5" s="93"/>
      <c r="H5" s="93"/>
      <c r="I5" s="93"/>
      <c r="J5" s="93"/>
      <c r="K5" s="93"/>
      <c r="L5" s="94"/>
      <c r="M5" s="88"/>
      <c r="N5" s="92"/>
      <c r="O5" s="92"/>
    </row>
    <row r="6" ht="15.0" customHeight="1">
      <c r="A6" s="92"/>
      <c r="B6" s="92"/>
      <c r="C6" s="92"/>
      <c r="D6" s="95" t="s">
        <v>111</v>
      </c>
      <c r="L6" s="94"/>
      <c r="M6" s="88"/>
      <c r="N6" s="92"/>
      <c r="O6" s="92"/>
    </row>
    <row r="7" ht="15.0" customHeight="1">
      <c r="A7" s="92"/>
      <c r="B7" s="92"/>
      <c r="C7" s="92"/>
      <c r="D7" s="96" t="s">
        <v>112</v>
      </c>
      <c r="G7" s="97"/>
      <c r="H7" s="97"/>
      <c r="I7" s="97"/>
      <c r="J7" s="97"/>
      <c r="K7" s="97"/>
      <c r="L7" s="92"/>
      <c r="M7" s="92"/>
      <c r="N7" s="92"/>
      <c r="O7" s="92"/>
    </row>
    <row r="8" ht="15.0" customHeight="1">
      <c r="A8" s="92"/>
      <c r="B8" s="92"/>
      <c r="C8" s="92"/>
      <c r="D8" s="97"/>
      <c r="E8" s="97"/>
      <c r="F8" s="97"/>
      <c r="G8" s="97"/>
      <c r="H8" s="97"/>
      <c r="I8" s="97"/>
      <c r="J8" s="97"/>
      <c r="K8" s="97"/>
      <c r="L8" s="92"/>
      <c r="M8" s="92"/>
      <c r="N8" s="92"/>
      <c r="O8" s="92"/>
    </row>
    <row r="9" ht="15.0" customHeight="1">
      <c r="A9" s="92"/>
      <c r="B9" s="92"/>
      <c r="C9" s="98"/>
      <c r="D9" s="99" t="s">
        <v>35</v>
      </c>
      <c r="E9" s="100"/>
      <c r="F9" s="101"/>
      <c r="G9" s="101"/>
      <c r="H9" s="101"/>
      <c r="I9" s="101"/>
      <c r="J9" s="101"/>
      <c r="K9" s="101"/>
      <c r="L9" s="101"/>
      <c r="M9" s="100"/>
      <c r="N9" s="102"/>
      <c r="O9" s="102"/>
    </row>
    <row r="10" ht="15.0" customHeight="1">
      <c r="A10" s="92"/>
      <c r="B10" s="92"/>
      <c r="C10" s="98"/>
      <c r="E10" s="100"/>
      <c r="F10" s="103" t="s">
        <v>36</v>
      </c>
      <c r="N10" s="102"/>
      <c r="O10" s="102"/>
    </row>
    <row r="11" ht="15.0" customHeight="1">
      <c r="A11" s="92"/>
      <c r="B11" s="92"/>
      <c r="C11" s="98"/>
      <c r="E11" s="100"/>
      <c r="N11" s="102"/>
      <c r="O11" s="102"/>
    </row>
    <row r="12" ht="15.0" customHeight="1">
      <c r="A12" s="88"/>
      <c r="B12" s="92"/>
      <c r="C12" s="92"/>
      <c r="E12" s="100"/>
      <c r="F12" s="100"/>
      <c r="G12" s="100"/>
      <c r="H12" s="100"/>
      <c r="I12" s="100"/>
      <c r="J12" s="100"/>
      <c r="K12" s="100"/>
      <c r="L12" s="100"/>
      <c r="M12" s="100"/>
      <c r="N12" s="102"/>
      <c r="O12" s="102"/>
    </row>
    <row r="13" ht="15.0" customHeight="1">
      <c r="A13" s="88"/>
      <c r="B13" s="104"/>
      <c r="C13" s="104"/>
      <c r="D13" s="104"/>
      <c r="E13" s="104"/>
      <c r="F13" s="105"/>
      <c r="G13" s="105"/>
      <c r="H13" s="105"/>
      <c r="I13" s="105"/>
      <c r="J13" s="105"/>
      <c r="K13" s="105"/>
      <c r="L13" s="104"/>
      <c r="M13" s="104"/>
      <c r="N13" s="104"/>
      <c r="O13" s="104"/>
    </row>
    <row r="14" ht="15.0" customHeight="1">
      <c r="A14" s="106"/>
      <c r="B14" s="106"/>
      <c r="C14" s="106"/>
      <c r="D14" s="107" t="s">
        <v>37</v>
      </c>
      <c r="E14" s="108" t="s">
        <v>38</v>
      </c>
      <c r="F14" s="109" t="s">
        <v>39</v>
      </c>
      <c r="G14" s="110">
        <v>44417.0</v>
      </c>
      <c r="H14" s="110">
        <v>44418.0</v>
      </c>
      <c r="I14" s="110">
        <v>44419.0</v>
      </c>
      <c r="J14" s="110">
        <v>44420.0</v>
      </c>
      <c r="K14" s="110">
        <v>44421.0</v>
      </c>
      <c r="L14" s="111" t="s">
        <v>40</v>
      </c>
      <c r="M14" s="111" t="s">
        <v>41</v>
      </c>
      <c r="N14" s="88"/>
      <c r="O14" s="88"/>
    </row>
    <row r="15" ht="15.0" customHeight="1">
      <c r="A15" s="112"/>
      <c r="B15" s="112"/>
      <c r="C15" s="112"/>
      <c r="D15" s="129" t="s">
        <v>42</v>
      </c>
      <c r="E15" s="114" t="str">
        <f>VLOOKUP(D15,Data!H:I,2,0)</f>
        <v>Adana</v>
      </c>
      <c r="F15" s="115" t="s">
        <v>59</v>
      </c>
      <c r="G15" s="116" t="b">
        <v>1</v>
      </c>
      <c r="H15" s="116" t="b">
        <v>1</v>
      </c>
      <c r="I15" s="116" t="b">
        <v>1</v>
      </c>
      <c r="J15" s="116" t="b">
        <v>1</v>
      </c>
      <c r="K15" s="116" t="b">
        <v>1</v>
      </c>
      <c r="L15" s="136">
        <f t="shared" ref="L15:L71" si="1">COUNTIF(G15:K15,"TRUE")</f>
        <v>5</v>
      </c>
      <c r="M15" s="117">
        <f t="shared" ref="M15:M71" si="2">L15*4</f>
        <v>20</v>
      </c>
      <c r="N15" s="88"/>
      <c r="O15" s="88"/>
    </row>
    <row r="16" ht="15.0" customHeight="1">
      <c r="A16" s="112"/>
      <c r="B16" s="112"/>
      <c r="C16" s="112"/>
      <c r="D16" s="129" t="s">
        <v>43</v>
      </c>
      <c r="E16" s="114" t="str">
        <f>VLOOKUP(D16,Data!H:I,2,0)</f>
        <v>Adana</v>
      </c>
      <c r="F16" s="115" t="s">
        <v>59</v>
      </c>
      <c r="G16" s="116" t="b">
        <v>1</v>
      </c>
      <c r="H16" s="116" t="b">
        <v>1</v>
      </c>
      <c r="I16" s="116" t="b">
        <v>1</v>
      </c>
      <c r="J16" s="116" t="b">
        <v>1</v>
      </c>
      <c r="K16" s="116" t="b">
        <v>1</v>
      </c>
      <c r="L16" s="136">
        <f t="shared" si="1"/>
        <v>5</v>
      </c>
      <c r="M16" s="117">
        <f t="shared" si="2"/>
        <v>20</v>
      </c>
      <c r="N16" s="88"/>
      <c r="O16" s="88"/>
    </row>
    <row r="17" ht="15.0" customHeight="1">
      <c r="A17" s="112"/>
      <c r="B17" s="112"/>
      <c r="C17" s="112"/>
      <c r="D17" s="131" t="s">
        <v>44</v>
      </c>
      <c r="E17" s="114" t="str">
        <f>VLOOKUP(D17,Data!H:I,2,0)</f>
        <v>Ankara</v>
      </c>
      <c r="F17" s="115" t="s">
        <v>108</v>
      </c>
      <c r="G17" s="116" t="b">
        <v>0</v>
      </c>
      <c r="H17" s="116" t="b">
        <v>1</v>
      </c>
      <c r="I17" s="116" t="b">
        <v>0</v>
      </c>
      <c r="J17" s="116" t="b">
        <v>1</v>
      </c>
      <c r="K17" s="116" t="b">
        <v>0</v>
      </c>
      <c r="L17" s="136">
        <f t="shared" si="1"/>
        <v>2</v>
      </c>
      <c r="M17" s="117">
        <f t="shared" si="2"/>
        <v>8</v>
      </c>
      <c r="N17" s="88"/>
      <c r="O17" s="88"/>
    </row>
    <row r="18" ht="15.0" customHeight="1">
      <c r="A18" s="112"/>
      <c r="B18" s="112"/>
      <c r="C18" s="112"/>
      <c r="D18" s="131" t="s">
        <v>45</v>
      </c>
      <c r="E18" s="114" t="str">
        <f>VLOOKUP(D18,Data!H:I,2,0)</f>
        <v>Ankara</v>
      </c>
      <c r="F18" s="115" t="s">
        <v>108</v>
      </c>
      <c r="G18" s="116" t="b">
        <v>0</v>
      </c>
      <c r="H18" s="116" t="b">
        <v>0</v>
      </c>
      <c r="I18" s="116" t="b">
        <v>0</v>
      </c>
      <c r="J18" s="116" t="b">
        <v>0</v>
      </c>
      <c r="K18" s="116" t="b">
        <v>0</v>
      </c>
      <c r="L18" s="136">
        <f t="shared" si="1"/>
        <v>0</v>
      </c>
      <c r="M18" s="117">
        <f t="shared" si="2"/>
        <v>0</v>
      </c>
      <c r="N18" s="118"/>
      <c r="O18" s="88"/>
    </row>
    <row r="19" ht="15.0" customHeight="1">
      <c r="A19" s="112"/>
      <c r="B19" s="112"/>
      <c r="C19" s="112"/>
      <c r="D19" s="131" t="s">
        <v>46</v>
      </c>
      <c r="E19" s="114" t="str">
        <f>VLOOKUP(D19,Data!H:I,2,0)</f>
        <v>Ankara</v>
      </c>
      <c r="F19" s="115" t="s">
        <v>108</v>
      </c>
      <c r="G19" s="116" t="b">
        <v>1</v>
      </c>
      <c r="H19" s="116" t="b">
        <v>1</v>
      </c>
      <c r="I19" s="116" t="b">
        <v>1</v>
      </c>
      <c r="J19" s="116" t="b">
        <v>1</v>
      </c>
      <c r="K19" s="116" t="b">
        <v>1</v>
      </c>
      <c r="L19" s="136">
        <f t="shared" si="1"/>
        <v>5</v>
      </c>
      <c r="M19" s="117">
        <f t="shared" si="2"/>
        <v>20</v>
      </c>
      <c r="N19" s="118"/>
      <c r="O19" s="113"/>
    </row>
    <row r="20" ht="15.0" customHeight="1">
      <c r="A20" s="112"/>
      <c r="B20" s="112"/>
      <c r="C20" s="112"/>
      <c r="D20" s="119" t="s">
        <v>48</v>
      </c>
      <c r="E20" s="114" t="str">
        <f>VLOOKUP(D20,Data!H:I,2,0)</f>
        <v>Ankara</v>
      </c>
      <c r="F20" s="115" t="s">
        <v>108</v>
      </c>
      <c r="G20" s="116" t="b">
        <v>1</v>
      </c>
      <c r="H20" s="116" t="b">
        <v>1</v>
      </c>
      <c r="I20" s="116" t="b">
        <v>1</v>
      </c>
      <c r="J20" s="116" t="b">
        <v>1</v>
      </c>
      <c r="K20" s="116" t="b">
        <v>1</v>
      </c>
      <c r="L20" s="136">
        <f t="shared" si="1"/>
        <v>5</v>
      </c>
      <c r="M20" s="117">
        <f t="shared" si="2"/>
        <v>20</v>
      </c>
      <c r="N20" s="88"/>
      <c r="O20" s="88"/>
    </row>
    <row r="21" ht="15.0" customHeight="1">
      <c r="A21" s="112"/>
      <c r="B21" s="112"/>
      <c r="C21" s="112"/>
      <c r="D21" s="131" t="s">
        <v>47</v>
      </c>
      <c r="E21" s="114" t="str">
        <f>VLOOKUP(D21,Data!H:I,2,0)</f>
        <v>Ankara</v>
      </c>
      <c r="F21" s="115" t="s">
        <v>108</v>
      </c>
      <c r="G21" s="116" t="b">
        <v>1</v>
      </c>
      <c r="H21" s="116" t="b">
        <v>1</v>
      </c>
      <c r="I21" s="116" t="b">
        <v>1</v>
      </c>
      <c r="J21" s="116" t="b">
        <v>1</v>
      </c>
      <c r="K21" s="116" t="b">
        <v>1</v>
      </c>
      <c r="L21" s="136">
        <f t="shared" si="1"/>
        <v>5</v>
      </c>
      <c r="M21" s="117">
        <f t="shared" si="2"/>
        <v>20</v>
      </c>
      <c r="N21" s="88"/>
      <c r="O21" s="88"/>
    </row>
    <row r="22" ht="15.0" customHeight="1">
      <c r="A22" s="112"/>
      <c r="B22" s="112"/>
      <c r="C22" s="112"/>
      <c r="D22" s="132" t="s">
        <v>49</v>
      </c>
      <c r="E22" s="114" t="str">
        <f>VLOOKUP(D22,Data!H:I,2,0)</f>
        <v>Antalya</v>
      </c>
      <c r="F22" s="115" t="s">
        <v>61</v>
      </c>
      <c r="G22" s="116" t="b">
        <v>0</v>
      </c>
      <c r="H22" s="116" t="b">
        <v>0</v>
      </c>
      <c r="I22" s="116" t="b">
        <v>0</v>
      </c>
      <c r="J22" s="116" t="b">
        <v>0</v>
      </c>
      <c r="K22" s="116" t="b">
        <v>0</v>
      </c>
      <c r="L22" s="136">
        <f t="shared" si="1"/>
        <v>0</v>
      </c>
      <c r="M22" s="117">
        <f t="shared" si="2"/>
        <v>0</v>
      </c>
      <c r="N22" s="88"/>
      <c r="O22" s="88"/>
    </row>
    <row r="23" ht="15.0" customHeight="1">
      <c r="A23" s="120"/>
      <c r="B23" s="120"/>
      <c r="C23" s="120"/>
      <c r="D23" s="129" t="s">
        <v>109</v>
      </c>
      <c r="E23" s="114" t="str">
        <f>VLOOKUP(D23,Data!H:I,2,0)</f>
        <v>Antalya</v>
      </c>
      <c r="F23" s="115" t="s">
        <v>61</v>
      </c>
      <c r="G23" s="116" t="b">
        <v>1</v>
      </c>
      <c r="H23" s="116" t="b">
        <v>1</v>
      </c>
      <c r="I23" s="116" t="b">
        <v>1</v>
      </c>
      <c r="J23" s="116" t="b">
        <v>1</v>
      </c>
      <c r="K23" s="116" t="b">
        <v>1</v>
      </c>
      <c r="L23" s="136">
        <f t="shared" si="1"/>
        <v>5</v>
      </c>
      <c r="M23" s="117">
        <f t="shared" si="2"/>
        <v>20</v>
      </c>
      <c r="N23" s="120"/>
      <c r="O23" s="120"/>
    </row>
    <row r="24" ht="15.0" customHeight="1">
      <c r="A24" s="121"/>
      <c r="B24" s="121"/>
      <c r="C24" s="121"/>
      <c r="D24" s="129" t="s">
        <v>50</v>
      </c>
      <c r="E24" s="114" t="str">
        <f>VLOOKUP(D24,Data!H:I,2,0)</f>
        <v>Antalya</v>
      </c>
      <c r="F24" s="115" t="s">
        <v>59</v>
      </c>
      <c r="G24" s="116" t="b">
        <v>0</v>
      </c>
      <c r="H24" s="116" t="b">
        <v>0</v>
      </c>
      <c r="I24" s="116" t="b">
        <v>0</v>
      </c>
      <c r="J24" s="116" t="b">
        <v>0</v>
      </c>
      <c r="K24" s="116" t="b">
        <v>0</v>
      </c>
      <c r="L24" s="136">
        <f t="shared" si="1"/>
        <v>0</v>
      </c>
      <c r="M24" s="117">
        <f t="shared" si="2"/>
        <v>0</v>
      </c>
      <c r="N24" s="121"/>
      <c r="O24" s="121"/>
    </row>
    <row r="25" ht="15.0" customHeight="1">
      <c r="A25" s="106"/>
      <c r="B25" s="106"/>
      <c r="C25" s="106"/>
      <c r="D25" s="132" t="s">
        <v>52</v>
      </c>
      <c r="E25" s="114" t="str">
        <f>VLOOKUP(D25,Data!H:I,2,0)</f>
        <v>Bursa</v>
      </c>
      <c r="F25" s="115" t="s">
        <v>61</v>
      </c>
      <c r="G25" s="116" t="b">
        <v>1</v>
      </c>
      <c r="H25" s="116" t="b">
        <v>1</v>
      </c>
      <c r="I25" s="116" t="b">
        <v>1</v>
      </c>
      <c r="J25" s="116" t="b">
        <v>1</v>
      </c>
      <c r="K25" s="116" t="b">
        <v>1</v>
      </c>
      <c r="L25" s="136">
        <f t="shared" si="1"/>
        <v>5</v>
      </c>
      <c r="M25" s="117">
        <f t="shared" si="2"/>
        <v>20</v>
      </c>
      <c r="N25" s="106"/>
      <c r="O25" s="106"/>
    </row>
    <row r="26" ht="15.0" customHeight="1">
      <c r="A26" s="112"/>
      <c r="B26" s="112"/>
      <c r="C26" s="112"/>
      <c r="D26" s="129" t="s">
        <v>53</v>
      </c>
      <c r="E26" s="114" t="str">
        <f>VLOOKUP(D26,Data!H:I,2,0)</f>
        <v>Bursa</v>
      </c>
      <c r="F26" s="115" t="s">
        <v>59</v>
      </c>
      <c r="G26" s="116" t="b">
        <v>1</v>
      </c>
      <c r="H26" s="116" t="b">
        <v>1</v>
      </c>
      <c r="I26" s="116" t="b">
        <v>1</v>
      </c>
      <c r="J26" s="116" t="b">
        <v>1</v>
      </c>
      <c r="K26" s="116" t="b">
        <v>1</v>
      </c>
      <c r="L26" s="136">
        <f t="shared" si="1"/>
        <v>5</v>
      </c>
      <c r="M26" s="117">
        <f t="shared" si="2"/>
        <v>20</v>
      </c>
      <c r="N26" s="112"/>
      <c r="O26" s="112"/>
    </row>
    <row r="27" ht="15.0" customHeight="1">
      <c r="A27" s="112"/>
      <c r="B27" s="112"/>
      <c r="C27" s="112"/>
      <c r="D27" s="132" t="s">
        <v>54</v>
      </c>
      <c r="E27" s="114" t="str">
        <f>VLOOKUP(D27,Data!H:I,2,0)</f>
        <v>Diyarbakır</v>
      </c>
      <c r="F27" s="115" t="s">
        <v>61</v>
      </c>
      <c r="G27" s="116" t="b">
        <v>1</v>
      </c>
      <c r="H27" s="116" t="b">
        <v>0</v>
      </c>
      <c r="I27" s="116" t="b">
        <v>1</v>
      </c>
      <c r="J27" s="116" t="b">
        <v>0</v>
      </c>
      <c r="K27" s="116" t="b">
        <v>0</v>
      </c>
      <c r="L27" s="136">
        <f t="shared" si="1"/>
        <v>2</v>
      </c>
      <c r="M27" s="117">
        <f t="shared" si="2"/>
        <v>8</v>
      </c>
      <c r="N27" s="112"/>
      <c r="O27" s="112"/>
    </row>
    <row r="28" ht="15.0" customHeight="1">
      <c r="A28" s="112"/>
      <c r="B28" s="112"/>
      <c r="C28" s="112"/>
      <c r="D28" s="132" t="s">
        <v>55</v>
      </c>
      <c r="E28" s="114" t="str">
        <f>VLOOKUP(D28,Data!H:I,2,0)</f>
        <v>Erzurum</v>
      </c>
      <c r="F28" s="115" t="s">
        <v>61</v>
      </c>
      <c r="G28" s="116" t="b">
        <v>1</v>
      </c>
      <c r="H28" s="116" t="b">
        <v>1</v>
      </c>
      <c r="I28" s="116" t="b">
        <v>1</v>
      </c>
      <c r="J28" s="116" t="b">
        <v>1</v>
      </c>
      <c r="K28" s="116" t="b">
        <v>1</v>
      </c>
      <c r="L28" s="136">
        <f t="shared" si="1"/>
        <v>5</v>
      </c>
      <c r="M28" s="117">
        <f t="shared" si="2"/>
        <v>20</v>
      </c>
      <c r="N28" s="112"/>
      <c r="O28" s="112"/>
    </row>
    <row r="29" ht="15.0" customHeight="1">
      <c r="A29" s="112"/>
      <c r="B29" s="112"/>
      <c r="C29" s="112"/>
      <c r="D29" s="132" t="s">
        <v>56</v>
      </c>
      <c r="E29" s="114" t="str">
        <f>VLOOKUP(D29,Data!H:I,2,0)</f>
        <v>Gaziantep</v>
      </c>
      <c r="F29" s="115" t="s">
        <v>61</v>
      </c>
      <c r="G29" s="116" t="b">
        <v>1</v>
      </c>
      <c r="H29" s="116" t="b">
        <v>0</v>
      </c>
      <c r="I29" s="116" t="b">
        <v>1</v>
      </c>
      <c r="J29" s="116" t="b">
        <v>0</v>
      </c>
      <c r="K29" s="116" t="b">
        <v>0</v>
      </c>
      <c r="L29" s="136">
        <f t="shared" si="1"/>
        <v>2</v>
      </c>
      <c r="M29" s="117">
        <f t="shared" si="2"/>
        <v>8</v>
      </c>
      <c r="N29" s="112"/>
      <c r="O29" s="112"/>
    </row>
    <row r="30" ht="15.0" customHeight="1">
      <c r="A30" s="112"/>
      <c r="B30" s="112"/>
      <c r="C30" s="112"/>
      <c r="D30" s="129" t="s">
        <v>58</v>
      </c>
      <c r="E30" s="114" t="str">
        <f>VLOOKUP(D30,Data!H:I,2,0)</f>
        <v>İstanbul</v>
      </c>
      <c r="F30" s="115" t="s">
        <v>59</v>
      </c>
      <c r="G30" s="116" t="b">
        <v>1</v>
      </c>
      <c r="H30" s="116" t="b">
        <v>1</v>
      </c>
      <c r="I30" s="116" t="b">
        <v>1</v>
      </c>
      <c r="J30" s="116" t="b">
        <v>1</v>
      </c>
      <c r="K30" s="116" t="b">
        <v>1</v>
      </c>
      <c r="L30" s="136">
        <f t="shared" si="1"/>
        <v>5</v>
      </c>
      <c r="M30" s="117">
        <f t="shared" si="2"/>
        <v>20</v>
      </c>
      <c r="N30" s="112"/>
      <c r="O30" s="112"/>
    </row>
    <row r="31" ht="15.0" customHeight="1">
      <c r="A31" s="112"/>
      <c r="B31" s="112"/>
      <c r="C31" s="112"/>
      <c r="D31" s="129" t="s">
        <v>113</v>
      </c>
      <c r="E31" s="114" t="str">
        <f>VLOOKUP(D31,Data!H:I,2,0)</f>
        <v>İstanbul</v>
      </c>
      <c r="F31" s="115" t="s">
        <v>61</v>
      </c>
      <c r="G31" s="116" t="b">
        <v>1</v>
      </c>
      <c r="H31" s="116" t="b">
        <v>1</v>
      </c>
      <c r="I31" s="116" t="b">
        <v>1</v>
      </c>
      <c r="J31" s="116" t="b">
        <v>1</v>
      </c>
      <c r="K31" s="116" t="b">
        <v>1</v>
      </c>
      <c r="L31" s="136">
        <f t="shared" si="1"/>
        <v>5</v>
      </c>
      <c r="M31" s="117">
        <f t="shared" si="2"/>
        <v>20</v>
      </c>
      <c r="N31" s="112"/>
      <c r="O31" s="112"/>
    </row>
    <row r="32" ht="15.0" customHeight="1">
      <c r="A32" s="112"/>
      <c r="B32" s="112"/>
      <c r="C32" s="112"/>
      <c r="D32" s="129" t="s">
        <v>114</v>
      </c>
      <c r="E32" s="114" t="str">
        <f>VLOOKUP(D32,Data!H:I,2,0)</f>
        <v>İstanbul</v>
      </c>
      <c r="F32" s="115" t="s">
        <v>61</v>
      </c>
      <c r="G32" s="116" t="b">
        <v>0</v>
      </c>
      <c r="H32" s="116" t="b">
        <v>1</v>
      </c>
      <c r="I32" s="116" t="b">
        <v>1</v>
      </c>
      <c r="J32" s="116" t="b">
        <v>1</v>
      </c>
      <c r="K32" s="116" t="b">
        <v>1</v>
      </c>
      <c r="L32" s="136">
        <f t="shared" si="1"/>
        <v>4</v>
      </c>
      <c r="M32" s="117">
        <f t="shared" si="2"/>
        <v>16</v>
      </c>
      <c r="N32" s="112"/>
      <c r="O32" s="112"/>
    </row>
    <row r="33" ht="15.0" customHeight="1">
      <c r="A33" s="120"/>
      <c r="B33" s="120"/>
      <c r="C33" s="120"/>
      <c r="D33" s="132" t="s">
        <v>63</v>
      </c>
      <c r="E33" s="114" t="str">
        <f>VLOOKUP(D33,Data!H:I,2,0)</f>
        <v>İstanbul</v>
      </c>
      <c r="F33" s="115" t="s">
        <v>64</v>
      </c>
      <c r="G33" s="116" t="b">
        <v>0</v>
      </c>
      <c r="H33" s="116" t="b">
        <v>0</v>
      </c>
      <c r="I33" s="116" t="b">
        <v>0</v>
      </c>
      <c r="J33" s="116" t="b">
        <v>0</v>
      </c>
      <c r="K33" s="116" t="b">
        <v>0</v>
      </c>
      <c r="L33" s="136">
        <f t="shared" si="1"/>
        <v>0</v>
      </c>
      <c r="M33" s="117">
        <f t="shared" si="2"/>
        <v>0</v>
      </c>
      <c r="N33" s="120"/>
      <c r="O33" s="120"/>
    </row>
    <row r="34" ht="15.0" customHeight="1">
      <c r="A34" s="121"/>
      <c r="B34" s="121"/>
      <c r="C34" s="121"/>
      <c r="D34" s="132" t="s">
        <v>65</v>
      </c>
      <c r="E34" s="114" t="str">
        <f>VLOOKUP(D34,Data!H:I,2,0)</f>
        <v>İstanbul</v>
      </c>
      <c r="F34" s="115" t="s">
        <v>64</v>
      </c>
      <c r="G34" s="116" t="b">
        <v>0</v>
      </c>
      <c r="H34" s="116" t="b">
        <v>0</v>
      </c>
      <c r="I34" s="116" t="b">
        <v>0</v>
      </c>
      <c r="J34" s="116" t="b">
        <v>0</v>
      </c>
      <c r="K34" s="116" t="b">
        <v>0</v>
      </c>
      <c r="L34" s="136">
        <f t="shared" si="1"/>
        <v>0</v>
      </c>
      <c r="M34" s="117">
        <f t="shared" si="2"/>
        <v>0</v>
      </c>
      <c r="N34" s="121"/>
      <c r="O34" s="121"/>
    </row>
    <row r="35" ht="15.0" customHeight="1">
      <c r="A35" s="122"/>
      <c r="B35" s="122"/>
      <c r="C35" s="122"/>
      <c r="D35" s="129" t="s">
        <v>66</v>
      </c>
      <c r="E35" s="114" t="str">
        <f>VLOOKUP(D35,Data!H:I,2,0)</f>
        <v>İstanbul</v>
      </c>
      <c r="F35" s="115" t="s">
        <v>59</v>
      </c>
      <c r="G35" s="116" t="b">
        <v>0</v>
      </c>
      <c r="H35" s="116" t="b">
        <v>1</v>
      </c>
      <c r="I35" s="116" t="b">
        <v>1</v>
      </c>
      <c r="J35" s="116" t="b">
        <v>1</v>
      </c>
      <c r="K35" s="116" t="b">
        <v>0</v>
      </c>
      <c r="L35" s="136">
        <f t="shared" si="1"/>
        <v>3</v>
      </c>
      <c r="M35" s="117">
        <f t="shared" si="2"/>
        <v>12</v>
      </c>
      <c r="N35" s="122"/>
      <c r="O35" s="122"/>
    </row>
    <row r="36" ht="15.0" customHeight="1">
      <c r="A36" s="124"/>
      <c r="B36" s="124"/>
      <c r="C36" s="124"/>
      <c r="D36" s="132" t="s">
        <v>67</v>
      </c>
      <c r="E36" s="114" t="str">
        <f>VLOOKUP(D36,Data!H:I,2,0)</f>
        <v>İstanbul</v>
      </c>
      <c r="F36" s="115" t="s">
        <v>64</v>
      </c>
      <c r="G36" s="116" t="b">
        <v>0</v>
      </c>
      <c r="H36" s="116" t="b">
        <v>0</v>
      </c>
      <c r="I36" s="116" t="b">
        <v>0</v>
      </c>
      <c r="J36" s="116" t="b">
        <v>0</v>
      </c>
      <c r="K36" s="116" t="b">
        <v>0</v>
      </c>
      <c r="L36" s="136">
        <f t="shared" si="1"/>
        <v>0</v>
      </c>
      <c r="M36" s="117">
        <f t="shared" si="2"/>
        <v>0</v>
      </c>
      <c r="N36" s="124"/>
      <c r="O36" s="124"/>
    </row>
    <row r="37" ht="15.0" customHeight="1">
      <c r="A37" s="112"/>
      <c r="B37" s="112"/>
      <c r="C37" s="112"/>
      <c r="D37" s="129" t="s">
        <v>68</v>
      </c>
      <c r="E37" s="114" t="str">
        <f>VLOOKUP(D37,Data!H:I,2,0)</f>
        <v>İstanbul</v>
      </c>
      <c r="F37" s="115" t="s">
        <v>59</v>
      </c>
      <c r="G37" s="116" t="b">
        <v>0</v>
      </c>
      <c r="H37" s="116" t="b">
        <v>0</v>
      </c>
      <c r="I37" s="116" t="b">
        <v>0</v>
      </c>
      <c r="J37" s="116" t="b">
        <v>0</v>
      </c>
      <c r="K37" s="116" t="b">
        <v>0</v>
      </c>
      <c r="L37" s="136">
        <f t="shared" si="1"/>
        <v>0</v>
      </c>
      <c r="M37" s="117">
        <f t="shared" si="2"/>
        <v>0</v>
      </c>
      <c r="N37" s="112"/>
      <c r="O37" s="112"/>
    </row>
    <row r="38" ht="15.0" customHeight="1">
      <c r="A38" s="112"/>
      <c r="B38" s="112"/>
      <c r="C38" s="112"/>
      <c r="D38" s="132" t="s">
        <v>69</v>
      </c>
      <c r="E38" s="114" t="str">
        <f>VLOOKUP(D38,Data!H:I,2,0)</f>
        <v>İstanbul</v>
      </c>
      <c r="F38" s="115" t="s">
        <v>61</v>
      </c>
      <c r="G38" s="116" t="b">
        <v>0</v>
      </c>
      <c r="H38" s="116" t="b">
        <v>0</v>
      </c>
      <c r="I38" s="116" t="b">
        <v>0</v>
      </c>
      <c r="J38" s="116" t="b">
        <v>0</v>
      </c>
      <c r="K38" s="116" t="b">
        <v>0</v>
      </c>
      <c r="L38" s="136">
        <f t="shared" si="1"/>
        <v>0</v>
      </c>
      <c r="M38" s="117">
        <f t="shared" si="2"/>
        <v>0</v>
      </c>
      <c r="N38" s="112"/>
      <c r="O38" s="112"/>
    </row>
    <row r="39" ht="15.0" customHeight="1">
      <c r="A39" s="112"/>
      <c r="B39" s="112"/>
      <c r="C39" s="112"/>
      <c r="D39" s="129" t="s">
        <v>70</v>
      </c>
      <c r="E39" s="114" t="str">
        <f>VLOOKUP(D39,Data!H:I,2,0)</f>
        <v>İstanbul</v>
      </c>
      <c r="F39" s="115" t="s">
        <v>59</v>
      </c>
      <c r="G39" s="116" t="b">
        <v>0</v>
      </c>
      <c r="H39" s="116" t="b">
        <v>0</v>
      </c>
      <c r="I39" s="116" t="b">
        <v>0</v>
      </c>
      <c r="J39" s="116" t="b">
        <v>0</v>
      </c>
      <c r="K39" s="116" t="b">
        <v>0</v>
      </c>
      <c r="L39" s="136">
        <f t="shared" si="1"/>
        <v>0</v>
      </c>
      <c r="M39" s="117">
        <f t="shared" si="2"/>
        <v>0</v>
      </c>
      <c r="N39" s="112"/>
      <c r="O39" s="112"/>
    </row>
    <row r="40" ht="15.0" customHeight="1">
      <c r="A40" s="112"/>
      <c r="B40" s="112"/>
      <c r="C40" s="112"/>
      <c r="D40" s="132" t="s">
        <v>71</v>
      </c>
      <c r="E40" s="114" t="str">
        <f>VLOOKUP(D40,Data!H:I,2,0)</f>
        <v>İstanbul</v>
      </c>
      <c r="F40" s="115" t="s">
        <v>64</v>
      </c>
      <c r="G40" s="116" t="b">
        <v>1</v>
      </c>
      <c r="H40" s="116" t="b">
        <v>1</v>
      </c>
      <c r="I40" s="116" t="b">
        <v>1</v>
      </c>
      <c r="J40" s="116" t="b">
        <v>1</v>
      </c>
      <c r="K40" s="116" t="b">
        <v>1</v>
      </c>
      <c r="L40" s="136">
        <f t="shared" si="1"/>
        <v>5</v>
      </c>
      <c r="M40" s="117">
        <f t="shared" si="2"/>
        <v>20</v>
      </c>
      <c r="N40" s="112"/>
      <c r="O40" s="112"/>
    </row>
    <row r="41" ht="15.0" customHeight="1">
      <c r="A41" s="112"/>
      <c r="B41" s="112"/>
      <c r="C41" s="112"/>
      <c r="D41" s="132" t="s">
        <v>72</v>
      </c>
      <c r="E41" s="114" t="str">
        <f>VLOOKUP(D41,Data!H:I,2,0)</f>
        <v>İstanbul</v>
      </c>
      <c r="F41" s="115" t="s">
        <v>64</v>
      </c>
      <c r="G41" s="116" t="b">
        <v>1</v>
      </c>
      <c r="H41" s="116" t="b">
        <v>1</v>
      </c>
      <c r="I41" s="116" t="b">
        <v>1</v>
      </c>
      <c r="J41" s="116" t="b">
        <v>1</v>
      </c>
      <c r="K41" s="116" t="b">
        <v>1</v>
      </c>
      <c r="L41" s="136">
        <f t="shared" si="1"/>
        <v>5</v>
      </c>
      <c r="M41" s="117">
        <f t="shared" si="2"/>
        <v>20</v>
      </c>
      <c r="N41" s="112"/>
      <c r="O41" s="112"/>
    </row>
    <row r="42" ht="15.0" customHeight="1">
      <c r="A42" s="112"/>
      <c r="B42" s="112"/>
      <c r="C42" s="112"/>
      <c r="D42" s="132" t="s">
        <v>73</v>
      </c>
      <c r="E42" s="114" t="str">
        <f>VLOOKUP(D42,Data!H:I,2,0)</f>
        <v>İstanbul</v>
      </c>
      <c r="F42" s="115" t="s">
        <v>64</v>
      </c>
      <c r="G42" s="116" t="b">
        <v>0</v>
      </c>
      <c r="H42" s="116" t="b">
        <v>0</v>
      </c>
      <c r="I42" s="116" t="b">
        <v>0</v>
      </c>
      <c r="J42" s="116" t="b">
        <v>0</v>
      </c>
      <c r="K42" s="116" t="b">
        <v>0</v>
      </c>
      <c r="L42" s="136">
        <f t="shared" si="1"/>
        <v>0</v>
      </c>
      <c r="M42" s="117">
        <f t="shared" si="2"/>
        <v>0</v>
      </c>
      <c r="N42" s="112"/>
      <c r="O42" s="112"/>
    </row>
    <row r="43" ht="15.0" customHeight="1">
      <c r="A43" s="112"/>
      <c r="B43" s="112"/>
      <c r="C43" s="112"/>
      <c r="D43" s="132" t="s">
        <v>74</v>
      </c>
      <c r="E43" s="114" t="str">
        <f>VLOOKUP(D43,Data!H:I,2,0)</f>
        <v>İstanbul</v>
      </c>
      <c r="F43" s="115" t="s">
        <v>64</v>
      </c>
      <c r="G43" s="116" t="b">
        <v>0</v>
      </c>
      <c r="H43" s="116" t="b">
        <v>0</v>
      </c>
      <c r="I43" s="116" t="b">
        <v>0</v>
      </c>
      <c r="J43" s="116" t="b">
        <v>0</v>
      </c>
      <c r="K43" s="116" t="b">
        <v>0</v>
      </c>
      <c r="L43" s="136">
        <f t="shared" si="1"/>
        <v>0</v>
      </c>
      <c r="M43" s="117">
        <f t="shared" si="2"/>
        <v>0</v>
      </c>
      <c r="N43" s="112"/>
      <c r="O43" s="112"/>
    </row>
    <row r="44" ht="15.0" customHeight="1">
      <c r="A44" s="112"/>
      <c r="B44" s="112"/>
      <c r="C44" s="112"/>
      <c r="D44" s="129" t="s">
        <v>75</v>
      </c>
      <c r="E44" s="114" t="str">
        <f>VLOOKUP(D44,Data!H:I,2,0)</f>
        <v>İstanbul</v>
      </c>
      <c r="F44" s="115" t="s">
        <v>59</v>
      </c>
      <c r="G44" s="116" t="b">
        <v>1</v>
      </c>
      <c r="H44" s="116" t="b">
        <v>1</v>
      </c>
      <c r="I44" s="116" t="b">
        <v>1</v>
      </c>
      <c r="J44" s="116" t="b">
        <v>0</v>
      </c>
      <c r="K44" s="116" t="b">
        <v>0</v>
      </c>
      <c r="L44" s="136">
        <f t="shared" si="1"/>
        <v>3</v>
      </c>
      <c r="M44" s="117">
        <f t="shared" si="2"/>
        <v>12</v>
      </c>
      <c r="N44" s="112"/>
      <c r="O44" s="112"/>
    </row>
    <row r="45" ht="15.0" customHeight="1">
      <c r="A45" s="125"/>
      <c r="B45" s="125"/>
      <c r="C45" s="125"/>
      <c r="D45" s="129" t="s">
        <v>76</v>
      </c>
      <c r="E45" s="114" t="str">
        <f>VLOOKUP(D45,Data!H:I,2,0)</f>
        <v>İstanbul</v>
      </c>
      <c r="F45" s="115" t="s">
        <v>59</v>
      </c>
      <c r="G45" s="116" t="b">
        <v>0</v>
      </c>
      <c r="H45" s="116" t="b">
        <v>0</v>
      </c>
      <c r="I45" s="116" t="b">
        <v>1</v>
      </c>
      <c r="J45" s="116" t="b">
        <v>1</v>
      </c>
      <c r="K45" s="116" t="b">
        <v>1</v>
      </c>
      <c r="L45" s="136">
        <f t="shared" si="1"/>
        <v>3</v>
      </c>
      <c r="M45" s="117">
        <f t="shared" si="2"/>
        <v>12</v>
      </c>
      <c r="N45" s="125"/>
      <c r="O45" s="125"/>
    </row>
    <row r="46" ht="15.0" customHeight="1">
      <c r="A46" s="126"/>
      <c r="B46" s="126"/>
      <c r="C46" s="126"/>
      <c r="D46" s="129" t="s">
        <v>77</v>
      </c>
      <c r="E46" s="114" t="str">
        <f>VLOOKUP(D46,Data!H:I,2,0)</f>
        <v>İstanbul</v>
      </c>
      <c r="F46" s="115" t="s">
        <v>59</v>
      </c>
      <c r="G46" s="116" t="b">
        <v>0</v>
      </c>
      <c r="H46" s="116" t="b">
        <v>0</v>
      </c>
      <c r="I46" s="116" t="b">
        <v>0</v>
      </c>
      <c r="J46" s="116" t="b">
        <v>0</v>
      </c>
      <c r="K46" s="116" t="b">
        <v>0</v>
      </c>
      <c r="L46" s="136">
        <f t="shared" si="1"/>
        <v>0</v>
      </c>
      <c r="M46" s="117">
        <f t="shared" si="2"/>
        <v>0</v>
      </c>
      <c r="N46" s="126"/>
      <c r="O46" s="126"/>
    </row>
    <row r="47" ht="15.0" customHeight="1">
      <c r="A47" s="122"/>
      <c r="B47" s="122"/>
      <c r="C47" s="122"/>
      <c r="D47" s="129" t="s">
        <v>78</v>
      </c>
      <c r="E47" s="114" t="str">
        <f>VLOOKUP(D47,Data!H:I,2,0)</f>
        <v>İstanbul</v>
      </c>
      <c r="F47" s="115" t="s">
        <v>59</v>
      </c>
      <c r="G47" s="116" t="b">
        <v>1</v>
      </c>
      <c r="H47" s="116" t="b">
        <v>1</v>
      </c>
      <c r="I47" s="116" t="b">
        <v>1</v>
      </c>
      <c r="J47" s="116" t="b">
        <v>1</v>
      </c>
      <c r="K47" s="116" t="b">
        <v>1</v>
      </c>
      <c r="L47" s="136">
        <f t="shared" si="1"/>
        <v>5</v>
      </c>
      <c r="M47" s="117">
        <f t="shared" si="2"/>
        <v>20</v>
      </c>
      <c r="N47" s="122"/>
      <c r="O47" s="122"/>
    </row>
    <row r="48" ht="15.0" customHeight="1">
      <c r="A48" s="124"/>
      <c r="B48" s="124"/>
      <c r="C48" s="124"/>
      <c r="D48" s="129" t="s">
        <v>79</v>
      </c>
      <c r="E48" s="114" t="str">
        <f>VLOOKUP(D48,Data!H:I,2,0)</f>
        <v>İstanbul</v>
      </c>
      <c r="F48" s="115" t="s">
        <v>59</v>
      </c>
      <c r="G48" s="116" t="b">
        <v>0</v>
      </c>
      <c r="H48" s="116" t="b">
        <v>0</v>
      </c>
      <c r="I48" s="116" t="b">
        <v>0</v>
      </c>
      <c r="J48" s="116" t="b">
        <v>1</v>
      </c>
      <c r="K48" s="116" t="b">
        <v>1</v>
      </c>
      <c r="L48" s="136">
        <f t="shared" si="1"/>
        <v>2</v>
      </c>
      <c r="M48" s="117">
        <f t="shared" si="2"/>
        <v>8</v>
      </c>
      <c r="N48" s="124"/>
      <c r="O48" s="124"/>
    </row>
    <row r="49" ht="15.0" customHeight="1">
      <c r="A49" s="112"/>
      <c r="B49" s="112"/>
      <c r="C49" s="112"/>
      <c r="D49" s="129" t="s">
        <v>80</v>
      </c>
      <c r="E49" s="114" t="str">
        <f>VLOOKUP(D49,Data!H:I,2,0)</f>
        <v>İstanbul</v>
      </c>
      <c r="F49" s="115" t="s">
        <v>59</v>
      </c>
      <c r="G49" s="116" t="b">
        <v>1</v>
      </c>
      <c r="H49" s="116" t="b">
        <v>1</v>
      </c>
      <c r="I49" s="116" t="b">
        <v>1</v>
      </c>
      <c r="J49" s="116" t="b">
        <v>1</v>
      </c>
      <c r="K49" s="116" t="b">
        <v>1</v>
      </c>
      <c r="L49" s="136">
        <f t="shared" si="1"/>
        <v>5</v>
      </c>
      <c r="M49" s="117">
        <f t="shared" si="2"/>
        <v>20</v>
      </c>
      <c r="N49" s="112"/>
      <c r="O49" s="112"/>
    </row>
    <row r="50" ht="15.0" customHeight="1">
      <c r="A50" s="112"/>
      <c r="B50" s="112"/>
      <c r="C50" s="112"/>
      <c r="D50" s="129" t="s">
        <v>81</v>
      </c>
      <c r="E50" s="114" t="str">
        <f>VLOOKUP(D50,Data!H:I,2,0)</f>
        <v>İstanbul</v>
      </c>
      <c r="F50" s="115" t="s">
        <v>59</v>
      </c>
      <c r="G50" s="116" t="b">
        <v>1</v>
      </c>
      <c r="H50" s="116" t="b">
        <v>1</v>
      </c>
      <c r="I50" s="116" t="b">
        <v>1</v>
      </c>
      <c r="J50" s="116" t="b">
        <v>1</v>
      </c>
      <c r="K50" s="116" t="b">
        <v>1</v>
      </c>
      <c r="L50" s="136">
        <f t="shared" si="1"/>
        <v>5</v>
      </c>
      <c r="M50" s="117">
        <f t="shared" si="2"/>
        <v>20</v>
      </c>
      <c r="N50" s="112"/>
      <c r="O50" s="112"/>
    </row>
    <row r="51" ht="15.0" customHeight="1">
      <c r="A51" s="112"/>
      <c r="B51" s="112"/>
      <c r="C51" s="112"/>
      <c r="D51" s="132" t="s">
        <v>82</v>
      </c>
      <c r="E51" s="114" t="str">
        <f>VLOOKUP(D51,Data!H:I,2,0)</f>
        <v>İstanbul</v>
      </c>
      <c r="F51" s="115" t="s">
        <v>64</v>
      </c>
      <c r="G51" s="116" t="b">
        <v>1</v>
      </c>
      <c r="H51" s="116" t="b">
        <v>1</v>
      </c>
      <c r="I51" s="116" t="b">
        <v>1</v>
      </c>
      <c r="J51" s="116" t="b">
        <v>0</v>
      </c>
      <c r="K51" s="116" t="b">
        <v>0</v>
      </c>
      <c r="L51" s="136">
        <f t="shared" si="1"/>
        <v>3</v>
      </c>
      <c r="M51" s="117">
        <f t="shared" si="2"/>
        <v>12</v>
      </c>
      <c r="N51" s="112"/>
      <c r="O51" s="112"/>
    </row>
    <row r="52" ht="15.0" customHeight="1">
      <c r="A52" s="112"/>
      <c r="B52" s="112"/>
      <c r="C52" s="112"/>
      <c r="D52" s="132" t="s">
        <v>83</v>
      </c>
      <c r="E52" s="114" t="str">
        <f>VLOOKUP(D52,Data!H:I,2,0)</f>
        <v>İstanbul</v>
      </c>
      <c r="F52" s="115" t="s">
        <v>61</v>
      </c>
      <c r="G52" s="116" t="b">
        <v>1</v>
      </c>
      <c r="H52" s="116" t="b">
        <v>1</v>
      </c>
      <c r="I52" s="116" t="b">
        <v>1</v>
      </c>
      <c r="J52" s="116" t="b">
        <v>1</v>
      </c>
      <c r="K52" s="116" t="b">
        <v>1</v>
      </c>
      <c r="L52" s="136">
        <f t="shared" si="1"/>
        <v>5</v>
      </c>
      <c r="M52" s="117">
        <f t="shared" si="2"/>
        <v>20</v>
      </c>
      <c r="N52" s="112"/>
      <c r="O52" s="112"/>
    </row>
    <row r="53" ht="15.0" customHeight="1">
      <c r="A53" s="112"/>
      <c r="B53" s="112"/>
      <c r="C53" s="112"/>
      <c r="D53" s="134" t="s">
        <v>84</v>
      </c>
      <c r="E53" s="114" t="str">
        <f>VLOOKUP(D53,Data!H:I,2,0)</f>
        <v>İstanbul</v>
      </c>
      <c r="F53" s="115" t="s">
        <v>61</v>
      </c>
      <c r="G53" s="116" t="b">
        <v>0</v>
      </c>
      <c r="H53" s="116" t="b">
        <v>0</v>
      </c>
      <c r="I53" s="116" t="b">
        <v>0</v>
      </c>
      <c r="J53" s="116" t="b">
        <v>0</v>
      </c>
      <c r="K53" s="116" t="b">
        <v>0</v>
      </c>
      <c r="L53" s="136">
        <f t="shared" si="1"/>
        <v>0</v>
      </c>
      <c r="M53" s="117">
        <f t="shared" si="2"/>
        <v>0</v>
      </c>
      <c r="N53" s="112"/>
      <c r="O53" s="112"/>
    </row>
    <row r="54" ht="15.0" customHeight="1">
      <c r="A54" s="112"/>
      <c r="B54" s="112"/>
      <c r="C54" s="112"/>
      <c r="D54" s="132" t="s">
        <v>85</v>
      </c>
      <c r="E54" s="114" t="str">
        <f>VLOOKUP(D54,Data!H:I,2,0)</f>
        <v>İstanbul</v>
      </c>
      <c r="F54" s="115" t="s">
        <v>64</v>
      </c>
      <c r="G54" s="116" t="b">
        <v>0</v>
      </c>
      <c r="H54" s="116" t="b">
        <v>0</v>
      </c>
      <c r="I54" s="116" t="b">
        <v>0</v>
      </c>
      <c r="J54" s="116" t="b">
        <v>0</v>
      </c>
      <c r="K54" s="116" t="b">
        <v>0</v>
      </c>
      <c r="L54" s="136">
        <f t="shared" si="1"/>
        <v>0</v>
      </c>
      <c r="M54" s="117">
        <f t="shared" si="2"/>
        <v>0</v>
      </c>
      <c r="N54" s="112"/>
      <c r="O54" s="112"/>
    </row>
    <row r="55" ht="15.0" customHeight="1">
      <c r="A55" s="112"/>
      <c r="B55" s="112"/>
      <c r="C55" s="112"/>
      <c r="D55" s="129" t="s">
        <v>86</v>
      </c>
      <c r="E55" s="114" t="str">
        <f>VLOOKUP(D55,Data!H:I,2,0)</f>
        <v>İstanbul</v>
      </c>
      <c r="F55" s="115" t="s">
        <v>59</v>
      </c>
      <c r="G55" s="116" t="b">
        <v>1</v>
      </c>
      <c r="H55" s="116" t="b">
        <v>1</v>
      </c>
      <c r="I55" s="116" t="b">
        <v>1</v>
      </c>
      <c r="J55" s="116" t="b">
        <v>1</v>
      </c>
      <c r="K55" s="116" t="b">
        <v>1</v>
      </c>
      <c r="L55" s="136">
        <f t="shared" si="1"/>
        <v>5</v>
      </c>
      <c r="M55" s="117">
        <f t="shared" si="2"/>
        <v>20</v>
      </c>
      <c r="N55" s="112"/>
      <c r="O55" s="112"/>
    </row>
    <row r="56" ht="15.0" customHeight="1">
      <c r="A56" s="112"/>
      <c r="B56" s="112"/>
      <c r="C56" s="112"/>
      <c r="D56" s="129" t="s">
        <v>87</v>
      </c>
      <c r="E56" s="114" t="str">
        <f>VLOOKUP(D56,Data!H:I,2,0)</f>
        <v>İstanbul</v>
      </c>
      <c r="F56" s="115" t="s">
        <v>59</v>
      </c>
      <c r="G56" s="116" t="b">
        <v>1</v>
      </c>
      <c r="H56" s="116" t="b">
        <v>1</v>
      </c>
      <c r="I56" s="116" t="b">
        <v>1</v>
      </c>
      <c r="J56" s="116" t="b">
        <v>1</v>
      </c>
      <c r="K56" s="116" t="b">
        <v>1</v>
      </c>
      <c r="L56" s="136">
        <f t="shared" si="1"/>
        <v>5</v>
      </c>
      <c r="M56" s="117">
        <f t="shared" si="2"/>
        <v>20</v>
      </c>
      <c r="N56" s="112"/>
      <c r="O56" s="112"/>
    </row>
    <row r="57" ht="15.0" customHeight="1">
      <c r="A57" s="125"/>
      <c r="B57" s="125"/>
      <c r="C57" s="125"/>
      <c r="D57" s="132" t="s">
        <v>88</v>
      </c>
      <c r="E57" s="114" t="str">
        <f>VLOOKUP(D57,Data!H:I,2,0)</f>
        <v>İstanbul</v>
      </c>
      <c r="F57" s="115" t="s">
        <v>61</v>
      </c>
      <c r="G57" s="116" t="b">
        <v>1</v>
      </c>
      <c r="H57" s="116" t="b">
        <v>1</v>
      </c>
      <c r="I57" s="116" t="b">
        <v>1</v>
      </c>
      <c r="J57" s="116" t="b">
        <v>1</v>
      </c>
      <c r="K57" s="116" t="b">
        <v>1</v>
      </c>
      <c r="L57" s="136">
        <f t="shared" si="1"/>
        <v>5</v>
      </c>
      <c r="M57" s="117">
        <f t="shared" si="2"/>
        <v>20</v>
      </c>
      <c r="N57" s="125"/>
      <c r="O57" s="125"/>
    </row>
    <row r="58" ht="15.0" customHeight="1">
      <c r="A58" s="126"/>
      <c r="B58" s="126"/>
      <c r="C58" s="126"/>
      <c r="D58" s="132" t="s">
        <v>89</v>
      </c>
      <c r="E58" s="114" t="str">
        <f>VLOOKUP(D58,Data!H:I,2,0)</f>
        <v>İstanbul</v>
      </c>
      <c r="F58" s="115" t="s">
        <v>64</v>
      </c>
      <c r="G58" s="116" t="b">
        <v>1</v>
      </c>
      <c r="H58" s="116" t="b">
        <v>0</v>
      </c>
      <c r="I58" s="116" t="b">
        <v>0</v>
      </c>
      <c r="J58" s="116" t="b">
        <v>0</v>
      </c>
      <c r="K58" s="116" t="b">
        <v>0</v>
      </c>
      <c r="L58" s="136">
        <f t="shared" si="1"/>
        <v>1</v>
      </c>
      <c r="M58" s="117">
        <f t="shared" si="2"/>
        <v>4</v>
      </c>
      <c r="N58" s="126"/>
      <c r="O58" s="126"/>
    </row>
    <row r="59" ht="15.0" customHeight="1">
      <c r="A59" s="122"/>
      <c r="B59" s="122"/>
      <c r="C59" s="122"/>
      <c r="D59" s="137" t="s">
        <v>90</v>
      </c>
      <c r="E59" s="114" t="str">
        <f>VLOOKUP(D59,Data!H:I,2,0)</f>
        <v>İstanbul</v>
      </c>
      <c r="F59" s="115" t="s">
        <v>59</v>
      </c>
      <c r="G59" s="116" t="b">
        <v>0</v>
      </c>
      <c r="H59" s="116" t="b">
        <v>0</v>
      </c>
      <c r="I59" s="116" t="b">
        <v>0</v>
      </c>
      <c r="J59" s="116" t="b">
        <v>0</v>
      </c>
      <c r="K59" s="116" t="b">
        <v>0</v>
      </c>
      <c r="L59" s="136">
        <f t="shared" si="1"/>
        <v>0</v>
      </c>
      <c r="M59" s="117">
        <f t="shared" si="2"/>
        <v>0</v>
      </c>
      <c r="N59" s="122"/>
      <c r="O59" s="122"/>
    </row>
    <row r="60" ht="15.0" customHeight="1">
      <c r="A60" s="124"/>
      <c r="B60" s="124"/>
      <c r="C60" s="124"/>
      <c r="D60" s="134" t="s">
        <v>91</v>
      </c>
      <c r="E60" s="114" t="str">
        <f>VLOOKUP(D60,Data!H:I,2,0)</f>
        <v>İzmir</v>
      </c>
      <c r="F60" s="115" t="s">
        <v>61</v>
      </c>
      <c r="G60" s="116" t="b">
        <v>0</v>
      </c>
      <c r="H60" s="116" t="b">
        <v>0</v>
      </c>
      <c r="I60" s="116" t="b">
        <v>0</v>
      </c>
      <c r="J60" s="116" t="b">
        <v>0</v>
      </c>
      <c r="K60" s="116" t="b">
        <v>0</v>
      </c>
      <c r="L60" s="136">
        <f t="shared" si="1"/>
        <v>0</v>
      </c>
      <c r="M60" s="117">
        <f t="shared" si="2"/>
        <v>0</v>
      </c>
      <c r="N60" s="124"/>
      <c r="O60" s="124"/>
    </row>
    <row r="61" ht="15.0" customHeight="1">
      <c r="A61" s="112"/>
      <c r="B61" s="112"/>
      <c r="C61" s="112"/>
      <c r="D61" s="132" t="s">
        <v>92</v>
      </c>
      <c r="E61" s="114" t="str">
        <f>VLOOKUP(D61,Data!H:I,2,0)</f>
        <v>İzmir</v>
      </c>
      <c r="F61" s="115" t="s">
        <v>61</v>
      </c>
      <c r="G61" s="116" t="b">
        <v>1</v>
      </c>
      <c r="H61" s="116" t="b">
        <v>1</v>
      </c>
      <c r="I61" s="116" t="b">
        <v>1</v>
      </c>
      <c r="J61" s="116" t="b">
        <v>1</v>
      </c>
      <c r="K61" s="116" t="b">
        <v>0</v>
      </c>
      <c r="L61" s="136">
        <f t="shared" si="1"/>
        <v>4</v>
      </c>
      <c r="M61" s="117">
        <f t="shared" si="2"/>
        <v>16</v>
      </c>
      <c r="N61" s="112"/>
      <c r="O61" s="112"/>
    </row>
    <row r="62" ht="15.0" customHeight="1">
      <c r="A62" s="112"/>
      <c r="B62" s="112"/>
      <c r="C62" s="112"/>
      <c r="D62" s="129" t="s">
        <v>93</v>
      </c>
      <c r="E62" s="114" t="str">
        <f>VLOOKUP(D62,Data!H:I,2,0)</f>
        <v>İzmir</v>
      </c>
      <c r="F62" s="115" t="s">
        <v>59</v>
      </c>
      <c r="G62" s="116" t="b">
        <v>1</v>
      </c>
      <c r="H62" s="116" t="b">
        <v>1</v>
      </c>
      <c r="I62" s="116" t="b">
        <v>1</v>
      </c>
      <c r="J62" s="116" t="b">
        <v>0</v>
      </c>
      <c r="K62" s="116" t="b">
        <v>0</v>
      </c>
      <c r="L62" s="136">
        <f t="shared" si="1"/>
        <v>3</v>
      </c>
      <c r="M62" s="117">
        <f t="shared" si="2"/>
        <v>12</v>
      </c>
      <c r="N62" s="112"/>
      <c r="O62" s="112"/>
    </row>
    <row r="63" ht="15.0" customHeight="1">
      <c r="A63" s="112"/>
      <c r="B63" s="112"/>
      <c r="C63" s="112"/>
      <c r="D63" s="134" t="s">
        <v>94</v>
      </c>
      <c r="E63" s="114" t="str">
        <f>VLOOKUP(D63,Data!H:I,2,0)</f>
        <v>İzmir</v>
      </c>
      <c r="F63" s="115" t="s">
        <v>61</v>
      </c>
      <c r="G63" s="116" t="b">
        <v>0</v>
      </c>
      <c r="H63" s="116" t="b">
        <v>0</v>
      </c>
      <c r="I63" s="116" t="b">
        <v>0</v>
      </c>
      <c r="J63" s="116" t="b">
        <v>0</v>
      </c>
      <c r="K63" s="116" t="b">
        <v>0</v>
      </c>
      <c r="L63" s="136">
        <f t="shared" si="1"/>
        <v>0</v>
      </c>
      <c r="M63" s="117">
        <f t="shared" si="2"/>
        <v>0</v>
      </c>
      <c r="N63" s="112"/>
      <c r="O63" s="112"/>
    </row>
    <row r="64" ht="15.0" customHeight="1">
      <c r="A64" s="112"/>
      <c r="B64" s="112"/>
      <c r="C64" s="112"/>
      <c r="D64" s="132" t="s">
        <v>96</v>
      </c>
      <c r="E64" s="114" t="str">
        <f>VLOOKUP(D64,Data!H:I,2,0)</f>
        <v>Kocaeli</v>
      </c>
      <c r="F64" s="115" t="s">
        <v>61</v>
      </c>
      <c r="G64" s="116" t="b">
        <v>0</v>
      </c>
      <c r="H64" s="116" t="b">
        <v>1</v>
      </c>
      <c r="I64" s="116" t="b">
        <v>1</v>
      </c>
      <c r="J64" s="116" t="b">
        <v>1</v>
      </c>
      <c r="K64" s="116" t="b">
        <v>0</v>
      </c>
      <c r="L64" s="136">
        <f t="shared" si="1"/>
        <v>3</v>
      </c>
      <c r="M64" s="117">
        <f t="shared" si="2"/>
        <v>12</v>
      </c>
      <c r="N64" s="112"/>
      <c r="O64" s="112"/>
    </row>
    <row r="65" ht="15.0" customHeight="1">
      <c r="A65" s="112"/>
      <c r="B65" s="112"/>
      <c r="C65" s="112"/>
      <c r="D65" s="132" t="s">
        <v>97</v>
      </c>
      <c r="E65" s="114" t="str">
        <f>VLOOKUP(D65,Data!H:I,2,0)</f>
        <v>Konya</v>
      </c>
      <c r="F65" s="115" t="s">
        <v>61</v>
      </c>
      <c r="G65" s="116" t="b">
        <v>1</v>
      </c>
      <c r="H65" s="116" t="b">
        <v>1</v>
      </c>
      <c r="I65" s="116" t="b">
        <v>1</v>
      </c>
      <c r="J65" s="116" t="b">
        <v>1</v>
      </c>
      <c r="K65" s="116" t="b">
        <v>1</v>
      </c>
      <c r="L65" s="136">
        <f t="shared" si="1"/>
        <v>5</v>
      </c>
      <c r="M65" s="117">
        <f t="shared" si="2"/>
        <v>20</v>
      </c>
      <c r="N65" s="112"/>
      <c r="O65" s="112"/>
    </row>
    <row r="66" ht="15.0" customHeight="1">
      <c r="A66" s="112"/>
      <c r="B66" s="112"/>
      <c r="C66" s="112"/>
      <c r="D66" s="132" t="s">
        <v>98</v>
      </c>
      <c r="E66" s="114" t="str">
        <f>VLOOKUP(D66,Data!H:I,2,0)</f>
        <v>Manisa</v>
      </c>
      <c r="F66" s="115" t="s">
        <v>61</v>
      </c>
      <c r="G66" s="116" t="b">
        <v>0</v>
      </c>
      <c r="H66" s="116" t="b">
        <v>0</v>
      </c>
      <c r="I66" s="116" t="b">
        <v>0</v>
      </c>
      <c r="J66" s="116" t="b">
        <v>0</v>
      </c>
      <c r="K66" s="116" t="b">
        <v>0</v>
      </c>
      <c r="L66" s="136">
        <f t="shared" si="1"/>
        <v>0</v>
      </c>
      <c r="M66" s="117">
        <f t="shared" si="2"/>
        <v>0</v>
      </c>
      <c r="N66" s="112"/>
      <c r="O66" s="112"/>
    </row>
    <row r="67" ht="15.0" customHeight="1">
      <c r="A67" s="112"/>
      <c r="B67" s="112"/>
      <c r="C67" s="112"/>
      <c r="D67" s="132" t="s">
        <v>99</v>
      </c>
      <c r="E67" s="114" t="str">
        <f>VLOOKUP(D67,Data!H:I,2,0)</f>
        <v>Mersin</v>
      </c>
      <c r="F67" s="127" t="s">
        <v>61</v>
      </c>
      <c r="G67" s="116" t="b">
        <v>1</v>
      </c>
      <c r="H67" s="116" t="b">
        <v>0</v>
      </c>
      <c r="I67" s="116" t="b">
        <v>0</v>
      </c>
      <c r="J67" s="116" t="b">
        <v>1</v>
      </c>
      <c r="K67" s="116" t="b">
        <v>0</v>
      </c>
      <c r="L67" s="136">
        <f t="shared" si="1"/>
        <v>2</v>
      </c>
      <c r="M67" s="117">
        <f t="shared" si="2"/>
        <v>8</v>
      </c>
      <c r="N67" s="112"/>
      <c r="O67" s="112"/>
    </row>
    <row r="68" ht="15.0" customHeight="1">
      <c r="A68" s="112"/>
      <c r="B68" s="112"/>
      <c r="C68" s="112"/>
      <c r="D68" s="134" t="s">
        <v>100</v>
      </c>
      <c r="E68" s="114" t="str">
        <f>VLOOKUP(D68,Data!H:I,2,0)</f>
        <v>Muğla</v>
      </c>
      <c r="F68" s="127" t="s">
        <v>61</v>
      </c>
      <c r="G68" s="116" t="b">
        <v>0</v>
      </c>
      <c r="H68" s="116" t="b">
        <v>0</v>
      </c>
      <c r="I68" s="116" t="b">
        <v>0</v>
      </c>
      <c r="J68" s="116" t="b">
        <v>0</v>
      </c>
      <c r="K68" s="116" t="b">
        <v>0</v>
      </c>
      <c r="L68" s="136">
        <f t="shared" si="1"/>
        <v>0</v>
      </c>
      <c r="M68" s="117">
        <f t="shared" si="2"/>
        <v>0</v>
      </c>
      <c r="N68" s="112"/>
      <c r="O68" s="112"/>
    </row>
    <row r="69" ht="15.0" customHeight="1">
      <c r="A69" s="112"/>
      <c r="B69" s="112"/>
      <c r="C69" s="112"/>
      <c r="D69" s="134" t="s">
        <v>101</v>
      </c>
      <c r="E69" s="114" t="str">
        <f>VLOOKUP(D69,Data!H:I,2,0)</f>
        <v>Samsun</v>
      </c>
      <c r="F69" s="127" t="s">
        <v>61</v>
      </c>
      <c r="G69" s="116" t="b">
        <v>0</v>
      </c>
      <c r="H69" s="116" t="b">
        <v>0</v>
      </c>
      <c r="I69" s="116" t="b">
        <v>0</v>
      </c>
      <c r="J69" s="116" t="b">
        <v>0</v>
      </c>
      <c r="K69" s="116" t="b">
        <v>0</v>
      </c>
      <c r="L69" s="136">
        <f t="shared" si="1"/>
        <v>0</v>
      </c>
      <c r="M69" s="117">
        <f t="shared" si="2"/>
        <v>0</v>
      </c>
      <c r="N69" s="112"/>
      <c r="O69" s="112"/>
    </row>
    <row r="70" ht="15.0" customHeight="1">
      <c r="A70" s="112"/>
      <c r="B70" s="112"/>
      <c r="C70" s="112"/>
      <c r="D70" s="129" t="s">
        <v>104</v>
      </c>
      <c r="E70" s="114" t="str">
        <f>VLOOKUP(D70,Data!H:I,2,0)</f>
        <v>Tekirdağ</v>
      </c>
      <c r="F70" s="127" t="s">
        <v>59</v>
      </c>
      <c r="G70" s="116" t="b">
        <v>1</v>
      </c>
      <c r="H70" s="116" t="b">
        <v>1</v>
      </c>
      <c r="I70" s="116" t="b">
        <v>1</v>
      </c>
      <c r="J70" s="116" t="b">
        <v>1</v>
      </c>
      <c r="K70" s="116" t="b">
        <v>0</v>
      </c>
      <c r="L70" s="136">
        <f t="shared" si="1"/>
        <v>4</v>
      </c>
      <c r="M70" s="117">
        <f t="shared" si="2"/>
        <v>16</v>
      </c>
      <c r="N70" s="112"/>
      <c r="O70" s="112"/>
    </row>
    <row r="71" ht="15.0" customHeight="1">
      <c r="A71" s="112"/>
      <c r="B71" s="112"/>
      <c r="C71" s="112"/>
      <c r="D71" s="134" t="s">
        <v>105</v>
      </c>
      <c r="E71" s="114" t="str">
        <f>VLOOKUP(D71,Data!H:I,2,0)</f>
        <v>Trabzon</v>
      </c>
      <c r="F71" s="127" t="s">
        <v>61</v>
      </c>
      <c r="G71" s="116" t="b">
        <v>0</v>
      </c>
      <c r="H71" s="116" t="b">
        <v>0</v>
      </c>
      <c r="I71" s="116" t="b">
        <v>0</v>
      </c>
      <c r="J71" s="116" t="b">
        <v>0</v>
      </c>
      <c r="K71" s="116" t="b">
        <v>0</v>
      </c>
      <c r="L71" s="136">
        <f t="shared" si="1"/>
        <v>0</v>
      </c>
      <c r="M71" s="117">
        <f t="shared" si="2"/>
        <v>0</v>
      </c>
      <c r="N71" s="112"/>
      <c r="O71" s="112"/>
    </row>
    <row r="72" ht="15.0" customHeight="1">
      <c r="A72" s="112"/>
      <c r="B72" s="112"/>
      <c r="C72" s="112"/>
      <c r="D72" s="132"/>
      <c r="E72" s="132"/>
      <c r="F72" s="132"/>
      <c r="G72" s="117">
        <f>4*(COUNTIF(G14:G71,"true"))+9</f>
        <v>129</v>
      </c>
      <c r="H72" s="117">
        <f>4*(COUNTIF(H14:H71,"true"))+6</f>
        <v>126</v>
      </c>
      <c r="I72" s="117">
        <f t="shared" ref="I72:K72" si="3">4*(COUNTIF(I14:I71,"true"))+9</f>
        <v>137</v>
      </c>
      <c r="J72" s="117">
        <f t="shared" si="3"/>
        <v>129</v>
      </c>
      <c r="K72" s="117">
        <f t="shared" si="3"/>
        <v>105</v>
      </c>
      <c r="L72" s="135"/>
      <c r="M72" s="135">
        <f>SUM(G72:K72)</f>
        <v>626</v>
      </c>
      <c r="N72" s="112"/>
      <c r="O72" s="112"/>
    </row>
  </sheetData>
  <customSheetViews>
    <customSheetView guid="{B6AC0261-399D-4425-9E51-23C08CE5B4D5}" filter="1" showAutoFilter="1">
      <autoFilter ref="$A$14:$O$72">
        <filterColumn colId="6">
          <filters>
            <filter val="129"/>
            <filter val="TRUE"/>
            <filter val="FALSE"/>
          </filters>
        </filterColumn>
        <filterColumn colId="4">
          <filters blank="1">
            <filter val="Samsun"/>
            <filter val="Trabzon"/>
            <filter val="Manisa"/>
            <filter val="Bursa"/>
            <filter val="Muğla"/>
            <filter val="Kocaeli"/>
          </filters>
        </filterColumn>
      </autoFilter>
    </customSheetView>
    <customSheetView guid="{90E1DF85-7252-44D2-BA7D-CC3767CD0E8B}" filter="1" showAutoFilter="1">
      <autoFilter ref="$D$14:$M$72"/>
    </customSheetView>
    <customSheetView guid="{0FE7F4D1-BDAC-4A9A-B62E-04C13208ED00}" filter="1" showAutoFilter="1">
      <autoFilter ref="$A$14:$O$72">
        <filterColumn colId="6">
          <filters>
            <filter val="129"/>
            <filter val="TRUE"/>
            <filter val="FALSE"/>
          </filters>
        </filterColumn>
        <filterColumn colId="4">
          <filters blank="1">
            <filter val="Samsun"/>
            <filter val="Trabzon"/>
            <filter val="Manisa"/>
            <filter val="İstanbul"/>
            <filter val="Muğla"/>
            <filter val="Kocaeli"/>
          </filters>
        </filterColumn>
      </autoFilter>
    </customSheetView>
    <customSheetView guid="{D7E14F80-CAEE-4E31-A547-4F1E19D72126}" filter="1" showAutoFilter="1">
      <autoFilter ref="$D$14:$M$72">
        <filterColumn colId="2">
          <filters>
            <filter val="Nazım Öztel"/>
          </filters>
        </filterColumn>
      </autoFilter>
    </customSheetView>
    <customSheetView guid="{DB2CE1C5-199B-47BA-A236-7442DCB330CB}" filter="1" showAutoFilter="1">
      <autoFilter ref="$G$17:$G$68"/>
    </customSheetView>
    <customSheetView guid="{61BFB675-AD62-40D8-8BF0-59DD92A06096}" filter="1" showAutoFilter="1">
      <autoFilter ref="$D$64:$E$71"/>
    </customSheetView>
    <customSheetView guid="{2D10EDF7-8C93-4A8A-8C0B-360D0B896F90}" filter="1" showAutoFilter="1">
      <autoFilter ref="$A$14:$O$72">
        <filterColumn colId="4">
          <filters>
            <filter val="Kocaeli"/>
          </filters>
        </filterColumn>
      </autoFilter>
    </customSheetView>
    <customSheetView guid="{70B995D3-3AEB-4DFE-A0CA-D6FFCCE596BC}" filter="1" showAutoFilter="1">
      <autoFilter ref="$D$14:$D$71"/>
    </customSheetView>
    <customSheetView guid="{7FF46E22-06B7-4FFB-807C-7E43787B865F}" filter="1" showAutoFilter="1">
      <autoFilter ref="$A$14:$O$72">
        <filterColumn colId="4">
          <filters blank="1">
            <filter val="Samsun"/>
            <filter val="Trabzon"/>
            <filter val="Manisa"/>
            <filter val="Gaziantep"/>
            <filter val="İstanbul"/>
            <filter val="Mersin"/>
            <filter val="Muğla"/>
          </filters>
        </filterColumn>
        <filterColumn colId="10">
          <filters>
            <filter val="105"/>
            <filter val="TRUE"/>
            <filter val="FALSE"/>
          </filters>
        </filterColumn>
      </autoFilter>
    </customSheetView>
    <customSheetView guid="{9DC5C3C4-AFDD-406F-8560-4376B76F2AB6}" filter="1" showAutoFilter="1">
      <autoFilter ref="$A$1"/>
    </customSheetView>
    <customSheetView guid="{4DB25A29-0A20-41B4-A119-9D022EFF2EB8}" filter="1" showAutoFilter="1">
      <autoFilter ref="$D$14:$M$72"/>
    </customSheetView>
  </customSheetViews>
  <mergeCells count="4">
    <mergeCell ref="D6:K6"/>
    <mergeCell ref="D7:F7"/>
    <mergeCell ref="D9:D12"/>
    <mergeCell ref="F10:M11"/>
  </mergeCells>
  <conditionalFormatting sqref="G15:K71">
    <cfRule type="cellIs" dxfId="1" priority="1" operator="equal">
      <formula>"False"</formula>
    </cfRule>
  </conditionalFormatting>
  <conditionalFormatting sqref="G15:K71">
    <cfRule type="cellIs" dxfId="0" priority="2" operator="equal">
      <formula>"TRUE"</formula>
    </cfRule>
  </conditionalFormatting>
  <dataValidations>
    <dataValidation type="list" allowBlank="1" showErrorMessage="1" sqref="E15:E71">
      <formula1>Data!$A$2:$A$10</formula1>
    </dataValidation>
    <dataValidation type="list" allowBlank="1" showErrorMessage="1" sqref="F15:F71">
      <formula1>Data!$C$2:$C$8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3" width="2.63"/>
    <col customWidth="1" min="4" max="4" width="20.38"/>
    <col customWidth="1" min="5" max="5" width="11.38"/>
    <col customWidth="1" min="6" max="6" width="16.63"/>
    <col customWidth="1" min="7" max="11" width="8.63"/>
    <col customWidth="1" min="12" max="12" width="12.63"/>
    <col customWidth="1" min="13" max="13" width="15.13"/>
    <col customWidth="1" min="14" max="15" width="2.63"/>
  </cols>
  <sheetData>
    <row r="1" ht="7.5" customHeight="1">
      <c r="A1" s="84"/>
      <c r="B1" s="84"/>
      <c r="C1" s="84"/>
      <c r="D1" s="84"/>
      <c r="E1" s="84"/>
      <c r="F1" s="84"/>
      <c r="G1" s="84"/>
      <c r="H1" s="84"/>
      <c r="I1" s="84"/>
      <c r="J1" s="84"/>
      <c r="K1" s="84"/>
      <c r="L1" s="85"/>
      <c r="M1" s="86"/>
      <c r="N1" s="86"/>
      <c r="O1" s="86"/>
    </row>
    <row r="2" ht="15.0" customHeight="1">
      <c r="A2" s="87"/>
      <c r="B2" s="87"/>
      <c r="C2" s="87"/>
      <c r="D2" s="88"/>
      <c r="E2" s="88"/>
      <c r="F2" s="88"/>
      <c r="G2" s="88"/>
      <c r="H2" s="88"/>
      <c r="I2" s="88"/>
      <c r="J2" s="88"/>
      <c r="K2" s="88"/>
      <c r="L2" s="88"/>
      <c r="M2" s="87"/>
      <c r="N2" s="87"/>
      <c r="O2" s="87"/>
    </row>
    <row r="3" ht="3.75" customHeight="1">
      <c r="A3" s="87"/>
      <c r="B3" s="87"/>
      <c r="C3" s="87"/>
      <c r="D3" s="89"/>
      <c r="E3" s="90"/>
      <c r="F3" s="90"/>
      <c r="G3" s="90"/>
      <c r="H3" s="90"/>
      <c r="I3" s="90"/>
      <c r="J3" s="90"/>
      <c r="K3" s="90"/>
      <c r="L3" s="90"/>
      <c r="M3" s="87"/>
      <c r="N3" s="87"/>
      <c r="O3" s="87"/>
    </row>
    <row r="4" ht="15.0" customHeight="1">
      <c r="A4" s="87"/>
      <c r="B4" s="87"/>
      <c r="C4" s="87"/>
      <c r="D4" s="88"/>
      <c r="E4" s="88"/>
      <c r="F4" s="88"/>
      <c r="G4" s="91"/>
      <c r="H4" s="91"/>
      <c r="I4" s="91"/>
      <c r="J4" s="91"/>
      <c r="K4" s="91"/>
      <c r="L4" s="91"/>
      <c r="M4" s="87"/>
      <c r="N4" s="87"/>
      <c r="O4" s="87"/>
    </row>
    <row r="5" ht="15.0" customHeight="1">
      <c r="A5" s="92"/>
      <c r="B5" s="92"/>
      <c r="C5" s="92"/>
      <c r="D5" s="88"/>
      <c r="E5" s="88"/>
      <c r="F5" s="88"/>
      <c r="G5" s="93"/>
      <c r="H5" s="93"/>
      <c r="I5" s="93"/>
      <c r="J5" s="93"/>
      <c r="K5" s="93"/>
      <c r="L5" s="94"/>
      <c r="M5" s="88"/>
      <c r="N5" s="92"/>
      <c r="O5" s="92"/>
    </row>
    <row r="6" ht="15.0" customHeight="1">
      <c r="A6" s="92"/>
      <c r="B6" s="92"/>
      <c r="C6" s="92"/>
      <c r="D6" s="95" t="s">
        <v>115</v>
      </c>
      <c r="L6" s="94"/>
      <c r="M6" s="88"/>
      <c r="N6" s="92"/>
      <c r="O6" s="92"/>
    </row>
    <row r="7" ht="15.0" customHeight="1">
      <c r="A7" s="92"/>
      <c r="B7" s="92"/>
      <c r="C7" s="92"/>
      <c r="D7" s="96" t="s">
        <v>116</v>
      </c>
      <c r="G7" s="97"/>
      <c r="H7" s="97"/>
      <c r="I7" s="97"/>
      <c r="J7" s="97"/>
      <c r="K7" s="97"/>
      <c r="L7" s="92"/>
      <c r="M7" s="92"/>
      <c r="N7" s="92"/>
      <c r="O7" s="92"/>
    </row>
    <row r="8" ht="15.0" customHeight="1">
      <c r="A8" s="92"/>
      <c r="B8" s="92"/>
      <c r="C8" s="92"/>
      <c r="D8" s="97"/>
      <c r="E8" s="97"/>
      <c r="F8" s="97"/>
      <c r="G8" s="97"/>
      <c r="H8" s="97"/>
      <c r="I8" s="97"/>
      <c r="J8" s="97"/>
      <c r="K8" s="97"/>
      <c r="L8" s="92"/>
      <c r="M8" s="92"/>
      <c r="N8" s="92"/>
      <c r="O8" s="92"/>
    </row>
    <row r="9" ht="15.0" customHeight="1">
      <c r="A9" s="92"/>
      <c r="B9" s="92"/>
      <c r="C9" s="98"/>
      <c r="D9" s="99" t="s">
        <v>35</v>
      </c>
      <c r="E9" s="100"/>
      <c r="F9" s="101"/>
      <c r="G9" s="101"/>
      <c r="H9" s="101"/>
      <c r="I9" s="101"/>
      <c r="J9" s="101"/>
      <c r="K9" s="101"/>
      <c r="L9" s="101"/>
      <c r="M9" s="100"/>
      <c r="N9" s="102"/>
      <c r="O9" s="102"/>
    </row>
    <row r="10" ht="15.0" customHeight="1">
      <c r="A10" s="92"/>
      <c r="B10" s="92"/>
      <c r="C10" s="98"/>
      <c r="E10" s="100"/>
      <c r="F10" s="103" t="s">
        <v>36</v>
      </c>
      <c r="N10" s="102"/>
      <c r="O10" s="102"/>
    </row>
    <row r="11" ht="15.0" customHeight="1">
      <c r="A11" s="92"/>
      <c r="B11" s="92"/>
      <c r="C11" s="98"/>
      <c r="E11" s="100"/>
      <c r="N11" s="102"/>
      <c r="O11" s="102"/>
    </row>
    <row r="12" ht="15.0" customHeight="1">
      <c r="A12" s="88"/>
      <c r="B12" s="92"/>
      <c r="C12" s="92"/>
      <c r="E12" s="100"/>
      <c r="F12" s="100"/>
      <c r="G12" s="100"/>
      <c r="H12" s="100"/>
      <c r="I12" s="100"/>
      <c r="J12" s="100"/>
      <c r="K12" s="100"/>
      <c r="L12" s="100"/>
      <c r="M12" s="100"/>
      <c r="N12" s="102"/>
      <c r="O12" s="102"/>
    </row>
    <row r="13" ht="15.0" customHeight="1">
      <c r="A13" s="88"/>
      <c r="B13" s="104"/>
      <c r="C13" s="104"/>
      <c r="D13" s="104"/>
      <c r="E13" s="104"/>
      <c r="F13" s="105"/>
      <c r="G13" s="105"/>
      <c r="H13" s="105"/>
      <c r="I13" s="105"/>
      <c r="J13" s="105"/>
      <c r="K13" s="105"/>
      <c r="L13" s="104"/>
      <c r="M13" s="104"/>
      <c r="N13" s="104"/>
      <c r="O13" s="104"/>
    </row>
    <row r="14" ht="15.0" customHeight="1">
      <c r="A14" s="106"/>
      <c r="B14" s="106"/>
      <c r="C14" s="106"/>
      <c r="D14" s="107" t="s">
        <v>37</v>
      </c>
      <c r="E14" s="108" t="s">
        <v>38</v>
      </c>
      <c r="F14" s="109" t="s">
        <v>39</v>
      </c>
      <c r="G14" s="110">
        <v>44424.0</v>
      </c>
      <c r="H14" s="110">
        <v>44425.0</v>
      </c>
      <c r="I14" s="110">
        <v>44426.0</v>
      </c>
      <c r="J14" s="110">
        <v>44427.0</v>
      </c>
      <c r="K14" s="110">
        <v>44428.0</v>
      </c>
      <c r="L14" s="111" t="s">
        <v>40</v>
      </c>
      <c r="M14" s="111" t="s">
        <v>41</v>
      </c>
      <c r="N14" s="88"/>
      <c r="O14" s="88"/>
    </row>
    <row r="15" ht="15.0" customHeight="1">
      <c r="A15" s="112"/>
      <c r="B15" s="112"/>
      <c r="C15" s="112"/>
      <c r="D15" s="129" t="s">
        <v>42</v>
      </c>
      <c r="E15" s="114" t="str">
        <f>VLOOKUP(D15,Data!H:I,2,0)</f>
        <v>Adana</v>
      </c>
      <c r="F15" s="115" t="s">
        <v>59</v>
      </c>
      <c r="G15" s="116" t="b">
        <v>1</v>
      </c>
      <c r="H15" s="116" t="b">
        <v>1</v>
      </c>
      <c r="I15" s="116" t="b">
        <v>1</v>
      </c>
      <c r="J15" s="116" t="b">
        <v>1</v>
      </c>
      <c r="K15" s="116" t="b">
        <v>1</v>
      </c>
      <c r="L15" s="117">
        <f t="shared" ref="L15:L65" si="1">COUNTIF(G15:K15,"TRUE")</f>
        <v>5</v>
      </c>
      <c r="M15" s="117">
        <f t="shared" ref="M15:M65" si="2">L15*4</f>
        <v>20</v>
      </c>
      <c r="N15" s="88"/>
      <c r="O15" s="88"/>
    </row>
    <row r="16" ht="15.0" customHeight="1">
      <c r="A16" s="112"/>
      <c r="B16" s="112"/>
      <c r="C16" s="112"/>
      <c r="D16" s="129" t="s">
        <v>43</v>
      </c>
      <c r="E16" s="114" t="str">
        <f>VLOOKUP(D16,Data!H:I,2,0)</f>
        <v>Adana</v>
      </c>
      <c r="F16" s="115" t="s">
        <v>59</v>
      </c>
      <c r="G16" s="116" t="b">
        <v>0</v>
      </c>
      <c r="H16" s="116" t="b">
        <v>0</v>
      </c>
      <c r="I16" s="116" t="b">
        <v>1</v>
      </c>
      <c r="J16" s="116" t="b">
        <v>1</v>
      </c>
      <c r="K16" s="116" t="b">
        <v>1</v>
      </c>
      <c r="L16" s="117">
        <f t="shared" si="1"/>
        <v>3</v>
      </c>
      <c r="M16" s="117">
        <f t="shared" si="2"/>
        <v>12</v>
      </c>
      <c r="N16" s="88"/>
      <c r="O16" s="88"/>
    </row>
    <row r="17" ht="15.0" customHeight="1">
      <c r="A17" s="112"/>
      <c r="B17" s="112"/>
      <c r="C17" s="112"/>
      <c r="D17" s="131" t="s">
        <v>44</v>
      </c>
      <c r="E17" s="114" t="str">
        <f>VLOOKUP(D17,Data!H:I,2,0)</f>
        <v>Ankara</v>
      </c>
      <c r="F17" s="115" t="s">
        <v>108</v>
      </c>
      <c r="G17" s="116" t="b">
        <v>0</v>
      </c>
      <c r="H17" s="116" t="b">
        <v>1</v>
      </c>
      <c r="I17" s="116" t="b">
        <v>0</v>
      </c>
      <c r="J17" s="116" t="b">
        <v>1</v>
      </c>
      <c r="K17" s="116" t="b">
        <v>0</v>
      </c>
      <c r="L17" s="117">
        <f t="shared" si="1"/>
        <v>2</v>
      </c>
      <c r="M17" s="117">
        <f t="shared" si="2"/>
        <v>8</v>
      </c>
      <c r="N17" s="88"/>
      <c r="O17" s="88"/>
    </row>
    <row r="18" ht="15.0" customHeight="1">
      <c r="A18" s="112"/>
      <c r="B18" s="112"/>
      <c r="C18" s="112"/>
      <c r="D18" s="131" t="s">
        <v>45</v>
      </c>
      <c r="E18" s="114" t="str">
        <f>VLOOKUP(D18,Data!H:I,2,0)</f>
        <v>Ankara</v>
      </c>
      <c r="F18" s="115" t="s">
        <v>108</v>
      </c>
      <c r="G18" s="116" t="b">
        <v>0</v>
      </c>
      <c r="H18" s="116" t="b">
        <v>1</v>
      </c>
      <c r="I18" s="116" t="b">
        <v>0</v>
      </c>
      <c r="J18" s="116" t="b">
        <v>0</v>
      </c>
      <c r="K18" s="116" t="b">
        <v>0</v>
      </c>
      <c r="L18" s="117">
        <f t="shared" si="1"/>
        <v>1</v>
      </c>
      <c r="M18" s="117">
        <f t="shared" si="2"/>
        <v>4</v>
      </c>
      <c r="N18" s="118"/>
      <c r="O18" s="88"/>
    </row>
    <row r="19" ht="15.0" customHeight="1">
      <c r="A19" s="112"/>
      <c r="B19" s="112"/>
      <c r="C19" s="112"/>
      <c r="D19" s="131" t="s">
        <v>46</v>
      </c>
      <c r="E19" s="114" t="str">
        <f>VLOOKUP(D19,Data!H:I,2,0)</f>
        <v>Ankara</v>
      </c>
      <c r="F19" s="115" t="s">
        <v>108</v>
      </c>
      <c r="G19" s="116" t="b">
        <v>1</v>
      </c>
      <c r="H19" s="116" t="b">
        <v>1</v>
      </c>
      <c r="I19" s="116" t="b">
        <v>1</v>
      </c>
      <c r="J19" s="116" t="b">
        <v>1</v>
      </c>
      <c r="K19" s="116" t="b">
        <v>1</v>
      </c>
      <c r="L19" s="117">
        <f t="shared" si="1"/>
        <v>5</v>
      </c>
      <c r="M19" s="117">
        <f t="shared" si="2"/>
        <v>20</v>
      </c>
      <c r="N19" s="88"/>
      <c r="O19" s="88"/>
    </row>
    <row r="20" ht="15.0" customHeight="1">
      <c r="A20" s="120"/>
      <c r="B20" s="120"/>
      <c r="C20" s="120"/>
      <c r="D20" s="119" t="s">
        <v>48</v>
      </c>
      <c r="E20" s="114" t="str">
        <f>VLOOKUP(D20,Data!H:I,2,0)</f>
        <v>Ankara</v>
      </c>
      <c r="F20" s="115" t="s">
        <v>108</v>
      </c>
      <c r="G20" s="116" t="b">
        <v>1</v>
      </c>
      <c r="H20" s="116" t="b">
        <v>1</v>
      </c>
      <c r="I20" s="116" t="b">
        <v>1</v>
      </c>
      <c r="J20" s="116" t="b">
        <v>1</v>
      </c>
      <c r="K20" s="116" t="b">
        <v>1</v>
      </c>
      <c r="L20" s="117">
        <f t="shared" si="1"/>
        <v>5</v>
      </c>
      <c r="M20" s="117">
        <f t="shared" si="2"/>
        <v>20</v>
      </c>
      <c r="N20" s="120"/>
      <c r="O20" s="120"/>
    </row>
    <row r="21" ht="15.0" customHeight="1">
      <c r="A21" s="120"/>
      <c r="B21" s="120"/>
      <c r="C21" s="120"/>
      <c r="D21" s="131" t="s">
        <v>47</v>
      </c>
      <c r="E21" s="114" t="str">
        <f>VLOOKUP(D21,Data!H:I,2,0)</f>
        <v>Ankara</v>
      </c>
      <c r="F21" s="115" t="s">
        <v>108</v>
      </c>
      <c r="G21" s="116" t="b">
        <v>1</v>
      </c>
      <c r="H21" s="116" t="b">
        <v>1</v>
      </c>
      <c r="I21" s="116" t="b">
        <v>1</v>
      </c>
      <c r="J21" s="116" t="b">
        <v>1</v>
      </c>
      <c r="K21" s="116" t="b">
        <v>1</v>
      </c>
      <c r="L21" s="117">
        <f t="shared" si="1"/>
        <v>5</v>
      </c>
      <c r="M21" s="117">
        <f t="shared" si="2"/>
        <v>20</v>
      </c>
      <c r="N21" s="120"/>
      <c r="O21" s="120"/>
    </row>
    <row r="22" ht="15.0" customHeight="1">
      <c r="A22" s="121"/>
      <c r="B22" s="121"/>
      <c r="C22" s="121"/>
      <c r="D22" s="132" t="s">
        <v>49</v>
      </c>
      <c r="E22" s="114" t="str">
        <f>VLOOKUP(D22,Data!H:I,2,0)</f>
        <v>Antalya</v>
      </c>
      <c r="F22" s="115" t="s">
        <v>61</v>
      </c>
      <c r="G22" s="116" t="b">
        <v>0</v>
      </c>
      <c r="H22" s="116" t="b">
        <v>0</v>
      </c>
      <c r="I22" s="116" t="b">
        <v>0</v>
      </c>
      <c r="J22" s="116" t="b">
        <v>0</v>
      </c>
      <c r="K22" s="116" t="b">
        <v>0</v>
      </c>
      <c r="L22" s="117">
        <f t="shared" si="1"/>
        <v>0</v>
      </c>
      <c r="M22" s="117">
        <f t="shared" si="2"/>
        <v>0</v>
      </c>
      <c r="N22" s="121"/>
      <c r="O22" s="121"/>
    </row>
    <row r="23" ht="15.0" customHeight="1">
      <c r="A23" s="122"/>
      <c r="B23" s="122"/>
      <c r="C23" s="122"/>
      <c r="D23" s="129" t="s">
        <v>109</v>
      </c>
      <c r="E23" s="114" t="str">
        <f>VLOOKUP(D23,Data!H:I,2,0)</f>
        <v>Antalya</v>
      </c>
      <c r="F23" s="115" t="s">
        <v>61</v>
      </c>
      <c r="G23" s="116" t="b">
        <v>1</v>
      </c>
      <c r="H23" s="116" t="b">
        <v>1</v>
      </c>
      <c r="I23" s="116" t="b">
        <v>0</v>
      </c>
      <c r="J23" s="116" t="b">
        <v>1</v>
      </c>
      <c r="K23" s="116" t="b">
        <v>0</v>
      </c>
      <c r="L23" s="117">
        <f t="shared" si="1"/>
        <v>3</v>
      </c>
      <c r="M23" s="117">
        <f t="shared" si="2"/>
        <v>12</v>
      </c>
      <c r="N23" s="122"/>
      <c r="O23" s="122"/>
    </row>
    <row r="24" ht="15.0" customHeight="1">
      <c r="A24" s="106"/>
      <c r="B24" s="106"/>
      <c r="C24" s="106"/>
      <c r="D24" s="129" t="s">
        <v>50</v>
      </c>
      <c r="E24" s="114" t="str">
        <f>VLOOKUP(D24,Data!H:I,2,0)</f>
        <v>Antalya</v>
      </c>
      <c r="F24" s="115" t="s">
        <v>59</v>
      </c>
      <c r="G24" s="116" t="b">
        <v>1</v>
      </c>
      <c r="H24" s="116" t="b">
        <v>1</v>
      </c>
      <c r="I24" s="116" t="b">
        <v>1</v>
      </c>
      <c r="J24" s="116" t="b">
        <v>1</v>
      </c>
      <c r="K24" s="116" t="b">
        <v>0</v>
      </c>
      <c r="L24" s="117">
        <f t="shared" si="1"/>
        <v>4</v>
      </c>
      <c r="M24" s="117">
        <f t="shared" si="2"/>
        <v>16</v>
      </c>
      <c r="N24" s="106"/>
      <c r="O24" s="106"/>
    </row>
    <row r="25" ht="15.0" customHeight="1">
      <c r="A25" s="112"/>
      <c r="B25" s="112"/>
      <c r="C25" s="112"/>
      <c r="D25" s="132" t="s">
        <v>52</v>
      </c>
      <c r="E25" s="114" t="str">
        <f>VLOOKUP(D25,Data!H:I,2,0)</f>
        <v>Bursa</v>
      </c>
      <c r="F25" s="115" t="s">
        <v>61</v>
      </c>
      <c r="G25" s="116" t="b">
        <v>1</v>
      </c>
      <c r="H25" s="116" t="b">
        <v>1</v>
      </c>
      <c r="I25" s="116" t="b">
        <v>1</v>
      </c>
      <c r="J25" s="116" t="b">
        <v>1</v>
      </c>
      <c r="K25" s="116" t="b">
        <v>1</v>
      </c>
      <c r="L25" s="117">
        <f t="shared" si="1"/>
        <v>5</v>
      </c>
      <c r="M25" s="117">
        <f t="shared" si="2"/>
        <v>20</v>
      </c>
      <c r="N25" s="112"/>
      <c r="O25" s="112"/>
    </row>
    <row r="26" ht="15.0" customHeight="1">
      <c r="A26" s="112"/>
      <c r="B26" s="112"/>
      <c r="C26" s="112"/>
      <c r="D26" s="129" t="s">
        <v>53</v>
      </c>
      <c r="E26" s="114" t="str">
        <f>VLOOKUP(D26,Data!H:I,2,0)</f>
        <v>Bursa</v>
      </c>
      <c r="F26" s="115" t="s">
        <v>59</v>
      </c>
      <c r="G26" s="116" t="b">
        <v>1</v>
      </c>
      <c r="H26" s="116" t="b">
        <v>1</v>
      </c>
      <c r="I26" s="116" t="b">
        <v>1</v>
      </c>
      <c r="J26" s="116" t="b">
        <v>1</v>
      </c>
      <c r="K26" s="116" t="b">
        <v>1</v>
      </c>
      <c r="L26" s="117">
        <f t="shared" si="1"/>
        <v>5</v>
      </c>
      <c r="M26" s="117">
        <f t="shared" si="2"/>
        <v>20</v>
      </c>
      <c r="N26" s="112"/>
      <c r="O26" s="112"/>
    </row>
    <row r="27" ht="15.0" customHeight="1">
      <c r="A27" s="112"/>
      <c r="B27" s="112"/>
      <c r="C27" s="112"/>
      <c r="D27" s="132" t="s">
        <v>54</v>
      </c>
      <c r="E27" s="114" t="str">
        <f>VLOOKUP(D27,Data!H:I,2,0)</f>
        <v>Diyarbakır</v>
      </c>
      <c r="F27" s="115" t="s">
        <v>61</v>
      </c>
      <c r="G27" s="116" t="b">
        <v>1</v>
      </c>
      <c r="H27" s="116" t="b">
        <v>1</v>
      </c>
      <c r="I27" s="116" t="b">
        <v>0</v>
      </c>
      <c r="J27" s="116" t="b">
        <v>1</v>
      </c>
      <c r="K27" s="116" t="b">
        <v>0</v>
      </c>
      <c r="L27" s="117">
        <f t="shared" si="1"/>
        <v>3</v>
      </c>
      <c r="M27" s="117">
        <f t="shared" si="2"/>
        <v>12</v>
      </c>
      <c r="N27" s="112"/>
      <c r="O27" s="112"/>
    </row>
    <row r="28" ht="15.0" customHeight="1">
      <c r="A28" s="112"/>
      <c r="B28" s="112"/>
      <c r="C28" s="112"/>
      <c r="D28" s="132" t="s">
        <v>55</v>
      </c>
      <c r="E28" s="114" t="str">
        <f>VLOOKUP(D28,Data!H:I,2,0)</f>
        <v>Erzurum</v>
      </c>
      <c r="F28" s="115" t="s">
        <v>61</v>
      </c>
      <c r="G28" s="116" t="b">
        <v>1</v>
      </c>
      <c r="H28" s="116" t="b">
        <v>1</v>
      </c>
      <c r="I28" s="116" t="b">
        <v>1</v>
      </c>
      <c r="J28" s="116" t="b">
        <v>0</v>
      </c>
      <c r="K28" s="116" t="b">
        <v>1</v>
      </c>
      <c r="L28" s="117">
        <f t="shared" si="1"/>
        <v>4</v>
      </c>
      <c r="M28" s="117">
        <f t="shared" si="2"/>
        <v>16</v>
      </c>
      <c r="N28" s="112"/>
      <c r="O28" s="112"/>
    </row>
    <row r="29" ht="15.0" customHeight="1">
      <c r="A29" s="112"/>
      <c r="B29" s="112"/>
      <c r="C29" s="112"/>
      <c r="D29" s="138" t="s">
        <v>56</v>
      </c>
      <c r="E29" s="114" t="str">
        <f>VLOOKUP(D29,Data!H:I,2,0)</f>
        <v>Gaziantep</v>
      </c>
      <c r="F29" s="115" t="s">
        <v>61</v>
      </c>
      <c r="G29" s="116" t="b">
        <v>0</v>
      </c>
      <c r="H29" s="116" t="b">
        <v>0</v>
      </c>
      <c r="I29" s="116" t="b">
        <v>0</v>
      </c>
      <c r="J29" s="116" t="b">
        <v>0</v>
      </c>
      <c r="K29" s="116" t="b">
        <v>0</v>
      </c>
      <c r="L29" s="117">
        <f t="shared" si="1"/>
        <v>0</v>
      </c>
      <c r="M29" s="117">
        <f t="shared" si="2"/>
        <v>0</v>
      </c>
      <c r="N29" s="112"/>
      <c r="O29" s="112"/>
    </row>
    <row r="30" ht="15.0" customHeight="1">
      <c r="A30" s="112"/>
      <c r="B30" s="112"/>
      <c r="C30" s="112"/>
      <c r="D30" s="129" t="s">
        <v>58</v>
      </c>
      <c r="E30" s="114" t="str">
        <f>VLOOKUP(D30,Data!H:I,2,0)</f>
        <v>İstanbul</v>
      </c>
      <c r="F30" s="115" t="s">
        <v>59</v>
      </c>
      <c r="G30" s="116" t="b">
        <v>1</v>
      </c>
      <c r="H30" s="116" t="b">
        <v>1</v>
      </c>
      <c r="I30" s="116" t="b">
        <v>1</v>
      </c>
      <c r="J30" s="116" t="b">
        <v>1</v>
      </c>
      <c r="K30" s="116" t="b">
        <v>1</v>
      </c>
      <c r="L30" s="117">
        <f t="shared" si="1"/>
        <v>5</v>
      </c>
      <c r="M30" s="117">
        <f t="shared" si="2"/>
        <v>20</v>
      </c>
      <c r="N30" s="112"/>
      <c r="O30" s="112"/>
    </row>
    <row r="31" ht="15.0" customHeight="1">
      <c r="A31" s="112"/>
      <c r="B31" s="112"/>
      <c r="C31" s="112"/>
      <c r="D31" s="129" t="s">
        <v>113</v>
      </c>
      <c r="E31" s="114" t="str">
        <f>VLOOKUP(D31,Data!H:I,2,0)</f>
        <v>İstanbul</v>
      </c>
      <c r="F31" s="115" t="s">
        <v>61</v>
      </c>
      <c r="G31" s="116" t="b">
        <v>1</v>
      </c>
      <c r="H31" s="116" t="b">
        <v>0</v>
      </c>
      <c r="I31" s="116" t="b">
        <v>0</v>
      </c>
      <c r="J31" s="116" t="b">
        <v>0</v>
      </c>
      <c r="K31" s="116" t="b">
        <v>0</v>
      </c>
      <c r="L31" s="117">
        <f t="shared" si="1"/>
        <v>1</v>
      </c>
      <c r="M31" s="117">
        <f t="shared" si="2"/>
        <v>4</v>
      </c>
      <c r="N31" s="112"/>
      <c r="O31" s="112"/>
    </row>
    <row r="32" ht="15.0" customHeight="1">
      <c r="A32" s="120"/>
      <c r="B32" s="120"/>
      <c r="C32" s="120"/>
      <c r="D32" s="129" t="s">
        <v>66</v>
      </c>
      <c r="E32" s="114" t="str">
        <f>VLOOKUP(D32,Data!H:I,2,0)</f>
        <v>İstanbul</v>
      </c>
      <c r="F32" s="115" t="s">
        <v>59</v>
      </c>
      <c r="G32" s="116" t="b">
        <v>1</v>
      </c>
      <c r="H32" s="116" t="b">
        <v>1</v>
      </c>
      <c r="I32" s="116" t="b">
        <v>1</v>
      </c>
      <c r="J32" s="116" t="b">
        <v>1</v>
      </c>
      <c r="K32" s="116" t="b">
        <v>1</v>
      </c>
      <c r="L32" s="117">
        <f t="shared" si="1"/>
        <v>5</v>
      </c>
      <c r="M32" s="117">
        <f t="shared" si="2"/>
        <v>20</v>
      </c>
      <c r="N32" s="120"/>
      <c r="O32" s="120"/>
    </row>
    <row r="33" ht="15.0" customHeight="1">
      <c r="A33" s="121"/>
      <c r="B33" s="121"/>
      <c r="C33" s="121"/>
      <c r="D33" s="132" t="s">
        <v>67</v>
      </c>
      <c r="E33" s="114" t="str">
        <f>VLOOKUP(D33,Data!H:I,2,0)</f>
        <v>İstanbul</v>
      </c>
      <c r="F33" s="115" t="s">
        <v>64</v>
      </c>
      <c r="G33" s="116" t="b">
        <v>0</v>
      </c>
      <c r="H33" s="116" t="b">
        <v>0</v>
      </c>
      <c r="I33" s="116" t="b">
        <v>0</v>
      </c>
      <c r="J33" s="116" t="b">
        <v>0</v>
      </c>
      <c r="K33" s="116" t="b">
        <v>0</v>
      </c>
      <c r="L33" s="117">
        <f t="shared" si="1"/>
        <v>0</v>
      </c>
      <c r="M33" s="117">
        <f t="shared" si="2"/>
        <v>0</v>
      </c>
      <c r="N33" s="121"/>
      <c r="O33" s="121"/>
    </row>
    <row r="34" ht="15.0" customHeight="1">
      <c r="A34" s="122"/>
      <c r="B34" s="122"/>
      <c r="C34" s="122"/>
      <c r="D34" s="129" t="s">
        <v>68</v>
      </c>
      <c r="E34" s="114" t="str">
        <f>VLOOKUP(D34,Data!H:I,2,0)</f>
        <v>İstanbul</v>
      </c>
      <c r="F34" s="115" t="s">
        <v>59</v>
      </c>
      <c r="G34" s="116" t="b">
        <v>0</v>
      </c>
      <c r="H34" s="116" t="b">
        <v>0</v>
      </c>
      <c r="I34" s="116" t="b">
        <v>0</v>
      </c>
      <c r="J34" s="116" t="b">
        <v>0</v>
      </c>
      <c r="K34" s="116" t="b">
        <v>0</v>
      </c>
      <c r="L34" s="117">
        <f t="shared" si="1"/>
        <v>0</v>
      </c>
      <c r="M34" s="117">
        <f t="shared" si="2"/>
        <v>0</v>
      </c>
      <c r="N34" s="122"/>
      <c r="O34" s="122"/>
    </row>
    <row r="35" ht="15.0" customHeight="1">
      <c r="A35" s="124"/>
      <c r="B35" s="124"/>
      <c r="C35" s="124"/>
      <c r="D35" s="132" t="s">
        <v>117</v>
      </c>
      <c r="E35" s="114" t="str">
        <f>VLOOKUP(D35,Data!H:I,2,0)</f>
        <v>İstanbul</v>
      </c>
      <c r="F35" s="115" t="s">
        <v>59</v>
      </c>
      <c r="G35" s="116" t="b">
        <v>0</v>
      </c>
      <c r="H35" s="116" t="b">
        <v>1</v>
      </c>
      <c r="I35" s="116" t="b">
        <v>1</v>
      </c>
      <c r="J35" s="116" t="b">
        <v>1</v>
      </c>
      <c r="K35" s="116" t="b">
        <v>1</v>
      </c>
      <c r="L35" s="117">
        <f t="shared" si="1"/>
        <v>4</v>
      </c>
      <c r="M35" s="117">
        <f t="shared" si="2"/>
        <v>16</v>
      </c>
      <c r="N35" s="124"/>
      <c r="O35" s="124"/>
    </row>
    <row r="36" ht="15.0" customHeight="1">
      <c r="A36" s="112"/>
      <c r="B36" s="112"/>
      <c r="C36" s="112"/>
      <c r="D36" s="132" t="s">
        <v>69</v>
      </c>
      <c r="E36" s="114" t="str">
        <f>VLOOKUP(D36,Data!H:I,2,0)</f>
        <v>İstanbul</v>
      </c>
      <c r="F36" s="115" t="s">
        <v>61</v>
      </c>
      <c r="G36" s="116" t="b">
        <v>0</v>
      </c>
      <c r="H36" s="116" t="b">
        <v>0</v>
      </c>
      <c r="I36" s="116" t="b">
        <v>0</v>
      </c>
      <c r="J36" s="116" t="b">
        <v>0</v>
      </c>
      <c r="K36" s="116" t="b">
        <v>0</v>
      </c>
      <c r="L36" s="117">
        <f t="shared" si="1"/>
        <v>0</v>
      </c>
      <c r="M36" s="117">
        <f t="shared" si="2"/>
        <v>0</v>
      </c>
      <c r="N36" s="112"/>
      <c r="O36" s="112"/>
    </row>
    <row r="37" ht="15.0" customHeight="1">
      <c r="A37" s="112"/>
      <c r="B37" s="112"/>
      <c r="C37" s="112"/>
      <c r="D37" s="129" t="s">
        <v>70</v>
      </c>
      <c r="E37" s="114" t="str">
        <f>VLOOKUP(D37,Data!H:I,2,0)</f>
        <v>İstanbul</v>
      </c>
      <c r="F37" s="115" t="s">
        <v>59</v>
      </c>
      <c r="G37" s="116" t="b">
        <v>0</v>
      </c>
      <c r="H37" s="116" t="b">
        <v>0</v>
      </c>
      <c r="I37" s="116" t="b">
        <v>0</v>
      </c>
      <c r="J37" s="116" t="b">
        <v>0</v>
      </c>
      <c r="K37" s="116" t="b">
        <v>0</v>
      </c>
      <c r="L37" s="117">
        <f t="shared" si="1"/>
        <v>0</v>
      </c>
      <c r="M37" s="117">
        <f t="shared" si="2"/>
        <v>0</v>
      </c>
      <c r="N37" s="112"/>
      <c r="O37" s="112"/>
    </row>
    <row r="38" ht="15.0" customHeight="1">
      <c r="A38" s="112"/>
      <c r="B38" s="112"/>
      <c r="C38" s="112"/>
      <c r="D38" s="132" t="s">
        <v>71</v>
      </c>
      <c r="E38" s="114" t="str">
        <f>VLOOKUP(D38,Data!H:I,2,0)</f>
        <v>İstanbul</v>
      </c>
      <c r="F38" s="115" t="s">
        <v>64</v>
      </c>
      <c r="G38" s="116" t="b">
        <v>1</v>
      </c>
      <c r="H38" s="116" t="b">
        <v>1</v>
      </c>
      <c r="I38" s="116" t="b">
        <v>1</v>
      </c>
      <c r="J38" s="116" t="b">
        <v>1</v>
      </c>
      <c r="K38" s="116" t="b">
        <v>1</v>
      </c>
      <c r="L38" s="117">
        <f t="shared" si="1"/>
        <v>5</v>
      </c>
      <c r="M38" s="117">
        <f t="shared" si="2"/>
        <v>20</v>
      </c>
      <c r="N38" s="112"/>
      <c r="O38" s="112"/>
    </row>
    <row r="39" ht="15.0" customHeight="1">
      <c r="A39" s="112"/>
      <c r="B39" s="112"/>
      <c r="C39" s="112"/>
      <c r="D39" s="132" t="s">
        <v>72</v>
      </c>
      <c r="E39" s="114" t="str">
        <f>VLOOKUP(D39,Data!H:I,2,0)</f>
        <v>İstanbul</v>
      </c>
      <c r="F39" s="115" t="s">
        <v>64</v>
      </c>
      <c r="G39" s="116" t="b">
        <v>1</v>
      </c>
      <c r="H39" s="116" t="b">
        <v>1</v>
      </c>
      <c r="I39" s="116" t="b">
        <v>1</v>
      </c>
      <c r="J39" s="116" t="b">
        <v>1</v>
      </c>
      <c r="K39" s="116" t="b">
        <v>1</v>
      </c>
      <c r="L39" s="117">
        <f t="shared" si="1"/>
        <v>5</v>
      </c>
      <c r="M39" s="117">
        <f t="shared" si="2"/>
        <v>20</v>
      </c>
      <c r="N39" s="112"/>
      <c r="O39" s="112"/>
    </row>
    <row r="40" ht="15.0" customHeight="1">
      <c r="A40" s="112"/>
      <c r="B40" s="112"/>
      <c r="C40" s="112"/>
      <c r="D40" s="132" t="s">
        <v>74</v>
      </c>
      <c r="E40" s="114" t="str">
        <f>VLOOKUP(D40,Data!H:I,2,0)</f>
        <v>İstanbul</v>
      </c>
      <c r="F40" s="115" t="s">
        <v>64</v>
      </c>
      <c r="G40" s="116" t="b">
        <v>0</v>
      </c>
      <c r="H40" s="116" t="b">
        <v>1</v>
      </c>
      <c r="I40" s="116" t="b">
        <v>1</v>
      </c>
      <c r="J40" s="116" t="b">
        <v>0</v>
      </c>
      <c r="K40" s="116" t="b">
        <v>1</v>
      </c>
      <c r="L40" s="117">
        <f t="shared" si="1"/>
        <v>3</v>
      </c>
      <c r="M40" s="117">
        <f t="shared" si="2"/>
        <v>12</v>
      </c>
      <c r="N40" s="112"/>
      <c r="O40" s="112"/>
    </row>
    <row r="41" ht="15.0" customHeight="1">
      <c r="A41" s="112"/>
      <c r="B41" s="112"/>
      <c r="C41" s="112"/>
      <c r="D41" s="129" t="s">
        <v>75</v>
      </c>
      <c r="E41" s="114" t="str">
        <f>VLOOKUP(D41,Data!H:I,2,0)</f>
        <v>İstanbul</v>
      </c>
      <c r="F41" s="115" t="s">
        <v>59</v>
      </c>
      <c r="G41" s="116" t="b">
        <v>1</v>
      </c>
      <c r="H41" s="116" t="b">
        <v>1</v>
      </c>
      <c r="I41" s="116" t="b">
        <v>1</v>
      </c>
      <c r="J41" s="116" t="b">
        <v>0</v>
      </c>
      <c r="K41" s="116" t="b">
        <v>0</v>
      </c>
      <c r="L41" s="117">
        <f t="shared" si="1"/>
        <v>3</v>
      </c>
      <c r="M41" s="117">
        <f t="shared" si="2"/>
        <v>12</v>
      </c>
      <c r="N41" s="112"/>
      <c r="O41" s="112"/>
    </row>
    <row r="42" ht="15.0" customHeight="1">
      <c r="A42" s="112"/>
      <c r="B42" s="112"/>
      <c r="C42" s="112"/>
      <c r="D42" s="129" t="s">
        <v>76</v>
      </c>
      <c r="E42" s="114" t="str">
        <f>VLOOKUP(D42,Data!H:I,2,0)</f>
        <v>İstanbul</v>
      </c>
      <c r="F42" s="115" t="s">
        <v>59</v>
      </c>
      <c r="G42" s="116" t="b">
        <v>0</v>
      </c>
      <c r="H42" s="116" t="b">
        <v>0</v>
      </c>
      <c r="I42" s="116" t="b">
        <v>1</v>
      </c>
      <c r="J42" s="116" t="b">
        <v>1</v>
      </c>
      <c r="K42" s="116" t="b">
        <v>1</v>
      </c>
      <c r="L42" s="117">
        <f t="shared" si="1"/>
        <v>3</v>
      </c>
      <c r="M42" s="117">
        <f t="shared" si="2"/>
        <v>12</v>
      </c>
      <c r="N42" s="112"/>
      <c r="O42" s="112"/>
    </row>
    <row r="43" ht="15.0" customHeight="1">
      <c r="A43" s="125"/>
      <c r="B43" s="125"/>
      <c r="C43" s="125"/>
      <c r="D43" s="129" t="s">
        <v>77</v>
      </c>
      <c r="E43" s="114" t="str">
        <f>VLOOKUP(D43,Data!H:I,2,0)</f>
        <v>İstanbul</v>
      </c>
      <c r="F43" s="115" t="s">
        <v>59</v>
      </c>
      <c r="G43" s="116" t="b">
        <v>0</v>
      </c>
      <c r="H43" s="116" t="b">
        <v>1</v>
      </c>
      <c r="I43" s="116" t="b">
        <v>1</v>
      </c>
      <c r="J43" s="116" t="b">
        <v>0</v>
      </c>
      <c r="K43" s="116" t="b">
        <v>0</v>
      </c>
      <c r="L43" s="117">
        <f t="shared" si="1"/>
        <v>2</v>
      </c>
      <c r="M43" s="117">
        <f t="shared" si="2"/>
        <v>8</v>
      </c>
      <c r="N43" s="125"/>
      <c r="O43" s="125"/>
    </row>
    <row r="44" ht="15.0" customHeight="1">
      <c r="A44" s="126"/>
      <c r="B44" s="126"/>
      <c r="C44" s="126"/>
      <c r="D44" s="129" t="s">
        <v>78</v>
      </c>
      <c r="E44" s="114" t="str">
        <f>VLOOKUP(D44,Data!H:I,2,0)</f>
        <v>İstanbul</v>
      </c>
      <c r="F44" s="115" t="s">
        <v>59</v>
      </c>
      <c r="G44" s="116" t="b">
        <v>1</v>
      </c>
      <c r="H44" s="116" t="b">
        <v>1</v>
      </c>
      <c r="I44" s="116" t="b">
        <v>1</v>
      </c>
      <c r="J44" s="116" t="b">
        <v>1</v>
      </c>
      <c r="K44" s="116" t="b">
        <v>1</v>
      </c>
      <c r="L44" s="117">
        <f t="shared" si="1"/>
        <v>5</v>
      </c>
      <c r="M44" s="117">
        <f t="shared" si="2"/>
        <v>20</v>
      </c>
      <c r="N44" s="126"/>
      <c r="O44" s="126"/>
    </row>
    <row r="45" ht="15.0" customHeight="1">
      <c r="A45" s="122"/>
      <c r="B45" s="122"/>
      <c r="C45" s="122"/>
      <c r="D45" s="129" t="s">
        <v>79</v>
      </c>
      <c r="E45" s="114" t="str">
        <f>VLOOKUP(D45,Data!H:I,2,0)</f>
        <v>İstanbul</v>
      </c>
      <c r="F45" s="115" t="s">
        <v>59</v>
      </c>
      <c r="G45" s="116" t="b">
        <v>0</v>
      </c>
      <c r="H45" s="116" t="b">
        <v>0</v>
      </c>
      <c r="I45" s="116" t="b">
        <v>0</v>
      </c>
      <c r="J45" s="116" t="b">
        <v>1</v>
      </c>
      <c r="K45" s="116" t="b">
        <v>1</v>
      </c>
      <c r="L45" s="117">
        <f t="shared" si="1"/>
        <v>2</v>
      </c>
      <c r="M45" s="117">
        <f t="shared" si="2"/>
        <v>8</v>
      </c>
      <c r="N45" s="122"/>
      <c r="O45" s="122"/>
    </row>
    <row r="46" ht="15.0" customHeight="1">
      <c r="A46" s="124"/>
      <c r="B46" s="124"/>
      <c r="C46" s="124"/>
      <c r="D46" s="129" t="s">
        <v>114</v>
      </c>
      <c r="E46" s="114" t="str">
        <f>VLOOKUP(D46,Data!H:I,2,0)</f>
        <v>İstanbul</v>
      </c>
      <c r="F46" s="115" t="s">
        <v>61</v>
      </c>
      <c r="G46" s="116" t="b">
        <v>1</v>
      </c>
      <c r="H46" s="116" t="b">
        <v>0</v>
      </c>
      <c r="I46" s="116" t="b">
        <v>0</v>
      </c>
      <c r="J46" s="116" t="b">
        <v>0</v>
      </c>
      <c r="K46" s="116" t="b">
        <v>0</v>
      </c>
      <c r="L46" s="117">
        <f t="shared" si="1"/>
        <v>1</v>
      </c>
      <c r="M46" s="117">
        <f t="shared" si="2"/>
        <v>4</v>
      </c>
      <c r="N46" s="124"/>
      <c r="O46" s="124"/>
    </row>
    <row r="47" ht="15.0" customHeight="1">
      <c r="A47" s="112"/>
      <c r="B47" s="112"/>
      <c r="C47" s="112"/>
      <c r="D47" s="132" t="s">
        <v>118</v>
      </c>
      <c r="E47" s="114" t="str">
        <f>VLOOKUP(D47,Data!H:I,2,0)</f>
        <v>İstanbul</v>
      </c>
      <c r="F47" s="115" t="s">
        <v>64</v>
      </c>
      <c r="G47" s="116" t="b">
        <v>1</v>
      </c>
      <c r="H47" s="116" t="b">
        <v>1</v>
      </c>
      <c r="I47" s="116" t="b">
        <v>1</v>
      </c>
      <c r="J47" s="116" t="b">
        <v>1</v>
      </c>
      <c r="K47" s="116" t="b">
        <v>1</v>
      </c>
      <c r="L47" s="117">
        <f t="shared" si="1"/>
        <v>5</v>
      </c>
      <c r="M47" s="117">
        <f t="shared" si="2"/>
        <v>20</v>
      </c>
      <c r="N47" s="112"/>
      <c r="O47" s="112"/>
    </row>
    <row r="48" ht="15.0" customHeight="1">
      <c r="A48" s="112"/>
      <c r="B48" s="112"/>
      <c r="C48" s="112"/>
      <c r="D48" s="129" t="s">
        <v>80</v>
      </c>
      <c r="E48" s="114" t="str">
        <f>VLOOKUP(D48,Data!H:I,2,0)</f>
        <v>İstanbul</v>
      </c>
      <c r="F48" s="115" t="s">
        <v>59</v>
      </c>
      <c r="G48" s="116" t="b">
        <v>1</v>
      </c>
      <c r="H48" s="116" t="b">
        <v>1</v>
      </c>
      <c r="I48" s="116" t="b">
        <v>1</v>
      </c>
      <c r="J48" s="116" t="b">
        <v>1</v>
      </c>
      <c r="K48" s="116" t="b">
        <v>1</v>
      </c>
      <c r="L48" s="117">
        <f t="shared" si="1"/>
        <v>5</v>
      </c>
      <c r="M48" s="117">
        <f t="shared" si="2"/>
        <v>20</v>
      </c>
      <c r="N48" s="112"/>
      <c r="O48" s="112"/>
    </row>
    <row r="49" ht="15.0" customHeight="1">
      <c r="A49" s="112"/>
      <c r="B49" s="112"/>
      <c r="C49" s="112"/>
      <c r="D49" s="132" t="s">
        <v>119</v>
      </c>
      <c r="E49" s="114" t="str">
        <f>VLOOKUP(D49,Data!H:I,2,0)</f>
        <v>İstanbul</v>
      </c>
      <c r="F49" s="115" t="s">
        <v>64</v>
      </c>
      <c r="G49" s="116" t="b">
        <v>1</v>
      </c>
      <c r="H49" s="116" t="b">
        <v>1</v>
      </c>
      <c r="I49" s="116" t="b">
        <v>1</v>
      </c>
      <c r="J49" s="116" t="b">
        <v>1</v>
      </c>
      <c r="K49" s="116" t="b">
        <v>1</v>
      </c>
      <c r="L49" s="117">
        <f t="shared" si="1"/>
        <v>5</v>
      </c>
      <c r="M49" s="117">
        <f t="shared" si="2"/>
        <v>20</v>
      </c>
      <c r="N49" s="112"/>
      <c r="O49" s="112"/>
    </row>
    <row r="50" ht="15.0" customHeight="1">
      <c r="A50" s="112"/>
      <c r="B50" s="112"/>
      <c r="C50" s="112"/>
      <c r="D50" s="132" t="s">
        <v>120</v>
      </c>
      <c r="E50" s="114" t="str">
        <f>VLOOKUP(D50,Data!H:I,2,0)</f>
        <v>İstanbul</v>
      </c>
      <c r="F50" s="115" t="s">
        <v>64</v>
      </c>
      <c r="G50" s="116" t="b">
        <v>1</v>
      </c>
      <c r="H50" s="116" t="b">
        <v>0</v>
      </c>
      <c r="I50" s="116" t="b">
        <v>0</v>
      </c>
      <c r="J50" s="116" t="b">
        <v>0</v>
      </c>
      <c r="K50" s="116" t="b">
        <v>0</v>
      </c>
      <c r="L50" s="117">
        <f t="shared" si="1"/>
        <v>1</v>
      </c>
      <c r="M50" s="117">
        <f t="shared" si="2"/>
        <v>4</v>
      </c>
      <c r="N50" s="112"/>
      <c r="O50" s="112"/>
    </row>
    <row r="51" ht="15.0" customHeight="1">
      <c r="A51" s="112"/>
      <c r="B51" s="112"/>
      <c r="C51" s="112"/>
      <c r="D51" s="129" t="s">
        <v>81</v>
      </c>
      <c r="E51" s="114" t="str">
        <f>VLOOKUP(D51,Data!H:I,2,0)</f>
        <v>İstanbul</v>
      </c>
      <c r="F51" s="115" t="s">
        <v>59</v>
      </c>
      <c r="G51" s="116" t="b">
        <v>1</v>
      </c>
      <c r="H51" s="116" t="b">
        <v>1</v>
      </c>
      <c r="I51" s="116" t="b">
        <v>1</v>
      </c>
      <c r="J51" s="116" t="b">
        <v>1</v>
      </c>
      <c r="K51" s="116" t="b">
        <v>1</v>
      </c>
      <c r="L51" s="117">
        <f t="shared" si="1"/>
        <v>5</v>
      </c>
      <c r="M51" s="117">
        <f t="shared" si="2"/>
        <v>20</v>
      </c>
      <c r="N51" s="112"/>
      <c r="O51" s="112"/>
    </row>
    <row r="52" ht="15.0" customHeight="1">
      <c r="A52" s="112"/>
      <c r="B52" s="112"/>
      <c r="C52" s="112"/>
      <c r="D52" s="132" t="s">
        <v>82</v>
      </c>
      <c r="E52" s="114" t="str">
        <f>VLOOKUP(D52,Data!H:I,2,0)</f>
        <v>İstanbul</v>
      </c>
      <c r="F52" s="115" t="s">
        <v>64</v>
      </c>
      <c r="G52" s="116" t="b">
        <v>0</v>
      </c>
      <c r="H52" s="116" t="b">
        <v>1</v>
      </c>
      <c r="I52" s="116" t="b">
        <v>1</v>
      </c>
      <c r="J52" s="116" t="b">
        <v>1</v>
      </c>
      <c r="K52" s="116" t="b">
        <v>1</v>
      </c>
      <c r="L52" s="117">
        <f t="shared" si="1"/>
        <v>4</v>
      </c>
      <c r="M52" s="117">
        <f t="shared" si="2"/>
        <v>16</v>
      </c>
      <c r="N52" s="112"/>
      <c r="O52" s="112"/>
    </row>
    <row r="53" ht="15.0" customHeight="1">
      <c r="A53" s="112"/>
      <c r="B53" s="112"/>
      <c r="C53" s="112"/>
      <c r="D53" s="132" t="s">
        <v>83</v>
      </c>
      <c r="E53" s="114" t="str">
        <f>VLOOKUP(D53,Data!H:I,2,0)</f>
        <v>İstanbul</v>
      </c>
      <c r="F53" s="115" t="s">
        <v>61</v>
      </c>
      <c r="G53" s="116" t="b">
        <v>1</v>
      </c>
      <c r="H53" s="116" t="b">
        <v>1</v>
      </c>
      <c r="I53" s="116" t="b">
        <v>1</v>
      </c>
      <c r="J53" s="116" t="b">
        <v>1</v>
      </c>
      <c r="K53" s="116" t="b">
        <v>1</v>
      </c>
      <c r="L53" s="117">
        <f t="shared" si="1"/>
        <v>5</v>
      </c>
      <c r="M53" s="117">
        <f t="shared" si="2"/>
        <v>20</v>
      </c>
      <c r="N53" s="112"/>
      <c r="O53" s="112"/>
    </row>
    <row r="54" ht="15.0" customHeight="1">
      <c r="A54" s="125"/>
      <c r="B54" s="125"/>
      <c r="C54" s="125"/>
      <c r="D54" s="132" t="s">
        <v>85</v>
      </c>
      <c r="E54" s="114" t="str">
        <f>VLOOKUP(D54,Data!H:I,2,0)</f>
        <v>İstanbul</v>
      </c>
      <c r="F54" s="115" t="s">
        <v>64</v>
      </c>
      <c r="G54" s="116" t="b">
        <v>0</v>
      </c>
      <c r="H54" s="116" t="b">
        <v>0</v>
      </c>
      <c r="I54" s="116" t="b">
        <v>0</v>
      </c>
      <c r="J54" s="116" t="b">
        <v>0</v>
      </c>
      <c r="K54" s="116" t="b">
        <v>0</v>
      </c>
      <c r="L54" s="117">
        <f t="shared" si="1"/>
        <v>0</v>
      </c>
      <c r="M54" s="117">
        <f t="shared" si="2"/>
        <v>0</v>
      </c>
      <c r="N54" s="125"/>
      <c r="O54" s="125"/>
    </row>
    <row r="55" ht="15.0" customHeight="1">
      <c r="A55" s="126"/>
      <c r="B55" s="126"/>
      <c r="C55" s="126"/>
      <c r="D55" s="129" t="s">
        <v>86</v>
      </c>
      <c r="E55" s="114" t="str">
        <f>VLOOKUP(D55,Data!H:I,2,0)</f>
        <v>İstanbul</v>
      </c>
      <c r="F55" s="115" t="s">
        <v>59</v>
      </c>
      <c r="G55" s="116" t="b">
        <v>1</v>
      </c>
      <c r="H55" s="116" t="b">
        <v>1</v>
      </c>
      <c r="I55" s="116" t="b">
        <v>1</v>
      </c>
      <c r="J55" s="116" t="b">
        <v>1</v>
      </c>
      <c r="K55" s="116" t="b">
        <v>1</v>
      </c>
      <c r="L55" s="117">
        <f t="shared" si="1"/>
        <v>5</v>
      </c>
      <c r="M55" s="117">
        <f t="shared" si="2"/>
        <v>20</v>
      </c>
      <c r="N55" s="126"/>
      <c r="O55" s="126"/>
    </row>
    <row r="56" ht="15.0" customHeight="1">
      <c r="A56" s="122"/>
      <c r="B56" s="122"/>
      <c r="C56" s="122"/>
      <c r="D56" s="129" t="s">
        <v>87</v>
      </c>
      <c r="E56" s="114" t="str">
        <f>VLOOKUP(D56,Data!H:I,2,0)</f>
        <v>İstanbul</v>
      </c>
      <c r="F56" s="115" t="s">
        <v>59</v>
      </c>
      <c r="G56" s="116" t="b">
        <v>1</v>
      </c>
      <c r="H56" s="116" t="b">
        <v>1</v>
      </c>
      <c r="I56" s="116" t="b">
        <v>1</v>
      </c>
      <c r="J56" s="116" t="b">
        <v>1</v>
      </c>
      <c r="K56" s="116" t="b">
        <v>1</v>
      </c>
      <c r="L56" s="117">
        <f t="shared" si="1"/>
        <v>5</v>
      </c>
      <c r="M56" s="117">
        <f t="shared" si="2"/>
        <v>20</v>
      </c>
      <c r="N56" s="122"/>
      <c r="O56" s="122"/>
    </row>
    <row r="57" ht="15.0" customHeight="1">
      <c r="A57" s="112"/>
      <c r="B57" s="112"/>
      <c r="C57" s="112"/>
      <c r="D57" s="132" t="s">
        <v>88</v>
      </c>
      <c r="E57" s="114" t="str">
        <f>VLOOKUP(D57,Data!H:I,2,0)</f>
        <v>İstanbul</v>
      </c>
      <c r="F57" s="115" t="s">
        <v>61</v>
      </c>
      <c r="G57" s="116" t="b">
        <v>1</v>
      </c>
      <c r="H57" s="116" t="b">
        <v>1</v>
      </c>
      <c r="I57" s="116" t="b">
        <v>1</v>
      </c>
      <c r="J57" s="116" t="b">
        <v>1</v>
      </c>
      <c r="K57" s="116" t="b">
        <v>0</v>
      </c>
      <c r="L57" s="117">
        <f t="shared" si="1"/>
        <v>4</v>
      </c>
      <c r="M57" s="117">
        <f t="shared" si="2"/>
        <v>16</v>
      </c>
      <c r="N57" s="112"/>
      <c r="O57" s="112"/>
    </row>
    <row r="58" ht="15.0" customHeight="1">
      <c r="A58" s="112"/>
      <c r="B58" s="112"/>
      <c r="C58" s="112"/>
      <c r="D58" s="132" t="s">
        <v>89</v>
      </c>
      <c r="E58" s="114" t="str">
        <f>VLOOKUP(D58,Data!H:I,2,0)</f>
        <v>İstanbul</v>
      </c>
      <c r="F58" s="115" t="s">
        <v>64</v>
      </c>
      <c r="G58" s="116" t="b">
        <v>0</v>
      </c>
      <c r="H58" s="116" t="b">
        <v>1</v>
      </c>
      <c r="I58" s="116" t="b">
        <v>1</v>
      </c>
      <c r="J58" s="116" t="b">
        <v>1</v>
      </c>
      <c r="K58" s="116" t="b">
        <v>1</v>
      </c>
      <c r="L58" s="117">
        <f t="shared" si="1"/>
        <v>4</v>
      </c>
      <c r="M58" s="117">
        <f t="shared" si="2"/>
        <v>16</v>
      </c>
      <c r="N58" s="112"/>
      <c r="O58" s="112"/>
    </row>
    <row r="59" ht="15.0" customHeight="1">
      <c r="A59" s="112"/>
      <c r="B59" s="112"/>
      <c r="C59" s="112"/>
      <c r="D59" s="132" t="s">
        <v>92</v>
      </c>
      <c r="E59" s="114" t="str">
        <f>VLOOKUP(D59,Data!H:I,2,0)</f>
        <v>İzmir</v>
      </c>
      <c r="F59" s="115" t="s">
        <v>61</v>
      </c>
      <c r="G59" s="116" t="b">
        <v>1</v>
      </c>
      <c r="H59" s="116" t="b">
        <v>1</v>
      </c>
      <c r="I59" s="116" t="b">
        <v>1</v>
      </c>
      <c r="J59" s="116" t="b">
        <v>1</v>
      </c>
      <c r="K59" s="116" t="b">
        <v>1</v>
      </c>
      <c r="L59" s="117">
        <f t="shared" si="1"/>
        <v>5</v>
      </c>
      <c r="M59" s="117">
        <f t="shared" si="2"/>
        <v>20</v>
      </c>
      <c r="N59" s="112"/>
      <c r="O59" s="112"/>
    </row>
    <row r="60" ht="15.0" customHeight="1">
      <c r="A60" s="112"/>
      <c r="B60" s="112"/>
      <c r="C60" s="112"/>
      <c r="D60" s="129" t="s">
        <v>93</v>
      </c>
      <c r="E60" s="114" t="str">
        <f>VLOOKUP(D60,Data!H:I,2,0)</f>
        <v>İzmir</v>
      </c>
      <c r="F60" s="115" t="s">
        <v>59</v>
      </c>
      <c r="G60" s="116" t="b">
        <v>1</v>
      </c>
      <c r="H60" s="116" t="b">
        <v>0</v>
      </c>
      <c r="I60" s="116" t="b">
        <v>0</v>
      </c>
      <c r="J60" s="116" t="b">
        <v>0</v>
      </c>
      <c r="K60" s="116" t="b">
        <v>0</v>
      </c>
      <c r="L60" s="117">
        <f t="shared" si="1"/>
        <v>1</v>
      </c>
      <c r="M60" s="117">
        <f t="shared" si="2"/>
        <v>4</v>
      </c>
      <c r="N60" s="112"/>
      <c r="O60" s="112"/>
    </row>
    <row r="61" ht="15.0" customHeight="1">
      <c r="A61" s="112"/>
      <c r="B61" s="112"/>
      <c r="C61" s="112"/>
      <c r="D61" s="132" t="s">
        <v>96</v>
      </c>
      <c r="E61" s="114" t="str">
        <f>VLOOKUP(D61,Data!H:I,2,0)</f>
        <v>Kocaeli</v>
      </c>
      <c r="F61" s="127" t="s">
        <v>61</v>
      </c>
      <c r="G61" s="116" t="b">
        <v>0</v>
      </c>
      <c r="H61" s="116" t="b">
        <v>0</v>
      </c>
      <c r="I61" s="116" t="b">
        <v>0</v>
      </c>
      <c r="J61" s="116" t="b">
        <v>0</v>
      </c>
      <c r="K61" s="116" t="b">
        <v>0</v>
      </c>
      <c r="L61" s="117">
        <f t="shared" si="1"/>
        <v>0</v>
      </c>
      <c r="M61" s="117">
        <f t="shared" si="2"/>
        <v>0</v>
      </c>
      <c r="N61" s="112"/>
      <c r="O61" s="112"/>
    </row>
    <row r="62" ht="15.0" customHeight="1">
      <c r="A62" s="112"/>
      <c r="B62" s="112"/>
      <c r="C62" s="112"/>
      <c r="D62" s="132" t="s">
        <v>97</v>
      </c>
      <c r="E62" s="114" t="str">
        <f>VLOOKUP(D62,Data!H:I,2,0)</f>
        <v>Konya</v>
      </c>
      <c r="F62" s="127" t="s">
        <v>61</v>
      </c>
      <c r="G62" s="116" t="b">
        <v>1</v>
      </c>
      <c r="H62" s="116" t="b">
        <v>1</v>
      </c>
      <c r="I62" s="116" t="b">
        <v>1</v>
      </c>
      <c r="J62" s="116" t="b">
        <v>1</v>
      </c>
      <c r="K62" s="116" t="b">
        <v>1</v>
      </c>
      <c r="L62" s="117">
        <f t="shared" si="1"/>
        <v>5</v>
      </c>
      <c r="M62" s="117">
        <f t="shared" si="2"/>
        <v>20</v>
      </c>
      <c r="N62" s="112"/>
      <c r="O62" s="112"/>
    </row>
    <row r="63" ht="15.0" customHeight="1">
      <c r="A63" s="112"/>
      <c r="B63" s="112"/>
      <c r="C63" s="112"/>
      <c r="D63" s="132" t="s">
        <v>98</v>
      </c>
      <c r="E63" s="114" t="str">
        <f>VLOOKUP(D63,Data!H:I,2,0)</f>
        <v>Manisa</v>
      </c>
      <c r="F63" s="127" t="s">
        <v>61</v>
      </c>
      <c r="G63" s="116" t="b">
        <v>0</v>
      </c>
      <c r="H63" s="116" t="b">
        <v>1</v>
      </c>
      <c r="I63" s="116" t="b">
        <v>1</v>
      </c>
      <c r="J63" s="116" t="b">
        <v>0</v>
      </c>
      <c r="K63" s="116" t="b">
        <v>0</v>
      </c>
      <c r="L63" s="117">
        <f t="shared" si="1"/>
        <v>2</v>
      </c>
      <c r="M63" s="117">
        <f t="shared" si="2"/>
        <v>8</v>
      </c>
      <c r="N63" s="112"/>
      <c r="O63" s="112"/>
    </row>
    <row r="64" ht="15.0" customHeight="1">
      <c r="A64" s="112"/>
      <c r="B64" s="112"/>
      <c r="C64" s="112"/>
      <c r="D64" s="132" t="s">
        <v>99</v>
      </c>
      <c r="E64" s="114" t="str">
        <f>VLOOKUP(D64,Data!H:I,2,0)</f>
        <v>Mersin</v>
      </c>
      <c r="F64" s="127" t="s">
        <v>61</v>
      </c>
      <c r="G64" s="116" t="b">
        <v>1</v>
      </c>
      <c r="H64" s="116" t="b">
        <v>0</v>
      </c>
      <c r="I64" s="116" t="b">
        <v>0</v>
      </c>
      <c r="J64" s="116" t="b">
        <v>1</v>
      </c>
      <c r="K64" s="116" t="b">
        <v>0</v>
      </c>
      <c r="L64" s="117">
        <f t="shared" si="1"/>
        <v>2</v>
      </c>
      <c r="M64" s="117">
        <f t="shared" si="2"/>
        <v>8</v>
      </c>
      <c r="N64" s="112"/>
      <c r="O64" s="112"/>
    </row>
    <row r="65" ht="15.0" customHeight="1">
      <c r="A65" s="112"/>
      <c r="B65" s="112"/>
      <c r="C65" s="112"/>
      <c r="D65" s="129" t="s">
        <v>104</v>
      </c>
      <c r="E65" s="114" t="str">
        <f>VLOOKUP(D65,Data!H:I,2,0)</f>
        <v>Tekirdağ</v>
      </c>
      <c r="F65" s="127" t="s">
        <v>59</v>
      </c>
      <c r="G65" s="139" t="b">
        <v>0</v>
      </c>
      <c r="H65" s="139" t="b">
        <v>0</v>
      </c>
      <c r="I65" s="139" t="b">
        <v>0</v>
      </c>
      <c r="J65" s="139" t="b">
        <v>0</v>
      </c>
      <c r="K65" s="139" t="b">
        <v>0</v>
      </c>
      <c r="L65" s="117">
        <f t="shared" si="1"/>
        <v>0</v>
      </c>
      <c r="M65" s="117">
        <f t="shared" si="2"/>
        <v>0</v>
      </c>
      <c r="N65" s="112"/>
      <c r="O65" s="112"/>
    </row>
    <row r="66" ht="15.0" customHeight="1">
      <c r="A66" s="112"/>
      <c r="B66" s="112"/>
      <c r="C66" s="112"/>
      <c r="D66" s="132"/>
      <c r="E66" s="132"/>
      <c r="F66" s="132"/>
      <c r="G66" s="117">
        <f t="shared" ref="G66:H66" si="3">4*(COUNTIF(G14:G65,"true"))+9</f>
        <v>133</v>
      </c>
      <c r="H66" s="117">
        <f t="shared" si="3"/>
        <v>145</v>
      </c>
      <c r="I66" s="117">
        <f>4*(COUNTIF(I14:I65,"true"))+6</f>
        <v>134</v>
      </c>
      <c r="J66" s="117">
        <f>4*(COUNTIF(J14:J65,"true"))+9</f>
        <v>137</v>
      </c>
      <c r="K66" s="117">
        <f>4*(COUNTIF(K14:K65,"true"))+3</f>
        <v>115</v>
      </c>
      <c r="L66" s="135"/>
      <c r="M66" s="135">
        <f>SUM(M15:M65)</f>
        <v>628</v>
      </c>
      <c r="N66" s="112"/>
      <c r="O66" s="112"/>
    </row>
  </sheetData>
  <customSheetViews>
    <customSheetView guid="{70B995D3-3AEB-4DFE-A0CA-D6FFCCE596BC}" filter="1" showAutoFilter="1">
      <autoFilter ref="$D$14:$D$65"/>
    </customSheetView>
    <customSheetView guid="{90E1DF85-7252-44D2-BA7D-CC3767CD0E8B}" filter="1" showAutoFilter="1">
      <autoFilter ref="$A$14:$O$66">
        <filterColumn colId="4">
          <filters/>
        </filterColumn>
      </autoFilter>
    </customSheetView>
  </customSheetViews>
  <mergeCells count="4">
    <mergeCell ref="D6:K6"/>
    <mergeCell ref="D7:F7"/>
    <mergeCell ref="D9:D12"/>
    <mergeCell ref="F10:M11"/>
  </mergeCells>
  <conditionalFormatting sqref="G15:K65">
    <cfRule type="cellIs" dxfId="1" priority="1" operator="equal">
      <formula>"False"</formula>
    </cfRule>
  </conditionalFormatting>
  <conditionalFormatting sqref="G15:K65">
    <cfRule type="cellIs" dxfId="0" priority="2" operator="equal">
      <formula>"TRUE"</formula>
    </cfRule>
  </conditionalFormatting>
  <dataValidations>
    <dataValidation type="list" allowBlank="1" showErrorMessage="1" sqref="E15:E65">
      <formula1>Data!$A$2:$A$10</formula1>
    </dataValidation>
    <dataValidation type="list" allowBlank="1" showErrorMessage="1" sqref="F15:F65">
      <formula1>Data!$C$2:$C$8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3" width="2.63"/>
    <col customWidth="1" min="4" max="4" width="20.38"/>
    <col customWidth="1" min="5" max="5" width="11.38"/>
    <col customWidth="1" min="6" max="6" width="16.63"/>
    <col customWidth="1" min="7" max="11" width="8.63"/>
    <col customWidth="1" min="12" max="12" width="12.63"/>
    <col customWidth="1" min="13" max="13" width="15.13"/>
    <col customWidth="1" min="14" max="15" width="2.63"/>
  </cols>
  <sheetData>
    <row r="1" ht="7.5" customHeight="1">
      <c r="A1" s="140"/>
      <c r="B1" s="84"/>
      <c r="C1" s="84"/>
      <c r="D1" s="84"/>
      <c r="E1" s="84"/>
      <c r="F1" s="84"/>
      <c r="G1" s="84"/>
      <c r="H1" s="84"/>
      <c r="I1" s="84"/>
      <c r="J1" s="84"/>
      <c r="K1" s="84"/>
      <c r="L1" s="85"/>
      <c r="M1" s="86"/>
      <c r="N1" s="86"/>
      <c r="O1" s="86"/>
    </row>
    <row r="2" ht="15.0" customHeight="1">
      <c r="A2" s="87"/>
      <c r="B2" s="87"/>
      <c r="C2" s="87"/>
      <c r="D2" s="88"/>
      <c r="E2" s="88"/>
      <c r="F2" s="88"/>
      <c r="G2" s="88"/>
      <c r="H2" s="88"/>
      <c r="I2" s="88"/>
      <c r="J2" s="88"/>
      <c r="K2" s="88"/>
      <c r="L2" s="88"/>
      <c r="M2" s="87"/>
      <c r="N2" s="87"/>
      <c r="O2" s="87"/>
    </row>
    <row r="3" ht="3.75" customHeight="1">
      <c r="A3" s="87"/>
      <c r="B3" s="87"/>
      <c r="C3" s="87"/>
      <c r="D3" s="89"/>
      <c r="E3" s="90"/>
      <c r="F3" s="90"/>
      <c r="G3" s="90"/>
      <c r="H3" s="90"/>
      <c r="I3" s="90"/>
      <c r="J3" s="90"/>
      <c r="K3" s="90"/>
      <c r="L3" s="90"/>
      <c r="M3" s="87"/>
      <c r="N3" s="87"/>
      <c r="O3" s="87"/>
    </row>
    <row r="4" ht="15.0" customHeight="1">
      <c r="A4" s="87"/>
      <c r="B4" s="87"/>
      <c r="C4" s="87"/>
      <c r="D4" s="88"/>
      <c r="E4" s="88"/>
      <c r="F4" s="88"/>
      <c r="G4" s="91"/>
      <c r="H4" s="91"/>
      <c r="I4" s="91"/>
      <c r="J4" s="91"/>
      <c r="K4" s="91"/>
      <c r="L4" s="91"/>
      <c r="M4" s="87"/>
      <c r="N4" s="87"/>
      <c r="O4" s="87"/>
    </row>
    <row r="5" ht="15.0" customHeight="1">
      <c r="A5" s="92"/>
      <c r="B5" s="92"/>
      <c r="C5" s="92"/>
      <c r="D5" s="88"/>
      <c r="E5" s="88"/>
      <c r="F5" s="88"/>
      <c r="G5" s="93"/>
      <c r="H5" s="93"/>
      <c r="I5" s="93"/>
      <c r="J5" s="93"/>
      <c r="K5" s="93"/>
      <c r="L5" s="94"/>
      <c r="M5" s="88"/>
      <c r="N5" s="92"/>
      <c r="O5" s="92"/>
    </row>
    <row r="6" ht="15.0" customHeight="1">
      <c r="A6" s="92"/>
      <c r="B6" s="92"/>
      <c r="C6" s="92"/>
      <c r="D6" s="95" t="s">
        <v>121</v>
      </c>
      <c r="L6" s="94"/>
      <c r="M6" s="88"/>
      <c r="N6" s="92"/>
      <c r="O6" s="92"/>
    </row>
    <row r="7" ht="15.0" customHeight="1">
      <c r="A7" s="92"/>
      <c r="B7" s="92"/>
      <c r="C7" s="92"/>
      <c r="D7" s="96" t="s">
        <v>122</v>
      </c>
      <c r="G7" s="97"/>
      <c r="H7" s="97"/>
      <c r="I7" s="97"/>
      <c r="J7" s="97"/>
      <c r="K7" s="97"/>
      <c r="L7" s="92"/>
      <c r="M7" s="92"/>
      <c r="N7" s="92"/>
      <c r="O7" s="92"/>
    </row>
    <row r="8" ht="15.0" customHeight="1">
      <c r="A8" s="92"/>
      <c r="B8" s="92"/>
      <c r="C8" s="92"/>
      <c r="D8" s="97"/>
      <c r="E8" s="97"/>
      <c r="F8" s="97"/>
      <c r="G8" s="97"/>
      <c r="H8" s="97"/>
      <c r="I8" s="97"/>
      <c r="J8" s="97"/>
      <c r="K8" s="97"/>
      <c r="L8" s="92"/>
      <c r="M8" s="92"/>
      <c r="N8" s="92"/>
      <c r="O8" s="92"/>
    </row>
    <row r="9" ht="15.0" customHeight="1">
      <c r="A9" s="92"/>
      <c r="B9" s="92"/>
      <c r="C9" s="98"/>
      <c r="D9" s="99" t="s">
        <v>35</v>
      </c>
      <c r="E9" s="100"/>
      <c r="F9" s="101"/>
      <c r="G9" s="101"/>
      <c r="H9" s="101"/>
      <c r="I9" s="101"/>
      <c r="J9" s="101"/>
      <c r="K9" s="101"/>
      <c r="L9" s="101"/>
      <c r="M9" s="100"/>
      <c r="N9" s="102"/>
      <c r="O9" s="102"/>
    </row>
    <row r="10" ht="15.0" customHeight="1">
      <c r="A10" s="92"/>
      <c r="B10" s="92"/>
      <c r="C10" s="98"/>
      <c r="E10" s="100"/>
      <c r="F10" s="103" t="s">
        <v>36</v>
      </c>
      <c r="N10" s="102"/>
      <c r="O10" s="102"/>
    </row>
    <row r="11" ht="15.0" customHeight="1">
      <c r="A11" s="92"/>
      <c r="B11" s="92"/>
      <c r="C11" s="98"/>
      <c r="E11" s="100"/>
      <c r="N11" s="102"/>
      <c r="O11" s="102"/>
    </row>
    <row r="12" ht="15.0" customHeight="1">
      <c r="A12" s="88"/>
      <c r="B12" s="92"/>
      <c r="C12" s="92"/>
      <c r="E12" s="100"/>
      <c r="F12" s="100"/>
      <c r="G12" s="100"/>
      <c r="H12" s="100"/>
      <c r="I12" s="100"/>
      <c r="J12" s="100"/>
      <c r="K12" s="100"/>
      <c r="L12" s="100"/>
      <c r="M12" s="100"/>
      <c r="N12" s="102"/>
      <c r="O12" s="102"/>
    </row>
    <row r="13" ht="15.0" customHeight="1">
      <c r="A13" s="88"/>
      <c r="B13" s="104"/>
      <c r="C13" s="104"/>
      <c r="D13" s="104"/>
      <c r="E13" s="104"/>
      <c r="F13" s="105"/>
      <c r="G13" s="105"/>
      <c r="H13" s="105"/>
      <c r="I13" s="105"/>
      <c r="J13" s="105"/>
      <c r="K13" s="105"/>
      <c r="L13" s="104"/>
      <c r="M13" s="104"/>
      <c r="N13" s="104"/>
      <c r="O13" s="104"/>
    </row>
    <row r="14" ht="15.0" customHeight="1">
      <c r="A14" s="106"/>
      <c r="B14" s="106"/>
      <c r="C14" s="106"/>
      <c r="D14" s="107" t="s">
        <v>37</v>
      </c>
      <c r="E14" s="108" t="s">
        <v>38</v>
      </c>
      <c r="F14" s="109" t="s">
        <v>39</v>
      </c>
      <c r="G14" s="110">
        <v>44431.0</v>
      </c>
      <c r="H14" s="110">
        <v>44432.0</v>
      </c>
      <c r="I14" s="110">
        <v>44433.0</v>
      </c>
      <c r="J14" s="110">
        <v>44434.0</v>
      </c>
      <c r="K14" s="110">
        <v>44435.0</v>
      </c>
      <c r="L14" s="111" t="s">
        <v>40</v>
      </c>
      <c r="M14" s="111" t="s">
        <v>41</v>
      </c>
      <c r="N14" s="88"/>
      <c r="O14" s="88"/>
    </row>
    <row r="15" ht="15.0" customHeight="1">
      <c r="A15" s="112"/>
      <c r="B15" s="112"/>
      <c r="C15" s="112"/>
      <c r="D15" s="129" t="s">
        <v>42</v>
      </c>
      <c r="E15" s="114" t="str">
        <f>VLOOKUP(D15,Data!H:I,2,0)</f>
        <v>Adana</v>
      </c>
      <c r="F15" s="115" t="s">
        <v>59</v>
      </c>
      <c r="G15" s="116" t="b">
        <v>1</v>
      </c>
      <c r="H15" s="116" t="b">
        <v>1</v>
      </c>
      <c r="I15" s="116" t="b">
        <v>1</v>
      </c>
      <c r="J15" s="116" t="b">
        <v>1</v>
      </c>
      <c r="K15" s="116" t="b">
        <v>1</v>
      </c>
      <c r="L15" s="117">
        <f t="shared" ref="L15:L62" si="1">COUNTIF(G15:K15,"TRUE")</f>
        <v>5</v>
      </c>
      <c r="M15" s="117">
        <f t="shared" ref="M15:M62" si="2">L15*4</f>
        <v>20</v>
      </c>
      <c r="N15" s="112"/>
      <c r="O15" s="88"/>
    </row>
    <row r="16" ht="15.0" customHeight="1">
      <c r="A16" s="112"/>
      <c r="B16" s="112"/>
      <c r="C16" s="112"/>
      <c r="D16" s="129" t="s">
        <v>43</v>
      </c>
      <c r="E16" s="114" t="str">
        <f>VLOOKUP(D16,Data!H:I,2,0)</f>
        <v>Adana</v>
      </c>
      <c r="F16" s="115" t="s">
        <v>59</v>
      </c>
      <c r="G16" s="116" t="b">
        <v>1</v>
      </c>
      <c r="H16" s="116" t="b">
        <v>1</v>
      </c>
      <c r="I16" s="116" t="b">
        <v>1</v>
      </c>
      <c r="J16" s="116" t="b">
        <v>1</v>
      </c>
      <c r="K16" s="116" t="b">
        <v>1</v>
      </c>
      <c r="L16" s="117">
        <f t="shared" si="1"/>
        <v>5</v>
      </c>
      <c r="M16" s="117">
        <f t="shared" si="2"/>
        <v>20</v>
      </c>
      <c r="N16" s="112"/>
      <c r="O16" s="88"/>
    </row>
    <row r="17" ht="15.0" customHeight="1">
      <c r="A17" s="112"/>
      <c r="B17" s="112"/>
      <c r="C17" s="112"/>
      <c r="D17" s="131" t="s">
        <v>44</v>
      </c>
      <c r="E17" s="114" t="str">
        <f>VLOOKUP(D17,Data!H:I,2,0)</f>
        <v>Ankara</v>
      </c>
      <c r="F17" s="115" t="s">
        <v>108</v>
      </c>
      <c r="G17" s="116" t="b">
        <v>0</v>
      </c>
      <c r="H17" s="116" t="b">
        <v>1</v>
      </c>
      <c r="I17" s="116" t="b">
        <v>0</v>
      </c>
      <c r="J17" s="116" t="b">
        <v>1</v>
      </c>
      <c r="K17" s="116" t="b">
        <v>0</v>
      </c>
      <c r="L17" s="117">
        <f t="shared" si="1"/>
        <v>2</v>
      </c>
      <c r="M17" s="117">
        <f t="shared" si="2"/>
        <v>8</v>
      </c>
      <c r="N17" s="88"/>
      <c r="O17" s="88"/>
    </row>
    <row r="18" ht="15.0" customHeight="1">
      <c r="A18" s="112"/>
      <c r="B18" s="112"/>
      <c r="C18" s="112"/>
      <c r="D18" s="131" t="s">
        <v>45</v>
      </c>
      <c r="E18" s="114" t="str">
        <f>VLOOKUP(D18,Data!H:I,2,0)</f>
        <v>Ankara</v>
      </c>
      <c r="F18" s="115" t="s">
        <v>108</v>
      </c>
      <c r="G18" s="116" t="b">
        <v>0</v>
      </c>
      <c r="H18" s="116" t="b">
        <v>0</v>
      </c>
      <c r="I18" s="116" t="b">
        <v>0</v>
      </c>
      <c r="J18" s="116" t="b">
        <v>0</v>
      </c>
      <c r="K18" s="116" t="b">
        <v>0</v>
      </c>
      <c r="L18" s="117">
        <f t="shared" si="1"/>
        <v>0</v>
      </c>
      <c r="M18" s="117">
        <f t="shared" si="2"/>
        <v>0</v>
      </c>
      <c r="N18" s="112"/>
      <c r="O18" s="88"/>
    </row>
    <row r="19" ht="15.0" customHeight="1">
      <c r="A19" s="120"/>
      <c r="B19" s="120"/>
      <c r="C19" s="120"/>
      <c r="D19" s="131" t="s">
        <v>46</v>
      </c>
      <c r="E19" s="114" t="str">
        <f>VLOOKUP(D19,Data!H:I,2,0)</f>
        <v>Ankara</v>
      </c>
      <c r="F19" s="115" t="s">
        <v>108</v>
      </c>
      <c r="G19" s="116" t="b">
        <v>1</v>
      </c>
      <c r="H19" s="116" t="b">
        <v>1</v>
      </c>
      <c r="I19" s="116" t="b">
        <v>1</v>
      </c>
      <c r="J19" s="116" t="b">
        <v>1</v>
      </c>
      <c r="K19" s="116" t="b">
        <v>1</v>
      </c>
      <c r="L19" s="117">
        <f t="shared" si="1"/>
        <v>5</v>
      </c>
      <c r="M19" s="117">
        <f t="shared" si="2"/>
        <v>20</v>
      </c>
      <c r="N19" s="112"/>
      <c r="O19" s="120"/>
    </row>
    <row r="20" ht="15.0" customHeight="1">
      <c r="A20" s="121"/>
      <c r="B20" s="121"/>
      <c r="C20" s="121"/>
      <c r="D20" s="119" t="s">
        <v>48</v>
      </c>
      <c r="E20" s="114" t="str">
        <f>VLOOKUP(D20,Data!H:I,2,0)</f>
        <v>Ankara</v>
      </c>
      <c r="F20" s="115" t="s">
        <v>108</v>
      </c>
      <c r="G20" s="116" t="b">
        <v>1</v>
      </c>
      <c r="H20" s="116" t="b">
        <v>1</v>
      </c>
      <c r="I20" s="116" t="b">
        <v>1</v>
      </c>
      <c r="J20" s="116" t="b">
        <v>1</v>
      </c>
      <c r="K20" s="116" t="b">
        <v>1</v>
      </c>
      <c r="L20" s="117">
        <f t="shared" si="1"/>
        <v>5</v>
      </c>
      <c r="M20" s="117">
        <f t="shared" si="2"/>
        <v>20</v>
      </c>
      <c r="N20" s="112"/>
      <c r="O20" s="121"/>
    </row>
    <row r="21" ht="15.0" customHeight="1">
      <c r="A21" s="121"/>
      <c r="B21" s="121"/>
      <c r="C21" s="121"/>
      <c r="D21" s="131" t="s">
        <v>47</v>
      </c>
      <c r="E21" s="114" t="str">
        <f>VLOOKUP(D21,Data!H:I,2,0)</f>
        <v>Ankara</v>
      </c>
      <c r="F21" s="115" t="s">
        <v>108</v>
      </c>
      <c r="G21" s="116" t="b">
        <v>1</v>
      </c>
      <c r="H21" s="116" t="b">
        <v>1</v>
      </c>
      <c r="I21" s="116" t="b">
        <v>1</v>
      </c>
      <c r="J21" s="116" t="b">
        <v>1</v>
      </c>
      <c r="K21" s="116" t="b">
        <v>1</v>
      </c>
      <c r="L21" s="117">
        <f t="shared" si="1"/>
        <v>5</v>
      </c>
      <c r="M21" s="117">
        <f t="shared" si="2"/>
        <v>20</v>
      </c>
      <c r="N21" s="112"/>
      <c r="O21" s="121"/>
    </row>
    <row r="22" ht="15.0" customHeight="1">
      <c r="A22" s="106"/>
      <c r="B22" s="106"/>
      <c r="C22" s="106"/>
      <c r="D22" s="129" t="s">
        <v>109</v>
      </c>
      <c r="E22" s="114" t="str">
        <f>VLOOKUP(D22,Data!H:I,2,0)</f>
        <v>Antalya</v>
      </c>
      <c r="F22" s="115" t="s">
        <v>61</v>
      </c>
      <c r="G22" s="116" t="b">
        <v>1</v>
      </c>
      <c r="H22" s="116" t="b">
        <v>1</v>
      </c>
      <c r="I22" s="116" t="b">
        <v>1</v>
      </c>
      <c r="J22" s="116" t="b">
        <v>1</v>
      </c>
      <c r="K22" s="116" t="b">
        <v>1</v>
      </c>
      <c r="L22" s="117">
        <f t="shared" si="1"/>
        <v>5</v>
      </c>
      <c r="M22" s="117">
        <f t="shared" si="2"/>
        <v>20</v>
      </c>
      <c r="N22" s="112"/>
      <c r="O22" s="106"/>
    </row>
    <row r="23" ht="15.0" customHeight="1">
      <c r="A23" s="112"/>
      <c r="B23" s="112"/>
      <c r="C23" s="112"/>
      <c r="D23" s="129" t="s">
        <v>50</v>
      </c>
      <c r="E23" s="114" t="str">
        <f>VLOOKUP(D23,Data!H:I,2,0)</f>
        <v>Antalya</v>
      </c>
      <c r="F23" s="115" t="s">
        <v>59</v>
      </c>
      <c r="G23" s="116" t="b">
        <v>1</v>
      </c>
      <c r="H23" s="116" t="b">
        <v>1</v>
      </c>
      <c r="I23" s="116" t="b">
        <v>1</v>
      </c>
      <c r="J23" s="116" t="b">
        <v>1</v>
      </c>
      <c r="K23" s="116" t="b">
        <v>1</v>
      </c>
      <c r="L23" s="117">
        <f t="shared" si="1"/>
        <v>5</v>
      </c>
      <c r="M23" s="117">
        <f t="shared" si="2"/>
        <v>20</v>
      </c>
      <c r="N23" s="112"/>
      <c r="O23" s="112"/>
    </row>
    <row r="24" ht="15.0" customHeight="1">
      <c r="A24" s="112"/>
      <c r="B24" s="112"/>
      <c r="C24" s="112"/>
      <c r="D24" s="132" t="s">
        <v>52</v>
      </c>
      <c r="E24" s="114" t="str">
        <f>VLOOKUP(D24,Data!H:I,2,0)</f>
        <v>Bursa</v>
      </c>
      <c r="F24" s="115" t="s">
        <v>61</v>
      </c>
      <c r="G24" s="116" t="b">
        <v>1</v>
      </c>
      <c r="H24" s="116" t="b">
        <v>1</v>
      </c>
      <c r="I24" s="116" t="b">
        <v>1</v>
      </c>
      <c r="J24" s="116" t="b">
        <v>1</v>
      </c>
      <c r="K24" s="116" t="b">
        <v>1</v>
      </c>
      <c r="L24" s="117">
        <f t="shared" si="1"/>
        <v>5</v>
      </c>
      <c r="M24" s="117">
        <f t="shared" si="2"/>
        <v>20</v>
      </c>
      <c r="N24" s="122"/>
      <c r="O24" s="112"/>
    </row>
    <row r="25" ht="15.0" customHeight="1">
      <c r="A25" s="112"/>
      <c r="B25" s="112"/>
      <c r="C25" s="112"/>
      <c r="D25" s="129" t="s">
        <v>53</v>
      </c>
      <c r="E25" s="114" t="str">
        <f>VLOOKUP(D25,Data!H:I,2,0)</f>
        <v>Bursa</v>
      </c>
      <c r="F25" s="115" t="s">
        <v>59</v>
      </c>
      <c r="G25" s="116" t="b">
        <v>1</v>
      </c>
      <c r="H25" s="116" t="b">
        <v>1</v>
      </c>
      <c r="I25" s="116" t="b">
        <v>1</v>
      </c>
      <c r="J25" s="116" t="b">
        <v>1</v>
      </c>
      <c r="K25" s="116" t="b">
        <v>1</v>
      </c>
      <c r="L25" s="117">
        <f t="shared" si="1"/>
        <v>5</v>
      </c>
      <c r="M25" s="117">
        <f t="shared" si="2"/>
        <v>20</v>
      </c>
      <c r="N25" s="112"/>
      <c r="O25" s="112"/>
    </row>
    <row r="26" ht="15.0" customHeight="1">
      <c r="A26" s="112"/>
      <c r="B26" s="112"/>
      <c r="C26" s="112"/>
      <c r="D26" s="132" t="s">
        <v>54</v>
      </c>
      <c r="E26" s="114" t="str">
        <f>VLOOKUP(D26,Data!H:I,2,0)</f>
        <v>Diyarbakır</v>
      </c>
      <c r="F26" s="115" t="s">
        <v>61</v>
      </c>
      <c r="G26" s="116" t="b">
        <v>1</v>
      </c>
      <c r="H26" s="116" t="b">
        <v>1</v>
      </c>
      <c r="I26" s="116" t="b">
        <v>0</v>
      </c>
      <c r="J26" s="116" t="b">
        <v>0</v>
      </c>
      <c r="K26" s="116" t="b">
        <v>0</v>
      </c>
      <c r="L26" s="117">
        <f t="shared" si="1"/>
        <v>2</v>
      </c>
      <c r="M26" s="117">
        <f t="shared" si="2"/>
        <v>8</v>
      </c>
      <c r="N26" s="112"/>
      <c r="O26" s="112"/>
    </row>
    <row r="27" ht="15.0" customHeight="1">
      <c r="A27" s="112"/>
      <c r="B27" s="112"/>
      <c r="C27" s="112"/>
      <c r="D27" s="132" t="s">
        <v>55</v>
      </c>
      <c r="E27" s="114" t="str">
        <f>VLOOKUP(D27,Data!H:I,2,0)</f>
        <v>Erzurum</v>
      </c>
      <c r="F27" s="115" t="s">
        <v>61</v>
      </c>
      <c r="G27" s="116" t="b">
        <v>1</v>
      </c>
      <c r="H27" s="116" t="b">
        <v>1</v>
      </c>
      <c r="I27" s="116" t="b">
        <v>0</v>
      </c>
      <c r="J27" s="116" t="b">
        <v>0</v>
      </c>
      <c r="K27" s="116" t="b">
        <v>1</v>
      </c>
      <c r="L27" s="117">
        <f t="shared" si="1"/>
        <v>3</v>
      </c>
      <c r="M27" s="117">
        <f t="shared" si="2"/>
        <v>12</v>
      </c>
      <c r="N27" s="112"/>
      <c r="O27" s="112"/>
    </row>
    <row r="28" ht="15.0" customHeight="1">
      <c r="A28" s="112"/>
      <c r="B28" s="112"/>
      <c r="C28" s="112"/>
      <c r="D28" s="129" t="s">
        <v>58</v>
      </c>
      <c r="E28" s="114" t="str">
        <f>VLOOKUP(D28,Data!H:I,2,0)</f>
        <v>İstanbul</v>
      </c>
      <c r="F28" s="115" t="s">
        <v>59</v>
      </c>
      <c r="G28" s="116" t="b">
        <v>1</v>
      </c>
      <c r="H28" s="116" t="b">
        <v>1</v>
      </c>
      <c r="I28" s="116" t="b">
        <v>1</v>
      </c>
      <c r="J28" s="116" t="b">
        <v>1</v>
      </c>
      <c r="K28" s="116" t="b">
        <v>1</v>
      </c>
      <c r="L28" s="117">
        <f t="shared" si="1"/>
        <v>5</v>
      </c>
      <c r="M28" s="117">
        <f t="shared" si="2"/>
        <v>20</v>
      </c>
      <c r="N28" s="88"/>
      <c r="O28" s="112"/>
    </row>
    <row r="29" ht="15.0" customHeight="1">
      <c r="A29" s="120"/>
      <c r="B29" s="120"/>
      <c r="C29" s="120"/>
      <c r="D29" s="129" t="s">
        <v>66</v>
      </c>
      <c r="E29" s="114" t="str">
        <f>VLOOKUP(D29,Data!H:I,2,0)</f>
        <v>İstanbul</v>
      </c>
      <c r="F29" s="115" t="s">
        <v>59</v>
      </c>
      <c r="G29" s="116" t="b">
        <v>1</v>
      </c>
      <c r="H29" s="116" t="b">
        <v>1</v>
      </c>
      <c r="I29" s="116" t="b">
        <v>1</v>
      </c>
      <c r="J29" s="116" t="b">
        <v>1</v>
      </c>
      <c r="K29" s="116" t="b">
        <v>0</v>
      </c>
      <c r="L29" s="117">
        <f t="shared" si="1"/>
        <v>4</v>
      </c>
      <c r="M29" s="117">
        <f t="shared" si="2"/>
        <v>16</v>
      </c>
      <c r="N29" s="120"/>
      <c r="O29" s="120"/>
    </row>
    <row r="30" ht="15.0" customHeight="1">
      <c r="A30" s="121"/>
      <c r="B30" s="121"/>
      <c r="C30" s="121"/>
      <c r="D30" s="132" t="s">
        <v>67</v>
      </c>
      <c r="E30" s="114" t="str">
        <f>VLOOKUP(D30,Data!H:I,2,0)</f>
        <v>İstanbul</v>
      </c>
      <c r="F30" s="115" t="s">
        <v>64</v>
      </c>
      <c r="G30" s="116" t="b">
        <v>0</v>
      </c>
      <c r="H30" s="116" t="b">
        <v>0</v>
      </c>
      <c r="I30" s="116" t="b">
        <v>0</v>
      </c>
      <c r="J30" s="116" t="b">
        <v>0</v>
      </c>
      <c r="K30" s="116" t="b">
        <v>0</v>
      </c>
      <c r="L30" s="117">
        <f t="shared" si="1"/>
        <v>0</v>
      </c>
      <c r="M30" s="117">
        <f t="shared" si="2"/>
        <v>0</v>
      </c>
      <c r="N30" s="121"/>
      <c r="O30" s="121"/>
    </row>
    <row r="31" ht="15.0" customHeight="1">
      <c r="A31" s="124"/>
      <c r="B31" s="124"/>
      <c r="C31" s="124"/>
      <c r="D31" s="137" t="s">
        <v>68</v>
      </c>
      <c r="E31" s="114" t="str">
        <f>VLOOKUP(D31,Data!H:I,2,0)</f>
        <v>İstanbul</v>
      </c>
      <c r="F31" s="115" t="s">
        <v>59</v>
      </c>
      <c r="G31" s="116" t="b">
        <v>0</v>
      </c>
      <c r="H31" s="116" t="b">
        <v>0</v>
      </c>
      <c r="I31" s="116" t="b">
        <v>0</v>
      </c>
      <c r="J31" s="116" t="b">
        <v>0</v>
      </c>
      <c r="K31" s="116" t="b">
        <v>0</v>
      </c>
      <c r="L31" s="117">
        <f t="shared" si="1"/>
        <v>0</v>
      </c>
      <c r="M31" s="117">
        <f t="shared" si="2"/>
        <v>0</v>
      </c>
      <c r="N31" s="112"/>
      <c r="O31" s="124"/>
    </row>
    <row r="32" ht="15.0" customHeight="1">
      <c r="A32" s="112"/>
      <c r="B32" s="112"/>
      <c r="C32" s="112"/>
      <c r="D32" s="132" t="s">
        <v>117</v>
      </c>
      <c r="E32" s="114" t="str">
        <f>VLOOKUP(D32,Data!H:I,2,0)</f>
        <v>İstanbul</v>
      </c>
      <c r="F32" s="115" t="s">
        <v>59</v>
      </c>
      <c r="G32" s="116" t="b">
        <v>0</v>
      </c>
      <c r="H32" s="116" t="b">
        <v>1</v>
      </c>
      <c r="I32" s="116" t="b">
        <v>1</v>
      </c>
      <c r="J32" s="116" t="b">
        <v>1</v>
      </c>
      <c r="K32" s="116" t="b">
        <v>0</v>
      </c>
      <c r="L32" s="117">
        <f t="shared" si="1"/>
        <v>3</v>
      </c>
      <c r="M32" s="117">
        <f t="shared" si="2"/>
        <v>12</v>
      </c>
      <c r="N32" s="112"/>
      <c r="O32" s="112"/>
    </row>
    <row r="33" ht="15.0" customHeight="1">
      <c r="A33" s="112"/>
      <c r="B33" s="112"/>
      <c r="C33" s="112"/>
      <c r="D33" s="129" t="s">
        <v>123</v>
      </c>
      <c r="E33" s="114" t="str">
        <f>VLOOKUP(D33,Data!H:I,2,0)</f>
        <v>İstanbul</v>
      </c>
      <c r="F33" s="115" t="s">
        <v>59</v>
      </c>
      <c r="G33" s="116" t="b">
        <v>0</v>
      </c>
      <c r="H33" s="116" t="b">
        <v>0</v>
      </c>
      <c r="I33" s="116" t="b">
        <v>1</v>
      </c>
      <c r="J33" s="116" t="b">
        <v>1</v>
      </c>
      <c r="K33" s="116" t="b">
        <v>1</v>
      </c>
      <c r="L33" s="117">
        <f t="shared" si="1"/>
        <v>3</v>
      </c>
      <c r="M33" s="117">
        <f t="shared" si="2"/>
        <v>12</v>
      </c>
      <c r="N33" s="112"/>
      <c r="O33" s="112"/>
    </row>
    <row r="34" ht="15.0" customHeight="1">
      <c r="A34" s="112"/>
      <c r="B34" s="112"/>
      <c r="C34" s="112"/>
      <c r="D34" s="129" t="s">
        <v>70</v>
      </c>
      <c r="E34" s="114" t="str">
        <f>VLOOKUP(D34,Data!H:I,2,0)</f>
        <v>İstanbul</v>
      </c>
      <c r="F34" s="115" t="s">
        <v>59</v>
      </c>
      <c r="G34" s="116" t="b">
        <v>1</v>
      </c>
      <c r="H34" s="116" t="b">
        <v>0</v>
      </c>
      <c r="I34" s="116" t="b">
        <v>0</v>
      </c>
      <c r="J34" s="116" t="b">
        <v>0</v>
      </c>
      <c r="K34" s="116" t="b">
        <v>0</v>
      </c>
      <c r="L34" s="117">
        <f t="shared" si="1"/>
        <v>1</v>
      </c>
      <c r="M34" s="117">
        <f t="shared" si="2"/>
        <v>4</v>
      </c>
      <c r="N34" s="112"/>
      <c r="O34" s="112"/>
    </row>
    <row r="35" ht="15.0" customHeight="1">
      <c r="A35" s="112"/>
      <c r="B35" s="112"/>
      <c r="C35" s="112"/>
      <c r="D35" s="132" t="s">
        <v>71</v>
      </c>
      <c r="E35" s="114" t="str">
        <f>VLOOKUP(D35,Data!H:I,2,0)</f>
        <v>İstanbul</v>
      </c>
      <c r="F35" s="115" t="s">
        <v>64</v>
      </c>
      <c r="G35" s="116" t="b">
        <v>1</v>
      </c>
      <c r="H35" s="116" t="b">
        <v>1</v>
      </c>
      <c r="I35" s="116" t="b">
        <v>1</v>
      </c>
      <c r="J35" s="116" t="b">
        <v>1</v>
      </c>
      <c r="K35" s="116" t="b">
        <v>1</v>
      </c>
      <c r="L35" s="117">
        <f t="shared" si="1"/>
        <v>5</v>
      </c>
      <c r="M35" s="117">
        <f t="shared" si="2"/>
        <v>20</v>
      </c>
      <c r="N35" s="112"/>
      <c r="O35" s="112"/>
    </row>
    <row r="36" ht="15.0" customHeight="1">
      <c r="A36" s="112"/>
      <c r="B36" s="112"/>
      <c r="C36" s="112"/>
      <c r="D36" s="132" t="s">
        <v>72</v>
      </c>
      <c r="E36" s="114" t="str">
        <f>VLOOKUP(D36,Data!H:I,2,0)</f>
        <v>İstanbul</v>
      </c>
      <c r="F36" s="115" t="s">
        <v>64</v>
      </c>
      <c r="G36" s="116" t="b">
        <v>1</v>
      </c>
      <c r="H36" s="116" t="b">
        <v>1</v>
      </c>
      <c r="I36" s="116" t="b">
        <v>1</v>
      </c>
      <c r="J36" s="116" t="b">
        <v>1</v>
      </c>
      <c r="K36" s="116" t="b">
        <v>1</v>
      </c>
      <c r="L36" s="117">
        <f t="shared" si="1"/>
        <v>5</v>
      </c>
      <c r="M36" s="117">
        <f t="shared" si="2"/>
        <v>20</v>
      </c>
      <c r="N36" s="112"/>
      <c r="O36" s="112"/>
    </row>
    <row r="37" ht="15.0" customHeight="1">
      <c r="A37" s="112"/>
      <c r="B37" s="112"/>
      <c r="C37" s="112"/>
      <c r="D37" s="132" t="s">
        <v>74</v>
      </c>
      <c r="E37" s="114" t="str">
        <f>VLOOKUP(D37,Data!H:I,2,0)</f>
        <v>İstanbul</v>
      </c>
      <c r="F37" s="115" t="s">
        <v>64</v>
      </c>
      <c r="G37" s="116" t="b">
        <v>1</v>
      </c>
      <c r="H37" s="116" t="b">
        <v>1</v>
      </c>
      <c r="I37" s="116" t="b">
        <v>1</v>
      </c>
      <c r="J37" s="116" t="b">
        <v>1</v>
      </c>
      <c r="K37" s="116" t="b">
        <v>1</v>
      </c>
      <c r="L37" s="117">
        <f t="shared" si="1"/>
        <v>5</v>
      </c>
      <c r="M37" s="117">
        <f t="shared" si="2"/>
        <v>20</v>
      </c>
      <c r="N37" s="120"/>
      <c r="O37" s="112"/>
    </row>
    <row r="38" ht="15.0" customHeight="1">
      <c r="A38" s="112"/>
      <c r="B38" s="112"/>
      <c r="C38" s="112"/>
      <c r="D38" s="129" t="s">
        <v>75</v>
      </c>
      <c r="E38" s="114" t="str">
        <f>VLOOKUP(D38,Data!H:I,2,0)</f>
        <v>İstanbul</v>
      </c>
      <c r="F38" s="115" t="s">
        <v>59</v>
      </c>
      <c r="G38" s="116" t="b">
        <v>0</v>
      </c>
      <c r="H38" s="116" t="b">
        <v>0</v>
      </c>
      <c r="I38" s="116" t="b">
        <v>0</v>
      </c>
      <c r="J38" s="116" t="b">
        <v>0</v>
      </c>
      <c r="K38" s="116" t="b">
        <v>0</v>
      </c>
      <c r="L38" s="117">
        <f t="shared" si="1"/>
        <v>0</v>
      </c>
      <c r="M38" s="117">
        <f t="shared" si="2"/>
        <v>0</v>
      </c>
      <c r="N38" s="121"/>
      <c r="O38" s="112"/>
    </row>
    <row r="39" ht="15.0" customHeight="1">
      <c r="A39" s="125"/>
      <c r="B39" s="125"/>
      <c r="C39" s="125"/>
      <c r="D39" s="129" t="s">
        <v>77</v>
      </c>
      <c r="E39" s="114" t="str">
        <f>VLOOKUP(D39,Data!H:I,2,0)</f>
        <v>İstanbul</v>
      </c>
      <c r="F39" s="115" t="s">
        <v>59</v>
      </c>
      <c r="G39" s="116" t="b">
        <v>0</v>
      </c>
      <c r="H39" s="116" t="b">
        <v>0</v>
      </c>
      <c r="I39" s="116" t="b">
        <v>0</v>
      </c>
      <c r="J39" s="116" t="b">
        <v>0</v>
      </c>
      <c r="K39" s="116" t="b">
        <v>0</v>
      </c>
      <c r="L39" s="117">
        <f t="shared" si="1"/>
        <v>0</v>
      </c>
      <c r="M39" s="117">
        <f t="shared" si="2"/>
        <v>0</v>
      </c>
      <c r="N39" s="124"/>
      <c r="O39" s="125"/>
    </row>
    <row r="40" ht="15.0" customHeight="1">
      <c r="A40" s="122"/>
      <c r="B40" s="122"/>
      <c r="C40" s="122"/>
      <c r="D40" s="129" t="s">
        <v>78</v>
      </c>
      <c r="E40" s="114" t="str">
        <f>VLOOKUP(D40,Data!H:I,2,0)</f>
        <v>İstanbul</v>
      </c>
      <c r="F40" s="115" t="s">
        <v>59</v>
      </c>
      <c r="G40" s="116" t="b">
        <v>1</v>
      </c>
      <c r="H40" s="116" t="b">
        <v>1</v>
      </c>
      <c r="I40" s="116" t="b">
        <v>1</v>
      </c>
      <c r="J40" s="116" t="b">
        <v>1</v>
      </c>
      <c r="K40" s="116" t="b">
        <v>1</v>
      </c>
      <c r="L40" s="117">
        <f t="shared" si="1"/>
        <v>5</v>
      </c>
      <c r="M40" s="117">
        <f t="shared" si="2"/>
        <v>20</v>
      </c>
      <c r="N40" s="112"/>
      <c r="O40" s="122"/>
    </row>
    <row r="41" ht="15.0" customHeight="1">
      <c r="A41" s="124"/>
      <c r="B41" s="124"/>
      <c r="C41" s="124"/>
      <c r="D41" s="129" t="s">
        <v>79</v>
      </c>
      <c r="E41" s="114" t="str">
        <f>VLOOKUP(D41,Data!H:I,2,0)</f>
        <v>İstanbul</v>
      </c>
      <c r="F41" s="115" t="s">
        <v>59</v>
      </c>
      <c r="G41" s="116" t="b">
        <v>0</v>
      </c>
      <c r="H41" s="116" t="b">
        <v>0</v>
      </c>
      <c r="I41" s="116" t="b">
        <v>0</v>
      </c>
      <c r="J41" s="116" t="b">
        <v>1</v>
      </c>
      <c r="K41" s="116" t="b">
        <v>1</v>
      </c>
      <c r="L41" s="117">
        <f t="shared" si="1"/>
        <v>2</v>
      </c>
      <c r="M41" s="117">
        <f t="shared" si="2"/>
        <v>8</v>
      </c>
      <c r="N41" s="112"/>
      <c r="O41" s="124"/>
    </row>
    <row r="42" ht="15.0" customHeight="1">
      <c r="A42" s="112"/>
      <c r="B42" s="112"/>
      <c r="C42" s="112"/>
      <c r="D42" s="141" t="s">
        <v>124</v>
      </c>
      <c r="E42" s="114" t="str">
        <f>VLOOKUP(D42,Data!H:I,2,0)</f>
        <v>İstanbul</v>
      </c>
      <c r="F42" s="115" t="s">
        <v>64</v>
      </c>
      <c r="G42" s="116" t="b">
        <v>1</v>
      </c>
      <c r="H42" s="116" t="b">
        <v>1</v>
      </c>
      <c r="I42" s="116" t="b">
        <v>1</v>
      </c>
      <c r="J42" s="116" t="b">
        <v>1</v>
      </c>
      <c r="K42" s="116" t="b">
        <v>1</v>
      </c>
      <c r="L42" s="117">
        <f t="shared" si="1"/>
        <v>5</v>
      </c>
      <c r="M42" s="117">
        <f t="shared" si="2"/>
        <v>20</v>
      </c>
      <c r="N42" s="124"/>
      <c r="O42" s="112"/>
    </row>
    <row r="43" ht="15.0" customHeight="1">
      <c r="A43" s="112"/>
      <c r="B43" s="112"/>
      <c r="C43" s="112"/>
      <c r="D43" s="141" t="s">
        <v>125</v>
      </c>
      <c r="E43" s="114" t="str">
        <f>VLOOKUP(D43,Data!H:I,2,0)</f>
        <v>İstanbul</v>
      </c>
      <c r="F43" s="115" t="s">
        <v>64</v>
      </c>
      <c r="G43" s="116" t="b">
        <v>1</v>
      </c>
      <c r="H43" s="116" t="b">
        <v>1</v>
      </c>
      <c r="I43" s="116" t="b">
        <v>0</v>
      </c>
      <c r="J43" s="116" t="b">
        <v>1</v>
      </c>
      <c r="K43" s="116" t="b">
        <v>1</v>
      </c>
      <c r="L43" s="117">
        <f t="shared" si="1"/>
        <v>4</v>
      </c>
      <c r="M43" s="117">
        <f t="shared" si="2"/>
        <v>16</v>
      </c>
      <c r="N43" s="124"/>
      <c r="O43" s="112"/>
    </row>
    <row r="44" ht="15.0" customHeight="1">
      <c r="A44" s="112"/>
      <c r="B44" s="112"/>
      <c r="C44" s="112"/>
      <c r="D44" s="129" t="s">
        <v>80</v>
      </c>
      <c r="E44" s="114" t="str">
        <f>VLOOKUP(D44,Data!H:I,2,0)</f>
        <v>İstanbul</v>
      </c>
      <c r="F44" s="115" t="s">
        <v>59</v>
      </c>
      <c r="G44" s="116" t="b">
        <v>1</v>
      </c>
      <c r="H44" s="116" t="b">
        <v>1</v>
      </c>
      <c r="I44" s="116" t="b">
        <v>1</v>
      </c>
      <c r="J44" s="116" t="b">
        <v>1</v>
      </c>
      <c r="K44" s="116" t="b">
        <v>1</v>
      </c>
      <c r="L44" s="117">
        <f t="shared" si="1"/>
        <v>5</v>
      </c>
      <c r="M44" s="117">
        <f t="shared" si="2"/>
        <v>20</v>
      </c>
      <c r="N44" s="112"/>
      <c r="O44" s="112"/>
    </row>
    <row r="45" ht="15.0" customHeight="1">
      <c r="A45" s="112"/>
      <c r="B45" s="112"/>
      <c r="C45" s="112"/>
      <c r="D45" s="132" t="s">
        <v>119</v>
      </c>
      <c r="E45" s="114" t="str">
        <f>VLOOKUP(D45,Data!H:I,2,0)</f>
        <v>İstanbul</v>
      </c>
      <c r="F45" s="115" t="s">
        <v>64</v>
      </c>
      <c r="G45" s="116" t="b">
        <v>1</v>
      </c>
      <c r="H45" s="116" t="b">
        <v>1</v>
      </c>
      <c r="I45" s="116" t="b">
        <v>1</v>
      </c>
      <c r="J45" s="116" t="b">
        <v>0</v>
      </c>
      <c r="K45" s="116" t="b">
        <v>1</v>
      </c>
      <c r="L45" s="117">
        <f t="shared" si="1"/>
        <v>4</v>
      </c>
      <c r="M45" s="117">
        <f t="shared" si="2"/>
        <v>16</v>
      </c>
      <c r="N45" s="112"/>
      <c r="O45" s="112"/>
    </row>
    <row r="46" ht="15.0" customHeight="1">
      <c r="A46" s="112"/>
      <c r="B46" s="112"/>
      <c r="C46" s="112"/>
      <c r="D46" s="129" t="s">
        <v>81</v>
      </c>
      <c r="E46" s="114" t="str">
        <f>VLOOKUP(D46,Data!H:I,2,0)</f>
        <v>İstanbul</v>
      </c>
      <c r="F46" s="115" t="s">
        <v>59</v>
      </c>
      <c r="G46" s="116" t="b">
        <v>0</v>
      </c>
      <c r="H46" s="116" t="b">
        <v>0</v>
      </c>
      <c r="I46" s="116" t="b">
        <v>0</v>
      </c>
      <c r="J46" s="116" t="b">
        <v>0</v>
      </c>
      <c r="K46" s="116" t="b">
        <v>0</v>
      </c>
      <c r="L46" s="117">
        <f t="shared" si="1"/>
        <v>0</v>
      </c>
      <c r="M46" s="117">
        <f t="shared" si="2"/>
        <v>0</v>
      </c>
      <c r="N46" s="125"/>
      <c r="O46" s="112"/>
    </row>
    <row r="47" ht="15.0" customHeight="1">
      <c r="A47" s="112"/>
      <c r="B47" s="112"/>
      <c r="C47" s="112"/>
      <c r="D47" s="141" t="s">
        <v>126</v>
      </c>
      <c r="E47" s="114" t="str">
        <f>VLOOKUP(D47,Data!H:I,2,0)</f>
        <v>İstanbul</v>
      </c>
      <c r="F47" s="115" t="s">
        <v>64</v>
      </c>
      <c r="G47" s="116" t="b">
        <v>1</v>
      </c>
      <c r="H47" s="116" t="b">
        <v>1</v>
      </c>
      <c r="I47" s="116" t="b">
        <v>1</v>
      </c>
      <c r="J47" s="116" t="b">
        <v>1</v>
      </c>
      <c r="K47" s="116" t="b">
        <v>1</v>
      </c>
      <c r="L47" s="117">
        <f t="shared" si="1"/>
        <v>5</v>
      </c>
      <c r="M47" s="117">
        <f t="shared" si="2"/>
        <v>20</v>
      </c>
      <c r="N47" s="122"/>
      <c r="O47" s="112"/>
    </row>
    <row r="48" ht="15.0" customHeight="1">
      <c r="A48" s="112"/>
      <c r="B48" s="112"/>
      <c r="C48" s="112"/>
      <c r="D48" s="132" t="s">
        <v>83</v>
      </c>
      <c r="E48" s="114" t="str">
        <f>VLOOKUP(D48,Data!H:I,2,0)</f>
        <v>İstanbul</v>
      </c>
      <c r="F48" s="115" t="s">
        <v>61</v>
      </c>
      <c r="G48" s="116" t="b">
        <v>1</v>
      </c>
      <c r="H48" s="116" t="b">
        <v>1</v>
      </c>
      <c r="I48" s="116" t="b">
        <v>1</v>
      </c>
      <c r="J48" s="116" t="b">
        <v>1</v>
      </c>
      <c r="K48" s="116" t="b">
        <v>1</v>
      </c>
      <c r="L48" s="117">
        <f t="shared" si="1"/>
        <v>5</v>
      </c>
      <c r="M48" s="117">
        <f t="shared" si="2"/>
        <v>20</v>
      </c>
      <c r="N48" s="112"/>
      <c r="O48" s="112"/>
    </row>
    <row r="49" ht="15.0" customHeight="1">
      <c r="A49" s="125"/>
      <c r="B49" s="125"/>
      <c r="C49" s="125"/>
      <c r="D49" s="132" t="s">
        <v>85</v>
      </c>
      <c r="E49" s="114" t="str">
        <f>VLOOKUP(D49,Data!H:I,2,0)</f>
        <v>İstanbul</v>
      </c>
      <c r="F49" s="115" t="s">
        <v>64</v>
      </c>
      <c r="G49" s="116" t="b">
        <v>0</v>
      </c>
      <c r="H49" s="116" t="b">
        <v>0</v>
      </c>
      <c r="I49" s="116" t="b">
        <v>0</v>
      </c>
      <c r="J49" s="116" t="b">
        <v>0</v>
      </c>
      <c r="K49" s="116" t="b">
        <v>0</v>
      </c>
      <c r="L49" s="117">
        <f t="shared" si="1"/>
        <v>0</v>
      </c>
      <c r="M49" s="117">
        <f t="shared" si="2"/>
        <v>0</v>
      </c>
      <c r="N49" s="112"/>
      <c r="O49" s="125"/>
    </row>
    <row r="50" ht="15.0" customHeight="1">
      <c r="A50" s="126"/>
      <c r="B50" s="126"/>
      <c r="C50" s="126"/>
      <c r="D50" s="129" t="s">
        <v>86</v>
      </c>
      <c r="E50" s="114" t="str">
        <f>VLOOKUP(D50,Data!H:I,2,0)</f>
        <v>İstanbul</v>
      </c>
      <c r="F50" s="115" t="s">
        <v>59</v>
      </c>
      <c r="G50" s="116" t="b">
        <v>1</v>
      </c>
      <c r="H50" s="116" t="b">
        <v>1</v>
      </c>
      <c r="I50" s="116" t="b">
        <v>1</v>
      </c>
      <c r="J50" s="116" t="b">
        <v>1</v>
      </c>
      <c r="K50" s="116" t="b">
        <v>0</v>
      </c>
      <c r="L50" s="117">
        <f t="shared" si="1"/>
        <v>4</v>
      </c>
      <c r="M50" s="117">
        <f t="shared" si="2"/>
        <v>16</v>
      </c>
      <c r="N50" s="112"/>
      <c r="O50" s="126"/>
    </row>
    <row r="51" ht="15.0" customHeight="1">
      <c r="A51" s="122"/>
      <c r="B51" s="122"/>
      <c r="C51" s="122"/>
      <c r="D51" s="129" t="s">
        <v>87</v>
      </c>
      <c r="E51" s="114" t="str">
        <f>VLOOKUP(D51,Data!H:I,2,0)</f>
        <v>İstanbul</v>
      </c>
      <c r="F51" s="115" t="s">
        <v>59</v>
      </c>
      <c r="G51" s="116" t="b">
        <v>1</v>
      </c>
      <c r="H51" s="116" t="b">
        <v>1</v>
      </c>
      <c r="I51" s="116" t="b">
        <v>1</v>
      </c>
      <c r="J51" s="116" t="b">
        <v>0</v>
      </c>
      <c r="K51" s="116" t="b">
        <v>0</v>
      </c>
      <c r="L51" s="117">
        <f t="shared" si="1"/>
        <v>3</v>
      </c>
      <c r="M51" s="117">
        <f t="shared" si="2"/>
        <v>12</v>
      </c>
      <c r="N51" s="112"/>
      <c r="O51" s="122"/>
    </row>
    <row r="52" ht="15.0" customHeight="1">
      <c r="A52" s="112"/>
      <c r="B52" s="112"/>
      <c r="C52" s="112"/>
      <c r="D52" s="132" t="s">
        <v>88</v>
      </c>
      <c r="E52" s="114" t="str">
        <f>VLOOKUP(D52,Data!H:I,2,0)</f>
        <v>İstanbul</v>
      </c>
      <c r="F52" s="115" t="s">
        <v>61</v>
      </c>
      <c r="G52" s="116" t="b">
        <v>1</v>
      </c>
      <c r="H52" s="116" t="b">
        <v>1</v>
      </c>
      <c r="I52" s="116" t="b">
        <v>1</v>
      </c>
      <c r="J52" s="116" t="b">
        <v>1</v>
      </c>
      <c r="K52" s="116" t="b">
        <v>1</v>
      </c>
      <c r="L52" s="117">
        <f t="shared" si="1"/>
        <v>5</v>
      </c>
      <c r="M52" s="117">
        <f t="shared" si="2"/>
        <v>20</v>
      </c>
      <c r="N52" s="112"/>
      <c r="O52" s="112"/>
    </row>
    <row r="53" ht="15.0" customHeight="1">
      <c r="A53" s="112"/>
      <c r="B53" s="112"/>
      <c r="C53" s="112"/>
      <c r="D53" s="132" t="s">
        <v>89</v>
      </c>
      <c r="E53" s="114" t="str">
        <f>VLOOKUP(D53,Data!H:I,2,0)</f>
        <v>İstanbul</v>
      </c>
      <c r="F53" s="115" t="s">
        <v>64</v>
      </c>
      <c r="G53" s="116" t="b">
        <v>0</v>
      </c>
      <c r="H53" s="116" t="b">
        <v>1</v>
      </c>
      <c r="I53" s="116" t="b">
        <v>1</v>
      </c>
      <c r="J53" s="116" t="b">
        <v>1</v>
      </c>
      <c r="K53" s="116" t="b">
        <v>1</v>
      </c>
      <c r="L53" s="117">
        <f t="shared" si="1"/>
        <v>4</v>
      </c>
      <c r="M53" s="117">
        <f t="shared" si="2"/>
        <v>16</v>
      </c>
      <c r="N53" s="112"/>
      <c r="O53" s="112"/>
    </row>
    <row r="54" ht="15.0" customHeight="1">
      <c r="A54" s="112"/>
      <c r="B54" s="112"/>
      <c r="C54" s="112"/>
      <c r="D54" s="129" t="s">
        <v>127</v>
      </c>
      <c r="E54" s="114" t="str">
        <f>VLOOKUP(D54,Data!H:I,2,0)</f>
        <v>İstanbul</v>
      </c>
      <c r="F54" s="115" t="s">
        <v>64</v>
      </c>
      <c r="G54" s="116" t="b">
        <v>1</v>
      </c>
      <c r="H54" s="116" t="b">
        <v>1</v>
      </c>
      <c r="I54" s="116" t="b">
        <v>1</v>
      </c>
      <c r="J54" s="116" t="b">
        <v>1</v>
      </c>
      <c r="K54" s="116" t="b">
        <v>1</v>
      </c>
      <c r="L54" s="117">
        <f t="shared" si="1"/>
        <v>5</v>
      </c>
      <c r="M54" s="117">
        <f t="shared" si="2"/>
        <v>20</v>
      </c>
      <c r="N54" s="112"/>
      <c r="O54" s="112"/>
    </row>
    <row r="55" ht="15.0" customHeight="1">
      <c r="A55" s="112"/>
      <c r="B55" s="112"/>
      <c r="C55" s="112"/>
      <c r="D55" s="132" t="s">
        <v>92</v>
      </c>
      <c r="E55" s="114" t="str">
        <f>VLOOKUP(D55,Data!H:I,2,0)</f>
        <v>İzmir</v>
      </c>
      <c r="F55" s="115" t="s">
        <v>61</v>
      </c>
      <c r="G55" s="116" t="b">
        <v>1</v>
      </c>
      <c r="H55" s="116" t="b">
        <v>1</v>
      </c>
      <c r="I55" s="116" t="b">
        <v>1</v>
      </c>
      <c r="J55" s="116" t="b">
        <v>1</v>
      </c>
      <c r="K55" s="116" t="b">
        <v>1</v>
      </c>
      <c r="L55" s="117">
        <f t="shared" si="1"/>
        <v>5</v>
      </c>
      <c r="M55" s="117">
        <f t="shared" si="2"/>
        <v>20</v>
      </c>
      <c r="N55" s="125"/>
      <c r="O55" s="112"/>
    </row>
    <row r="56" ht="15.0" customHeight="1">
      <c r="A56" s="112"/>
      <c r="B56" s="112"/>
      <c r="C56" s="112"/>
      <c r="D56" s="129" t="s">
        <v>128</v>
      </c>
      <c r="E56" s="114" t="s">
        <v>129</v>
      </c>
      <c r="F56" s="115" t="s">
        <v>61</v>
      </c>
      <c r="G56" s="116" t="b">
        <v>0</v>
      </c>
      <c r="H56" s="116" t="b">
        <v>0</v>
      </c>
      <c r="I56" s="116" t="b">
        <v>1</v>
      </c>
      <c r="J56" s="116" t="b">
        <v>1</v>
      </c>
      <c r="K56" s="116" t="b">
        <v>1</v>
      </c>
      <c r="L56" s="117">
        <f t="shared" si="1"/>
        <v>3</v>
      </c>
      <c r="M56" s="117">
        <f t="shared" si="2"/>
        <v>12</v>
      </c>
      <c r="N56" s="125"/>
      <c r="O56" s="112"/>
    </row>
    <row r="57" ht="15.0" customHeight="1">
      <c r="A57" s="112"/>
      <c r="B57" s="112"/>
      <c r="C57" s="112"/>
      <c r="D57" s="129" t="s">
        <v>93</v>
      </c>
      <c r="E57" s="114" t="str">
        <f>VLOOKUP(D57,Data!H:I,2,0)</f>
        <v>İzmir</v>
      </c>
      <c r="F57" s="115" t="s">
        <v>59</v>
      </c>
      <c r="G57" s="116" t="b">
        <v>1</v>
      </c>
      <c r="H57" s="116" t="b">
        <v>1</v>
      </c>
      <c r="I57" s="116" t="b">
        <v>1</v>
      </c>
      <c r="J57" s="116" t="b">
        <v>1</v>
      </c>
      <c r="K57" s="116" t="b">
        <v>0</v>
      </c>
      <c r="L57" s="117">
        <f t="shared" si="1"/>
        <v>4</v>
      </c>
      <c r="M57" s="117">
        <f t="shared" si="2"/>
        <v>16</v>
      </c>
      <c r="N57" s="112"/>
      <c r="O57" s="112"/>
    </row>
    <row r="58" ht="15.0" customHeight="1">
      <c r="A58" s="112"/>
      <c r="B58" s="112"/>
      <c r="C58" s="112"/>
      <c r="D58" s="132" t="s">
        <v>96</v>
      </c>
      <c r="E58" s="114" t="str">
        <f>VLOOKUP(D58,Data!H:I,2,0)</f>
        <v>Kocaeli</v>
      </c>
      <c r="F58" s="127" t="s">
        <v>61</v>
      </c>
      <c r="G58" s="116" t="b">
        <v>0</v>
      </c>
      <c r="H58" s="116" t="b">
        <v>0</v>
      </c>
      <c r="I58" s="116" t="b">
        <v>0</v>
      </c>
      <c r="J58" s="116" t="b">
        <v>1</v>
      </c>
      <c r="K58" s="116" t="b">
        <v>1</v>
      </c>
      <c r="L58" s="117">
        <f t="shared" si="1"/>
        <v>2</v>
      </c>
      <c r="M58" s="117">
        <f t="shared" si="2"/>
        <v>8</v>
      </c>
      <c r="N58" s="112"/>
      <c r="O58" s="112"/>
    </row>
    <row r="59" ht="15.0" customHeight="1">
      <c r="A59" s="112"/>
      <c r="B59" s="112"/>
      <c r="C59" s="112"/>
      <c r="D59" s="132" t="s">
        <v>97</v>
      </c>
      <c r="E59" s="114" t="str">
        <f>VLOOKUP(D59,Data!H:I,2,0)</f>
        <v>Konya</v>
      </c>
      <c r="F59" s="127" t="s">
        <v>61</v>
      </c>
      <c r="G59" s="116" t="b">
        <v>1</v>
      </c>
      <c r="H59" s="116" t="b">
        <v>1</v>
      </c>
      <c r="I59" s="116" t="b">
        <v>1</v>
      </c>
      <c r="J59" s="116" t="b">
        <v>1</v>
      </c>
      <c r="K59" s="116" t="b">
        <v>1</v>
      </c>
      <c r="L59" s="117">
        <f t="shared" si="1"/>
        <v>5</v>
      </c>
      <c r="M59" s="117">
        <f t="shared" si="2"/>
        <v>20</v>
      </c>
      <c r="N59" s="112"/>
      <c r="O59" s="112"/>
    </row>
    <row r="60" ht="15.0" customHeight="1">
      <c r="A60" s="112"/>
      <c r="B60" s="112"/>
      <c r="C60" s="112"/>
      <c r="D60" s="132" t="s">
        <v>98</v>
      </c>
      <c r="E60" s="114" t="str">
        <f>VLOOKUP(D60,Data!H:I,2,0)</f>
        <v>Manisa</v>
      </c>
      <c r="F60" s="127" t="s">
        <v>61</v>
      </c>
      <c r="G60" s="116" t="b">
        <v>1</v>
      </c>
      <c r="H60" s="116" t="b">
        <v>0</v>
      </c>
      <c r="I60" s="116" t="b">
        <v>0</v>
      </c>
      <c r="J60" s="116" t="b">
        <v>0</v>
      </c>
      <c r="K60" s="116" t="b">
        <v>0</v>
      </c>
      <c r="L60" s="117">
        <f t="shared" si="1"/>
        <v>1</v>
      </c>
      <c r="M60" s="117">
        <f t="shared" si="2"/>
        <v>4</v>
      </c>
      <c r="N60" s="142" t="s">
        <v>130</v>
      </c>
      <c r="O60" s="112"/>
    </row>
    <row r="61" ht="15.0" customHeight="1">
      <c r="A61" s="112"/>
      <c r="B61" s="112"/>
      <c r="C61" s="112"/>
      <c r="D61" s="132" t="s">
        <v>99</v>
      </c>
      <c r="E61" s="114" t="str">
        <f>VLOOKUP(D61,Data!H:I,2,0)</f>
        <v>Mersin</v>
      </c>
      <c r="F61" s="127" t="s">
        <v>61</v>
      </c>
      <c r="G61" s="116" t="b">
        <v>1</v>
      </c>
      <c r="H61" s="116" t="b">
        <v>0</v>
      </c>
      <c r="I61" s="116" t="b">
        <v>0</v>
      </c>
      <c r="J61" s="116" t="b">
        <v>1</v>
      </c>
      <c r="K61" s="116" t="b">
        <v>0</v>
      </c>
      <c r="L61" s="117">
        <f t="shared" si="1"/>
        <v>2</v>
      </c>
      <c r="M61" s="117">
        <f t="shared" si="2"/>
        <v>8</v>
      </c>
      <c r="N61" s="106"/>
      <c r="O61" s="112"/>
    </row>
    <row r="62" ht="15.0" customHeight="1">
      <c r="A62" s="112"/>
      <c r="B62" s="112"/>
      <c r="C62" s="112"/>
      <c r="D62" s="129" t="s">
        <v>104</v>
      </c>
      <c r="E62" s="114" t="str">
        <f>VLOOKUP(D62,Data!H:I,2,0)</f>
        <v>Tekirdağ</v>
      </c>
      <c r="F62" s="127" t="s">
        <v>59</v>
      </c>
      <c r="G62" s="139" t="b">
        <v>1</v>
      </c>
      <c r="H62" s="139" t="b">
        <v>1</v>
      </c>
      <c r="I62" s="139" t="b">
        <v>1</v>
      </c>
      <c r="J62" s="139" t="b">
        <v>1</v>
      </c>
      <c r="K62" s="139" t="b">
        <v>0</v>
      </c>
      <c r="L62" s="117">
        <f t="shared" si="1"/>
        <v>4</v>
      </c>
      <c r="M62" s="117">
        <f t="shared" si="2"/>
        <v>16</v>
      </c>
      <c r="N62" s="112"/>
      <c r="O62" s="112"/>
    </row>
    <row r="63" ht="15.0" customHeight="1">
      <c r="A63" s="112"/>
      <c r="B63" s="112"/>
      <c r="C63" s="112"/>
      <c r="D63" s="132"/>
      <c r="E63" s="132"/>
      <c r="F63" s="132"/>
      <c r="G63" s="117">
        <f t="shared" ref="G63:J63" si="3">4*(COUNTIF(G14:G62,"true"))+9</f>
        <v>145</v>
      </c>
      <c r="H63" s="117">
        <f t="shared" si="3"/>
        <v>145</v>
      </c>
      <c r="I63" s="117">
        <f t="shared" si="3"/>
        <v>137</v>
      </c>
      <c r="J63" s="117">
        <f t="shared" si="3"/>
        <v>149</v>
      </c>
      <c r="K63" s="117">
        <f>4*(COUNTIF(K14:K62,"true"))+6</f>
        <v>126</v>
      </c>
      <c r="L63" s="135"/>
      <c r="M63" s="135">
        <f>SUM(G63:K63)</f>
        <v>702</v>
      </c>
      <c r="N63" s="112"/>
      <c r="O63" s="112"/>
    </row>
  </sheetData>
  <customSheetViews>
    <customSheetView guid="{90E1DF85-7252-44D2-BA7D-CC3767CD0E8B}" filter="1" showAutoFilter="1">
      <autoFilter ref="$A$14:$O$63">
        <filterColumn colId="4">
          <filters/>
        </filterColumn>
      </autoFilter>
    </customSheetView>
    <customSheetView guid="{70B995D3-3AEB-4DFE-A0CA-D6FFCCE596BC}" filter="1" showAutoFilter="1">
      <autoFilter ref="$D$14:$D$62"/>
    </customSheetView>
  </customSheetViews>
  <mergeCells count="4">
    <mergeCell ref="D6:K6"/>
    <mergeCell ref="D7:F7"/>
    <mergeCell ref="D9:D12"/>
    <mergeCell ref="F10:M11"/>
  </mergeCells>
  <conditionalFormatting sqref="G15:K62">
    <cfRule type="cellIs" dxfId="1" priority="1" operator="equal">
      <formula>"False"</formula>
    </cfRule>
  </conditionalFormatting>
  <conditionalFormatting sqref="G15:K62">
    <cfRule type="cellIs" dxfId="0" priority="2" operator="equal">
      <formula>"TRUE"</formula>
    </cfRule>
  </conditionalFormatting>
  <dataValidations>
    <dataValidation type="list" allowBlank="1" showErrorMessage="1" sqref="E15:E62">
      <formula1>Data!$A$2:$A$10</formula1>
    </dataValidation>
    <dataValidation type="list" allowBlank="1" showErrorMessage="1" sqref="F15:F62">
      <formula1>Data!$C$2:$C$8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3" width="2.63"/>
    <col customWidth="1" min="4" max="4" width="20.38"/>
    <col customWidth="1" min="5" max="5" width="11.38"/>
    <col customWidth="1" min="6" max="6" width="16.63"/>
    <col customWidth="1" min="7" max="11" width="8.63"/>
    <col customWidth="1" min="12" max="12" width="12.63"/>
    <col customWidth="1" min="13" max="13" width="15.13"/>
    <col customWidth="1" min="14" max="15" width="2.63"/>
  </cols>
  <sheetData>
    <row r="1" ht="7.5" customHeight="1">
      <c r="A1" s="140"/>
      <c r="B1" s="84"/>
      <c r="C1" s="84"/>
      <c r="D1" s="84"/>
      <c r="E1" s="84"/>
      <c r="F1" s="84"/>
      <c r="G1" s="84"/>
      <c r="H1" s="84"/>
      <c r="I1" s="84"/>
      <c r="J1" s="84"/>
      <c r="K1" s="84"/>
      <c r="L1" s="85"/>
      <c r="M1" s="86"/>
      <c r="N1" s="86"/>
      <c r="O1" s="86"/>
    </row>
    <row r="2" ht="15.0" customHeight="1">
      <c r="A2" s="87"/>
      <c r="B2" s="87"/>
      <c r="C2" s="87"/>
      <c r="D2" s="88"/>
      <c r="E2" s="88"/>
      <c r="F2" s="88"/>
      <c r="G2" s="88"/>
      <c r="H2" s="88"/>
      <c r="I2" s="88"/>
      <c r="J2" s="88"/>
      <c r="K2" s="88"/>
      <c r="L2" s="88"/>
      <c r="M2" s="87"/>
      <c r="N2" s="87"/>
      <c r="O2" s="87"/>
    </row>
    <row r="3" ht="3.75" customHeight="1">
      <c r="A3" s="87"/>
      <c r="B3" s="87"/>
      <c r="C3" s="87"/>
      <c r="D3" s="89"/>
      <c r="E3" s="90"/>
      <c r="F3" s="90"/>
      <c r="G3" s="90"/>
      <c r="H3" s="90"/>
      <c r="I3" s="90"/>
      <c r="J3" s="90"/>
      <c r="K3" s="90"/>
      <c r="L3" s="90"/>
      <c r="M3" s="87"/>
      <c r="N3" s="87"/>
      <c r="O3" s="87"/>
    </row>
    <row r="4" ht="15.0" customHeight="1">
      <c r="A4" s="87"/>
      <c r="B4" s="87"/>
      <c r="C4" s="87"/>
      <c r="D4" s="88"/>
      <c r="E4" s="88"/>
      <c r="F4" s="88"/>
      <c r="G4" s="91"/>
      <c r="H4" s="91"/>
      <c r="I4" s="91"/>
      <c r="J4" s="91"/>
      <c r="K4" s="91"/>
      <c r="L4" s="91"/>
      <c r="M4" s="87"/>
      <c r="N4" s="87"/>
      <c r="O4" s="87"/>
    </row>
    <row r="5" ht="15.0" customHeight="1">
      <c r="A5" s="92"/>
      <c r="B5" s="92"/>
      <c r="C5" s="92"/>
      <c r="D5" s="88"/>
      <c r="E5" s="88"/>
      <c r="F5" s="88"/>
      <c r="G5" s="93"/>
      <c r="H5" s="93"/>
      <c r="I5" s="93"/>
      <c r="J5" s="93"/>
      <c r="K5" s="93"/>
      <c r="L5" s="94"/>
      <c r="M5" s="88"/>
      <c r="N5" s="92"/>
      <c r="O5" s="92"/>
    </row>
    <row r="6" ht="15.0" customHeight="1">
      <c r="A6" s="92"/>
      <c r="B6" s="92"/>
      <c r="C6" s="92"/>
      <c r="D6" s="95" t="s">
        <v>131</v>
      </c>
      <c r="L6" s="94"/>
      <c r="M6" s="88"/>
      <c r="N6" s="92"/>
      <c r="O6" s="92"/>
    </row>
    <row r="7" ht="15.0" customHeight="1">
      <c r="A7" s="92"/>
      <c r="B7" s="92"/>
      <c r="C7" s="92"/>
      <c r="D7" s="96" t="s">
        <v>132</v>
      </c>
      <c r="G7" s="97"/>
      <c r="H7" s="97"/>
      <c r="I7" s="97"/>
      <c r="J7" s="97"/>
      <c r="K7" s="97"/>
      <c r="L7" s="92"/>
      <c r="M7" s="92"/>
      <c r="N7" s="92"/>
      <c r="O7" s="92"/>
    </row>
    <row r="8" ht="15.0" customHeight="1">
      <c r="A8" s="92"/>
      <c r="B8" s="92"/>
      <c r="C8" s="92"/>
      <c r="D8" s="97"/>
      <c r="E8" s="97"/>
      <c r="F8" s="97"/>
      <c r="G8" s="97"/>
      <c r="H8" s="97"/>
      <c r="I8" s="97"/>
      <c r="J8" s="97"/>
      <c r="K8" s="97"/>
      <c r="L8" s="92"/>
      <c r="M8" s="92"/>
      <c r="N8" s="92"/>
      <c r="O8" s="92"/>
    </row>
    <row r="9" ht="15.0" customHeight="1">
      <c r="A9" s="92"/>
      <c r="B9" s="92"/>
      <c r="C9" s="98"/>
      <c r="D9" s="99" t="s">
        <v>35</v>
      </c>
      <c r="E9" s="100"/>
      <c r="F9" s="101"/>
      <c r="G9" s="101"/>
      <c r="H9" s="101"/>
      <c r="I9" s="101"/>
      <c r="J9" s="101"/>
      <c r="K9" s="101"/>
      <c r="L9" s="101"/>
      <c r="M9" s="100"/>
      <c r="N9" s="102"/>
      <c r="O9" s="102"/>
    </row>
    <row r="10" ht="15.0" customHeight="1">
      <c r="A10" s="92"/>
      <c r="B10" s="92"/>
      <c r="C10" s="98"/>
      <c r="E10" s="100"/>
      <c r="F10" s="103" t="s">
        <v>36</v>
      </c>
      <c r="N10" s="102"/>
      <c r="O10" s="102"/>
    </row>
    <row r="11" ht="15.0" customHeight="1">
      <c r="A11" s="92"/>
      <c r="B11" s="92"/>
      <c r="C11" s="98"/>
      <c r="E11" s="100"/>
      <c r="N11" s="102"/>
      <c r="O11" s="102"/>
    </row>
    <row r="12" ht="15.0" customHeight="1">
      <c r="A12" s="88"/>
      <c r="B12" s="92"/>
      <c r="C12" s="92"/>
      <c r="E12" s="100"/>
      <c r="F12" s="100"/>
      <c r="G12" s="100"/>
      <c r="H12" s="100"/>
      <c r="I12" s="100"/>
      <c r="J12" s="100"/>
      <c r="K12" s="100"/>
      <c r="L12" s="100"/>
      <c r="M12" s="100"/>
      <c r="N12" s="102"/>
      <c r="O12" s="102"/>
    </row>
    <row r="13" ht="15.0" customHeight="1">
      <c r="A13" s="88"/>
      <c r="B13" s="104"/>
      <c r="C13" s="104"/>
      <c r="D13" s="104"/>
      <c r="E13" s="104"/>
      <c r="F13" s="105"/>
      <c r="G13" s="105"/>
      <c r="H13" s="105"/>
      <c r="I13" s="105"/>
      <c r="J13" s="105"/>
      <c r="K13" s="105"/>
      <c r="L13" s="104"/>
      <c r="M13" s="104"/>
      <c r="N13" s="104"/>
      <c r="O13" s="104"/>
    </row>
    <row r="14" ht="15.0" customHeight="1">
      <c r="A14" s="106"/>
      <c r="B14" s="106"/>
      <c r="C14" s="106"/>
      <c r="D14" s="107" t="s">
        <v>37</v>
      </c>
      <c r="E14" s="108" t="s">
        <v>38</v>
      </c>
      <c r="F14" s="109" t="s">
        <v>39</v>
      </c>
      <c r="G14" s="110">
        <v>44438.0</v>
      </c>
      <c r="H14" s="110">
        <v>44439.0</v>
      </c>
      <c r="I14" s="110">
        <v>44440.0</v>
      </c>
      <c r="J14" s="110">
        <v>44441.0</v>
      </c>
      <c r="K14" s="110">
        <v>44442.0</v>
      </c>
      <c r="L14" s="111" t="s">
        <v>40</v>
      </c>
      <c r="M14" s="111" t="s">
        <v>41</v>
      </c>
      <c r="N14" s="88"/>
      <c r="O14" s="88"/>
    </row>
    <row r="15" ht="15.0" customHeight="1">
      <c r="A15" s="112"/>
      <c r="B15" s="112"/>
      <c r="C15" s="112"/>
      <c r="D15" s="129" t="s">
        <v>42</v>
      </c>
      <c r="E15" s="114" t="str">
        <f>VLOOKUP(D15,Data!H:I,2,0)</f>
        <v>Adana</v>
      </c>
      <c r="F15" s="115" t="s">
        <v>59</v>
      </c>
      <c r="G15" s="116" t="b">
        <v>1</v>
      </c>
      <c r="H15" s="116" t="b">
        <v>1</v>
      </c>
      <c r="I15" s="116" t="b">
        <v>1</v>
      </c>
      <c r="J15" s="116" t="b">
        <v>1</v>
      </c>
      <c r="K15" s="116" t="b">
        <v>1</v>
      </c>
      <c r="L15" s="117">
        <f t="shared" ref="L15:L66" si="1">COUNTIF(G15:K15,"TRUE")</f>
        <v>5</v>
      </c>
      <c r="M15" s="117">
        <f t="shared" ref="M15:M66" si="2">L15*4</f>
        <v>20</v>
      </c>
      <c r="N15" s="112"/>
      <c r="O15" s="88"/>
    </row>
    <row r="16" ht="15.0" customHeight="1">
      <c r="A16" s="112"/>
      <c r="B16" s="112"/>
      <c r="C16" s="112"/>
      <c r="D16" s="129" t="s">
        <v>43</v>
      </c>
      <c r="E16" s="114" t="str">
        <f>VLOOKUP(D16,Data!H:I,2,0)</f>
        <v>Adana</v>
      </c>
      <c r="F16" s="115" t="s">
        <v>59</v>
      </c>
      <c r="G16" s="116" t="b">
        <v>1</v>
      </c>
      <c r="H16" s="116" t="b">
        <v>1</v>
      </c>
      <c r="I16" s="116" t="b">
        <v>1</v>
      </c>
      <c r="J16" s="116" t="b">
        <v>1</v>
      </c>
      <c r="K16" s="116" t="b">
        <v>1</v>
      </c>
      <c r="L16" s="117">
        <f t="shared" si="1"/>
        <v>5</v>
      </c>
      <c r="M16" s="117">
        <f t="shared" si="2"/>
        <v>20</v>
      </c>
      <c r="N16" s="112"/>
      <c r="O16" s="88"/>
    </row>
    <row r="17" ht="15.0" customHeight="1">
      <c r="A17" s="112"/>
      <c r="B17" s="112"/>
      <c r="C17" s="112"/>
      <c r="D17" s="131" t="s">
        <v>44</v>
      </c>
      <c r="E17" s="114" t="str">
        <f>VLOOKUP(D17,Data!H:I,2,0)</f>
        <v>Ankara</v>
      </c>
      <c r="F17" s="115" t="s">
        <v>108</v>
      </c>
      <c r="G17" s="116" t="b">
        <v>0</v>
      </c>
      <c r="H17" s="116" t="b">
        <v>1</v>
      </c>
      <c r="I17" s="116" t="b">
        <v>0</v>
      </c>
      <c r="J17" s="116" t="b">
        <v>1</v>
      </c>
      <c r="K17" s="116" t="b">
        <v>0</v>
      </c>
      <c r="L17" s="117">
        <f t="shared" si="1"/>
        <v>2</v>
      </c>
      <c r="M17" s="117">
        <f t="shared" si="2"/>
        <v>8</v>
      </c>
      <c r="N17" s="88"/>
      <c r="O17" s="88"/>
    </row>
    <row r="18" ht="15.0" customHeight="1">
      <c r="A18" s="112"/>
      <c r="B18" s="112"/>
      <c r="C18" s="112"/>
      <c r="D18" s="131" t="s">
        <v>45</v>
      </c>
      <c r="E18" s="114" t="str">
        <f>VLOOKUP(D18,Data!H:I,2,0)</f>
        <v>Ankara</v>
      </c>
      <c r="F18" s="115" t="s">
        <v>108</v>
      </c>
      <c r="G18" s="116" t="b">
        <v>1</v>
      </c>
      <c r="H18" s="116" t="b">
        <v>0</v>
      </c>
      <c r="I18" s="116" t="b">
        <v>0</v>
      </c>
      <c r="J18" s="116" t="b">
        <v>0</v>
      </c>
      <c r="K18" s="116" t="b">
        <v>0</v>
      </c>
      <c r="L18" s="117">
        <f t="shared" si="1"/>
        <v>1</v>
      </c>
      <c r="M18" s="117">
        <f t="shared" si="2"/>
        <v>4</v>
      </c>
      <c r="N18" s="112"/>
      <c r="O18" s="88"/>
    </row>
    <row r="19" ht="15.0" customHeight="1">
      <c r="A19" s="120"/>
      <c r="B19" s="120"/>
      <c r="C19" s="120"/>
      <c r="D19" s="131" t="s">
        <v>46</v>
      </c>
      <c r="E19" s="114" t="str">
        <f>VLOOKUP(D19,Data!H:I,2,0)</f>
        <v>Ankara</v>
      </c>
      <c r="F19" s="115" t="s">
        <v>108</v>
      </c>
      <c r="G19" s="116" t="b">
        <v>1</v>
      </c>
      <c r="H19" s="116" t="b">
        <v>1</v>
      </c>
      <c r="I19" s="116" t="b">
        <v>1</v>
      </c>
      <c r="J19" s="116" t="b">
        <v>1</v>
      </c>
      <c r="K19" s="116" t="b">
        <v>1</v>
      </c>
      <c r="L19" s="117">
        <f t="shared" si="1"/>
        <v>5</v>
      </c>
      <c r="M19" s="117">
        <f t="shared" si="2"/>
        <v>20</v>
      </c>
      <c r="N19" s="112"/>
      <c r="O19" s="120"/>
    </row>
    <row r="20" ht="15.0" customHeight="1">
      <c r="A20" s="121"/>
      <c r="B20" s="121"/>
      <c r="C20" s="121"/>
      <c r="D20" s="119" t="s">
        <v>48</v>
      </c>
      <c r="E20" s="114" t="str">
        <f>VLOOKUP(D20,Data!H:I,2,0)</f>
        <v>Ankara</v>
      </c>
      <c r="F20" s="115" t="s">
        <v>108</v>
      </c>
      <c r="G20" s="116" t="b">
        <v>1</v>
      </c>
      <c r="H20" s="116" t="b">
        <v>1</v>
      </c>
      <c r="I20" s="116" t="b">
        <v>1</v>
      </c>
      <c r="J20" s="116" t="b">
        <v>1</v>
      </c>
      <c r="K20" s="116" t="b">
        <v>1</v>
      </c>
      <c r="L20" s="117">
        <f t="shared" si="1"/>
        <v>5</v>
      </c>
      <c r="M20" s="117">
        <f t="shared" si="2"/>
        <v>20</v>
      </c>
      <c r="N20" s="112"/>
      <c r="O20" s="121"/>
    </row>
    <row r="21" ht="15.0" customHeight="1">
      <c r="A21" s="121"/>
      <c r="B21" s="121"/>
      <c r="C21" s="121"/>
      <c r="D21" s="131" t="s">
        <v>47</v>
      </c>
      <c r="E21" s="114" t="str">
        <f>VLOOKUP(D21,Data!H:I,2,0)</f>
        <v>Ankara</v>
      </c>
      <c r="F21" s="115" t="s">
        <v>108</v>
      </c>
      <c r="G21" s="116" t="b">
        <v>1</v>
      </c>
      <c r="H21" s="116" t="b">
        <v>1</v>
      </c>
      <c r="I21" s="116" t="b">
        <v>0</v>
      </c>
      <c r="J21" s="116" t="b">
        <v>1</v>
      </c>
      <c r="K21" s="116" t="b">
        <v>1</v>
      </c>
      <c r="L21" s="117">
        <f t="shared" si="1"/>
        <v>4</v>
      </c>
      <c r="M21" s="117">
        <f t="shared" si="2"/>
        <v>16</v>
      </c>
      <c r="N21" s="112"/>
      <c r="O21" s="121"/>
    </row>
    <row r="22" ht="15.0" customHeight="1">
      <c r="A22" s="106"/>
      <c r="B22" s="106"/>
      <c r="C22" s="106"/>
      <c r="D22" s="129" t="s">
        <v>109</v>
      </c>
      <c r="E22" s="114" t="str">
        <f>VLOOKUP(D22,Data!H:I,2,0)</f>
        <v>Antalya</v>
      </c>
      <c r="F22" s="115" t="s">
        <v>61</v>
      </c>
      <c r="G22" s="116" t="b">
        <v>1</v>
      </c>
      <c r="H22" s="116" t="b">
        <v>1</v>
      </c>
      <c r="I22" s="116" t="b">
        <v>1</v>
      </c>
      <c r="J22" s="116" t="b">
        <v>1</v>
      </c>
      <c r="K22" s="116" t="b">
        <v>1</v>
      </c>
      <c r="L22" s="117">
        <f t="shared" si="1"/>
        <v>5</v>
      </c>
      <c r="M22" s="117">
        <f t="shared" si="2"/>
        <v>20</v>
      </c>
      <c r="N22" s="112"/>
      <c r="O22" s="106"/>
    </row>
    <row r="23" ht="15.0" customHeight="1">
      <c r="A23" s="112"/>
      <c r="B23" s="112"/>
      <c r="C23" s="112"/>
      <c r="D23" s="129" t="s">
        <v>50</v>
      </c>
      <c r="E23" s="114" t="str">
        <f>VLOOKUP(D23,Data!H:I,2,0)</f>
        <v>Antalya</v>
      </c>
      <c r="F23" s="115" t="s">
        <v>59</v>
      </c>
      <c r="G23" s="116" t="b">
        <v>1</v>
      </c>
      <c r="H23" s="116" t="b">
        <v>1</v>
      </c>
      <c r="I23" s="116" t="b">
        <v>1</v>
      </c>
      <c r="J23" s="116" t="b">
        <v>1</v>
      </c>
      <c r="K23" s="116" t="b">
        <v>1</v>
      </c>
      <c r="L23" s="117">
        <f t="shared" si="1"/>
        <v>5</v>
      </c>
      <c r="M23" s="117">
        <f t="shared" si="2"/>
        <v>20</v>
      </c>
      <c r="N23" s="112"/>
      <c r="O23" s="112"/>
    </row>
    <row r="24" ht="15.0" customHeight="1">
      <c r="A24" s="112"/>
      <c r="B24" s="112"/>
      <c r="C24" s="112"/>
      <c r="D24" s="132" t="s">
        <v>52</v>
      </c>
      <c r="E24" s="114" t="str">
        <f>VLOOKUP(D24,Data!H:I,2,0)</f>
        <v>Bursa</v>
      </c>
      <c r="F24" s="115" t="s">
        <v>61</v>
      </c>
      <c r="G24" s="116" t="b">
        <v>1</v>
      </c>
      <c r="H24" s="116" t="b">
        <v>1</v>
      </c>
      <c r="I24" s="116" t="b">
        <v>1</v>
      </c>
      <c r="J24" s="116" t="b">
        <v>1</v>
      </c>
      <c r="K24" s="116" t="b">
        <v>0</v>
      </c>
      <c r="L24" s="117">
        <f t="shared" si="1"/>
        <v>4</v>
      </c>
      <c r="M24" s="117">
        <f t="shared" si="2"/>
        <v>16</v>
      </c>
      <c r="N24" s="122"/>
      <c r="O24" s="112"/>
    </row>
    <row r="25" ht="15.0" customHeight="1">
      <c r="A25" s="112"/>
      <c r="B25" s="112"/>
      <c r="C25" s="112"/>
      <c r="D25" s="129" t="s">
        <v>53</v>
      </c>
      <c r="E25" s="114" t="str">
        <f>VLOOKUP(D25,Data!H:I,2,0)</f>
        <v>Bursa</v>
      </c>
      <c r="F25" s="115" t="s">
        <v>59</v>
      </c>
      <c r="G25" s="116" t="b">
        <v>0</v>
      </c>
      <c r="H25" s="116" t="b">
        <v>1</v>
      </c>
      <c r="I25" s="116" t="b">
        <v>1</v>
      </c>
      <c r="J25" s="116" t="b">
        <v>1</v>
      </c>
      <c r="K25" s="116" t="b">
        <v>1</v>
      </c>
      <c r="L25" s="117">
        <f t="shared" si="1"/>
        <v>4</v>
      </c>
      <c r="M25" s="117">
        <f t="shared" si="2"/>
        <v>16</v>
      </c>
      <c r="N25" s="112"/>
      <c r="O25" s="112"/>
    </row>
    <row r="26" ht="15.0" customHeight="1">
      <c r="A26" s="112"/>
      <c r="B26" s="112"/>
      <c r="C26" s="112"/>
      <c r="D26" s="132" t="s">
        <v>54</v>
      </c>
      <c r="E26" s="114" t="str">
        <f>VLOOKUP(D26,Data!H:I,2,0)</f>
        <v>Diyarbakır</v>
      </c>
      <c r="F26" s="115" t="s">
        <v>61</v>
      </c>
      <c r="G26" s="116" t="b">
        <v>0</v>
      </c>
      <c r="H26" s="116" t="b">
        <v>0</v>
      </c>
      <c r="I26" s="116" t="b">
        <v>0</v>
      </c>
      <c r="J26" s="116" t="b">
        <v>0</v>
      </c>
      <c r="K26" s="116" t="b">
        <v>0</v>
      </c>
      <c r="L26" s="117">
        <f t="shared" si="1"/>
        <v>0</v>
      </c>
      <c r="M26" s="117">
        <f t="shared" si="2"/>
        <v>0</v>
      </c>
      <c r="N26" s="112"/>
      <c r="O26" s="112"/>
    </row>
    <row r="27" ht="15.0" customHeight="1">
      <c r="A27" s="112"/>
      <c r="B27" s="112"/>
      <c r="C27" s="112"/>
      <c r="D27" s="132" t="s">
        <v>55</v>
      </c>
      <c r="E27" s="114" t="str">
        <f>VLOOKUP(D27,Data!H:I,2,0)</f>
        <v>Erzurum</v>
      </c>
      <c r="F27" s="115" t="s">
        <v>61</v>
      </c>
      <c r="G27" s="116" t="b">
        <v>0</v>
      </c>
      <c r="H27" s="116" t="b">
        <v>0</v>
      </c>
      <c r="I27" s="116" t="b">
        <v>0</v>
      </c>
      <c r="J27" s="116" t="b">
        <v>0</v>
      </c>
      <c r="K27" s="116" t="b">
        <v>1</v>
      </c>
      <c r="L27" s="117">
        <f t="shared" si="1"/>
        <v>1</v>
      </c>
      <c r="M27" s="117">
        <f t="shared" si="2"/>
        <v>4</v>
      </c>
      <c r="N27" s="112"/>
      <c r="O27" s="112"/>
    </row>
    <row r="28" ht="15.0" customHeight="1">
      <c r="A28" s="112"/>
      <c r="B28" s="112"/>
      <c r="C28" s="112"/>
      <c r="D28" s="129" t="s">
        <v>58</v>
      </c>
      <c r="E28" s="114" t="str">
        <f>VLOOKUP(D28,Data!H:I,2,0)</f>
        <v>İstanbul</v>
      </c>
      <c r="F28" s="115" t="s">
        <v>59</v>
      </c>
      <c r="G28" s="116" t="b">
        <v>1</v>
      </c>
      <c r="H28" s="116" t="b">
        <v>1</v>
      </c>
      <c r="I28" s="116" t="b">
        <v>1</v>
      </c>
      <c r="J28" s="116" t="b">
        <v>1</v>
      </c>
      <c r="K28" s="116" t="b">
        <v>1</v>
      </c>
      <c r="L28" s="117">
        <f t="shared" si="1"/>
        <v>5</v>
      </c>
      <c r="M28" s="117">
        <f t="shared" si="2"/>
        <v>20</v>
      </c>
      <c r="N28" s="88"/>
      <c r="O28" s="112"/>
    </row>
    <row r="29" ht="15.0" customHeight="1">
      <c r="A29" s="112"/>
      <c r="B29" s="112"/>
      <c r="C29" s="112"/>
      <c r="D29" s="129" t="s">
        <v>133</v>
      </c>
      <c r="E29" s="114" t="str">
        <f>VLOOKUP(D29,Data!H:I,2,0)</f>
        <v>İstanbul</v>
      </c>
      <c r="F29" s="115" t="s">
        <v>59</v>
      </c>
      <c r="G29" s="116" t="b">
        <v>1</v>
      </c>
      <c r="H29" s="116" t="b">
        <v>1</v>
      </c>
      <c r="I29" s="116" t="b">
        <v>1</v>
      </c>
      <c r="J29" s="116" t="b">
        <v>1</v>
      </c>
      <c r="K29" s="116" t="b">
        <v>1</v>
      </c>
      <c r="L29" s="117">
        <f t="shared" si="1"/>
        <v>5</v>
      </c>
      <c r="M29" s="117">
        <f t="shared" si="2"/>
        <v>20</v>
      </c>
      <c r="N29" s="88"/>
      <c r="O29" s="112"/>
    </row>
    <row r="30" ht="15.0" customHeight="1">
      <c r="A30" s="120"/>
      <c r="B30" s="120"/>
      <c r="C30" s="120"/>
      <c r="D30" s="129" t="s">
        <v>66</v>
      </c>
      <c r="E30" s="114" t="str">
        <f>VLOOKUP(D30,Data!H:I,2,0)</f>
        <v>İstanbul</v>
      </c>
      <c r="F30" s="115" t="s">
        <v>59</v>
      </c>
      <c r="G30" s="116" t="b">
        <v>1</v>
      </c>
      <c r="H30" s="116" t="b">
        <v>1</v>
      </c>
      <c r="I30" s="116" t="b">
        <v>0</v>
      </c>
      <c r="J30" s="116" t="b">
        <v>1</v>
      </c>
      <c r="K30" s="116" t="b">
        <v>0</v>
      </c>
      <c r="L30" s="117">
        <f t="shared" si="1"/>
        <v>3</v>
      </c>
      <c r="M30" s="117">
        <f t="shared" si="2"/>
        <v>12</v>
      </c>
      <c r="N30" s="120"/>
      <c r="O30" s="120"/>
    </row>
    <row r="31" ht="15.0" customHeight="1">
      <c r="A31" s="121"/>
      <c r="B31" s="121"/>
      <c r="C31" s="121"/>
      <c r="D31" s="129" t="s">
        <v>134</v>
      </c>
      <c r="E31" s="114" t="str">
        <f>VLOOKUP(D31,Data!H:I,2,0)</f>
        <v>İstanbul</v>
      </c>
      <c r="F31" s="115" t="s">
        <v>64</v>
      </c>
      <c r="G31" s="116" t="b">
        <v>1</v>
      </c>
      <c r="H31" s="116" t="b">
        <v>0</v>
      </c>
      <c r="I31" s="116" t="b">
        <v>1</v>
      </c>
      <c r="J31" s="116" t="b">
        <v>1</v>
      </c>
      <c r="K31" s="116" t="b">
        <v>1</v>
      </c>
      <c r="L31" s="117">
        <f t="shared" si="1"/>
        <v>4</v>
      </c>
      <c r="M31" s="117">
        <f t="shared" si="2"/>
        <v>16</v>
      </c>
      <c r="N31" s="121"/>
      <c r="O31" s="121"/>
    </row>
    <row r="32" ht="15.0" customHeight="1">
      <c r="A32" s="124"/>
      <c r="B32" s="124"/>
      <c r="C32" s="124"/>
      <c r="D32" s="137" t="s">
        <v>68</v>
      </c>
      <c r="E32" s="114" t="str">
        <f>VLOOKUP(D32,Data!H:I,2,0)</f>
        <v>İstanbul</v>
      </c>
      <c r="F32" s="115" t="s">
        <v>59</v>
      </c>
      <c r="G32" s="116" t="b">
        <v>0</v>
      </c>
      <c r="H32" s="116" t="b">
        <v>0</v>
      </c>
      <c r="I32" s="116" t="b">
        <v>0</v>
      </c>
      <c r="J32" s="116" t="b">
        <v>0</v>
      </c>
      <c r="K32" s="116" t="b">
        <v>0</v>
      </c>
      <c r="L32" s="117">
        <f t="shared" si="1"/>
        <v>0</v>
      </c>
      <c r="M32" s="117">
        <f t="shared" si="2"/>
        <v>0</v>
      </c>
      <c r="N32" s="112"/>
      <c r="O32" s="124"/>
    </row>
    <row r="33" ht="15.0" customHeight="1">
      <c r="A33" s="112"/>
      <c r="B33" s="112"/>
      <c r="C33" s="112"/>
      <c r="D33" s="132" t="s">
        <v>117</v>
      </c>
      <c r="E33" s="114" t="str">
        <f>VLOOKUP(D33,Data!H:I,2,0)</f>
        <v>İstanbul</v>
      </c>
      <c r="F33" s="115" t="s">
        <v>59</v>
      </c>
      <c r="G33" s="116" t="b">
        <v>0</v>
      </c>
      <c r="H33" s="116" t="b">
        <v>1</v>
      </c>
      <c r="I33" s="116" t="b">
        <v>1</v>
      </c>
      <c r="J33" s="116" t="b">
        <v>1</v>
      </c>
      <c r="K33" s="116" t="b">
        <v>0</v>
      </c>
      <c r="L33" s="117">
        <f t="shared" si="1"/>
        <v>3</v>
      </c>
      <c r="M33" s="117">
        <f t="shared" si="2"/>
        <v>12</v>
      </c>
      <c r="N33" s="112"/>
      <c r="O33" s="112"/>
    </row>
    <row r="34" ht="15.0" customHeight="1">
      <c r="A34" s="112"/>
      <c r="B34" s="112"/>
      <c r="C34" s="112"/>
      <c r="D34" s="129" t="s">
        <v>123</v>
      </c>
      <c r="E34" s="114" t="str">
        <f>VLOOKUP(D34,Data!H:I,2,0)</f>
        <v>İstanbul</v>
      </c>
      <c r="F34" s="115" t="s">
        <v>59</v>
      </c>
      <c r="G34" s="116" t="b">
        <v>0</v>
      </c>
      <c r="H34" s="116" t="b">
        <v>0</v>
      </c>
      <c r="I34" s="116" t="b">
        <v>1</v>
      </c>
      <c r="J34" s="116" t="b">
        <v>1</v>
      </c>
      <c r="K34" s="116" t="b">
        <v>1</v>
      </c>
      <c r="L34" s="117">
        <f t="shared" si="1"/>
        <v>3</v>
      </c>
      <c r="M34" s="117">
        <f t="shared" si="2"/>
        <v>12</v>
      </c>
      <c r="N34" s="112"/>
      <c r="O34" s="112"/>
    </row>
    <row r="35" ht="15.0" customHeight="1">
      <c r="A35" s="112"/>
      <c r="B35" s="112"/>
      <c r="C35" s="112"/>
      <c r="D35" s="129" t="s">
        <v>135</v>
      </c>
      <c r="E35" s="114" t="str">
        <f>VLOOKUP(D35,Data!H:I,2,0)</f>
        <v>İstanbul</v>
      </c>
      <c r="F35" s="115" t="s">
        <v>59</v>
      </c>
      <c r="G35" s="116" t="b">
        <v>0</v>
      </c>
      <c r="H35" s="116" t="b">
        <v>0</v>
      </c>
      <c r="I35" s="116" t="b">
        <v>1</v>
      </c>
      <c r="J35" s="116" t="b">
        <v>1</v>
      </c>
      <c r="K35" s="116" t="b">
        <v>1</v>
      </c>
      <c r="L35" s="117">
        <f t="shared" si="1"/>
        <v>3</v>
      </c>
      <c r="M35" s="117">
        <f t="shared" si="2"/>
        <v>12</v>
      </c>
      <c r="N35" s="112"/>
      <c r="O35" s="112"/>
    </row>
    <row r="36" ht="15.0" customHeight="1">
      <c r="A36" s="112"/>
      <c r="B36" s="112"/>
      <c r="C36" s="112"/>
      <c r="D36" s="129" t="s">
        <v>70</v>
      </c>
      <c r="E36" s="114" t="str">
        <f>VLOOKUP(D36,Data!H:I,2,0)</f>
        <v>İstanbul</v>
      </c>
      <c r="F36" s="115" t="s">
        <v>59</v>
      </c>
      <c r="G36" s="116" t="b">
        <v>0</v>
      </c>
      <c r="H36" s="116" t="b">
        <v>0</v>
      </c>
      <c r="I36" s="116" t="b">
        <v>0</v>
      </c>
      <c r="J36" s="116" t="b">
        <v>1</v>
      </c>
      <c r="K36" s="116" t="b">
        <v>0</v>
      </c>
      <c r="L36" s="117">
        <f t="shared" si="1"/>
        <v>1</v>
      </c>
      <c r="M36" s="117">
        <f t="shared" si="2"/>
        <v>4</v>
      </c>
      <c r="N36" s="112"/>
      <c r="O36" s="112"/>
    </row>
    <row r="37" ht="15.0" customHeight="1">
      <c r="A37" s="112"/>
      <c r="B37" s="112"/>
      <c r="C37" s="112"/>
      <c r="D37" s="132" t="s">
        <v>67</v>
      </c>
      <c r="E37" s="114" t="str">
        <f>VLOOKUP(D37,Data!H:I,2,0)</f>
        <v>İstanbul</v>
      </c>
      <c r="F37" s="115" t="s">
        <v>64</v>
      </c>
      <c r="G37" s="116" t="b">
        <v>0</v>
      </c>
      <c r="H37" s="116" t="b">
        <v>0</v>
      </c>
      <c r="I37" s="116" t="b">
        <v>0</v>
      </c>
      <c r="J37" s="116" t="b">
        <v>0</v>
      </c>
      <c r="K37" s="116" t="b">
        <v>0</v>
      </c>
      <c r="L37" s="117">
        <f t="shared" si="1"/>
        <v>0</v>
      </c>
      <c r="M37" s="117">
        <f t="shared" si="2"/>
        <v>0</v>
      </c>
      <c r="N37" s="112"/>
      <c r="O37" s="112"/>
    </row>
    <row r="38" ht="15.0" customHeight="1">
      <c r="A38" s="112"/>
      <c r="B38" s="112"/>
      <c r="C38" s="112"/>
      <c r="D38" s="132" t="s">
        <v>71</v>
      </c>
      <c r="E38" s="114" t="str">
        <f>VLOOKUP(D38,Data!H:I,2,0)</f>
        <v>İstanbul</v>
      </c>
      <c r="F38" s="115" t="s">
        <v>64</v>
      </c>
      <c r="G38" s="116" t="b">
        <v>1</v>
      </c>
      <c r="H38" s="116" t="b">
        <v>1</v>
      </c>
      <c r="I38" s="116" t="b">
        <v>1</v>
      </c>
      <c r="J38" s="116" t="b">
        <v>1</v>
      </c>
      <c r="K38" s="116" t="b">
        <v>1</v>
      </c>
      <c r="L38" s="117">
        <f t="shared" si="1"/>
        <v>5</v>
      </c>
      <c r="M38" s="117">
        <f t="shared" si="2"/>
        <v>20</v>
      </c>
      <c r="N38" s="112"/>
      <c r="O38" s="112"/>
    </row>
    <row r="39" ht="15.0" customHeight="1">
      <c r="A39" s="112"/>
      <c r="B39" s="112"/>
      <c r="C39" s="112"/>
      <c r="D39" s="132" t="s">
        <v>72</v>
      </c>
      <c r="E39" s="114" t="str">
        <f>VLOOKUP(D39,Data!H:I,2,0)</f>
        <v>İstanbul</v>
      </c>
      <c r="F39" s="115" t="s">
        <v>64</v>
      </c>
      <c r="G39" s="116" t="b">
        <v>1</v>
      </c>
      <c r="H39" s="116" t="b">
        <v>1</v>
      </c>
      <c r="I39" s="116" t="b">
        <v>1</v>
      </c>
      <c r="J39" s="116" t="b">
        <v>1</v>
      </c>
      <c r="K39" s="116" t="b">
        <v>1</v>
      </c>
      <c r="L39" s="117">
        <f t="shared" si="1"/>
        <v>5</v>
      </c>
      <c r="M39" s="117">
        <f t="shared" si="2"/>
        <v>20</v>
      </c>
      <c r="N39" s="120"/>
      <c r="O39" s="112"/>
    </row>
    <row r="40" ht="15.0" customHeight="1">
      <c r="A40" s="112"/>
      <c r="B40" s="112"/>
      <c r="C40" s="112"/>
      <c r="D40" s="129" t="s">
        <v>75</v>
      </c>
      <c r="E40" s="114" t="str">
        <f>VLOOKUP(D40,Data!H:I,2,0)</f>
        <v>İstanbul</v>
      </c>
      <c r="F40" s="115" t="s">
        <v>59</v>
      </c>
      <c r="G40" s="116" t="b">
        <v>1</v>
      </c>
      <c r="H40" s="116" t="b">
        <v>1</v>
      </c>
      <c r="I40" s="116" t="b">
        <v>1</v>
      </c>
      <c r="J40" s="116" t="b">
        <v>0</v>
      </c>
      <c r="K40" s="116" t="b">
        <v>0</v>
      </c>
      <c r="L40" s="117">
        <f t="shared" si="1"/>
        <v>3</v>
      </c>
      <c r="M40" s="117">
        <f t="shared" si="2"/>
        <v>12</v>
      </c>
      <c r="N40" s="121"/>
      <c r="O40" s="112"/>
    </row>
    <row r="41" ht="15.0" customHeight="1">
      <c r="A41" s="125"/>
      <c r="B41" s="125"/>
      <c r="C41" s="125"/>
      <c r="D41" s="129" t="s">
        <v>77</v>
      </c>
      <c r="E41" s="114" t="str">
        <f>VLOOKUP(D41,Data!H:I,2,0)</f>
        <v>İstanbul</v>
      </c>
      <c r="F41" s="115" t="s">
        <v>59</v>
      </c>
      <c r="G41" s="116" t="b">
        <v>0</v>
      </c>
      <c r="H41" s="116" t="b">
        <v>1</v>
      </c>
      <c r="I41" s="116" t="b">
        <v>1</v>
      </c>
      <c r="J41" s="116" t="b">
        <v>0</v>
      </c>
      <c r="K41" s="116" t="b">
        <v>0</v>
      </c>
      <c r="L41" s="117">
        <f t="shared" si="1"/>
        <v>2</v>
      </c>
      <c r="M41" s="117">
        <f t="shared" si="2"/>
        <v>8</v>
      </c>
      <c r="N41" s="124"/>
      <c r="O41" s="125"/>
    </row>
    <row r="42" ht="15.0" customHeight="1">
      <c r="A42" s="122"/>
      <c r="B42" s="122"/>
      <c r="C42" s="122"/>
      <c r="D42" s="129" t="s">
        <v>78</v>
      </c>
      <c r="E42" s="114" t="str">
        <f>VLOOKUP(D42,Data!H:I,2,0)</f>
        <v>İstanbul</v>
      </c>
      <c r="F42" s="115" t="s">
        <v>59</v>
      </c>
      <c r="G42" s="116" t="b">
        <v>1</v>
      </c>
      <c r="H42" s="116" t="b">
        <v>1</v>
      </c>
      <c r="I42" s="116" t="b">
        <v>1</v>
      </c>
      <c r="J42" s="116" t="b">
        <v>1</v>
      </c>
      <c r="K42" s="116" t="b">
        <v>1</v>
      </c>
      <c r="L42" s="117">
        <f t="shared" si="1"/>
        <v>5</v>
      </c>
      <c r="M42" s="117">
        <f t="shared" si="2"/>
        <v>20</v>
      </c>
      <c r="N42" s="112"/>
      <c r="O42" s="122"/>
    </row>
    <row r="43" ht="15.0" customHeight="1">
      <c r="A43" s="124"/>
      <c r="B43" s="124"/>
      <c r="C43" s="124"/>
      <c r="D43" s="129" t="s">
        <v>79</v>
      </c>
      <c r="E43" s="114" t="str">
        <f>VLOOKUP(D43,Data!H:I,2,0)</f>
        <v>İstanbul</v>
      </c>
      <c r="F43" s="115" t="s">
        <v>59</v>
      </c>
      <c r="G43" s="116" t="b">
        <v>0</v>
      </c>
      <c r="H43" s="116" t="b">
        <v>0</v>
      </c>
      <c r="I43" s="116" t="b">
        <v>0</v>
      </c>
      <c r="J43" s="116" t="b">
        <v>1</v>
      </c>
      <c r="K43" s="116" t="b">
        <v>1</v>
      </c>
      <c r="L43" s="117">
        <f t="shared" si="1"/>
        <v>2</v>
      </c>
      <c r="M43" s="117">
        <f t="shared" si="2"/>
        <v>8</v>
      </c>
      <c r="N43" s="112"/>
      <c r="O43" s="124"/>
    </row>
    <row r="44" ht="15.0" customHeight="1">
      <c r="A44" s="112"/>
      <c r="B44" s="112"/>
      <c r="C44" s="112"/>
      <c r="D44" s="129" t="s">
        <v>136</v>
      </c>
      <c r="E44" s="114" t="str">
        <f>VLOOKUP(D44,Data!H:I,2,0)</f>
        <v>İstanbul</v>
      </c>
      <c r="F44" s="115" t="s">
        <v>64</v>
      </c>
      <c r="G44" s="116" t="b">
        <v>0</v>
      </c>
      <c r="H44" s="116" t="b">
        <v>1</v>
      </c>
      <c r="I44" s="116" t="b">
        <v>1</v>
      </c>
      <c r="J44" s="116" t="b">
        <v>1</v>
      </c>
      <c r="K44" s="116" t="b">
        <v>1</v>
      </c>
      <c r="L44" s="117">
        <f t="shared" si="1"/>
        <v>4</v>
      </c>
      <c r="M44" s="117">
        <f t="shared" si="2"/>
        <v>16</v>
      </c>
      <c r="N44" s="124"/>
      <c r="O44" s="112"/>
    </row>
    <row r="45" ht="15.0" customHeight="1">
      <c r="A45" s="112"/>
      <c r="B45" s="112"/>
      <c r="C45" s="112"/>
      <c r="D45" s="141" t="s">
        <v>125</v>
      </c>
      <c r="E45" s="114" t="str">
        <f>VLOOKUP(D45,Data!H:I,2,0)</f>
        <v>İstanbul</v>
      </c>
      <c r="F45" s="115" t="s">
        <v>64</v>
      </c>
      <c r="G45" s="116" t="b">
        <v>1</v>
      </c>
      <c r="H45" s="116" t="b">
        <v>1</v>
      </c>
      <c r="I45" s="116" t="b">
        <v>1</v>
      </c>
      <c r="J45" s="116" t="b">
        <v>1</v>
      </c>
      <c r="K45" s="116" t="b">
        <v>1</v>
      </c>
      <c r="L45" s="117">
        <f t="shared" si="1"/>
        <v>5</v>
      </c>
      <c r="M45" s="117">
        <f t="shared" si="2"/>
        <v>20</v>
      </c>
      <c r="N45" s="124"/>
      <c r="O45" s="112"/>
    </row>
    <row r="46" ht="15.0" customHeight="1">
      <c r="A46" s="112"/>
      <c r="B46" s="112"/>
      <c r="C46" s="112"/>
      <c r="D46" s="129" t="s">
        <v>80</v>
      </c>
      <c r="E46" s="114" t="str">
        <f>VLOOKUP(D46,Data!H:I,2,0)</f>
        <v>İstanbul</v>
      </c>
      <c r="F46" s="115" t="s">
        <v>59</v>
      </c>
      <c r="G46" s="116" t="b">
        <v>0</v>
      </c>
      <c r="H46" s="116" t="b">
        <v>0</v>
      </c>
      <c r="I46" s="116" t="b">
        <v>0</v>
      </c>
      <c r="J46" s="116" t="b">
        <v>0</v>
      </c>
      <c r="K46" s="116" t="b">
        <v>0</v>
      </c>
      <c r="L46" s="117">
        <f t="shared" si="1"/>
        <v>0</v>
      </c>
      <c r="M46" s="117">
        <f t="shared" si="2"/>
        <v>0</v>
      </c>
      <c r="N46" s="112"/>
      <c r="O46" s="112"/>
    </row>
    <row r="47" ht="15.0" customHeight="1">
      <c r="A47" s="112"/>
      <c r="B47" s="112"/>
      <c r="C47" s="112"/>
      <c r="D47" s="132" t="s">
        <v>119</v>
      </c>
      <c r="E47" s="114" t="str">
        <f>VLOOKUP(D47,Data!H:I,2,0)</f>
        <v>İstanbul</v>
      </c>
      <c r="F47" s="115" t="s">
        <v>64</v>
      </c>
      <c r="G47" s="116" t="b">
        <v>1</v>
      </c>
      <c r="H47" s="116" t="b">
        <v>1</v>
      </c>
      <c r="I47" s="116" t="b">
        <v>1</v>
      </c>
      <c r="J47" s="116" t="b">
        <v>1</v>
      </c>
      <c r="K47" s="116" t="b">
        <v>0</v>
      </c>
      <c r="L47" s="117">
        <f t="shared" si="1"/>
        <v>4</v>
      </c>
      <c r="M47" s="117">
        <f t="shared" si="2"/>
        <v>16</v>
      </c>
      <c r="N47" s="112"/>
      <c r="O47" s="112"/>
    </row>
    <row r="48" ht="15.0" customHeight="1">
      <c r="A48" s="112"/>
      <c r="B48" s="112"/>
      <c r="C48" s="112"/>
      <c r="D48" s="132" t="s">
        <v>85</v>
      </c>
      <c r="E48" s="114" t="str">
        <f>VLOOKUP(D48,Data!H:I,2,0)</f>
        <v>İstanbul</v>
      </c>
      <c r="F48" s="115" t="s">
        <v>64</v>
      </c>
      <c r="G48" s="116" t="b">
        <v>0</v>
      </c>
      <c r="H48" s="116" t="b">
        <v>0</v>
      </c>
      <c r="I48" s="116" t="b">
        <v>0</v>
      </c>
      <c r="J48" s="116" t="b">
        <v>0</v>
      </c>
      <c r="K48" s="116" t="b">
        <v>0</v>
      </c>
      <c r="L48" s="117">
        <f t="shared" si="1"/>
        <v>0</v>
      </c>
      <c r="M48" s="117">
        <f t="shared" si="2"/>
        <v>0</v>
      </c>
      <c r="N48" s="112"/>
      <c r="O48" s="112"/>
    </row>
    <row r="49" ht="15.0" customHeight="1">
      <c r="A49" s="112"/>
      <c r="B49" s="112"/>
      <c r="C49" s="112"/>
      <c r="D49" s="129" t="s">
        <v>81</v>
      </c>
      <c r="E49" s="114" t="str">
        <f>VLOOKUP(D49,Data!H:I,2,0)</f>
        <v>İstanbul</v>
      </c>
      <c r="F49" s="115" t="s">
        <v>59</v>
      </c>
      <c r="G49" s="116" t="b">
        <v>1</v>
      </c>
      <c r="H49" s="116" t="b">
        <v>1</v>
      </c>
      <c r="I49" s="116" t="b">
        <v>1</v>
      </c>
      <c r="J49" s="116" t="b">
        <v>1</v>
      </c>
      <c r="K49" s="116" t="b">
        <v>1</v>
      </c>
      <c r="L49" s="117">
        <f t="shared" si="1"/>
        <v>5</v>
      </c>
      <c r="M49" s="117">
        <f t="shared" si="2"/>
        <v>20</v>
      </c>
      <c r="N49" s="125"/>
      <c r="O49" s="112"/>
    </row>
    <row r="50" ht="15.0" customHeight="1">
      <c r="A50" s="112"/>
      <c r="B50" s="112"/>
      <c r="C50" s="112"/>
      <c r="D50" s="132" t="s">
        <v>89</v>
      </c>
      <c r="E50" s="114" t="str">
        <f>VLOOKUP(D50,Data!H:I,2,0)</f>
        <v>İstanbul</v>
      </c>
      <c r="F50" s="115" t="s">
        <v>64</v>
      </c>
      <c r="G50" s="116" t="b">
        <v>0</v>
      </c>
      <c r="H50" s="116" t="b">
        <v>0</v>
      </c>
      <c r="I50" s="116" t="b">
        <v>0</v>
      </c>
      <c r="J50" s="116" t="b">
        <v>0</v>
      </c>
      <c r="K50" s="116" t="b">
        <v>0</v>
      </c>
      <c r="L50" s="117">
        <f t="shared" si="1"/>
        <v>0</v>
      </c>
      <c r="M50" s="117">
        <f t="shared" si="2"/>
        <v>0</v>
      </c>
      <c r="N50" s="122"/>
      <c r="O50" s="112"/>
    </row>
    <row r="51" ht="15.0" customHeight="1">
      <c r="A51" s="112"/>
      <c r="B51" s="112"/>
      <c r="C51" s="112"/>
      <c r="D51" s="132" t="s">
        <v>83</v>
      </c>
      <c r="E51" s="114" t="str">
        <f>VLOOKUP(D51,Data!H:I,2,0)</f>
        <v>İstanbul</v>
      </c>
      <c r="F51" s="115" t="s">
        <v>61</v>
      </c>
      <c r="G51" s="116" t="b">
        <v>1</v>
      </c>
      <c r="H51" s="116" t="b">
        <v>1</v>
      </c>
      <c r="I51" s="116" t="b">
        <v>1</v>
      </c>
      <c r="J51" s="116" t="b">
        <v>1</v>
      </c>
      <c r="K51" s="116" t="b">
        <v>1</v>
      </c>
      <c r="L51" s="117">
        <f t="shared" si="1"/>
        <v>5</v>
      </c>
      <c r="M51" s="117">
        <f t="shared" si="2"/>
        <v>20</v>
      </c>
      <c r="N51" s="112"/>
      <c r="O51" s="112"/>
    </row>
    <row r="52" ht="15.0" customHeight="1">
      <c r="A52" s="112"/>
      <c r="B52" s="112"/>
      <c r="C52" s="112"/>
      <c r="D52" s="129" t="s">
        <v>137</v>
      </c>
      <c r="E52" s="114" t="str">
        <f>VLOOKUP(D52,Data!H:I,2,0)</f>
        <v>İstanbul</v>
      </c>
      <c r="F52" s="115" t="s">
        <v>61</v>
      </c>
      <c r="G52" s="116" t="b">
        <v>1</v>
      </c>
      <c r="H52" s="116" t="b">
        <v>1</v>
      </c>
      <c r="I52" s="116" t="b">
        <v>1</v>
      </c>
      <c r="J52" s="116" t="b">
        <v>1</v>
      </c>
      <c r="K52" s="116" t="b">
        <v>1</v>
      </c>
      <c r="L52" s="117">
        <f t="shared" si="1"/>
        <v>5</v>
      </c>
      <c r="M52" s="117">
        <f t="shared" si="2"/>
        <v>20</v>
      </c>
      <c r="N52" s="112"/>
      <c r="O52" s="112"/>
    </row>
    <row r="53" ht="15.0" customHeight="1">
      <c r="A53" s="125"/>
      <c r="B53" s="125"/>
      <c r="C53" s="125"/>
      <c r="D53" s="129" t="s">
        <v>138</v>
      </c>
      <c r="E53" s="114" t="str">
        <f>VLOOKUP(D53,Data!H:I,2,0)</f>
        <v>İstanbul</v>
      </c>
      <c r="F53" s="115" t="s">
        <v>64</v>
      </c>
      <c r="G53" s="116" t="b">
        <v>1</v>
      </c>
      <c r="H53" s="116" t="b">
        <v>1</v>
      </c>
      <c r="I53" s="116" t="b">
        <v>1</v>
      </c>
      <c r="J53" s="116" t="b">
        <v>1</v>
      </c>
      <c r="K53" s="116" t="b">
        <v>1</v>
      </c>
      <c r="L53" s="117">
        <f t="shared" si="1"/>
        <v>5</v>
      </c>
      <c r="M53" s="117">
        <f t="shared" si="2"/>
        <v>20</v>
      </c>
      <c r="N53" s="112"/>
      <c r="O53" s="125"/>
    </row>
    <row r="54" ht="15.0" customHeight="1">
      <c r="A54" s="126"/>
      <c r="B54" s="126"/>
      <c r="C54" s="126"/>
      <c r="D54" s="129" t="s">
        <v>86</v>
      </c>
      <c r="E54" s="114" t="str">
        <f>VLOOKUP(D54,Data!H:I,2,0)</f>
        <v>İstanbul</v>
      </c>
      <c r="F54" s="115" t="s">
        <v>59</v>
      </c>
      <c r="G54" s="116" t="b">
        <v>0</v>
      </c>
      <c r="H54" s="116" t="b">
        <v>0</v>
      </c>
      <c r="I54" s="116" t="b">
        <v>0</v>
      </c>
      <c r="J54" s="116" t="b">
        <v>0</v>
      </c>
      <c r="K54" s="116" t="b">
        <v>0</v>
      </c>
      <c r="L54" s="117">
        <f t="shared" si="1"/>
        <v>0</v>
      </c>
      <c r="M54" s="117">
        <f t="shared" si="2"/>
        <v>0</v>
      </c>
      <c r="N54" s="112"/>
      <c r="O54" s="126"/>
    </row>
    <row r="55" ht="15.0" customHeight="1">
      <c r="A55" s="122"/>
      <c r="B55" s="122"/>
      <c r="C55" s="122"/>
      <c r="D55" s="129" t="s">
        <v>87</v>
      </c>
      <c r="E55" s="114" t="str">
        <f>VLOOKUP(D55,Data!H:I,2,0)</f>
        <v>İstanbul</v>
      </c>
      <c r="F55" s="115" t="s">
        <v>59</v>
      </c>
      <c r="G55" s="116" t="b">
        <v>0</v>
      </c>
      <c r="H55" s="116" t="b">
        <v>1</v>
      </c>
      <c r="I55" s="116" t="b">
        <v>1</v>
      </c>
      <c r="J55" s="116" t="b">
        <v>0</v>
      </c>
      <c r="K55" s="116" t="b">
        <v>1</v>
      </c>
      <c r="L55" s="117">
        <f t="shared" si="1"/>
        <v>3</v>
      </c>
      <c r="M55" s="117">
        <f t="shared" si="2"/>
        <v>12</v>
      </c>
      <c r="N55" s="112"/>
      <c r="O55" s="122"/>
    </row>
    <row r="56" ht="15.0" customHeight="1">
      <c r="A56" s="112"/>
      <c r="B56" s="112"/>
      <c r="C56" s="112"/>
      <c r="D56" s="132" t="s">
        <v>88</v>
      </c>
      <c r="E56" s="114" t="str">
        <f>VLOOKUP(D56,Data!H:I,2,0)</f>
        <v>İstanbul</v>
      </c>
      <c r="F56" s="115" t="s">
        <v>61</v>
      </c>
      <c r="G56" s="116" t="b">
        <v>1</v>
      </c>
      <c r="H56" s="116" t="b">
        <v>1</v>
      </c>
      <c r="I56" s="116" t="b">
        <v>1</v>
      </c>
      <c r="J56" s="116" t="b">
        <v>1</v>
      </c>
      <c r="K56" s="116" t="b">
        <v>1</v>
      </c>
      <c r="L56" s="117">
        <f t="shared" si="1"/>
        <v>5</v>
      </c>
      <c r="M56" s="117">
        <f t="shared" si="2"/>
        <v>20</v>
      </c>
      <c r="N56" s="112"/>
      <c r="O56" s="112"/>
    </row>
    <row r="57" ht="15.0" customHeight="1">
      <c r="A57" s="112"/>
      <c r="B57" s="112"/>
      <c r="C57" s="112"/>
      <c r="D57" s="129" t="s">
        <v>127</v>
      </c>
      <c r="E57" s="114" t="str">
        <f>VLOOKUP(D57,Data!H:I,2,0)</f>
        <v>İstanbul</v>
      </c>
      <c r="F57" s="115" t="s">
        <v>64</v>
      </c>
      <c r="G57" s="116" t="b">
        <v>0</v>
      </c>
      <c r="H57" s="116" t="b">
        <v>1</v>
      </c>
      <c r="I57" s="116" t="b">
        <v>1</v>
      </c>
      <c r="J57" s="116" t="b">
        <v>0</v>
      </c>
      <c r="K57" s="116" t="b">
        <v>1</v>
      </c>
      <c r="L57" s="117">
        <f t="shared" si="1"/>
        <v>3</v>
      </c>
      <c r="M57" s="117">
        <f t="shared" si="2"/>
        <v>12</v>
      </c>
      <c r="N57" s="112"/>
      <c r="O57" s="112"/>
    </row>
    <row r="58" ht="15.0" customHeight="1">
      <c r="A58" s="112"/>
      <c r="B58" s="112"/>
      <c r="C58" s="112"/>
      <c r="D58" s="132" t="s">
        <v>92</v>
      </c>
      <c r="E58" s="114" t="str">
        <f>VLOOKUP(D58,Data!H:I,2,0)</f>
        <v>İzmir</v>
      </c>
      <c r="F58" s="115" t="s">
        <v>61</v>
      </c>
      <c r="G58" s="116" t="b">
        <v>1</v>
      </c>
      <c r="H58" s="116" t="b">
        <v>1</v>
      </c>
      <c r="I58" s="116" t="b">
        <v>1</v>
      </c>
      <c r="J58" s="116" t="b">
        <v>1</v>
      </c>
      <c r="K58" s="116" t="b">
        <v>1</v>
      </c>
      <c r="L58" s="117">
        <f t="shared" si="1"/>
        <v>5</v>
      </c>
      <c r="M58" s="117">
        <f t="shared" si="2"/>
        <v>20</v>
      </c>
      <c r="N58" s="125"/>
      <c r="O58" s="112"/>
    </row>
    <row r="59" ht="15.0" customHeight="1">
      <c r="A59" s="112"/>
      <c r="B59" s="112"/>
      <c r="C59" s="112"/>
      <c r="D59" s="129" t="s">
        <v>139</v>
      </c>
      <c r="E59" s="114" t="s">
        <v>129</v>
      </c>
      <c r="F59" s="115" t="s">
        <v>61</v>
      </c>
      <c r="G59" s="116" t="b">
        <v>1</v>
      </c>
      <c r="H59" s="116" t="b">
        <v>1</v>
      </c>
      <c r="I59" s="116" t="b">
        <v>1</v>
      </c>
      <c r="J59" s="116" t="b">
        <v>1</v>
      </c>
      <c r="K59" s="116" t="b">
        <v>1</v>
      </c>
      <c r="L59" s="117">
        <f t="shared" si="1"/>
        <v>5</v>
      </c>
      <c r="M59" s="117">
        <f t="shared" si="2"/>
        <v>20</v>
      </c>
      <c r="N59" s="125"/>
      <c r="O59" s="112"/>
    </row>
    <row r="60" ht="15.0" customHeight="1">
      <c r="A60" s="112"/>
      <c r="B60" s="112"/>
      <c r="C60" s="112"/>
      <c r="D60" s="129" t="s">
        <v>93</v>
      </c>
      <c r="E60" s="114" t="str">
        <f>VLOOKUP(D60,Data!H:I,2,0)</f>
        <v>İzmir</v>
      </c>
      <c r="F60" s="115" t="s">
        <v>59</v>
      </c>
      <c r="G60" s="116" t="b">
        <v>1</v>
      </c>
      <c r="H60" s="116" t="b">
        <v>1</v>
      </c>
      <c r="I60" s="116" t="b">
        <v>1</v>
      </c>
      <c r="J60" s="116" t="b">
        <v>0</v>
      </c>
      <c r="K60" s="116" t="b">
        <v>0</v>
      </c>
      <c r="L60" s="117">
        <f t="shared" si="1"/>
        <v>3</v>
      </c>
      <c r="M60" s="117">
        <f t="shared" si="2"/>
        <v>12</v>
      </c>
      <c r="N60" s="112"/>
      <c r="O60" s="112"/>
    </row>
    <row r="61" ht="15.0" customHeight="1">
      <c r="A61" s="112"/>
      <c r="B61" s="112"/>
      <c r="C61" s="112"/>
      <c r="D61" s="132" t="s">
        <v>96</v>
      </c>
      <c r="E61" s="114" t="str">
        <f>VLOOKUP(D61,Data!H:I,2,0)</f>
        <v>Kocaeli</v>
      </c>
      <c r="F61" s="127" t="s">
        <v>61</v>
      </c>
      <c r="G61" s="116" t="b">
        <v>0</v>
      </c>
      <c r="H61" s="116" t="b">
        <v>0</v>
      </c>
      <c r="I61" s="116" t="b">
        <v>0</v>
      </c>
      <c r="J61" s="116" t="b">
        <v>0</v>
      </c>
      <c r="K61" s="116" t="b">
        <v>0</v>
      </c>
      <c r="L61" s="117">
        <f t="shared" si="1"/>
        <v>0</v>
      </c>
      <c r="M61" s="117">
        <f t="shared" si="2"/>
        <v>0</v>
      </c>
      <c r="N61" s="112"/>
      <c r="O61" s="112"/>
    </row>
    <row r="62" ht="15.0" customHeight="1">
      <c r="A62" s="112"/>
      <c r="B62" s="112"/>
      <c r="C62" s="112"/>
      <c r="D62" s="132" t="s">
        <v>97</v>
      </c>
      <c r="E62" s="114" t="str">
        <f>VLOOKUP(D62,Data!H:I,2,0)</f>
        <v>Konya</v>
      </c>
      <c r="F62" s="127" t="s">
        <v>61</v>
      </c>
      <c r="G62" s="116" t="b">
        <v>1</v>
      </c>
      <c r="H62" s="116" t="b">
        <v>1</v>
      </c>
      <c r="I62" s="116" t="b">
        <v>1</v>
      </c>
      <c r="J62" s="116" t="b">
        <v>1</v>
      </c>
      <c r="K62" s="116" t="b">
        <v>0</v>
      </c>
      <c r="L62" s="117">
        <f t="shared" si="1"/>
        <v>4</v>
      </c>
      <c r="M62" s="117">
        <f t="shared" si="2"/>
        <v>16</v>
      </c>
      <c r="N62" s="112"/>
      <c r="O62" s="112"/>
    </row>
    <row r="63" ht="15.0" customHeight="1">
      <c r="A63" s="112"/>
      <c r="B63" s="112"/>
      <c r="C63" s="112"/>
      <c r="D63" s="132" t="s">
        <v>98</v>
      </c>
      <c r="E63" s="114" t="str">
        <f>VLOOKUP(D63,Data!H:I,2,0)</f>
        <v>Manisa</v>
      </c>
      <c r="F63" s="127" t="s">
        <v>61</v>
      </c>
      <c r="G63" s="116" t="b">
        <v>0</v>
      </c>
      <c r="H63" s="116" t="b">
        <v>0</v>
      </c>
      <c r="I63" s="116" t="b">
        <v>0</v>
      </c>
      <c r="J63" s="116" t="b">
        <v>0</v>
      </c>
      <c r="K63" s="116" t="b">
        <v>0</v>
      </c>
      <c r="L63" s="117">
        <f t="shared" si="1"/>
        <v>0</v>
      </c>
      <c r="M63" s="117">
        <f t="shared" si="2"/>
        <v>0</v>
      </c>
      <c r="N63" s="142"/>
      <c r="O63" s="112"/>
    </row>
    <row r="64" ht="15.0" customHeight="1">
      <c r="A64" s="112"/>
      <c r="B64" s="112"/>
      <c r="C64" s="112"/>
      <c r="D64" s="132" t="s">
        <v>99</v>
      </c>
      <c r="E64" s="114" t="str">
        <f>VLOOKUP(D64,Data!H:I,2,0)</f>
        <v>Mersin</v>
      </c>
      <c r="F64" s="127" t="s">
        <v>61</v>
      </c>
      <c r="G64" s="116" t="b">
        <v>1</v>
      </c>
      <c r="H64" s="116" t="b">
        <v>0</v>
      </c>
      <c r="I64" s="116" t="b">
        <v>0</v>
      </c>
      <c r="J64" s="116" t="b">
        <v>1</v>
      </c>
      <c r="K64" s="116" t="b">
        <v>0</v>
      </c>
      <c r="L64" s="117">
        <f t="shared" si="1"/>
        <v>2</v>
      </c>
      <c r="M64" s="117">
        <f t="shared" si="2"/>
        <v>8</v>
      </c>
      <c r="N64" s="106"/>
      <c r="O64" s="112"/>
    </row>
    <row r="65" ht="15.0" customHeight="1">
      <c r="A65" s="112"/>
      <c r="B65" s="112"/>
      <c r="C65" s="112"/>
      <c r="D65" s="132" t="s">
        <v>101</v>
      </c>
      <c r="E65" s="114" t="str">
        <f>VLOOKUP(D65,Data!H:I,2,0)</f>
        <v>Samsun</v>
      </c>
      <c r="F65" s="127" t="s">
        <v>61</v>
      </c>
      <c r="G65" s="139" t="b">
        <v>0</v>
      </c>
      <c r="H65" s="139" t="b">
        <v>0</v>
      </c>
      <c r="I65" s="139" t="b">
        <v>0</v>
      </c>
      <c r="J65" s="139" t="b">
        <v>0</v>
      </c>
      <c r="K65" s="139" t="b">
        <v>0</v>
      </c>
      <c r="L65" s="117">
        <f t="shared" si="1"/>
        <v>0</v>
      </c>
      <c r="M65" s="117">
        <f t="shared" si="2"/>
        <v>0</v>
      </c>
      <c r="N65" s="112"/>
      <c r="O65" s="112"/>
    </row>
    <row r="66" ht="15.0" customHeight="1">
      <c r="A66" s="112"/>
      <c r="B66" s="112"/>
      <c r="C66" s="112"/>
      <c r="D66" s="129" t="s">
        <v>104</v>
      </c>
      <c r="E66" s="114" t="str">
        <f>VLOOKUP(D66,Data!H:I,2,0)</f>
        <v>Tekirdağ</v>
      </c>
      <c r="F66" s="127" t="s">
        <v>59</v>
      </c>
      <c r="G66" s="139" t="b">
        <v>0</v>
      </c>
      <c r="H66" s="139" t="b">
        <v>0</v>
      </c>
      <c r="I66" s="139" t="b">
        <v>0</v>
      </c>
      <c r="J66" s="139" t="b">
        <v>0</v>
      </c>
      <c r="K66" s="139" t="b">
        <v>0</v>
      </c>
      <c r="L66" s="117">
        <f t="shared" si="1"/>
        <v>0</v>
      </c>
      <c r="M66" s="117">
        <f t="shared" si="2"/>
        <v>0</v>
      </c>
      <c r="N66" s="112"/>
      <c r="O66" s="112"/>
    </row>
    <row r="67" ht="15.0" customHeight="1">
      <c r="A67" s="112"/>
      <c r="B67" s="112"/>
      <c r="C67" s="112"/>
      <c r="D67" s="132"/>
      <c r="E67" s="132"/>
      <c r="F67" s="132"/>
      <c r="G67" s="117">
        <f>4*(COUNTIF(G14:G66,"true"))</f>
        <v>116</v>
      </c>
      <c r="H67" s="117">
        <f t="shared" ref="H67:I67" si="3">4*(COUNTIF(H14:H66,"true"))+6</f>
        <v>138</v>
      </c>
      <c r="I67" s="117">
        <f t="shared" si="3"/>
        <v>138</v>
      </c>
      <c r="J67" s="117">
        <f t="shared" ref="J67:K67" si="4">4*(COUNTIF(J14:J66,"true"))+9</f>
        <v>145</v>
      </c>
      <c r="K67" s="117">
        <f t="shared" si="4"/>
        <v>125</v>
      </c>
      <c r="L67" s="135"/>
      <c r="M67" s="135">
        <f>SUM(M15:M66)</f>
        <v>632</v>
      </c>
      <c r="N67" s="112"/>
      <c r="O67" s="112"/>
    </row>
  </sheetData>
  <customSheetViews>
    <customSheetView guid="{90E1DF85-7252-44D2-BA7D-CC3767CD0E8B}" filter="1" showAutoFilter="1">
      <autoFilter ref="$A$14:$O$67">
        <filterColumn colId="4">
          <filters>
            <filter val="Samsun"/>
          </filters>
        </filterColumn>
      </autoFilter>
    </customSheetView>
    <customSheetView guid="{70B995D3-3AEB-4DFE-A0CA-D6FFCCE596BC}" filter="1" showAutoFilter="1">
      <autoFilter ref="$D$14:$D$66"/>
    </customSheetView>
  </customSheetViews>
  <mergeCells count="4">
    <mergeCell ref="D6:K6"/>
    <mergeCell ref="D7:F7"/>
    <mergeCell ref="D9:D12"/>
    <mergeCell ref="F10:M11"/>
  </mergeCells>
  <conditionalFormatting sqref="G15:K66">
    <cfRule type="cellIs" dxfId="1" priority="1" operator="equal">
      <formula>"False"</formula>
    </cfRule>
  </conditionalFormatting>
  <conditionalFormatting sqref="G15:K66">
    <cfRule type="cellIs" dxfId="0" priority="2" operator="equal">
      <formula>"TRUE"</formula>
    </cfRule>
  </conditionalFormatting>
  <dataValidations>
    <dataValidation type="list" allowBlank="1" showErrorMessage="1" sqref="E15:E66">
      <formula1>Data!$A$2:$A$10</formula1>
    </dataValidation>
    <dataValidation type="list" allowBlank="1" showErrorMessage="1" sqref="F15:F66">
      <formula1>Data!$C$2:$C$8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3" width="2.63"/>
    <col customWidth="1" min="4" max="4" width="20.38"/>
    <col customWidth="1" min="5" max="5" width="11.38"/>
    <col customWidth="1" min="6" max="6" width="16.63"/>
    <col customWidth="1" min="7" max="11" width="8.63"/>
    <col customWidth="1" min="12" max="12" width="12.63"/>
    <col customWidth="1" min="13" max="13" width="15.13"/>
    <col customWidth="1" min="14" max="15" width="2.63"/>
  </cols>
  <sheetData>
    <row r="1" ht="7.5" customHeight="1">
      <c r="A1" s="140"/>
      <c r="B1" s="84"/>
      <c r="C1" s="84"/>
      <c r="D1" s="84"/>
      <c r="E1" s="84"/>
      <c r="F1" s="84"/>
      <c r="G1" s="84"/>
      <c r="H1" s="84"/>
      <c r="I1" s="84"/>
      <c r="J1" s="84"/>
      <c r="K1" s="84"/>
      <c r="L1" s="85"/>
      <c r="M1" s="86"/>
      <c r="N1" s="86"/>
      <c r="O1" s="86"/>
    </row>
    <row r="2" ht="15.0" customHeight="1">
      <c r="A2" s="87"/>
      <c r="B2" s="87"/>
      <c r="C2" s="87"/>
      <c r="D2" s="88"/>
      <c r="E2" s="88"/>
      <c r="F2" s="88"/>
      <c r="G2" s="88"/>
      <c r="H2" s="88"/>
      <c r="I2" s="88"/>
      <c r="J2" s="88"/>
      <c r="K2" s="88"/>
      <c r="L2" s="88"/>
      <c r="M2" s="87"/>
      <c r="N2" s="87"/>
      <c r="O2" s="87"/>
    </row>
    <row r="3" ht="3.75" customHeight="1">
      <c r="A3" s="87"/>
      <c r="B3" s="87"/>
      <c r="C3" s="87"/>
      <c r="D3" s="89"/>
      <c r="E3" s="90"/>
      <c r="F3" s="90"/>
      <c r="G3" s="90"/>
      <c r="H3" s="90"/>
      <c r="I3" s="90"/>
      <c r="J3" s="90"/>
      <c r="K3" s="90"/>
      <c r="L3" s="90"/>
      <c r="M3" s="87"/>
      <c r="N3" s="87"/>
      <c r="O3" s="87"/>
    </row>
    <row r="4" ht="15.0" customHeight="1">
      <c r="A4" s="87"/>
      <c r="B4" s="87"/>
      <c r="C4" s="87"/>
      <c r="D4" s="88"/>
      <c r="E4" s="88"/>
      <c r="F4" s="88"/>
      <c r="G4" s="91"/>
      <c r="H4" s="91"/>
      <c r="I4" s="91"/>
      <c r="J4" s="91"/>
      <c r="K4" s="91"/>
      <c r="L4" s="91"/>
      <c r="M4" s="87"/>
      <c r="N4" s="87"/>
      <c r="O4" s="87"/>
    </row>
    <row r="5" ht="15.0" customHeight="1">
      <c r="A5" s="92"/>
      <c r="B5" s="92"/>
      <c r="C5" s="92"/>
      <c r="D5" s="88"/>
      <c r="E5" s="88"/>
      <c r="F5" s="88"/>
      <c r="G5" s="93"/>
      <c r="H5" s="93"/>
      <c r="I5" s="93"/>
      <c r="J5" s="93"/>
      <c r="K5" s="93"/>
      <c r="L5" s="94"/>
      <c r="M5" s="88"/>
      <c r="N5" s="92"/>
      <c r="O5" s="92"/>
    </row>
    <row r="6" ht="15.0" customHeight="1">
      <c r="A6" s="92"/>
      <c r="B6" s="92"/>
      <c r="C6" s="92"/>
      <c r="D6" s="95" t="s">
        <v>140</v>
      </c>
      <c r="L6" s="94"/>
      <c r="M6" s="88"/>
      <c r="N6" s="92"/>
      <c r="O6" s="92"/>
    </row>
    <row r="7" ht="15.0" customHeight="1">
      <c r="A7" s="92"/>
      <c r="B7" s="92"/>
      <c r="C7" s="92"/>
      <c r="D7" s="96" t="s">
        <v>141</v>
      </c>
      <c r="G7" s="97"/>
      <c r="H7" s="97"/>
      <c r="I7" s="97"/>
      <c r="J7" s="97"/>
      <c r="K7" s="97"/>
      <c r="L7" s="92"/>
      <c r="M7" s="92"/>
      <c r="N7" s="92"/>
      <c r="O7" s="92"/>
    </row>
    <row r="8" ht="15.0" customHeight="1">
      <c r="A8" s="92"/>
      <c r="B8" s="92"/>
      <c r="C8" s="92"/>
      <c r="D8" s="97"/>
      <c r="E8" s="97"/>
      <c r="F8" s="97"/>
      <c r="G8" s="97"/>
      <c r="H8" s="97"/>
      <c r="I8" s="97"/>
      <c r="J8" s="97"/>
      <c r="K8" s="97"/>
      <c r="L8" s="92"/>
      <c r="M8" s="92"/>
      <c r="N8" s="92"/>
      <c r="O8" s="92"/>
    </row>
    <row r="9" ht="15.0" customHeight="1">
      <c r="A9" s="92"/>
      <c r="B9" s="92"/>
      <c r="C9" s="98"/>
      <c r="D9" s="99" t="s">
        <v>35</v>
      </c>
      <c r="E9" s="100"/>
      <c r="F9" s="101"/>
      <c r="G9" s="101"/>
      <c r="H9" s="101"/>
      <c r="I9" s="101"/>
      <c r="J9" s="101"/>
      <c r="K9" s="101"/>
      <c r="L9" s="101"/>
      <c r="M9" s="100"/>
      <c r="N9" s="102"/>
      <c r="O9" s="102"/>
    </row>
    <row r="10" ht="15.0" customHeight="1">
      <c r="A10" s="92"/>
      <c r="B10" s="92"/>
      <c r="C10" s="98"/>
      <c r="E10" s="100"/>
      <c r="F10" s="103" t="s">
        <v>36</v>
      </c>
      <c r="N10" s="102"/>
      <c r="O10" s="102"/>
    </row>
    <row r="11" ht="15.0" customHeight="1">
      <c r="A11" s="92"/>
      <c r="B11" s="92"/>
      <c r="C11" s="98"/>
      <c r="E11" s="100"/>
      <c r="N11" s="102"/>
      <c r="O11" s="102"/>
    </row>
    <row r="12" ht="15.0" customHeight="1">
      <c r="A12" s="88"/>
      <c r="B12" s="92"/>
      <c r="C12" s="92"/>
      <c r="E12" s="100"/>
      <c r="F12" s="100"/>
      <c r="G12" s="100"/>
      <c r="H12" s="100"/>
      <c r="I12" s="100"/>
      <c r="J12" s="100"/>
      <c r="K12" s="100"/>
      <c r="L12" s="100"/>
      <c r="M12" s="100"/>
      <c r="N12" s="102"/>
      <c r="O12" s="102"/>
    </row>
    <row r="13" ht="15.0" customHeight="1">
      <c r="A13" s="88"/>
      <c r="B13" s="104"/>
      <c r="C13" s="104"/>
      <c r="D13" s="104"/>
      <c r="E13" s="104"/>
      <c r="F13" s="105"/>
      <c r="G13" s="105"/>
      <c r="H13" s="105"/>
      <c r="I13" s="105"/>
      <c r="J13" s="105"/>
      <c r="K13" s="105"/>
      <c r="L13" s="104"/>
      <c r="M13" s="104"/>
      <c r="N13" s="104"/>
      <c r="O13" s="104"/>
    </row>
    <row r="14" ht="15.0" customHeight="1">
      <c r="A14" s="106"/>
      <c r="B14" s="106"/>
      <c r="C14" s="106"/>
      <c r="D14" s="107" t="s">
        <v>37</v>
      </c>
      <c r="E14" s="108" t="s">
        <v>38</v>
      </c>
      <c r="F14" s="109" t="s">
        <v>39</v>
      </c>
      <c r="G14" s="110">
        <v>44445.0</v>
      </c>
      <c r="H14" s="110">
        <v>44446.0</v>
      </c>
      <c r="I14" s="110">
        <v>44447.0</v>
      </c>
      <c r="J14" s="110">
        <v>44448.0</v>
      </c>
      <c r="K14" s="110">
        <v>44449.0</v>
      </c>
      <c r="L14" s="111" t="s">
        <v>40</v>
      </c>
      <c r="M14" s="111" t="s">
        <v>41</v>
      </c>
      <c r="N14" s="88"/>
      <c r="O14" s="88"/>
    </row>
    <row r="15" ht="15.0" customHeight="1">
      <c r="A15" s="112"/>
      <c r="B15" s="112"/>
      <c r="C15" s="112"/>
      <c r="D15" s="129" t="s">
        <v>42</v>
      </c>
      <c r="E15" s="114" t="str">
        <f>VLOOKUP(D15,Data!H:I,2,0)</f>
        <v>Adana</v>
      </c>
      <c r="F15" s="115" t="str">
        <f>VLOOKUP(D15,Data!H:J,3,0)</f>
        <v>Freelance</v>
      </c>
      <c r="G15" s="116" t="b">
        <v>1</v>
      </c>
      <c r="H15" s="116" t="b">
        <v>1</v>
      </c>
      <c r="I15" s="116" t="b">
        <v>1</v>
      </c>
      <c r="J15" s="116" t="b">
        <v>1</v>
      </c>
      <c r="K15" s="116" t="b">
        <v>1</v>
      </c>
      <c r="L15" s="117">
        <f t="shared" ref="L15:L66" si="1">COUNTIF(G15:K15,"TRUE")</f>
        <v>5</v>
      </c>
      <c r="M15" s="117">
        <f t="shared" ref="M15:M66" si="2">L15*4</f>
        <v>20</v>
      </c>
      <c r="N15" s="112"/>
      <c r="O15" s="88"/>
    </row>
    <row r="16" ht="15.0" customHeight="1">
      <c r="A16" s="112"/>
      <c r="B16" s="112"/>
      <c r="C16" s="112"/>
      <c r="D16" s="129" t="s">
        <v>43</v>
      </c>
      <c r="E16" s="114" t="str">
        <f>VLOOKUP(D16,Data!H:I,2,0)</f>
        <v>Adana</v>
      </c>
      <c r="F16" s="115" t="str">
        <f>VLOOKUP(D16,Data!H:J,3,0)</f>
        <v>Freelance</v>
      </c>
      <c r="G16" s="116" t="b">
        <v>1</v>
      </c>
      <c r="H16" s="116" t="b">
        <v>1</v>
      </c>
      <c r="I16" s="116" t="b">
        <v>1</v>
      </c>
      <c r="J16" s="116" t="b">
        <v>1</v>
      </c>
      <c r="K16" s="116" t="b">
        <v>1</v>
      </c>
      <c r="L16" s="117">
        <f t="shared" si="1"/>
        <v>5</v>
      </c>
      <c r="M16" s="117">
        <f t="shared" si="2"/>
        <v>20</v>
      </c>
      <c r="N16" s="112"/>
      <c r="O16" s="88"/>
    </row>
    <row r="17" ht="15.0" customHeight="1">
      <c r="A17" s="112"/>
      <c r="B17" s="112"/>
      <c r="C17" s="112"/>
      <c r="D17" s="119" t="s">
        <v>48</v>
      </c>
      <c r="E17" s="114" t="str">
        <f>VLOOKUP(D17,Data!H:I,2,0)</f>
        <v>Ankara</v>
      </c>
      <c r="F17" s="115" t="str">
        <f>VLOOKUP(D17,Data!H:J,3,0)</f>
        <v>Medya Özgür Deniz</v>
      </c>
      <c r="G17" s="116" t="b">
        <v>1</v>
      </c>
      <c r="H17" s="116" t="b">
        <v>1</v>
      </c>
      <c r="I17" s="116" t="b">
        <v>1</v>
      </c>
      <c r="J17" s="116" t="b">
        <v>1</v>
      </c>
      <c r="K17" s="116" t="b">
        <v>1</v>
      </c>
      <c r="L17" s="117">
        <f t="shared" si="1"/>
        <v>5</v>
      </c>
      <c r="M17" s="117">
        <f t="shared" si="2"/>
        <v>20</v>
      </c>
      <c r="N17" s="88"/>
      <c r="O17" s="88"/>
    </row>
    <row r="18" ht="15.0" customHeight="1">
      <c r="A18" s="112"/>
      <c r="B18" s="112"/>
      <c r="C18" s="112"/>
      <c r="D18" s="131" t="s">
        <v>44</v>
      </c>
      <c r="E18" s="114" t="str">
        <f>VLOOKUP(D18,Data!H:I,2,0)</f>
        <v>Ankara</v>
      </c>
      <c r="F18" s="115" t="str">
        <f>VLOOKUP(D18,Data!H:J,3,0)</f>
        <v>Medya Özgür Deniz</v>
      </c>
      <c r="G18" s="116" t="b">
        <v>0</v>
      </c>
      <c r="H18" s="116" t="b">
        <v>1</v>
      </c>
      <c r="I18" s="116" t="b">
        <v>0</v>
      </c>
      <c r="J18" s="116" t="b">
        <v>1</v>
      </c>
      <c r="K18" s="116" t="b">
        <v>0</v>
      </c>
      <c r="L18" s="117">
        <f t="shared" si="1"/>
        <v>2</v>
      </c>
      <c r="M18" s="117">
        <f t="shared" si="2"/>
        <v>8</v>
      </c>
      <c r="N18" s="112"/>
      <c r="O18" s="88"/>
    </row>
    <row r="19" ht="15.0" customHeight="1">
      <c r="A19" s="120"/>
      <c r="B19" s="120"/>
      <c r="C19" s="120"/>
      <c r="D19" s="131" t="s">
        <v>45</v>
      </c>
      <c r="E19" s="114" t="str">
        <f>VLOOKUP(D19,Data!H:I,2,0)</f>
        <v>Ankara</v>
      </c>
      <c r="F19" s="115" t="str">
        <f>VLOOKUP(D19,Data!H:J,3,0)</f>
        <v>Medya Özgür Deniz</v>
      </c>
      <c r="G19" s="116" t="b">
        <v>0</v>
      </c>
      <c r="H19" s="116" t="b">
        <v>0</v>
      </c>
      <c r="I19" s="116" t="b">
        <v>0</v>
      </c>
      <c r="J19" s="116" t="b">
        <v>0</v>
      </c>
      <c r="K19" s="116" t="b">
        <v>1</v>
      </c>
      <c r="L19" s="117">
        <f t="shared" si="1"/>
        <v>1</v>
      </c>
      <c r="M19" s="117">
        <f t="shared" si="2"/>
        <v>4</v>
      </c>
      <c r="N19" s="112"/>
      <c r="O19" s="120"/>
    </row>
    <row r="20" ht="15.0" customHeight="1">
      <c r="A20" s="121"/>
      <c r="B20" s="121"/>
      <c r="C20" s="121"/>
      <c r="D20" s="131" t="s">
        <v>46</v>
      </c>
      <c r="E20" s="114" t="str">
        <f>VLOOKUP(D20,Data!H:I,2,0)</f>
        <v>Ankara</v>
      </c>
      <c r="F20" s="115" t="str">
        <f>VLOOKUP(D20,Data!H:J,3,0)</f>
        <v>Medya Özgür Deniz</v>
      </c>
      <c r="G20" s="116" t="b">
        <v>1</v>
      </c>
      <c r="H20" s="116" t="b">
        <v>1</v>
      </c>
      <c r="I20" s="116" t="b">
        <v>1</v>
      </c>
      <c r="J20" s="116" t="b">
        <v>1</v>
      </c>
      <c r="K20" s="116" t="b">
        <v>0</v>
      </c>
      <c r="L20" s="117">
        <f t="shared" si="1"/>
        <v>4</v>
      </c>
      <c r="M20" s="117">
        <f t="shared" si="2"/>
        <v>16</v>
      </c>
      <c r="N20" s="112"/>
      <c r="O20" s="121"/>
    </row>
    <row r="21" ht="15.0" customHeight="1">
      <c r="A21" s="121"/>
      <c r="B21" s="121"/>
      <c r="C21" s="121"/>
      <c r="D21" s="131" t="s">
        <v>47</v>
      </c>
      <c r="E21" s="114" t="str">
        <f>VLOOKUP(D21,Data!H:I,2,0)</f>
        <v>Ankara</v>
      </c>
      <c r="F21" s="115" t="str">
        <f>VLOOKUP(D21,Data!H:J,3,0)</f>
        <v>Medya Özgür Deniz</v>
      </c>
      <c r="G21" s="116" t="b">
        <v>1</v>
      </c>
      <c r="H21" s="116" t="b">
        <v>1</v>
      </c>
      <c r="I21" s="116" t="b">
        <v>1</v>
      </c>
      <c r="J21" s="116" t="b">
        <v>1</v>
      </c>
      <c r="K21" s="116" t="b">
        <v>1</v>
      </c>
      <c r="L21" s="117">
        <f t="shared" si="1"/>
        <v>5</v>
      </c>
      <c r="M21" s="117">
        <f t="shared" si="2"/>
        <v>20</v>
      </c>
      <c r="N21" s="112"/>
      <c r="O21" s="121"/>
    </row>
    <row r="22" ht="15.0" customHeight="1">
      <c r="A22" s="106"/>
      <c r="B22" s="106"/>
      <c r="C22" s="106"/>
      <c r="D22" s="129" t="s">
        <v>109</v>
      </c>
      <c r="E22" s="114" t="str">
        <f>VLOOKUP(D22,Data!H:I,2,0)</f>
        <v>Antalya</v>
      </c>
      <c r="F22" s="115" t="str">
        <f>VLOOKUP(D22,Data!H:J,3,0)</f>
        <v>Nazım Öztel</v>
      </c>
      <c r="G22" s="116" t="b">
        <v>1</v>
      </c>
      <c r="H22" s="116" t="b">
        <v>1</v>
      </c>
      <c r="I22" s="116" t="b">
        <v>0</v>
      </c>
      <c r="J22" s="116" t="b">
        <v>0</v>
      </c>
      <c r="K22" s="116" t="b">
        <v>0</v>
      </c>
      <c r="L22" s="117">
        <f t="shared" si="1"/>
        <v>2</v>
      </c>
      <c r="M22" s="117">
        <f t="shared" si="2"/>
        <v>8</v>
      </c>
      <c r="N22" s="112"/>
      <c r="O22" s="106"/>
    </row>
    <row r="23" ht="15.0" customHeight="1">
      <c r="A23" s="112"/>
      <c r="B23" s="112"/>
      <c r="C23" s="112"/>
      <c r="D23" s="129" t="s">
        <v>50</v>
      </c>
      <c r="E23" s="114" t="str">
        <f>VLOOKUP(D23,Data!H:I,2,0)</f>
        <v>Antalya</v>
      </c>
      <c r="F23" s="115" t="str">
        <f>VLOOKUP(D23,Data!H:J,3,0)</f>
        <v>Freelance</v>
      </c>
      <c r="G23" s="116" t="b">
        <v>1</v>
      </c>
      <c r="H23" s="116" t="b">
        <v>1</v>
      </c>
      <c r="I23" s="116" t="b">
        <v>0</v>
      </c>
      <c r="J23" s="116" t="b">
        <v>0</v>
      </c>
      <c r="K23" s="116" t="b">
        <v>1</v>
      </c>
      <c r="L23" s="117">
        <f t="shared" si="1"/>
        <v>3</v>
      </c>
      <c r="M23" s="117">
        <f t="shared" si="2"/>
        <v>12</v>
      </c>
      <c r="N23" s="112"/>
      <c r="O23" s="112"/>
    </row>
    <row r="24" ht="15.0" customHeight="1">
      <c r="A24" s="112"/>
      <c r="B24" s="112"/>
      <c r="C24" s="112"/>
      <c r="D24" s="132" t="s">
        <v>52</v>
      </c>
      <c r="E24" s="114" t="str">
        <f>VLOOKUP(D24,Data!H:I,2,0)</f>
        <v>Bursa</v>
      </c>
      <c r="F24" s="115" t="str">
        <f>VLOOKUP(D24,Data!H:J,3,0)</f>
        <v>Nazım Öztel</v>
      </c>
      <c r="G24" s="116" t="b">
        <v>1</v>
      </c>
      <c r="H24" s="116" t="b">
        <v>1</v>
      </c>
      <c r="I24" s="116" t="b">
        <v>0</v>
      </c>
      <c r="J24" s="116" t="b">
        <v>1</v>
      </c>
      <c r="K24" s="116" t="b">
        <v>0</v>
      </c>
      <c r="L24" s="117">
        <f t="shared" si="1"/>
        <v>3</v>
      </c>
      <c r="M24" s="117">
        <f t="shared" si="2"/>
        <v>12</v>
      </c>
      <c r="N24" s="122"/>
      <c r="O24" s="112"/>
    </row>
    <row r="25" ht="15.0" customHeight="1">
      <c r="A25" s="112"/>
      <c r="B25" s="112"/>
      <c r="C25" s="112"/>
      <c r="D25" s="129" t="s">
        <v>53</v>
      </c>
      <c r="E25" s="114" t="str">
        <f>VLOOKUP(D25,Data!H:I,2,0)</f>
        <v>Bursa</v>
      </c>
      <c r="F25" s="115" t="str">
        <f>VLOOKUP(D25,Data!H:J,3,0)</f>
        <v>Freelance</v>
      </c>
      <c r="G25" s="116" t="b">
        <v>1</v>
      </c>
      <c r="H25" s="116" t="b">
        <v>1</v>
      </c>
      <c r="I25" s="116" t="b">
        <v>1</v>
      </c>
      <c r="J25" s="116" t="b">
        <v>1</v>
      </c>
      <c r="K25" s="116" t="b">
        <v>1</v>
      </c>
      <c r="L25" s="117">
        <f t="shared" si="1"/>
        <v>5</v>
      </c>
      <c r="M25" s="117">
        <f t="shared" si="2"/>
        <v>20</v>
      </c>
      <c r="N25" s="112"/>
      <c r="O25" s="112"/>
    </row>
    <row r="26" ht="15.0" customHeight="1">
      <c r="A26" s="112"/>
      <c r="B26" s="112"/>
      <c r="C26" s="112"/>
      <c r="D26" s="132" t="s">
        <v>54</v>
      </c>
      <c r="E26" s="114" t="str">
        <f>VLOOKUP(D26,Data!H:I,2,0)</f>
        <v>Diyarbakır</v>
      </c>
      <c r="F26" s="115" t="str">
        <f>VLOOKUP(D26,Data!H:J,3,0)</f>
        <v>Nazım Öztel</v>
      </c>
      <c r="G26" s="116" t="b">
        <v>0</v>
      </c>
      <c r="H26" s="116" t="b">
        <v>0</v>
      </c>
      <c r="I26" s="116" t="b">
        <v>0</v>
      </c>
      <c r="J26" s="116" t="b">
        <v>0</v>
      </c>
      <c r="K26" s="116" t="b">
        <v>0</v>
      </c>
      <c r="L26" s="117">
        <f t="shared" si="1"/>
        <v>0</v>
      </c>
      <c r="M26" s="117">
        <f t="shared" si="2"/>
        <v>0</v>
      </c>
      <c r="N26" s="112"/>
      <c r="O26" s="112"/>
    </row>
    <row r="27" ht="15.0" customHeight="1">
      <c r="A27" s="112"/>
      <c r="B27" s="112"/>
      <c r="C27" s="112"/>
      <c r="D27" s="132" t="s">
        <v>55</v>
      </c>
      <c r="E27" s="114" t="str">
        <f>VLOOKUP(D27,Data!H:I,2,0)</f>
        <v>Erzurum</v>
      </c>
      <c r="F27" s="115" t="str">
        <f>VLOOKUP(D27,Data!H:J,3,0)</f>
        <v>Nazım Öztel</v>
      </c>
      <c r="G27" s="116" t="b">
        <v>0</v>
      </c>
      <c r="H27" s="116" t="b">
        <v>0</v>
      </c>
      <c r="I27" s="116" t="b">
        <v>0</v>
      </c>
      <c r="J27" s="116" t="b">
        <v>0</v>
      </c>
      <c r="K27" s="116" t="b">
        <v>0</v>
      </c>
      <c r="L27" s="117">
        <f t="shared" si="1"/>
        <v>0</v>
      </c>
      <c r="M27" s="117">
        <f t="shared" si="2"/>
        <v>0</v>
      </c>
      <c r="N27" s="112"/>
      <c r="O27" s="112"/>
    </row>
    <row r="28" ht="15.0" customHeight="1">
      <c r="A28" s="112"/>
      <c r="B28" s="112"/>
      <c r="C28" s="112"/>
      <c r="D28" s="129" t="s">
        <v>58</v>
      </c>
      <c r="E28" s="114" t="str">
        <f>VLOOKUP(D28,Data!H:I,2,0)</f>
        <v>İstanbul</v>
      </c>
      <c r="F28" s="115" t="str">
        <f>VLOOKUP(D28,Data!H:J,3,0)</f>
        <v>Freelance</v>
      </c>
      <c r="G28" s="116" t="b">
        <v>1</v>
      </c>
      <c r="H28" s="116" t="b">
        <v>1</v>
      </c>
      <c r="I28" s="116" t="b">
        <v>1</v>
      </c>
      <c r="J28" s="116" t="b">
        <v>1</v>
      </c>
      <c r="K28" s="116" t="b">
        <v>1</v>
      </c>
      <c r="L28" s="117">
        <f t="shared" si="1"/>
        <v>5</v>
      </c>
      <c r="M28" s="117">
        <f t="shared" si="2"/>
        <v>20</v>
      </c>
      <c r="N28" s="88"/>
      <c r="O28" s="112"/>
    </row>
    <row r="29" ht="15.0" customHeight="1">
      <c r="A29" s="112"/>
      <c r="B29" s="112"/>
      <c r="C29" s="112"/>
      <c r="D29" s="129" t="s">
        <v>133</v>
      </c>
      <c r="E29" s="114" t="str">
        <f>VLOOKUP(D29,Data!H:I,2,0)</f>
        <v>İstanbul</v>
      </c>
      <c r="F29" s="115" t="str">
        <f>VLOOKUP(D29,Data!H:J,3,0)</f>
        <v>Freelance</v>
      </c>
      <c r="G29" s="116" t="b">
        <v>1</v>
      </c>
      <c r="H29" s="116" t="b">
        <v>1</v>
      </c>
      <c r="I29" s="116" t="b">
        <v>1</v>
      </c>
      <c r="J29" s="116" t="b">
        <v>1</v>
      </c>
      <c r="K29" s="116" t="b">
        <v>1</v>
      </c>
      <c r="L29" s="117">
        <f t="shared" si="1"/>
        <v>5</v>
      </c>
      <c r="M29" s="117">
        <f t="shared" si="2"/>
        <v>20</v>
      </c>
      <c r="N29" s="88"/>
      <c r="O29" s="112"/>
    </row>
    <row r="30" ht="15.0" customHeight="1">
      <c r="A30" s="120"/>
      <c r="B30" s="120"/>
      <c r="C30" s="120"/>
      <c r="D30" s="129" t="s">
        <v>66</v>
      </c>
      <c r="E30" s="114" t="str">
        <f>VLOOKUP(D30,Data!H:I,2,0)</f>
        <v>İstanbul</v>
      </c>
      <c r="F30" s="115" t="str">
        <f>VLOOKUP(D30,Data!H:J,3,0)</f>
        <v>Freelance</v>
      </c>
      <c r="G30" s="116" t="b">
        <v>1</v>
      </c>
      <c r="H30" s="116" t="b">
        <v>1</v>
      </c>
      <c r="I30" s="116" t="b">
        <v>0</v>
      </c>
      <c r="J30" s="116" t="b">
        <v>1</v>
      </c>
      <c r="K30" s="116" t="b">
        <v>0</v>
      </c>
      <c r="L30" s="117">
        <f t="shared" si="1"/>
        <v>3</v>
      </c>
      <c r="M30" s="117">
        <f t="shared" si="2"/>
        <v>12</v>
      </c>
      <c r="N30" s="120"/>
      <c r="O30" s="120"/>
    </row>
    <row r="31" ht="15.0" customHeight="1">
      <c r="A31" s="121"/>
      <c r="B31" s="121"/>
      <c r="C31" s="121"/>
      <c r="D31" s="129" t="s">
        <v>134</v>
      </c>
      <c r="E31" s="114" t="str">
        <f>VLOOKUP(D31,Data!H:I,2,0)</f>
        <v>İstanbul</v>
      </c>
      <c r="F31" s="115" t="str">
        <f>VLOOKUP(D31,Data!H:J,3,0)</f>
        <v>Filamingo</v>
      </c>
      <c r="G31" s="116" t="b">
        <v>0</v>
      </c>
      <c r="H31" s="116" t="b">
        <v>1</v>
      </c>
      <c r="I31" s="116" t="b">
        <v>1</v>
      </c>
      <c r="J31" s="116" t="b">
        <v>1</v>
      </c>
      <c r="K31" s="116" t="b">
        <v>1</v>
      </c>
      <c r="L31" s="117">
        <f t="shared" si="1"/>
        <v>4</v>
      </c>
      <c r="M31" s="117">
        <f t="shared" si="2"/>
        <v>16</v>
      </c>
      <c r="N31" s="121"/>
      <c r="O31" s="121"/>
    </row>
    <row r="32" ht="15.0" customHeight="1">
      <c r="A32" s="121"/>
      <c r="B32" s="121"/>
      <c r="C32" s="121"/>
      <c r="D32" s="132" t="s">
        <v>67</v>
      </c>
      <c r="E32" s="114" t="str">
        <f>VLOOKUP(D32,Data!H:I,2,0)</f>
        <v>İstanbul</v>
      </c>
      <c r="F32" s="115" t="str">
        <f>VLOOKUP(D32,Data!H:J,3,0)</f>
        <v>Filamingo</v>
      </c>
      <c r="G32" s="116" t="b">
        <v>0</v>
      </c>
      <c r="H32" s="116" t="b">
        <v>0</v>
      </c>
      <c r="I32" s="116" t="b">
        <v>0</v>
      </c>
      <c r="J32" s="116" t="b">
        <v>0</v>
      </c>
      <c r="K32" s="116" t="b">
        <v>0</v>
      </c>
      <c r="L32" s="117">
        <f t="shared" si="1"/>
        <v>0</v>
      </c>
      <c r="M32" s="117">
        <f t="shared" si="2"/>
        <v>0</v>
      </c>
      <c r="N32" s="121"/>
      <c r="O32" s="121"/>
    </row>
    <row r="33" ht="15.0" customHeight="1">
      <c r="A33" s="124"/>
      <c r="B33" s="124"/>
      <c r="C33" s="124"/>
      <c r="D33" s="137" t="s">
        <v>68</v>
      </c>
      <c r="E33" s="114" t="str">
        <f>VLOOKUP(D33,Data!H:I,2,0)</f>
        <v>İstanbul</v>
      </c>
      <c r="F33" s="115" t="str">
        <f>VLOOKUP(D33,Data!H:J,3,0)</f>
        <v>Freelance</v>
      </c>
      <c r="G33" s="116" t="b">
        <v>0</v>
      </c>
      <c r="H33" s="116" t="b">
        <v>0</v>
      </c>
      <c r="I33" s="116" t="b">
        <v>0</v>
      </c>
      <c r="J33" s="116" t="b">
        <v>0</v>
      </c>
      <c r="K33" s="116" t="b">
        <v>0</v>
      </c>
      <c r="L33" s="117">
        <f t="shared" si="1"/>
        <v>0</v>
      </c>
      <c r="M33" s="117">
        <f t="shared" si="2"/>
        <v>0</v>
      </c>
      <c r="N33" s="112"/>
      <c r="O33" s="124"/>
    </row>
    <row r="34" ht="15.0" customHeight="1">
      <c r="A34" s="112"/>
      <c r="B34" s="112"/>
      <c r="C34" s="112"/>
      <c r="D34" s="132" t="s">
        <v>117</v>
      </c>
      <c r="E34" s="114" t="str">
        <f>VLOOKUP(D34,Data!H:I,2,0)</f>
        <v>İstanbul</v>
      </c>
      <c r="F34" s="115" t="str">
        <f>VLOOKUP(D34,Data!H:J,3,0)</f>
        <v>Freelance</v>
      </c>
      <c r="G34" s="116" t="b">
        <v>0</v>
      </c>
      <c r="H34" s="116" t="b">
        <v>1</v>
      </c>
      <c r="I34" s="116" t="b">
        <v>1</v>
      </c>
      <c r="J34" s="116" t="b">
        <v>1</v>
      </c>
      <c r="K34" s="116" t="b">
        <v>0</v>
      </c>
      <c r="L34" s="117">
        <f t="shared" si="1"/>
        <v>3</v>
      </c>
      <c r="M34" s="117">
        <f t="shared" si="2"/>
        <v>12</v>
      </c>
      <c r="N34" s="112"/>
      <c r="O34" s="112"/>
    </row>
    <row r="35" ht="15.0" customHeight="1">
      <c r="A35" s="112"/>
      <c r="B35" s="112"/>
      <c r="C35" s="112"/>
      <c r="D35" s="129" t="s">
        <v>135</v>
      </c>
      <c r="E35" s="114" t="str">
        <f>VLOOKUP(D35,Data!H:I,2,0)</f>
        <v>İstanbul</v>
      </c>
      <c r="F35" s="115" t="str">
        <f>VLOOKUP(D35,Data!H:J,3,0)</f>
        <v>Freelance</v>
      </c>
      <c r="G35" s="116" t="b">
        <v>1</v>
      </c>
      <c r="H35" s="116" t="b">
        <v>1</v>
      </c>
      <c r="I35" s="116" t="b">
        <v>1</v>
      </c>
      <c r="J35" s="116" t="b">
        <v>1</v>
      </c>
      <c r="K35" s="116" t="b">
        <v>0</v>
      </c>
      <c r="L35" s="117">
        <f t="shared" si="1"/>
        <v>4</v>
      </c>
      <c r="M35" s="117">
        <f t="shared" si="2"/>
        <v>16</v>
      </c>
      <c r="N35" s="112"/>
      <c r="O35" s="112"/>
    </row>
    <row r="36" ht="15.0" customHeight="1">
      <c r="A36" s="112"/>
      <c r="B36" s="112"/>
      <c r="C36" s="112"/>
      <c r="D36" s="129" t="s">
        <v>123</v>
      </c>
      <c r="E36" s="114" t="str">
        <f>VLOOKUP(D36,Data!H:I,2,0)</f>
        <v>İstanbul</v>
      </c>
      <c r="F36" s="115" t="str">
        <f>VLOOKUP(D36,Data!H:J,3,0)</f>
        <v>Freelance</v>
      </c>
      <c r="G36" s="116" t="b">
        <v>0</v>
      </c>
      <c r="H36" s="116" t="b">
        <v>0</v>
      </c>
      <c r="I36" s="116" t="b">
        <v>1</v>
      </c>
      <c r="J36" s="116" t="b">
        <v>1</v>
      </c>
      <c r="K36" s="116" t="b">
        <v>1</v>
      </c>
      <c r="L36" s="117">
        <f t="shared" si="1"/>
        <v>3</v>
      </c>
      <c r="M36" s="117">
        <f t="shared" si="2"/>
        <v>12</v>
      </c>
      <c r="N36" s="112"/>
      <c r="O36" s="112"/>
    </row>
    <row r="37" ht="15.0" customHeight="1">
      <c r="A37" s="112"/>
      <c r="B37" s="112"/>
      <c r="C37" s="112"/>
      <c r="D37" s="129" t="s">
        <v>70</v>
      </c>
      <c r="E37" s="114" t="str">
        <f>VLOOKUP(D37,Data!H:I,2,0)</f>
        <v>İstanbul</v>
      </c>
      <c r="F37" s="115" t="str">
        <f>VLOOKUP(D37,Data!H:J,3,0)</f>
        <v>Freelance</v>
      </c>
      <c r="G37" s="116" t="b">
        <v>0</v>
      </c>
      <c r="H37" s="116" t="b">
        <v>0</v>
      </c>
      <c r="I37" s="116" t="b">
        <v>0</v>
      </c>
      <c r="J37" s="116" t="b">
        <v>1</v>
      </c>
      <c r="K37" s="116" t="b">
        <v>0</v>
      </c>
      <c r="L37" s="117">
        <f t="shared" si="1"/>
        <v>1</v>
      </c>
      <c r="M37" s="117">
        <f t="shared" si="2"/>
        <v>4</v>
      </c>
      <c r="N37" s="112"/>
      <c r="O37" s="112"/>
    </row>
    <row r="38" ht="15.0" customHeight="1">
      <c r="A38" s="112"/>
      <c r="B38" s="112"/>
      <c r="C38" s="112"/>
      <c r="D38" s="132" t="s">
        <v>71</v>
      </c>
      <c r="E38" s="114" t="str">
        <f>VLOOKUP(D38,Data!H:I,2,0)</f>
        <v>İstanbul</v>
      </c>
      <c r="F38" s="115" t="str">
        <f>VLOOKUP(D38,Data!H:J,3,0)</f>
        <v>Filamingo</v>
      </c>
      <c r="G38" s="116" t="b">
        <v>0</v>
      </c>
      <c r="H38" s="116" t="b">
        <v>1</v>
      </c>
      <c r="I38" s="116" t="b">
        <v>1</v>
      </c>
      <c r="J38" s="116" t="b">
        <v>1</v>
      </c>
      <c r="K38" s="116" t="b">
        <v>1</v>
      </c>
      <c r="L38" s="117">
        <f t="shared" si="1"/>
        <v>4</v>
      </c>
      <c r="M38" s="117">
        <f t="shared" si="2"/>
        <v>16</v>
      </c>
      <c r="N38" s="112"/>
      <c r="O38" s="112"/>
    </row>
    <row r="39" ht="15.0" customHeight="1">
      <c r="A39" s="112"/>
      <c r="B39" s="112"/>
      <c r="C39" s="112"/>
      <c r="D39" s="132" t="s">
        <v>72</v>
      </c>
      <c r="E39" s="114" t="str">
        <f>VLOOKUP(D39,Data!H:I,2,0)</f>
        <v>İstanbul</v>
      </c>
      <c r="F39" s="115" t="str">
        <f>VLOOKUP(D39,Data!H:J,3,0)</f>
        <v>Filamingo</v>
      </c>
      <c r="G39" s="116" t="b">
        <v>0</v>
      </c>
      <c r="H39" s="116" t="b">
        <v>0</v>
      </c>
      <c r="I39" s="116" t="b">
        <v>0</v>
      </c>
      <c r="J39" s="116" t="b">
        <v>0</v>
      </c>
      <c r="K39" s="116" t="b">
        <v>0</v>
      </c>
      <c r="L39" s="117">
        <f t="shared" si="1"/>
        <v>0</v>
      </c>
      <c r="M39" s="117">
        <f t="shared" si="2"/>
        <v>0</v>
      </c>
      <c r="N39" s="112"/>
      <c r="O39" s="112"/>
    </row>
    <row r="40" ht="15.0" customHeight="1">
      <c r="A40" s="112"/>
      <c r="B40" s="112"/>
      <c r="C40" s="112"/>
      <c r="D40" s="129" t="s">
        <v>136</v>
      </c>
      <c r="E40" s="114" t="str">
        <f>VLOOKUP(D40,Data!H:I,2,0)</f>
        <v>İstanbul</v>
      </c>
      <c r="F40" s="115" t="str">
        <f>VLOOKUP(D40,Data!H:J,3,0)</f>
        <v>Filamingo</v>
      </c>
      <c r="G40" s="116" t="b">
        <v>1</v>
      </c>
      <c r="H40" s="116" t="b">
        <v>0</v>
      </c>
      <c r="I40" s="116" t="b">
        <v>0</v>
      </c>
      <c r="J40" s="116" t="b">
        <v>0</v>
      </c>
      <c r="K40" s="116" t="b">
        <v>0</v>
      </c>
      <c r="L40" s="117">
        <f t="shared" si="1"/>
        <v>1</v>
      </c>
      <c r="M40" s="117">
        <f t="shared" si="2"/>
        <v>4</v>
      </c>
      <c r="N40" s="120"/>
      <c r="O40" s="112"/>
    </row>
    <row r="41" ht="15.0" customHeight="1">
      <c r="A41" s="112"/>
      <c r="B41" s="112"/>
      <c r="C41" s="112"/>
      <c r="D41" s="129" t="s">
        <v>75</v>
      </c>
      <c r="E41" s="114" t="str">
        <f>VLOOKUP(D41,Data!H:I,2,0)</f>
        <v>İstanbul</v>
      </c>
      <c r="F41" s="115" t="str">
        <f>VLOOKUP(D41,Data!H:J,3,0)</f>
        <v>Freelance</v>
      </c>
      <c r="G41" s="116" t="b">
        <v>0</v>
      </c>
      <c r="H41" s="116" t="b">
        <v>0</v>
      </c>
      <c r="I41" s="116" t="b">
        <v>0</v>
      </c>
      <c r="J41" s="116" t="b">
        <v>0</v>
      </c>
      <c r="K41" s="116" t="b">
        <v>0</v>
      </c>
      <c r="L41" s="117">
        <f t="shared" si="1"/>
        <v>0</v>
      </c>
      <c r="M41" s="117">
        <f t="shared" si="2"/>
        <v>0</v>
      </c>
      <c r="N41" s="121"/>
      <c r="O41" s="112"/>
    </row>
    <row r="42" ht="15.0" customHeight="1">
      <c r="A42" s="125"/>
      <c r="B42" s="125"/>
      <c r="C42" s="125"/>
      <c r="D42" s="129" t="s">
        <v>77</v>
      </c>
      <c r="E42" s="114" t="str">
        <f>VLOOKUP(D42,Data!H:I,2,0)</f>
        <v>İstanbul</v>
      </c>
      <c r="F42" s="115" t="str">
        <f>VLOOKUP(D42,Data!H:J,3,0)</f>
        <v>Freelance</v>
      </c>
      <c r="G42" s="116" t="b">
        <v>0</v>
      </c>
      <c r="H42" s="116" t="b">
        <v>0</v>
      </c>
      <c r="I42" s="116" t="b">
        <v>0</v>
      </c>
      <c r="J42" s="116" t="b">
        <v>0</v>
      </c>
      <c r="K42" s="116" t="b">
        <v>0</v>
      </c>
      <c r="L42" s="117">
        <f t="shared" si="1"/>
        <v>0</v>
      </c>
      <c r="M42" s="117">
        <f t="shared" si="2"/>
        <v>0</v>
      </c>
      <c r="N42" s="124"/>
      <c r="O42" s="125"/>
    </row>
    <row r="43" ht="15.0" customHeight="1">
      <c r="A43" s="122"/>
      <c r="B43" s="122"/>
      <c r="C43" s="122"/>
      <c r="D43" s="129" t="s">
        <v>78</v>
      </c>
      <c r="E43" s="114" t="str">
        <f>VLOOKUP(D43,Data!H:I,2,0)</f>
        <v>İstanbul</v>
      </c>
      <c r="F43" s="115" t="str">
        <f>VLOOKUP(D43,Data!H:J,3,0)</f>
        <v>Freelance</v>
      </c>
      <c r="G43" s="116" t="b">
        <v>1</v>
      </c>
      <c r="H43" s="116" t="b">
        <v>1</v>
      </c>
      <c r="I43" s="116" t="b">
        <v>0</v>
      </c>
      <c r="J43" s="116" t="b">
        <v>1</v>
      </c>
      <c r="K43" s="116" t="b">
        <v>1</v>
      </c>
      <c r="L43" s="117">
        <f t="shared" si="1"/>
        <v>4</v>
      </c>
      <c r="M43" s="117">
        <f t="shared" si="2"/>
        <v>16</v>
      </c>
      <c r="N43" s="112"/>
      <c r="O43" s="122"/>
    </row>
    <row r="44" ht="15.0" customHeight="1">
      <c r="A44" s="124"/>
      <c r="B44" s="124"/>
      <c r="C44" s="124"/>
      <c r="D44" s="129" t="s">
        <v>79</v>
      </c>
      <c r="E44" s="114" t="str">
        <f>VLOOKUP(D44,Data!H:I,2,0)</f>
        <v>İstanbul</v>
      </c>
      <c r="F44" s="115" t="str">
        <f>VLOOKUP(D44,Data!H:J,3,0)</f>
        <v>Freelance</v>
      </c>
      <c r="G44" s="116" t="b">
        <v>1</v>
      </c>
      <c r="H44" s="116" t="b">
        <v>1</v>
      </c>
      <c r="I44" s="116" t="b">
        <v>1</v>
      </c>
      <c r="J44" s="116" t="b">
        <v>1</v>
      </c>
      <c r="K44" s="116" t="b">
        <v>1</v>
      </c>
      <c r="L44" s="117">
        <f t="shared" si="1"/>
        <v>5</v>
      </c>
      <c r="M44" s="117">
        <f t="shared" si="2"/>
        <v>20</v>
      </c>
      <c r="N44" s="112"/>
      <c r="O44" s="124"/>
    </row>
    <row r="45" ht="15.0" customHeight="1">
      <c r="A45" s="112"/>
      <c r="B45" s="112"/>
      <c r="C45" s="112"/>
      <c r="D45" s="141" t="s">
        <v>125</v>
      </c>
      <c r="E45" s="114" t="str">
        <f>VLOOKUP(D45,Data!H:I,2,0)</f>
        <v>İstanbul</v>
      </c>
      <c r="F45" s="115" t="str">
        <f>VLOOKUP(D45,Data!H:J,3,0)</f>
        <v>Filamingo</v>
      </c>
      <c r="G45" s="116" t="b">
        <v>1</v>
      </c>
      <c r="H45" s="116" t="b">
        <v>1</v>
      </c>
      <c r="I45" s="116" t="b">
        <v>1</v>
      </c>
      <c r="J45" s="116" t="b">
        <v>0</v>
      </c>
      <c r="K45" s="116" t="b">
        <v>1</v>
      </c>
      <c r="L45" s="117">
        <f t="shared" si="1"/>
        <v>4</v>
      </c>
      <c r="M45" s="117">
        <f t="shared" si="2"/>
        <v>16</v>
      </c>
      <c r="N45" s="124"/>
      <c r="O45" s="112"/>
    </row>
    <row r="46" ht="15.0" customHeight="1">
      <c r="A46" s="112"/>
      <c r="B46" s="112"/>
      <c r="C46" s="112"/>
      <c r="D46" s="129" t="s">
        <v>80</v>
      </c>
      <c r="E46" s="114" t="str">
        <f>VLOOKUP(D46,Data!H:I,2,0)</f>
        <v>İstanbul</v>
      </c>
      <c r="F46" s="115" t="str">
        <f>VLOOKUP(D46,Data!H:J,3,0)</f>
        <v>Freelance</v>
      </c>
      <c r="G46" s="116" t="b">
        <v>1</v>
      </c>
      <c r="H46" s="116" t="b">
        <v>0</v>
      </c>
      <c r="I46" s="116" t="b">
        <v>1</v>
      </c>
      <c r="J46" s="116" t="b">
        <v>1</v>
      </c>
      <c r="K46" s="116" t="b">
        <v>1</v>
      </c>
      <c r="L46" s="117">
        <f t="shared" si="1"/>
        <v>4</v>
      </c>
      <c r="M46" s="117">
        <f t="shared" si="2"/>
        <v>16</v>
      </c>
      <c r="N46" s="112"/>
      <c r="O46" s="112"/>
    </row>
    <row r="47" ht="15.0" customHeight="1">
      <c r="A47" s="112"/>
      <c r="B47" s="112"/>
      <c r="C47" s="112"/>
      <c r="D47" s="132" t="s">
        <v>119</v>
      </c>
      <c r="E47" s="114" t="str">
        <f>VLOOKUP(D47,Data!H:I,2,0)</f>
        <v>İstanbul</v>
      </c>
      <c r="F47" s="115" t="str">
        <f>VLOOKUP(D47,Data!H:J,3,0)</f>
        <v>Filamingo</v>
      </c>
      <c r="G47" s="116" t="b">
        <v>1</v>
      </c>
      <c r="H47" s="116" t="b">
        <v>1</v>
      </c>
      <c r="I47" s="116" t="b">
        <v>1</v>
      </c>
      <c r="J47" s="116" t="b">
        <v>0</v>
      </c>
      <c r="K47" s="116" t="b">
        <v>1</v>
      </c>
      <c r="L47" s="117">
        <f t="shared" si="1"/>
        <v>4</v>
      </c>
      <c r="M47" s="117">
        <f t="shared" si="2"/>
        <v>16</v>
      </c>
      <c r="N47" s="112"/>
      <c r="O47" s="112"/>
    </row>
    <row r="48" ht="15.0" customHeight="1">
      <c r="A48" s="112"/>
      <c r="B48" s="112"/>
      <c r="C48" s="112"/>
      <c r="D48" s="129" t="s">
        <v>81</v>
      </c>
      <c r="E48" s="114" t="str">
        <f>VLOOKUP(D48,Data!H:I,2,0)</f>
        <v>İstanbul</v>
      </c>
      <c r="F48" s="115" t="str">
        <f>VLOOKUP(D48,Data!H:J,3,0)</f>
        <v>Freelance</v>
      </c>
      <c r="G48" s="116" t="b">
        <v>1</v>
      </c>
      <c r="H48" s="116" t="b">
        <v>1</v>
      </c>
      <c r="I48" s="116" t="b">
        <v>1</v>
      </c>
      <c r="J48" s="116" t="b">
        <v>1</v>
      </c>
      <c r="K48" s="116" t="b">
        <v>1</v>
      </c>
      <c r="L48" s="117">
        <f t="shared" si="1"/>
        <v>5</v>
      </c>
      <c r="M48" s="117">
        <f t="shared" si="2"/>
        <v>20</v>
      </c>
      <c r="N48" s="125"/>
      <c r="O48" s="112"/>
    </row>
    <row r="49" ht="15.0" customHeight="1">
      <c r="A49" s="112"/>
      <c r="B49" s="112"/>
      <c r="C49" s="112"/>
      <c r="D49" s="132" t="s">
        <v>83</v>
      </c>
      <c r="E49" s="114" t="str">
        <f>VLOOKUP(D49,Data!H:I,2,0)</f>
        <v>İstanbul</v>
      </c>
      <c r="F49" s="115" t="str">
        <f>VLOOKUP(D49,Data!H:J,3,0)</f>
        <v>Nazım Öztel</v>
      </c>
      <c r="G49" s="116" t="b">
        <v>1</v>
      </c>
      <c r="H49" s="116" t="b">
        <v>1</v>
      </c>
      <c r="I49" s="116" t="b">
        <v>1</v>
      </c>
      <c r="J49" s="116" t="b">
        <v>1</v>
      </c>
      <c r="K49" s="116" t="b">
        <v>1</v>
      </c>
      <c r="L49" s="117">
        <f t="shared" si="1"/>
        <v>5</v>
      </c>
      <c r="M49" s="117">
        <f t="shared" si="2"/>
        <v>20</v>
      </c>
      <c r="N49" s="112"/>
      <c r="O49" s="112"/>
    </row>
    <row r="50" ht="15.0" customHeight="1">
      <c r="A50" s="125"/>
      <c r="B50" s="125"/>
      <c r="C50" s="125"/>
      <c r="D50" s="132" t="s">
        <v>85</v>
      </c>
      <c r="E50" s="114" t="str">
        <f>VLOOKUP(D50,Data!H:I,2,0)</f>
        <v>İstanbul</v>
      </c>
      <c r="F50" s="115" t="str">
        <f>VLOOKUP(D50,Data!H:J,3,0)</f>
        <v>Filamingo</v>
      </c>
      <c r="G50" s="116" t="b">
        <v>0</v>
      </c>
      <c r="H50" s="116" t="b">
        <v>0</v>
      </c>
      <c r="I50" s="116" t="b">
        <v>0</v>
      </c>
      <c r="J50" s="116" t="b">
        <v>0</v>
      </c>
      <c r="K50" s="116" t="b">
        <v>0</v>
      </c>
      <c r="L50" s="117">
        <f t="shared" si="1"/>
        <v>0</v>
      </c>
      <c r="M50" s="117">
        <f t="shared" si="2"/>
        <v>0</v>
      </c>
      <c r="N50" s="112"/>
      <c r="O50" s="125"/>
    </row>
    <row r="51" ht="15.0" customHeight="1">
      <c r="A51" s="126"/>
      <c r="B51" s="126"/>
      <c r="C51" s="126"/>
      <c r="D51" s="129" t="s">
        <v>86</v>
      </c>
      <c r="E51" s="114" t="str">
        <f>VLOOKUP(D51,Data!H:I,2,0)</f>
        <v>İstanbul</v>
      </c>
      <c r="F51" s="115" t="str">
        <f>VLOOKUP(D51,Data!H:J,3,0)</f>
        <v>Freelance</v>
      </c>
      <c r="G51" s="116" t="b">
        <v>1</v>
      </c>
      <c r="H51" s="116" t="b">
        <v>1</v>
      </c>
      <c r="I51" s="116" t="b">
        <v>0</v>
      </c>
      <c r="J51" s="116" t="b">
        <v>0</v>
      </c>
      <c r="K51" s="116" t="b">
        <v>0</v>
      </c>
      <c r="L51" s="117">
        <f t="shared" si="1"/>
        <v>2</v>
      </c>
      <c r="M51" s="117">
        <f t="shared" si="2"/>
        <v>8</v>
      </c>
      <c r="N51" s="112"/>
      <c r="O51" s="126"/>
    </row>
    <row r="52" ht="15.0" customHeight="1">
      <c r="A52" s="122"/>
      <c r="B52" s="122"/>
      <c r="C52" s="122"/>
      <c r="D52" s="129" t="s">
        <v>87</v>
      </c>
      <c r="E52" s="114" t="str">
        <f>VLOOKUP(D52,Data!H:I,2,0)</f>
        <v>İstanbul</v>
      </c>
      <c r="F52" s="115" t="str">
        <f>VLOOKUP(D52,Data!H:J,3,0)</f>
        <v>Freelance</v>
      </c>
      <c r="G52" s="116" t="b">
        <v>1</v>
      </c>
      <c r="H52" s="116" t="b">
        <v>1</v>
      </c>
      <c r="I52" s="116" t="b">
        <v>1</v>
      </c>
      <c r="J52" s="116" t="b">
        <v>1</v>
      </c>
      <c r="K52" s="116" t="b">
        <v>0</v>
      </c>
      <c r="L52" s="117">
        <f t="shared" si="1"/>
        <v>4</v>
      </c>
      <c r="M52" s="117">
        <f t="shared" si="2"/>
        <v>16</v>
      </c>
      <c r="N52" s="112"/>
      <c r="O52" s="122"/>
    </row>
    <row r="53" ht="15.0" customHeight="1">
      <c r="A53" s="112"/>
      <c r="B53" s="112"/>
      <c r="C53" s="112"/>
      <c r="D53" s="132" t="s">
        <v>88</v>
      </c>
      <c r="E53" s="114" t="str">
        <f>VLOOKUP(D53,Data!H:I,2,0)</f>
        <v>İstanbul</v>
      </c>
      <c r="F53" s="115" t="str">
        <f>VLOOKUP(D53,Data!H:J,3,0)</f>
        <v>Nazım Öztel</v>
      </c>
      <c r="G53" s="116" t="b">
        <v>1</v>
      </c>
      <c r="H53" s="116" t="b">
        <v>1</v>
      </c>
      <c r="I53" s="116" t="b">
        <v>1</v>
      </c>
      <c r="J53" s="116" t="b">
        <v>1</v>
      </c>
      <c r="K53" s="116" t="b">
        <v>1</v>
      </c>
      <c r="L53" s="117">
        <f t="shared" si="1"/>
        <v>5</v>
      </c>
      <c r="M53" s="117">
        <f t="shared" si="2"/>
        <v>20</v>
      </c>
      <c r="N53" s="112"/>
      <c r="O53" s="112"/>
    </row>
    <row r="54" ht="15.0" customHeight="1">
      <c r="A54" s="112"/>
      <c r="B54" s="112"/>
      <c r="C54" s="112"/>
      <c r="D54" s="129" t="s">
        <v>137</v>
      </c>
      <c r="E54" s="114" t="str">
        <f>VLOOKUP(D54,Data!H:I,2,0)</f>
        <v>İstanbul</v>
      </c>
      <c r="F54" s="115" t="str">
        <f>VLOOKUP(D54,Data!H:J,3,0)</f>
        <v>Nazım Öztel</v>
      </c>
      <c r="G54" s="116" t="b">
        <v>1</v>
      </c>
      <c r="H54" s="116" t="b">
        <v>1</v>
      </c>
      <c r="I54" s="116" t="b">
        <v>0</v>
      </c>
      <c r="J54" s="116" t="b">
        <v>0</v>
      </c>
      <c r="K54" s="116" t="b">
        <v>0</v>
      </c>
      <c r="L54" s="117">
        <f t="shared" si="1"/>
        <v>2</v>
      </c>
      <c r="M54" s="117">
        <f t="shared" si="2"/>
        <v>8</v>
      </c>
      <c r="N54" s="112"/>
      <c r="O54" s="112"/>
    </row>
    <row r="55" ht="15.0" customHeight="1">
      <c r="A55" s="112"/>
      <c r="B55" s="112"/>
      <c r="C55" s="112"/>
      <c r="D55" s="132" t="s">
        <v>89</v>
      </c>
      <c r="E55" s="114" t="str">
        <f>VLOOKUP(D55,Data!H:I,2,0)</f>
        <v>İstanbul</v>
      </c>
      <c r="F55" s="115" t="str">
        <f>VLOOKUP(D55,Data!H:J,3,0)</f>
        <v>Filamingo</v>
      </c>
      <c r="G55" s="116" t="b">
        <v>0</v>
      </c>
      <c r="H55" s="116" t="b">
        <v>0</v>
      </c>
      <c r="I55" s="116" t="b">
        <v>0</v>
      </c>
      <c r="J55" s="116" t="b">
        <v>0</v>
      </c>
      <c r="K55" s="116" t="b">
        <v>0</v>
      </c>
      <c r="L55" s="117">
        <f t="shared" si="1"/>
        <v>0</v>
      </c>
      <c r="M55" s="117">
        <f t="shared" si="2"/>
        <v>0</v>
      </c>
      <c r="N55" s="112"/>
      <c r="O55" s="112"/>
    </row>
    <row r="56" ht="15.0" customHeight="1">
      <c r="A56" s="112"/>
      <c r="B56" s="112"/>
      <c r="C56" s="112"/>
      <c r="D56" s="129" t="s">
        <v>138</v>
      </c>
      <c r="E56" s="114" t="str">
        <f>VLOOKUP(D56,Data!H:I,2,0)</f>
        <v>İstanbul</v>
      </c>
      <c r="F56" s="115" t="str">
        <f>VLOOKUP(D56,Data!H:J,3,0)</f>
        <v>Filamingo</v>
      </c>
      <c r="G56" s="116" t="b">
        <v>1</v>
      </c>
      <c r="H56" s="116" t="b">
        <v>1</v>
      </c>
      <c r="I56" s="116" t="b">
        <v>1</v>
      </c>
      <c r="J56" s="116" t="b">
        <v>1</v>
      </c>
      <c r="K56" s="116" t="b">
        <v>0</v>
      </c>
      <c r="L56" s="117">
        <f t="shared" si="1"/>
        <v>4</v>
      </c>
      <c r="M56" s="117">
        <f t="shared" si="2"/>
        <v>16</v>
      </c>
      <c r="N56" s="112"/>
      <c r="O56" s="112"/>
    </row>
    <row r="57" ht="15.0" customHeight="1">
      <c r="A57" s="112"/>
      <c r="B57" s="112"/>
      <c r="C57" s="112"/>
      <c r="D57" s="129" t="s">
        <v>127</v>
      </c>
      <c r="E57" s="114" t="str">
        <f>VLOOKUP(D57,Data!H:I,2,0)</f>
        <v>İstanbul</v>
      </c>
      <c r="F57" s="115" t="str">
        <f>VLOOKUP(D57,Data!H:J,3,0)</f>
        <v>Filamingo</v>
      </c>
      <c r="G57" s="116" t="b">
        <v>0</v>
      </c>
      <c r="H57" s="116" t="b">
        <v>1</v>
      </c>
      <c r="I57" s="116" t="b">
        <v>1</v>
      </c>
      <c r="J57" s="116" t="b">
        <v>1</v>
      </c>
      <c r="K57" s="116" t="b">
        <v>1</v>
      </c>
      <c r="L57" s="117">
        <f t="shared" si="1"/>
        <v>4</v>
      </c>
      <c r="M57" s="117">
        <f t="shared" si="2"/>
        <v>16</v>
      </c>
      <c r="N57" s="112"/>
      <c r="O57" s="112"/>
    </row>
    <row r="58" ht="15.0" customHeight="1">
      <c r="A58" s="112"/>
      <c r="B58" s="112"/>
      <c r="C58" s="112"/>
      <c r="D58" s="132" t="s">
        <v>92</v>
      </c>
      <c r="E58" s="114" t="str">
        <f>VLOOKUP(D58,Data!H:I,2,0)</f>
        <v>İzmir</v>
      </c>
      <c r="F58" s="115" t="str">
        <f>VLOOKUP(D58,Data!H:J,3,0)</f>
        <v>Nazım Öztel</v>
      </c>
      <c r="G58" s="116" t="b">
        <v>1</v>
      </c>
      <c r="H58" s="116" t="b">
        <v>1</v>
      </c>
      <c r="I58" s="116" t="b">
        <v>1</v>
      </c>
      <c r="J58" s="116" t="b">
        <v>1</v>
      </c>
      <c r="K58" s="116" t="b">
        <v>1</v>
      </c>
      <c r="L58" s="117">
        <f t="shared" si="1"/>
        <v>5</v>
      </c>
      <c r="M58" s="117">
        <f t="shared" si="2"/>
        <v>20</v>
      </c>
      <c r="N58" s="125"/>
      <c r="O58" s="112"/>
    </row>
    <row r="59" ht="15.0" customHeight="1">
      <c r="A59" s="112"/>
      <c r="B59" s="112"/>
      <c r="C59" s="112"/>
      <c r="D59" s="129" t="s">
        <v>139</v>
      </c>
      <c r="E59" s="114" t="s">
        <v>129</v>
      </c>
      <c r="F59" s="115" t="str">
        <f>VLOOKUP(D59,Data!H:J,3,0)</f>
        <v>Nazım Öztel</v>
      </c>
      <c r="G59" s="116" t="b">
        <v>1</v>
      </c>
      <c r="H59" s="116" t="b">
        <v>0</v>
      </c>
      <c r="I59" s="116" t="b">
        <v>1</v>
      </c>
      <c r="J59" s="116" t="b">
        <v>1</v>
      </c>
      <c r="K59" s="116" t="b">
        <v>1</v>
      </c>
      <c r="L59" s="117">
        <f t="shared" si="1"/>
        <v>4</v>
      </c>
      <c r="M59" s="117">
        <f t="shared" si="2"/>
        <v>16</v>
      </c>
      <c r="N59" s="125"/>
      <c r="O59" s="112"/>
    </row>
    <row r="60" ht="15.0" customHeight="1">
      <c r="A60" s="112"/>
      <c r="B60" s="112"/>
      <c r="C60" s="112"/>
      <c r="D60" s="129" t="s">
        <v>93</v>
      </c>
      <c r="E60" s="114" t="str">
        <f>VLOOKUP(D60,Data!H:I,2,0)</f>
        <v>İzmir</v>
      </c>
      <c r="F60" s="115" t="str">
        <f>VLOOKUP(D60,Data!H:J,3,0)</f>
        <v>Freelance</v>
      </c>
      <c r="G60" s="116" t="b">
        <v>1</v>
      </c>
      <c r="H60" s="116" t="b">
        <v>1</v>
      </c>
      <c r="I60" s="116" t="b">
        <v>1</v>
      </c>
      <c r="J60" s="116" t="b">
        <v>1</v>
      </c>
      <c r="K60" s="116" t="b">
        <v>0</v>
      </c>
      <c r="L60" s="117">
        <f t="shared" si="1"/>
        <v>4</v>
      </c>
      <c r="M60" s="117">
        <f t="shared" si="2"/>
        <v>16</v>
      </c>
      <c r="N60" s="112"/>
      <c r="O60" s="112"/>
    </row>
    <row r="61" ht="15.0" customHeight="1">
      <c r="A61" s="112"/>
      <c r="B61" s="112"/>
      <c r="C61" s="112"/>
      <c r="D61" s="132" t="s">
        <v>96</v>
      </c>
      <c r="E61" s="114" t="str">
        <f>VLOOKUP(D61,Data!H:I,2,0)</f>
        <v>Kocaeli</v>
      </c>
      <c r="F61" s="115" t="str">
        <f>VLOOKUP(D61,Data!H:J,3,0)</f>
        <v>Nazım Öztel</v>
      </c>
      <c r="G61" s="116" t="b">
        <v>0</v>
      </c>
      <c r="H61" s="116" t="b">
        <v>0</v>
      </c>
      <c r="I61" s="116" t="b">
        <v>1</v>
      </c>
      <c r="J61" s="116" t="b">
        <v>0</v>
      </c>
      <c r="K61" s="116" t="b">
        <v>1</v>
      </c>
      <c r="L61" s="117">
        <f t="shared" si="1"/>
        <v>2</v>
      </c>
      <c r="M61" s="117">
        <f t="shared" si="2"/>
        <v>8</v>
      </c>
      <c r="N61" s="112"/>
      <c r="O61" s="112"/>
    </row>
    <row r="62" ht="15.0" customHeight="1">
      <c r="A62" s="112"/>
      <c r="B62" s="112"/>
      <c r="C62" s="112"/>
      <c r="D62" s="132" t="s">
        <v>97</v>
      </c>
      <c r="E62" s="114" t="str">
        <f>VLOOKUP(D62,Data!H:I,2,0)</f>
        <v>Konya</v>
      </c>
      <c r="F62" s="115" t="str">
        <f>VLOOKUP(D62,Data!H:J,3,0)</f>
        <v>Nazım Öztel</v>
      </c>
      <c r="G62" s="116" t="b">
        <v>0</v>
      </c>
      <c r="H62" s="116" t="b">
        <v>0</v>
      </c>
      <c r="I62" s="116" t="b">
        <v>0</v>
      </c>
      <c r="J62" s="116" t="b">
        <v>1</v>
      </c>
      <c r="K62" s="116" t="b">
        <v>0</v>
      </c>
      <c r="L62" s="117">
        <f t="shared" si="1"/>
        <v>1</v>
      </c>
      <c r="M62" s="117">
        <f t="shared" si="2"/>
        <v>4</v>
      </c>
      <c r="N62" s="112"/>
      <c r="O62" s="112"/>
    </row>
    <row r="63" ht="15.0" customHeight="1">
      <c r="A63" s="112"/>
      <c r="B63" s="112"/>
      <c r="C63" s="112"/>
      <c r="D63" s="132" t="s">
        <v>98</v>
      </c>
      <c r="E63" s="114" t="str">
        <f>VLOOKUP(D63,Data!H:I,2,0)</f>
        <v>Manisa</v>
      </c>
      <c r="F63" s="115" t="str">
        <f>VLOOKUP(D63,Data!H:J,3,0)</f>
        <v>Nazım Öztel</v>
      </c>
      <c r="G63" s="116" t="b">
        <v>0</v>
      </c>
      <c r="H63" s="116" t="b">
        <v>0</v>
      </c>
      <c r="I63" s="116" t="b">
        <v>0</v>
      </c>
      <c r="J63" s="116" t="b">
        <v>0</v>
      </c>
      <c r="K63" s="116" t="b">
        <v>0</v>
      </c>
      <c r="L63" s="117">
        <f t="shared" si="1"/>
        <v>0</v>
      </c>
      <c r="M63" s="117">
        <f t="shared" si="2"/>
        <v>0</v>
      </c>
      <c r="N63" s="142"/>
      <c r="O63" s="112"/>
    </row>
    <row r="64" ht="15.0" customHeight="1">
      <c r="A64" s="112"/>
      <c r="B64" s="112"/>
      <c r="C64" s="112"/>
      <c r="D64" s="132" t="s">
        <v>99</v>
      </c>
      <c r="E64" s="114" t="str">
        <f>VLOOKUP(D64,Data!H:I,2,0)</f>
        <v>Mersin</v>
      </c>
      <c r="F64" s="115" t="str">
        <f>VLOOKUP(D64,Data!H:J,3,0)</f>
        <v>Nazım Öztel</v>
      </c>
      <c r="G64" s="116" t="b">
        <v>1</v>
      </c>
      <c r="H64" s="116" t="b">
        <v>0</v>
      </c>
      <c r="I64" s="116" t="b">
        <v>0</v>
      </c>
      <c r="J64" s="116" t="b">
        <v>1</v>
      </c>
      <c r="K64" s="116" t="b">
        <v>0</v>
      </c>
      <c r="L64" s="117">
        <f t="shared" si="1"/>
        <v>2</v>
      </c>
      <c r="M64" s="117">
        <f t="shared" si="2"/>
        <v>8</v>
      </c>
      <c r="N64" s="106"/>
      <c r="O64" s="112"/>
    </row>
    <row r="65" ht="15.0" customHeight="1">
      <c r="A65" s="112"/>
      <c r="B65" s="112"/>
      <c r="C65" s="112"/>
      <c r="D65" s="132" t="s">
        <v>101</v>
      </c>
      <c r="E65" s="114" t="str">
        <f>VLOOKUP(D65,Data!H:I,2,0)</f>
        <v>Samsun</v>
      </c>
      <c r="F65" s="115" t="str">
        <f>VLOOKUP(D65,Data!H:J,3,0)</f>
        <v>Nazım Öztel</v>
      </c>
      <c r="G65" s="139" t="b">
        <v>0</v>
      </c>
      <c r="H65" s="139" t="b">
        <v>0</v>
      </c>
      <c r="I65" s="139" t="b">
        <v>0</v>
      </c>
      <c r="J65" s="139" t="b">
        <v>0</v>
      </c>
      <c r="K65" s="139" t="b">
        <v>0</v>
      </c>
      <c r="L65" s="117">
        <f t="shared" si="1"/>
        <v>0</v>
      </c>
      <c r="M65" s="117">
        <f t="shared" si="2"/>
        <v>0</v>
      </c>
      <c r="N65" s="112"/>
      <c r="O65" s="112"/>
    </row>
    <row r="66" ht="15.0" customHeight="1">
      <c r="A66" s="112"/>
      <c r="B66" s="112"/>
      <c r="C66" s="112"/>
      <c r="D66" s="129" t="s">
        <v>104</v>
      </c>
      <c r="E66" s="114" t="str">
        <f>VLOOKUP(D66,Data!H:I,2,0)</f>
        <v>Tekirdağ</v>
      </c>
      <c r="F66" s="115" t="str">
        <f>VLOOKUP(D66,Data!H:J,3,0)</f>
        <v>Freelance</v>
      </c>
      <c r="G66" s="139" t="b">
        <v>0</v>
      </c>
      <c r="H66" s="139" t="b">
        <v>0</v>
      </c>
      <c r="I66" s="139" t="b">
        <v>0</v>
      </c>
      <c r="J66" s="139" t="b">
        <v>0</v>
      </c>
      <c r="K66" s="139" t="b">
        <v>0</v>
      </c>
      <c r="L66" s="117">
        <f t="shared" si="1"/>
        <v>0</v>
      </c>
      <c r="M66" s="117">
        <f t="shared" si="2"/>
        <v>0</v>
      </c>
      <c r="N66" s="112"/>
      <c r="O66" s="112"/>
    </row>
    <row r="67" ht="15.0" customHeight="1">
      <c r="A67" s="112"/>
      <c r="B67" s="112"/>
      <c r="C67" s="112"/>
      <c r="D67" s="132"/>
      <c r="E67" s="132"/>
      <c r="F67" s="132"/>
      <c r="G67" s="117">
        <f t="shared" ref="G67:H67" si="3">4*(COUNTIF(G14:G66,"true"))+9</f>
        <v>129</v>
      </c>
      <c r="H67" s="117">
        <f t="shared" si="3"/>
        <v>133</v>
      </c>
      <c r="I67" s="117">
        <f>4*(COUNTIF(I14:I66,"true"))+6</f>
        <v>114</v>
      </c>
      <c r="J67" s="117">
        <f>4*(COUNTIF(J14:J66,"true"))+9</f>
        <v>133</v>
      </c>
      <c r="K67" s="117">
        <f>4*(COUNTIF(K14:K66,"true"))+6</f>
        <v>102</v>
      </c>
      <c r="L67" s="135"/>
      <c r="M67" s="135">
        <f>SUM(G67:K67)</f>
        <v>611</v>
      </c>
      <c r="N67" s="112"/>
      <c r="O67" s="112"/>
    </row>
  </sheetData>
  <customSheetViews>
    <customSheetView guid="{90E1DF85-7252-44D2-BA7D-CC3767CD0E8B}" filter="1" showAutoFilter="1">
      <autoFilter ref="$A$14:$O$67">
        <filterColumn colId="4">
          <filters>
            <filter val="Samsun"/>
          </filters>
        </filterColumn>
      </autoFilter>
    </customSheetView>
    <customSheetView guid="{70B995D3-3AEB-4DFE-A0CA-D6FFCCE596BC}" filter="1" showAutoFilter="1">
      <autoFilter ref="$D$14:$D$66"/>
    </customSheetView>
  </customSheetViews>
  <mergeCells count="4">
    <mergeCell ref="D6:K6"/>
    <mergeCell ref="D7:F7"/>
    <mergeCell ref="D9:D12"/>
    <mergeCell ref="F10:M11"/>
  </mergeCells>
  <conditionalFormatting sqref="G15:K66">
    <cfRule type="cellIs" dxfId="1" priority="1" operator="equal">
      <formula>"False"</formula>
    </cfRule>
  </conditionalFormatting>
  <conditionalFormatting sqref="G15:K66">
    <cfRule type="cellIs" dxfId="0" priority="2" operator="equal">
      <formula>"TRUE"</formula>
    </cfRule>
  </conditionalFormatting>
  <dataValidations>
    <dataValidation type="list" allowBlank="1" showErrorMessage="1" sqref="E15:E66">
      <formula1>Data!$A$2:$A$10</formula1>
    </dataValidation>
    <dataValidation type="list" allowBlank="1" showErrorMessage="1" sqref="F15:F66">
      <formula1>Data!$C$2:$C$8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3" width="2.63"/>
    <col customWidth="1" min="4" max="4" width="20.38"/>
    <col customWidth="1" min="5" max="5" width="11.38"/>
    <col customWidth="1" min="6" max="6" width="16.63"/>
    <col customWidth="1" min="7" max="11" width="8.63"/>
    <col customWidth="1" min="12" max="12" width="12.63"/>
    <col customWidth="1" min="13" max="13" width="15.13"/>
    <col customWidth="1" min="14" max="15" width="2.63"/>
  </cols>
  <sheetData>
    <row r="1" ht="7.5" customHeight="1">
      <c r="A1" s="140"/>
      <c r="B1" s="84"/>
      <c r="C1" s="84"/>
      <c r="D1" s="84"/>
      <c r="E1" s="84"/>
      <c r="F1" s="84"/>
      <c r="G1" s="84"/>
      <c r="H1" s="84"/>
      <c r="I1" s="84"/>
      <c r="J1" s="84"/>
      <c r="K1" s="84"/>
      <c r="L1" s="85"/>
      <c r="M1" s="86"/>
      <c r="N1" s="86"/>
      <c r="O1" s="86"/>
    </row>
    <row r="2" ht="15.0" customHeight="1">
      <c r="A2" s="87"/>
      <c r="B2" s="87"/>
      <c r="C2" s="87"/>
      <c r="D2" s="88"/>
      <c r="E2" s="88"/>
      <c r="F2" s="88"/>
      <c r="G2" s="88"/>
      <c r="H2" s="88"/>
      <c r="I2" s="88"/>
      <c r="J2" s="88"/>
      <c r="K2" s="88"/>
      <c r="L2" s="88"/>
      <c r="M2" s="87"/>
      <c r="N2" s="87"/>
      <c r="O2" s="87"/>
    </row>
    <row r="3" ht="3.75" customHeight="1">
      <c r="A3" s="87"/>
      <c r="B3" s="87"/>
      <c r="C3" s="87"/>
      <c r="D3" s="89"/>
      <c r="E3" s="90"/>
      <c r="F3" s="90"/>
      <c r="G3" s="90"/>
      <c r="H3" s="90"/>
      <c r="I3" s="90"/>
      <c r="J3" s="90"/>
      <c r="K3" s="90"/>
      <c r="L3" s="90"/>
      <c r="M3" s="87"/>
      <c r="N3" s="87"/>
      <c r="O3" s="87"/>
    </row>
    <row r="4" ht="15.0" customHeight="1">
      <c r="A4" s="87"/>
      <c r="B4" s="87"/>
      <c r="C4" s="87"/>
      <c r="D4" s="88"/>
      <c r="E4" s="88"/>
      <c r="F4" s="88"/>
      <c r="G4" s="91"/>
      <c r="H4" s="91"/>
      <c r="I4" s="91"/>
      <c r="J4" s="91"/>
      <c r="K4" s="91"/>
      <c r="L4" s="91"/>
      <c r="M4" s="87"/>
      <c r="N4" s="87"/>
      <c r="O4" s="87"/>
    </row>
    <row r="5" ht="15.0" customHeight="1">
      <c r="A5" s="92"/>
      <c r="B5" s="92"/>
      <c r="C5" s="92"/>
      <c r="D5" s="88"/>
      <c r="E5" s="88"/>
      <c r="F5" s="88"/>
      <c r="G5" s="93"/>
      <c r="H5" s="93"/>
      <c r="I5" s="93"/>
      <c r="J5" s="93"/>
      <c r="K5" s="93"/>
      <c r="L5" s="94"/>
      <c r="M5" s="88"/>
      <c r="N5" s="92"/>
      <c r="O5" s="92"/>
    </row>
    <row r="6" ht="15.0" customHeight="1">
      <c r="A6" s="92"/>
      <c r="B6" s="92"/>
      <c r="C6" s="92"/>
      <c r="D6" s="95" t="s">
        <v>142</v>
      </c>
      <c r="L6" s="94"/>
      <c r="M6" s="88"/>
      <c r="N6" s="92"/>
      <c r="O6" s="92"/>
    </row>
    <row r="7" ht="15.0" customHeight="1">
      <c r="A7" s="92"/>
      <c r="B7" s="92"/>
      <c r="C7" s="92"/>
      <c r="D7" s="96" t="s">
        <v>143</v>
      </c>
      <c r="G7" s="97"/>
      <c r="H7" s="97"/>
      <c r="I7" s="97"/>
      <c r="J7" s="97"/>
      <c r="K7" s="97"/>
      <c r="L7" s="92"/>
      <c r="M7" s="92"/>
      <c r="N7" s="92"/>
      <c r="O7" s="92"/>
    </row>
    <row r="8" ht="15.0" customHeight="1">
      <c r="A8" s="92"/>
      <c r="B8" s="92"/>
      <c r="C8" s="92"/>
      <c r="D8" s="97"/>
      <c r="E8" s="97"/>
      <c r="F8" s="97"/>
      <c r="G8" s="97"/>
      <c r="H8" s="97"/>
      <c r="I8" s="97"/>
      <c r="J8" s="97"/>
      <c r="K8" s="97"/>
      <c r="L8" s="92"/>
      <c r="M8" s="92"/>
      <c r="N8" s="92"/>
      <c r="O8" s="92"/>
    </row>
    <row r="9" ht="15.0" customHeight="1">
      <c r="A9" s="92"/>
      <c r="B9" s="92"/>
      <c r="C9" s="98"/>
      <c r="D9" s="99" t="s">
        <v>35</v>
      </c>
      <c r="E9" s="100"/>
      <c r="F9" s="101"/>
      <c r="G9" s="101"/>
      <c r="H9" s="101"/>
      <c r="I9" s="101"/>
      <c r="J9" s="101"/>
      <c r="K9" s="101"/>
      <c r="L9" s="101"/>
      <c r="M9" s="100"/>
      <c r="N9" s="102"/>
      <c r="O9" s="102"/>
    </row>
    <row r="10" ht="15.0" customHeight="1">
      <c r="A10" s="92"/>
      <c r="B10" s="92"/>
      <c r="C10" s="98"/>
      <c r="E10" s="100"/>
      <c r="F10" s="103" t="s">
        <v>36</v>
      </c>
      <c r="N10" s="102"/>
      <c r="O10" s="102"/>
    </row>
    <row r="11" ht="15.0" customHeight="1">
      <c r="A11" s="92"/>
      <c r="B11" s="92"/>
      <c r="C11" s="98"/>
      <c r="E11" s="100"/>
      <c r="N11" s="102"/>
      <c r="O11" s="102"/>
    </row>
    <row r="12" ht="15.0" customHeight="1">
      <c r="A12" s="88"/>
      <c r="B12" s="92"/>
      <c r="C12" s="92"/>
      <c r="E12" s="100"/>
      <c r="F12" s="100"/>
      <c r="G12" s="100"/>
      <c r="H12" s="100"/>
      <c r="I12" s="100"/>
      <c r="J12" s="100"/>
      <c r="K12" s="100"/>
      <c r="L12" s="100"/>
      <c r="M12" s="100"/>
      <c r="N12" s="102"/>
      <c r="O12" s="102"/>
    </row>
    <row r="13" ht="15.0" customHeight="1">
      <c r="A13" s="88"/>
      <c r="B13" s="104"/>
      <c r="C13" s="104"/>
      <c r="D13" s="104"/>
      <c r="E13" s="104"/>
      <c r="F13" s="105"/>
      <c r="G13" s="105"/>
      <c r="H13" s="105"/>
      <c r="I13" s="105"/>
      <c r="J13" s="105"/>
      <c r="K13" s="105"/>
      <c r="L13" s="104"/>
      <c r="M13" s="104"/>
      <c r="N13" s="104"/>
      <c r="O13" s="104"/>
    </row>
    <row r="14" ht="15.0" customHeight="1">
      <c r="A14" s="106"/>
      <c r="B14" s="106"/>
      <c r="C14" s="106"/>
      <c r="D14" s="107" t="s">
        <v>37</v>
      </c>
      <c r="E14" s="108" t="s">
        <v>38</v>
      </c>
      <c r="F14" s="109" t="s">
        <v>39</v>
      </c>
      <c r="G14" s="110">
        <v>44452.0</v>
      </c>
      <c r="H14" s="110">
        <v>44453.0</v>
      </c>
      <c r="I14" s="110">
        <v>44454.0</v>
      </c>
      <c r="J14" s="110">
        <v>44455.0</v>
      </c>
      <c r="K14" s="110">
        <v>44456.0</v>
      </c>
      <c r="L14" s="111" t="s">
        <v>40</v>
      </c>
      <c r="M14" s="111" t="s">
        <v>41</v>
      </c>
      <c r="N14" s="88"/>
      <c r="O14" s="88"/>
    </row>
    <row r="15" ht="15.0" customHeight="1">
      <c r="A15" s="112"/>
      <c r="B15" s="112"/>
      <c r="C15" s="112"/>
      <c r="D15" s="129" t="s">
        <v>42</v>
      </c>
      <c r="E15" s="114" t="str">
        <f>VLOOKUP(D15,Data!H:I,2,0)</f>
        <v>Adana</v>
      </c>
      <c r="F15" s="115" t="str">
        <f>VLOOKUP(D15,Data!H:J,3,0)</f>
        <v>Freelance</v>
      </c>
      <c r="G15" s="116" t="b">
        <v>1</v>
      </c>
      <c r="H15" s="116" t="b">
        <v>1</v>
      </c>
      <c r="I15" s="116" t="b">
        <v>1</v>
      </c>
      <c r="J15" s="116" t="b">
        <v>1</v>
      </c>
      <c r="K15" s="116" t="b">
        <v>1</v>
      </c>
      <c r="L15" s="117">
        <f t="shared" ref="L15:L65" si="1">COUNTIF(G15:K15,"TRUE")</f>
        <v>5</v>
      </c>
      <c r="M15" s="117">
        <f t="shared" ref="M15:M65" si="2">L15*4</f>
        <v>20</v>
      </c>
      <c r="N15" s="112"/>
      <c r="O15" s="88"/>
    </row>
    <row r="16" ht="15.0" customHeight="1">
      <c r="A16" s="112"/>
      <c r="B16" s="112"/>
      <c r="C16" s="112"/>
      <c r="D16" s="129" t="s">
        <v>43</v>
      </c>
      <c r="E16" s="114" t="str">
        <f>VLOOKUP(D16,Data!H:I,2,0)</f>
        <v>Adana</v>
      </c>
      <c r="F16" s="115" t="str">
        <f>VLOOKUP(D16,Data!H:J,3,0)</f>
        <v>Freelance</v>
      </c>
      <c r="G16" s="116" t="b">
        <v>1</v>
      </c>
      <c r="H16" s="116" t="b">
        <v>1</v>
      </c>
      <c r="I16" s="116" t="b">
        <v>1</v>
      </c>
      <c r="J16" s="116" t="b">
        <v>1</v>
      </c>
      <c r="K16" s="116" t="b">
        <v>1</v>
      </c>
      <c r="L16" s="117">
        <f t="shared" si="1"/>
        <v>5</v>
      </c>
      <c r="M16" s="117">
        <f t="shared" si="2"/>
        <v>20</v>
      </c>
      <c r="N16" s="112"/>
      <c r="O16" s="88"/>
    </row>
    <row r="17" ht="15.0" customHeight="1">
      <c r="A17" s="112"/>
      <c r="B17" s="112"/>
      <c r="C17" s="112"/>
      <c r="D17" s="119" t="s">
        <v>48</v>
      </c>
      <c r="E17" s="114" t="str">
        <f>VLOOKUP(D17,Data!H:I,2,0)</f>
        <v>Ankara</v>
      </c>
      <c r="F17" s="115" t="str">
        <f>VLOOKUP(D17,Data!H:J,3,0)</f>
        <v>Medya Özgür Deniz</v>
      </c>
      <c r="G17" s="116" t="b">
        <v>1</v>
      </c>
      <c r="H17" s="116" t="b">
        <v>1</v>
      </c>
      <c r="I17" s="116" t="b">
        <v>1</v>
      </c>
      <c r="J17" s="116" t="b">
        <v>1</v>
      </c>
      <c r="K17" s="116" t="b">
        <v>0</v>
      </c>
      <c r="L17" s="117">
        <f t="shared" si="1"/>
        <v>4</v>
      </c>
      <c r="M17" s="117">
        <f t="shared" si="2"/>
        <v>16</v>
      </c>
      <c r="N17" s="88"/>
      <c r="O17" s="88"/>
    </row>
    <row r="18" ht="15.0" customHeight="1">
      <c r="A18" s="112"/>
      <c r="B18" s="112"/>
      <c r="C18" s="112"/>
      <c r="D18" s="131" t="s">
        <v>44</v>
      </c>
      <c r="E18" s="114" t="str">
        <f>VLOOKUP(D18,Data!H:I,2,0)</f>
        <v>Ankara</v>
      </c>
      <c r="F18" s="115" t="str">
        <f>VLOOKUP(D18,Data!H:J,3,0)</f>
        <v>Medya Özgür Deniz</v>
      </c>
      <c r="G18" s="116" t="b">
        <v>0</v>
      </c>
      <c r="H18" s="116" t="b">
        <v>1</v>
      </c>
      <c r="I18" s="116" t="b">
        <v>0</v>
      </c>
      <c r="J18" s="116" t="b">
        <v>1</v>
      </c>
      <c r="K18" s="116" t="b">
        <v>0</v>
      </c>
      <c r="L18" s="117">
        <f t="shared" si="1"/>
        <v>2</v>
      </c>
      <c r="M18" s="117">
        <f t="shared" si="2"/>
        <v>8</v>
      </c>
      <c r="N18" s="112"/>
      <c r="O18" s="88"/>
    </row>
    <row r="19" ht="15.0" customHeight="1">
      <c r="A19" s="120"/>
      <c r="B19" s="120"/>
      <c r="C19" s="120"/>
      <c r="D19" s="131" t="s">
        <v>45</v>
      </c>
      <c r="E19" s="114" t="str">
        <f>VLOOKUP(D19,Data!H:I,2,0)</f>
        <v>Ankara</v>
      </c>
      <c r="F19" s="115" t="str">
        <f>VLOOKUP(D19,Data!H:J,3,0)</f>
        <v>Medya Özgür Deniz</v>
      </c>
      <c r="G19" s="116" t="b">
        <v>0</v>
      </c>
      <c r="H19" s="116" t="b">
        <v>0</v>
      </c>
      <c r="I19" s="116" t="b">
        <v>0</v>
      </c>
      <c r="J19" s="116" t="b">
        <v>0</v>
      </c>
      <c r="K19" s="116" t="b">
        <v>1</v>
      </c>
      <c r="L19" s="117">
        <f t="shared" si="1"/>
        <v>1</v>
      </c>
      <c r="M19" s="117">
        <f t="shared" si="2"/>
        <v>4</v>
      </c>
      <c r="N19" s="112"/>
      <c r="O19" s="120"/>
    </row>
    <row r="20" ht="15.0" customHeight="1">
      <c r="A20" s="121"/>
      <c r="B20" s="121"/>
      <c r="C20" s="121"/>
      <c r="D20" s="131" t="s">
        <v>46</v>
      </c>
      <c r="E20" s="114" t="str">
        <f>VLOOKUP(D20,Data!H:I,2,0)</f>
        <v>Ankara</v>
      </c>
      <c r="F20" s="115" t="str">
        <f>VLOOKUP(D20,Data!H:J,3,0)</f>
        <v>Medya Özgür Deniz</v>
      </c>
      <c r="G20" s="116" t="b">
        <v>1</v>
      </c>
      <c r="H20" s="116" t="b">
        <v>1</v>
      </c>
      <c r="I20" s="116" t="b">
        <v>1</v>
      </c>
      <c r="J20" s="116" t="b">
        <v>1</v>
      </c>
      <c r="K20" s="116" t="b">
        <v>1</v>
      </c>
      <c r="L20" s="117">
        <f t="shared" si="1"/>
        <v>5</v>
      </c>
      <c r="M20" s="117">
        <f t="shared" si="2"/>
        <v>20</v>
      </c>
      <c r="N20" s="112"/>
      <c r="O20" s="121"/>
    </row>
    <row r="21" ht="15.0" customHeight="1">
      <c r="A21" s="121"/>
      <c r="B21" s="121"/>
      <c r="C21" s="121"/>
      <c r="D21" s="131" t="s">
        <v>47</v>
      </c>
      <c r="E21" s="114" t="str">
        <f>VLOOKUP(D21,Data!H:I,2,0)</f>
        <v>Ankara</v>
      </c>
      <c r="F21" s="115" t="str">
        <f>VLOOKUP(D21,Data!H:J,3,0)</f>
        <v>Medya Özgür Deniz</v>
      </c>
      <c r="G21" s="116" t="b">
        <v>1</v>
      </c>
      <c r="H21" s="116" t="b">
        <v>1</v>
      </c>
      <c r="I21" s="116" t="b">
        <v>1</v>
      </c>
      <c r="J21" s="116" t="b">
        <v>1</v>
      </c>
      <c r="K21" s="116" t="b">
        <v>1</v>
      </c>
      <c r="L21" s="117">
        <f t="shared" si="1"/>
        <v>5</v>
      </c>
      <c r="M21" s="117">
        <f t="shared" si="2"/>
        <v>20</v>
      </c>
      <c r="N21" s="112"/>
      <c r="O21" s="121"/>
    </row>
    <row r="22" ht="15.0" customHeight="1">
      <c r="A22" s="112"/>
      <c r="B22" s="112"/>
      <c r="C22" s="112"/>
      <c r="D22" s="129" t="s">
        <v>50</v>
      </c>
      <c r="E22" s="114" t="str">
        <f>VLOOKUP(D22,Data!H:I,2,0)</f>
        <v>Antalya</v>
      </c>
      <c r="F22" s="115" t="str">
        <f>VLOOKUP(D22,Data!H:J,3,0)</f>
        <v>Freelance</v>
      </c>
      <c r="G22" s="116" t="b">
        <v>1</v>
      </c>
      <c r="H22" s="116" t="b">
        <v>1</v>
      </c>
      <c r="I22" s="116" t="b">
        <v>1</v>
      </c>
      <c r="J22" s="116" t="b">
        <v>1</v>
      </c>
      <c r="K22" s="116" t="b">
        <v>1</v>
      </c>
      <c r="L22" s="117">
        <f t="shared" si="1"/>
        <v>5</v>
      </c>
      <c r="M22" s="117">
        <f t="shared" si="2"/>
        <v>20</v>
      </c>
      <c r="N22" s="112"/>
      <c r="O22" s="112"/>
    </row>
    <row r="23" ht="15.0" customHeight="1">
      <c r="A23" s="112"/>
      <c r="B23" s="112"/>
      <c r="C23" s="112"/>
      <c r="D23" s="129" t="s">
        <v>144</v>
      </c>
      <c r="E23" s="114" t="str">
        <f>VLOOKUP(D23,Data!H:I,2,0)</f>
        <v>Balıkesir</v>
      </c>
      <c r="F23" s="115" t="str">
        <f>VLOOKUP(D23,Data!H:J,3,0)</f>
        <v>Nazım Öztel</v>
      </c>
      <c r="G23" s="116" t="b">
        <v>0</v>
      </c>
      <c r="H23" s="116" t="b">
        <v>0</v>
      </c>
      <c r="I23" s="116" t="b">
        <v>1</v>
      </c>
      <c r="J23" s="116" t="b">
        <v>1</v>
      </c>
      <c r="K23" s="116" t="b">
        <v>0</v>
      </c>
      <c r="L23" s="117">
        <f t="shared" si="1"/>
        <v>2</v>
      </c>
      <c r="M23" s="117">
        <f t="shared" si="2"/>
        <v>8</v>
      </c>
      <c r="N23" s="112"/>
      <c r="O23" s="112"/>
    </row>
    <row r="24" ht="15.0" customHeight="1">
      <c r="A24" s="112"/>
      <c r="B24" s="112"/>
      <c r="C24" s="112"/>
      <c r="D24" s="132" t="s">
        <v>52</v>
      </c>
      <c r="E24" s="114" t="str">
        <f>VLOOKUP(D24,Data!H:I,2,0)</f>
        <v>Bursa</v>
      </c>
      <c r="F24" s="115" t="str">
        <f>VLOOKUP(D24,Data!H:J,3,0)</f>
        <v>Nazım Öztel</v>
      </c>
      <c r="G24" s="116" t="b">
        <v>1</v>
      </c>
      <c r="H24" s="116" t="b">
        <v>1</v>
      </c>
      <c r="I24" s="116" t="b">
        <v>1</v>
      </c>
      <c r="J24" s="116" t="b">
        <v>1</v>
      </c>
      <c r="K24" s="116" t="b">
        <v>1</v>
      </c>
      <c r="L24" s="117">
        <f t="shared" si="1"/>
        <v>5</v>
      </c>
      <c r="M24" s="117">
        <f t="shared" si="2"/>
        <v>20</v>
      </c>
      <c r="N24" s="122"/>
      <c r="O24" s="112"/>
    </row>
    <row r="25" ht="15.0" customHeight="1">
      <c r="A25" s="112"/>
      <c r="B25" s="112"/>
      <c r="C25" s="112"/>
      <c r="D25" s="129" t="s">
        <v>53</v>
      </c>
      <c r="E25" s="114" t="str">
        <f>VLOOKUP(D25,Data!H:I,2,0)</f>
        <v>Bursa</v>
      </c>
      <c r="F25" s="115" t="str">
        <f>VLOOKUP(D25,Data!H:J,3,0)</f>
        <v>Freelance</v>
      </c>
      <c r="G25" s="116" t="b">
        <v>1</v>
      </c>
      <c r="H25" s="116" t="b">
        <v>1</v>
      </c>
      <c r="I25" s="116" t="b">
        <v>1</v>
      </c>
      <c r="J25" s="116" t="b">
        <v>1</v>
      </c>
      <c r="K25" s="116" t="b">
        <v>1</v>
      </c>
      <c r="L25" s="117">
        <f t="shared" si="1"/>
        <v>5</v>
      </c>
      <c r="M25" s="117">
        <f t="shared" si="2"/>
        <v>20</v>
      </c>
      <c r="N25" s="112"/>
      <c r="O25" s="112"/>
    </row>
    <row r="26" ht="15.0" customHeight="1">
      <c r="A26" s="112"/>
      <c r="B26" s="112"/>
      <c r="C26" s="112"/>
      <c r="D26" s="132" t="s">
        <v>54</v>
      </c>
      <c r="E26" s="114" t="str">
        <f>VLOOKUP(D26,Data!H:I,2,0)</f>
        <v>Diyarbakır</v>
      </c>
      <c r="F26" s="115" t="str">
        <f>VLOOKUP(D26,Data!H:J,3,0)</f>
        <v>Nazım Öztel</v>
      </c>
      <c r="G26" s="116" t="b">
        <v>0</v>
      </c>
      <c r="H26" s="116" t="b">
        <v>0</v>
      </c>
      <c r="I26" s="116" t="b">
        <v>0</v>
      </c>
      <c r="J26" s="116" t="b">
        <v>0</v>
      </c>
      <c r="K26" s="116" t="b">
        <v>0</v>
      </c>
      <c r="L26" s="117">
        <f t="shared" si="1"/>
        <v>0</v>
      </c>
      <c r="M26" s="117">
        <f t="shared" si="2"/>
        <v>0</v>
      </c>
      <c r="N26" s="112"/>
      <c r="O26" s="112"/>
    </row>
    <row r="27" ht="15.0" customHeight="1">
      <c r="A27" s="112"/>
      <c r="B27" s="112"/>
      <c r="C27" s="112"/>
      <c r="D27" s="132" t="s">
        <v>55</v>
      </c>
      <c r="E27" s="114" t="str">
        <f>VLOOKUP(D27,Data!H:I,2,0)</f>
        <v>Erzurum</v>
      </c>
      <c r="F27" s="115" t="str">
        <f>VLOOKUP(D27,Data!H:J,3,0)</f>
        <v>Nazım Öztel</v>
      </c>
      <c r="G27" s="116" t="b">
        <v>0</v>
      </c>
      <c r="H27" s="116" t="b">
        <v>0</v>
      </c>
      <c r="I27" s="116" t="b">
        <v>0</v>
      </c>
      <c r="J27" s="116" t="b">
        <v>0</v>
      </c>
      <c r="K27" s="116" t="b">
        <v>0</v>
      </c>
      <c r="L27" s="117">
        <f t="shared" si="1"/>
        <v>0</v>
      </c>
      <c r="M27" s="117">
        <f t="shared" si="2"/>
        <v>0</v>
      </c>
      <c r="N27" s="112"/>
      <c r="O27" s="112"/>
    </row>
    <row r="28" ht="15.0" customHeight="1">
      <c r="A28" s="112"/>
      <c r="B28" s="112"/>
      <c r="C28" s="112"/>
      <c r="D28" s="129" t="s">
        <v>58</v>
      </c>
      <c r="E28" s="114" t="str">
        <f>VLOOKUP(D28,Data!H:I,2,0)</f>
        <v>İstanbul</v>
      </c>
      <c r="F28" s="115" t="str">
        <f>VLOOKUP(D28,Data!H:J,3,0)</f>
        <v>Freelance</v>
      </c>
      <c r="G28" s="116" t="b">
        <v>1</v>
      </c>
      <c r="H28" s="116" t="b">
        <v>1</v>
      </c>
      <c r="I28" s="116" t="b">
        <v>1</v>
      </c>
      <c r="J28" s="116" t="b">
        <v>1</v>
      </c>
      <c r="K28" s="116" t="b">
        <v>1</v>
      </c>
      <c r="L28" s="117">
        <f t="shared" si="1"/>
        <v>5</v>
      </c>
      <c r="M28" s="117">
        <f t="shared" si="2"/>
        <v>20</v>
      </c>
      <c r="N28" s="88"/>
      <c r="O28" s="112"/>
    </row>
    <row r="29" ht="15.0" customHeight="1">
      <c r="A29" s="112"/>
      <c r="B29" s="112"/>
      <c r="C29" s="112"/>
      <c r="D29" s="129" t="s">
        <v>133</v>
      </c>
      <c r="E29" s="114" t="str">
        <f>VLOOKUP(D29,Data!H:I,2,0)</f>
        <v>İstanbul</v>
      </c>
      <c r="F29" s="115" t="str">
        <f>VLOOKUP(D29,Data!H:J,3,0)</f>
        <v>Freelance</v>
      </c>
      <c r="G29" s="116" t="b">
        <v>0</v>
      </c>
      <c r="H29" s="116" t="b">
        <v>1</v>
      </c>
      <c r="I29" s="116" t="b">
        <v>1</v>
      </c>
      <c r="J29" s="116" t="b">
        <v>1</v>
      </c>
      <c r="K29" s="116" t="b">
        <v>1</v>
      </c>
      <c r="L29" s="117">
        <f t="shared" si="1"/>
        <v>4</v>
      </c>
      <c r="M29" s="117">
        <f t="shared" si="2"/>
        <v>16</v>
      </c>
      <c r="N29" s="88"/>
      <c r="O29" s="112"/>
    </row>
    <row r="30" ht="15.0" customHeight="1">
      <c r="A30" s="120"/>
      <c r="B30" s="120"/>
      <c r="C30" s="120"/>
      <c r="D30" s="129" t="s">
        <v>66</v>
      </c>
      <c r="E30" s="114" t="str">
        <f>VLOOKUP(D30,Data!H:I,2,0)</f>
        <v>İstanbul</v>
      </c>
      <c r="F30" s="115" t="str">
        <f>VLOOKUP(D30,Data!H:J,3,0)</f>
        <v>Freelance</v>
      </c>
      <c r="G30" s="116" t="b">
        <v>1</v>
      </c>
      <c r="H30" s="116" t="b">
        <v>1</v>
      </c>
      <c r="I30" s="116" t="b">
        <v>0</v>
      </c>
      <c r="J30" s="116" t="b">
        <v>1</v>
      </c>
      <c r="K30" s="116" t="b">
        <v>0</v>
      </c>
      <c r="L30" s="117">
        <f t="shared" si="1"/>
        <v>3</v>
      </c>
      <c r="M30" s="117">
        <f t="shared" si="2"/>
        <v>12</v>
      </c>
      <c r="N30" s="120"/>
      <c r="O30" s="120"/>
    </row>
    <row r="31" ht="15.0" customHeight="1">
      <c r="A31" s="121"/>
      <c r="B31" s="121"/>
      <c r="C31" s="121"/>
      <c r="D31" s="129" t="s">
        <v>134</v>
      </c>
      <c r="E31" s="114" t="str">
        <f>VLOOKUP(D31,Data!H:I,2,0)</f>
        <v>İstanbul</v>
      </c>
      <c r="F31" s="115" t="str">
        <f>VLOOKUP(D31,Data!H:J,3,0)</f>
        <v>Filamingo</v>
      </c>
      <c r="G31" s="116" t="b">
        <v>1</v>
      </c>
      <c r="H31" s="116" t="b">
        <v>1</v>
      </c>
      <c r="I31" s="116" t="b">
        <v>1</v>
      </c>
      <c r="J31" s="116" t="b">
        <v>1</v>
      </c>
      <c r="K31" s="116" t="b">
        <v>0</v>
      </c>
      <c r="L31" s="117">
        <f t="shared" si="1"/>
        <v>4</v>
      </c>
      <c r="M31" s="117">
        <f t="shared" si="2"/>
        <v>16</v>
      </c>
      <c r="N31" s="121"/>
      <c r="O31" s="121"/>
    </row>
    <row r="32" ht="15.0" customHeight="1">
      <c r="A32" s="121"/>
      <c r="B32" s="121"/>
      <c r="C32" s="121"/>
      <c r="D32" s="132" t="s">
        <v>67</v>
      </c>
      <c r="E32" s="114" t="str">
        <f>VLOOKUP(D32,Data!H:I,2,0)</f>
        <v>İstanbul</v>
      </c>
      <c r="F32" s="115" t="str">
        <f>VLOOKUP(D32,Data!H:J,3,0)</f>
        <v>Filamingo</v>
      </c>
      <c r="G32" s="116" t="b">
        <v>0</v>
      </c>
      <c r="H32" s="116" t="b">
        <v>0</v>
      </c>
      <c r="I32" s="116" t="b">
        <v>0</v>
      </c>
      <c r="J32" s="116" t="b">
        <v>0</v>
      </c>
      <c r="K32" s="116" t="b">
        <v>0</v>
      </c>
      <c r="L32" s="117">
        <f t="shared" si="1"/>
        <v>0</v>
      </c>
      <c r="M32" s="117">
        <f t="shared" si="2"/>
        <v>0</v>
      </c>
      <c r="N32" s="121"/>
      <c r="O32" s="121"/>
    </row>
    <row r="33" ht="15.0" customHeight="1">
      <c r="A33" s="112"/>
      <c r="B33" s="112"/>
      <c r="C33" s="112"/>
      <c r="D33" s="132" t="s">
        <v>117</v>
      </c>
      <c r="E33" s="114" t="str">
        <f>VLOOKUP(D33,Data!H:I,2,0)</f>
        <v>İstanbul</v>
      </c>
      <c r="F33" s="115" t="str">
        <f>VLOOKUP(D33,Data!H:J,3,0)</f>
        <v>Freelance</v>
      </c>
      <c r="G33" s="116" t="b">
        <v>1</v>
      </c>
      <c r="H33" s="116" t="b">
        <v>0</v>
      </c>
      <c r="I33" s="116" t="b">
        <v>1</v>
      </c>
      <c r="J33" s="116" t="b">
        <v>1</v>
      </c>
      <c r="K33" s="116" t="b">
        <v>0</v>
      </c>
      <c r="L33" s="117">
        <f t="shared" si="1"/>
        <v>3</v>
      </c>
      <c r="M33" s="117">
        <f t="shared" si="2"/>
        <v>12</v>
      </c>
      <c r="N33" s="112"/>
      <c r="O33" s="112"/>
    </row>
    <row r="34" ht="15.0" customHeight="1">
      <c r="A34" s="112"/>
      <c r="B34" s="112"/>
      <c r="C34" s="112"/>
      <c r="D34" s="129" t="s">
        <v>135</v>
      </c>
      <c r="E34" s="114" t="str">
        <f>VLOOKUP(D34,Data!H:I,2,0)</f>
        <v>İstanbul</v>
      </c>
      <c r="F34" s="115" t="str">
        <f>VLOOKUP(D34,Data!H:J,3,0)</f>
        <v>Freelance</v>
      </c>
      <c r="G34" s="116" t="b">
        <v>0</v>
      </c>
      <c r="H34" s="116" t="b">
        <v>1</v>
      </c>
      <c r="I34" s="116" t="b">
        <v>1</v>
      </c>
      <c r="J34" s="116" t="b">
        <v>0</v>
      </c>
      <c r="K34" s="116" t="b">
        <v>0</v>
      </c>
      <c r="L34" s="117">
        <f t="shared" si="1"/>
        <v>2</v>
      </c>
      <c r="M34" s="117">
        <f t="shared" si="2"/>
        <v>8</v>
      </c>
      <c r="N34" s="112"/>
      <c r="O34" s="112"/>
    </row>
    <row r="35" ht="15.0" customHeight="1">
      <c r="A35" s="112"/>
      <c r="B35" s="112"/>
      <c r="C35" s="112"/>
      <c r="D35" s="129" t="s">
        <v>123</v>
      </c>
      <c r="E35" s="114" t="str">
        <f>VLOOKUP(D35,Data!H:I,2,0)</f>
        <v>İstanbul</v>
      </c>
      <c r="F35" s="115" t="str">
        <f>VLOOKUP(D35,Data!H:J,3,0)</f>
        <v>Freelance</v>
      </c>
      <c r="G35" s="116" t="b">
        <v>0</v>
      </c>
      <c r="H35" s="116" t="b">
        <v>0</v>
      </c>
      <c r="I35" s="116" t="b">
        <v>0</v>
      </c>
      <c r="J35" s="116" t="b">
        <v>1</v>
      </c>
      <c r="K35" s="116" t="b">
        <v>1</v>
      </c>
      <c r="L35" s="117">
        <f t="shared" si="1"/>
        <v>2</v>
      </c>
      <c r="M35" s="117">
        <f t="shared" si="2"/>
        <v>8</v>
      </c>
      <c r="N35" s="112"/>
      <c r="O35" s="112"/>
    </row>
    <row r="36" ht="15.0" customHeight="1">
      <c r="A36" s="112"/>
      <c r="B36" s="112"/>
      <c r="C36" s="112"/>
      <c r="D36" s="129" t="s">
        <v>70</v>
      </c>
      <c r="E36" s="114" t="str">
        <f>VLOOKUP(D36,Data!H:I,2,0)</f>
        <v>İstanbul</v>
      </c>
      <c r="F36" s="115" t="str">
        <f>VLOOKUP(D36,Data!H:J,3,0)</f>
        <v>Freelance</v>
      </c>
      <c r="G36" s="116" t="b">
        <v>1</v>
      </c>
      <c r="H36" s="116" t="b">
        <v>1</v>
      </c>
      <c r="I36" s="116" t="b">
        <v>0</v>
      </c>
      <c r="J36" s="116" t="b">
        <v>0</v>
      </c>
      <c r="K36" s="116" t="b">
        <v>0</v>
      </c>
      <c r="L36" s="117">
        <f t="shared" si="1"/>
        <v>2</v>
      </c>
      <c r="M36" s="117">
        <f t="shared" si="2"/>
        <v>8</v>
      </c>
      <c r="N36" s="112"/>
      <c r="O36" s="112"/>
    </row>
    <row r="37" ht="15.0" customHeight="1">
      <c r="A37" s="112"/>
      <c r="B37" s="112"/>
      <c r="C37" s="112"/>
      <c r="D37" s="132" t="s">
        <v>71</v>
      </c>
      <c r="E37" s="114" t="str">
        <f>VLOOKUP(D37,Data!H:I,2,0)</f>
        <v>İstanbul</v>
      </c>
      <c r="F37" s="115" t="str">
        <f>VLOOKUP(D37,Data!H:J,3,0)</f>
        <v>Filamingo</v>
      </c>
      <c r="G37" s="116" t="b">
        <v>1</v>
      </c>
      <c r="H37" s="116" t="b">
        <v>1</v>
      </c>
      <c r="I37" s="116" t="b">
        <v>1</v>
      </c>
      <c r="J37" s="116" t="b">
        <v>1</v>
      </c>
      <c r="K37" s="116" t="b">
        <v>1</v>
      </c>
      <c r="L37" s="117">
        <f t="shared" si="1"/>
        <v>5</v>
      </c>
      <c r="M37" s="117">
        <f t="shared" si="2"/>
        <v>20</v>
      </c>
      <c r="N37" s="112"/>
      <c r="O37" s="112"/>
    </row>
    <row r="38" ht="15.0" customHeight="1">
      <c r="A38" s="112"/>
      <c r="B38" s="112"/>
      <c r="C38" s="112"/>
      <c r="D38" s="132" t="s">
        <v>72</v>
      </c>
      <c r="E38" s="114" t="str">
        <f>VLOOKUP(D38,Data!H:I,2,0)</f>
        <v>İstanbul</v>
      </c>
      <c r="F38" s="115" t="str">
        <f>VLOOKUP(D38,Data!H:J,3,0)</f>
        <v>Filamingo</v>
      </c>
      <c r="G38" s="116" t="b">
        <v>0</v>
      </c>
      <c r="H38" s="116" t="b">
        <v>0</v>
      </c>
      <c r="I38" s="116" t="b">
        <v>0</v>
      </c>
      <c r="J38" s="116" t="b">
        <v>0</v>
      </c>
      <c r="K38" s="116" t="b">
        <v>0</v>
      </c>
      <c r="L38" s="117">
        <f t="shared" si="1"/>
        <v>0</v>
      </c>
      <c r="M38" s="117">
        <f t="shared" si="2"/>
        <v>0</v>
      </c>
      <c r="N38" s="112"/>
      <c r="O38" s="112"/>
    </row>
    <row r="39" ht="15.0" customHeight="1">
      <c r="A39" s="112"/>
      <c r="B39" s="112"/>
      <c r="C39" s="112"/>
      <c r="D39" s="129" t="s">
        <v>136</v>
      </c>
      <c r="E39" s="114" t="str">
        <f>VLOOKUP(D39,Data!H:I,2,0)</f>
        <v>İstanbul</v>
      </c>
      <c r="F39" s="115" t="str">
        <f>VLOOKUP(D39,Data!H:J,3,0)</f>
        <v>Filamingo</v>
      </c>
      <c r="G39" s="116" t="b">
        <v>0</v>
      </c>
      <c r="H39" s="116" t="b">
        <v>0</v>
      </c>
      <c r="I39" s="116" t="b">
        <v>0</v>
      </c>
      <c r="J39" s="116" t="b">
        <v>0</v>
      </c>
      <c r="K39" s="116" t="b">
        <v>0</v>
      </c>
      <c r="L39" s="117">
        <f t="shared" si="1"/>
        <v>0</v>
      </c>
      <c r="M39" s="117">
        <f t="shared" si="2"/>
        <v>0</v>
      </c>
      <c r="N39" s="120"/>
      <c r="O39" s="112"/>
    </row>
    <row r="40" ht="15.0" customHeight="1">
      <c r="A40" s="112"/>
      <c r="B40" s="112"/>
      <c r="C40" s="112"/>
      <c r="D40" s="129" t="s">
        <v>75</v>
      </c>
      <c r="E40" s="114" t="str">
        <f>VLOOKUP(D40,Data!H:I,2,0)</f>
        <v>İstanbul</v>
      </c>
      <c r="F40" s="115" t="str">
        <f>VLOOKUP(D40,Data!H:J,3,0)</f>
        <v>Freelance</v>
      </c>
      <c r="G40" s="116" t="b">
        <v>0</v>
      </c>
      <c r="H40" s="116" t="b">
        <v>0</v>
      </c>
      <c r="I40" s="116" t="b">
        <v>0</v>
      </c>
      <c r="J40" s="116" t="b">
        <v>0</v>
      </c>
      <c r="K40" s="116" t="b">
        <v>0</v>
      </c>
      <c r="L40" s="117">
        <f t="shared" si="1"/>
        <v>0</v>
      </c>
      <c r="M40" s="117">
        <f t="shared" si="2"/>
        <v>0</v>
      </c>
      <c r="N40" s="121"/>
      <c r="O40" s="112"/>
    </row>
    <row r="41" ht="15.0" customHeight="1">
      <c r="A41" s="125"/>
      <c r="B41" s="125"/>
      <c r="C41" s="125"/>
      <c r="D41" s="129" t="s">
        <v>77</v>
      </c>
      <c r="E41" s="114" t="str">
        <f>VLOOKUP(D41,Data!H:I,2,0)</f>
        <v>İstanbul</v>
      </c>
      <c r="F41" s="115" t="str">
        <f>VLOOKUP(D41,Data!H:J,3,0)</f>
        <v>Freelance</v>
      </c>
      <c r="G41" s="116" t="b">
        <v>0</v>
      </c>
      <c r="H41" s="116" t="b">
        <v>0</v>
      </c>
      <c r="I41" s="116" t="b">
        <v>0</v>
      </c>
      <c r="J41" s="116" t="b">
        <v>0</v>
      </c>
      <c r="K41" s="116" t="b">
        <v>0</v>
      </c>
      <c r="L41" s="117">
        <f t="shared" si="1"/>
        <v>0</v>
      </c>
      <c r="M41" s="117">
        <f t="shared" si="2"/>
        <v>0</v>
      </c>
      <c r="N41" s="124"/>
      <c r="O41" s="125"/>
    </row>
    <row r="42" ht="15.0" customHeight="1">
      <c r="A42" s="122"/>
      <c r="B42" s="122"/>
      <c r="C42" s="122"/>
      <c r="D42" s="129" t="s">
        <v>78</v>
      </c>
      <c r="E42" s="114" t="str">
        <f>VLOOKUP(D42,Data!H:I,2,0)</f>
        <v>İstanbul</v>
      </c>
      <c r="F42" s="115" t="str">
        <f>VLOOKUP(D42,Data!H:J,3,0)</f>
        <v>Freelance</v>
      </c>
      <c r="G42" s="116" t="b">
        <v>1</v>
      </c>
      <c r="H42" s="116" t="b">
        <v>1</v>
      </c>
      <c r="I42" s="116" t="b">
        <v>1</v>
      </c>
      <c r="J42" s="116" t="b">
        <v>1</v>
      </c>
      <c r="K42" s="116" t="b">
        <v>1</v>
      </c>
      <c r="L42" s="117">
        <f t="shared" si="1"/>
        <v>5</v>
      </c>
      <c r="M42" s="117">
        <f t="shared" si="2"/>
        <v>20</v>
      </c>
      <c r="N42" s="112"/>
      <c r="O42" s="122"/>
    </row>
    <row r="43" ht="15.0" customHeight="1">
      <c r="A43" s="124"/>
      <c r="B43" s="124"/>
      <c r="C43" s="124"/>
      <c r="D43" s="129" t="s">
        <v>79</v>
      </c>
      <c r="E43" s="114" t="str">
        <f>VLOOKUP(D43,Data!H:I,2,0)</f>
        <v>İstanbul</v>
      </c>
      <c r="F43" s="115" t="str">
        <f>VLOOKUP(D43,Data!H:J,3,0)</f>
        <v>Freelance</v>
      </c>
      <c r="G43" s="116" t="b">
        <v>1</v>
      </c>
      <c r="H43" s="116" t="b">
        <v>1</v>
      </c>
      <c r="I43" s="116" t="b">
        <v>1</v>
      </c>
      <c r="J43" s="116" t="b">
        <v>1</v>
      </c>
      <c r="K43" s="116" t="b">
        <v>1</v>
      </c>
      <c r="L43" s="117">
        <f t="shared" si="1"/>
        <v>5</v>
      </c>
      <c r="M43" s="117">
        <f t="shared" si="2"/>
        <v>20</v>
      </c>
      <c r="N43" s="112"/>
      <c r="O43" s="124"/>
    </row>
    <row r="44" ht="15.0" customHeight="1">
      <c r="A44" s="112"/>
      <c r="B44" s="112"/>
      <c r="C44" s="112"/>
      <c r="D44" s="132" t="s">
        <v>119</v>
      </c>
      <c r="E44" s="114" t="str">
        <f>VLOOKUP(D44,Data!H:I,2,0)</f>
        <v>İstanbul</v>
      </c>
      <c r="F44" s="115" t="str">
        <f>VLOOKUP(D44,Data!H:J,3,0)</f>
        <v>Filamingo</v>
      </c>
      <c r="G44" s="116" t="b">
        <v>1</v>
      </c>
      <c r="H44" s="116" t="b">
        <v>1</v>
      </c>
      <c r="I44" s="116" t="b">
        <v>1</v>
      </c>
      <c r="J44" s="116" t="b">
        <v>1</v>
      </c>
      <c r="K44" s="116" t="b">
        <v>1</v>
      </c>
      <c r="L44" s="117">
        <f t="shared" si="1"/>
        <v>5</v>
      </c>
      <c r="M44" s="117">
        <f t="shared" si="2"/>
        <v>20</v>
      </c>
      <c r="N44" s="124"/>
      <c r="O44" s="112"/>
    </row>
    <row r="45" ht="15.0" customHeight="1">
      <c r="A45" s="112"/>
      <c r="B45" s="112"/>
      <c r="C45" s="112"/>
      <c r="D45" s="129" t="s">
        <v>80</v>
      </c>
      <c r="E45" s="114" t="str">
        <f>VLOOKUP(D45,Data!H:I,2,0)</f>
        <v>İstanbul</v>
      </c>
      <c r="F45" s="115" t="str">
        <f>VLOOKUP(D45,Data!H:J,3,0)</f>
        <v>Freelance</v>
      </c>
      <c r="G45" s="116" t="b">
        <v>1</v>
      </c>
      <c r="H45" s="116" t="b">
        <v>1</v>
      </c>
      <c r="I45" s="116" t="b">
        <v>1</v>
      </c>
      <c r="J45" s="116" t="b">
        <v>0</v>
      </c>
      <c r="K45" s="116" t="b">
        <v>1</v>
      </c>
      <c r="L45" s="117">
        <f t="shared" si="1"/>
        <v>4</v>
      </c>
      <c r="M45" s="117">
        <f t="shared" si="2"/>
        <v>16</v>
      </c>
      <c r="N45" s="112"/>
      <c r="O45" s="112"/>
    </row>
    <row r="46" ht="15.0" customHeight="1">
      <c r="A46" s="112"/>
      <c r="B46" s="112"/>
      <c r="C46" s="112"/>
      <c r="D46" s="132" t="s">
        <v>85</v>
      </c>
      <c r="E46" s="114" t="str">
        <f>VLOOKUP(D46,Data!H:I,2,0)</f>
        <v>İstanbul</v>
      </c>
      <c r="F46" s="115" t="str">
        <f>VLOOKUP(D46,Data!H:J,3,0)</f>
        <v>Filamingo</v>
      </c>
      <c r="G46" s="116" t="b">
        <v>0</v>
      </c>
      <c r="H46" s="116" t="b">
        <v>0</v>
      </c>
      <c r="I46" s="116" t="b">
        <v>0</v>
      </c>
      <c r="J46" s="116" t="b">
        <v>0</v>
      </c>
      <c r="K46" s="116" t="b">
        <v>0</v>
      </c>
      <c r="L46" s="117">
        <f t="shared" si="1"/>
        <v>0</v>
      </c>
      <c r="M46" s="117">
        <f t="shared" si="2"/>
        <v>0</v>
      </c>
      <c r="N46" s="112"/>
      <c r="O46" s="112"/>
    </row>
    <row r="47" ht="15.0" customHeight="1">
      <c r="A47" s="112"/>
      <c r="B47" s="112"/>
      <c r="C47" s="112"/>
      <c r="D47" s="129" t="s">
        <v>81</v>
      </c>
      <c r="E47" s="114" t="str">
        <f>VLOOKUP(D47,Data!H:I,2,0)</f>
        <v>İstanbul</v>
      </c>
      <c r="F47" s="115" t="str">
        <f>VLOOKUP(D47,Data!H:J,3,0)</f>
        <v>Freelance</v>
      </c>
      <c r="G47" s="116" t="b">
        <v>1</v>
      </c>
      <c r="H47" s="116" t="b">
        <v>1</v>
      </c>
      <c r="I47" s="116" t="b">
        <v>1</v>
      </c>
      <c r="J47" s="116" t="b">
        <v>1</v>
      </c>
      <c r="K47" s="116" t="b">
        <v>1</v>
      </c>
      <c r="L47" s="117">
        <f t="shared" si="1"/>
        <v>5</v>
      </c>
      <c r="M47" s="117">
        <f t="shared" si="2"/>
        <v>20</v>
      </c>
      <c r="N47" s="125"/>
      <c r="O47" s="112"/>
    </row>
    <row r="48" ht="15.0" customHeight="1">
      <c r="A48" s="112"/>
      <c r="B48" s="112"/>
      <c r="C48" s="112"/>
      <c r="D48" s="132" t="s">
        <v>83</v>
      </c>
      <c r="E48" s="114" t="str">
        <f>VLOOKUP(D48,Data!H:I,2,0)</f>
        <v>İstanbul</v>
      </c>
      <c r="F48" s="115" t="str">
        <f>VLOOKUP(D48,Data!H:J,3,0)</f>
        <v>Nazım Öztel</v>
      </c>
      <c r="G48" s="116" t="b">
        <v>1</v>
      </c>
      <c r="H48" s="116" t="b">
        <v>1</v>
      </c>
      <c r="I48" s="116" t="b">
        <v>1</v>
      </c>
      <c r="J48" s="116" t="b">
        <v>1</v>
      </c>
      <c r="K48" s="116" t="b">
        <v>1</v>
      </c>
      <c r="L48" s="117">
        <f t="shared" si="1"/>
        <v>5</v>
      </c>
      <c r="M48" s="117">
        <f t="shared" si="2"/>
        <v>20</v>
      </c>
      <c r="N48" s="112"/>
      <c r="O48" s="112"/>
    </row>
    <row r="49" ht="15.0" customHeight="1">
      <c r="A49" s="125"/>
      <c r="B49" s="125"/>
      <c r="C49" s="125"/>
      <c r="D49" s="129" t="s">
        <v>145</v>
      </c>
      <c r="E49" s="114" t="str">
        <f>VLOOKUP(D49,Data!H:I,2,0)</f>
        <v>İstanbul</v>
      </c>
      <c r="F49" s="115" t="str">
        <f>VLOOKUP(D49,Data!H:J,3,0)</f>
        <v>Filamingo</v>
      </c>
      <c r="G49" s="116" t="b">
        <v>0</v>
      </c>
      <c r="H49" s="116" t="b">
        <v>0</v>
      </c>
      <c r="I49" s="116" t="b">
        <v>1</v>
      </c>
      <c r="J49" s="116" t="b">
        <v>1</v>
      </c>
      <c r="K49" s="116" t="b">
        <v>1</v>
      </c>
      <c r="L49" s="117">
        <f t="shared" si="1"/>
        <v>3</v>
      </c>
      <c r="M49" s="117">
        <f t="shared" si="2"/>
        <v>12</v>
      </c>
      <c r="N49" s="112"/>
      <c r="O49" s="125"/>
    </row>
    <row r="50" ht="15.0" customHeight="1">
      <c r="A50" s="126"/>
      <c r="B50" s="126"/>
      <c r="C50" s="126"/>
      <c r="D50" s="129" t="s">
        <v>86</v>
      </c>
      <c r="E50" s="114" t="str">
        <f>VLOOKUP(D50,Data!H:I,2,0)</f>
        <v>İstanbul</v>
      </c>
      <c r="F50" s="115" t="str">
        <f>VLOOKUP(D50,Data!H:J,3,0)</f>
        <v>Freelance</v>
      </c>
      <c r="G50" s="116" t="b">
        <v>1</v>
      </c>
      <c r="H50" s="116" t="b">
        <v>1</v>
      </c>
      <c r="I50" s="116" t="b">
        <v>0</v>
      </c>
      <c r="J50" s="116" t="b">
        <v>0</v>
      </c>
      <c r="K50" s="116" t="b">
        <v>0</v>
      </c>
      <c r="L50" s="117">
        <f t="shared" si="1"/>
        <v>2</v>
      </c>
      <c r="M50" s="117">
        <f t="shared" si="2"/>
        <v>8</v>
      </c>
      <c r="N50" s="112"/>
      <c r="O50" s="126"/>
    </row>
    <row r="51" ht="15.0" customHeight="1">
      <c r="A51" s="122"/>
      <c r="B51" s="122"/>
      <c r="C51" s="122"/>
      <c r="D51" s="129" t="s">
        <v>87</v>
      </c>
      <c r="E51" s="114" t="str">
        <f>VLOOKUP(D51,Data!H:I,2,0)</f>
        <v>İstanbul</v>
      </c>
      <c r="F51" s="115" t="str">
        <f>VLOOKUP(D51,Data!H:J,3,0)</f>
        <v>Freelance</v>
      </c>
      <c r="G51" s="116" t="b">
        <v>1</v>
      </c>
      <c r="H51" s="116" t="b">
        <v>1</v>
      </c>
      <c r="I51" s="116" t="b">
        <v>1</v>
      </c>
      <c r="J51" s="116" t="b">
        <v>1</v>
      </c>
      <c r="K51" s="116" t="b">
        <v>1</v>
      </c>
      <c r="L51" s="117">
        <f t="shared" si="1"/>
        <v>5</v>
      </c>
      <c r="M51" s="117">
        <f t="shared" si="2"/>
        <v>20</v>
      </c>
      <c r="N51" s="112"/>
      <c r="O51" s="122"/>
    </row>
    <row r="52" ht="15.0" customHeight="1">
      <c r="A52" s="112"/>
      <c r="B52" s="112"/>
      <c r="C52" s="112"/>
      <c r="D52" s="132" t="s">
        <v>88</v>
      </c>
      <c r="E52" s="114" t="str">
        <f>VLOOKUP(D52,Data!H:I,2,0)</f>
        <v>İstanbul</v>
      </c>
      <c r="F52" s="115" t="str">
        <f>VLOOKUP(D52,Data!H:J,3,0)</f>
        <v>Nazım Öztel</v>
      </c>
      <c r="G52" s="116" t="b">
        <v>0</v>
      </c>
      <c r="H52" s="116" t="b">
        <v>0</v>
      </c>
      <c r="I52" s="116" t="b">
        <v>0</v>
      </c>
      <c r="J52" s="116" t="b">
        <v>0</v>
      </c>
      <c r="K52" s="116" t="b">
        <v>0</v>
      </c>
      <c r="L52" s="117">
        <f t="shared" si="1"/>
        <v>0</v>
      </c>
      <c r="M52" s="117">
        <f t="shared" si="2"/>
        <v>0</v>
      </c>
      <c r="N52" s="112"/>
      <c r="O52" s="112"/>
    </row>
    <row r="53" ht="15.0" customHeight="1">
      <c r="A53" s="112"/>
      <c r="B53" s="112"/>
      <c r="C53" s="112"/>
      <c r="D53" s="129" t="s">
        <v>146</v>
      </c>
      <c r="E53" s="114" t="str">
        <f>VLOOKUP(D53,Data!H:I,2,0)</f>
        <v>İstanbul</v>
      </c>
      <c r="F53" s="115" t="str">
        <f>VLOOKUP(D53,Data!H:J,3,0)</f>
        <v>Filamingo</v>
      </c>
      <c r="G53" s="116" t="b">
        <v>0</v>
      </c>
      <c r="H53" s="116" t="b">
        <v>0</v>
      </c>
      <c r="I53" s="116" t="b">
        <v>1</v>
      </c>
      <c r="J53" s="116" t="b">
        <v>1</v>
      </c>
      <c r="K53" s="116" t="b">
        <v>1</v>
      </c>
      <c r="L53" s="117">
        <f t="shared" si="1"/>
        <v>3</v>
      </c>
      <c r="M53" s="117">
        <f t="shared" si="2"/>
        <v>12</v>
      </c>
      <c r="N53" s="112"/>
      <c r="O53" s="112"/>
    </row>
    <row r="54" ht="15.0" customHeight="1">
      <c r="A54" s="112"/>
      <c r="B54" s="112"/>
      <c r="C54" s="112"/>
      <c r="D54" s="132" t="s">
        <v>89</v>
      </c>
      <c r="E54" s="114" t="str">
        <f>VLOOKUP(D54,Data!H:I,2,0)</f>
        <v>İstanbul</v>
      </c>
      <c r="F54" s="115" t="str">
        <f>VLOOKUP(D54,Data!H:J,3,0)</f>
        <v>Filamingo</v>
      </c>
      <c r="G54" s="116" t="b">
        <v>0</v>
      </c>
      <c r="H54" s="116" t="b">
        <v>1</v>
      </c>
      <c r="I54" s="116" t="b">
        <v>1</v>
      </c>
      <c r="J54" s="116" t="b">
        <v>0</v>
      </c>
      <c r="K54" s="116" t="b">
        <v>1</v>
      </c>
      <c r="L54" s="117">
        <f t="shared" si="1"/>
        <v>3</v>
      </c>
      <c r="M54" s="117">
        <f t="shared" si="2"/>
        <v>12</v>
      </c>
      <c r="N54" s="112"/>
      <c r="O54" s="112"/>
    </row>
    <row r="55" ht="15.0" customHeight="1">
      <c r="A55" s="112"/>
      <c r="B55" s="112"/>
      <c r="C55" s="112"/>
      <c r="D55" s="129" t="s">
        <v>127</v>
      </c>
      <c r="E55" s="114" t="str">
        <f>VLOOKUP(D55,Data!H:I,2,0)</f>
        <v>İstanbul</v>
      </c>
      <c r="F55" s="115" t="str">
        <f>VLOOKUP(D55,Data!H:J,3,0)</f>
        <v>Filamingo</v>
      </c>
      <c r="G55" s="116" t="b">
        <v>0</v>
      </c>
      <c r="H55" s="116" t="b">
        <v>1</v>
      </c>
      <c r="I55" s="116" t="b">
        <v>0</v>
      </c>
      <c r="J55" s="116" t="b">
        <v>1</v>
      </c>
      <c r="K55" s="116" t="b">
        <v>0</v>
      </c>
      <c r="L55" s="117">
        <f t="shared" si="1"/>
        <v>2</v>
      </c>
      <c r="M55" s="117">
        <f t="shared" si="2"/>
        <v>8</v>
      </c>
      <c r="N55" s="112"/>
      <c r="O55" s="112"/>
    </row>
    <row r="56" ht="15.0" customHeight="1">
      <c r="A56" s="112"/>
      <c r="B56" s="112"/>
      <c r="C56" s="112"/>
      <c r="D56" s="132" t="s">
        <v>92</v>
      </c>
      <c r="E56" s="114" t="str">
        <f>VLOOKUP(D56,Data!H:I,2,0)</f>
        <v>İzmir</v>
      </c>
      <c r="F56" s="115" t="str">
        <f>VLOOKUP(D56,Data!H:J,3,0)</f>
        <v>Nazım Öztel</v>
      </c>
      <c r="G56" s="116" t="b">
        <v>1</v>
      </c>
      <c r="H56" s="116" t="b">
        <v>1</v>
      </c>
      <c r="I56" s="116" t="b">
        <v>1</v>
      </c>
      <c r="J56" s="116" t="b">
        <v>1</v>
      </c>
      <c r="K56" s="116" t="b">
        <v>1</v>
      </c>
      <c r="L56" s="117">
        <f t="shared" si="1"/>
        <v>5</v>
      </c>
      <c r="M56" s="117">
        <f t="shared" si="2"/>
        <v>20</v>
      </c>
      <c r="N56" s="125"/>
      <c r="O56" s="112"/>
    </row>
    <row r="57" ht="15.0" customHeight="1">
      <c r="A57" s="112"/>
      <c r="B57" s="112"/>
      <c r="C57" s="112"/>
      <c r="D57" s="129" t="s">
        <v>139</v>
      </c>
      <c r="E57" s="114" t="s">
        <v>129</v>
      </c>
      <c r="F57" s="115" t="str">
        <f>VLOOKUP(D57,Data!H:J,3,0)</f>
        <v>Nazım Öztel</v>
      </c>
      <c r="G57" s="116" t="b">
        <v>1</v>
      </c>
      <c r="H57" s="116" t="b">
        <v>1</v>
      </c>
      <c r="I57" s="116" t="b">
        <v>1</v>
      </c>
      <c r="J57" s="116" t="b">
        <v>0</v>
      </c>
      <c r="K57" s="116" t="b">
        <v>1</v>
      </c>
      <c r="L57" s="117">
        <f t="shared" si="1"/>
        <v>4</v>
      </c>
      <c r="M57" s="117">
        <f t="shared" si="2"/>
        <v>16</v>
      </c>
      <c r="N57" s="125"/>
      <c r="O57" s="112"/>
    </row>
    <row r="58" ht="15.0" customHeight="1">
      <c r="A58" s="112"/>
      <c r="B58" s="112"/>
      <c r="C58" s="112"/>
      <c r="D58" s="129" t="s">
        <v>93</v>
      </c>
      <c r="E58" s="114" t="str">
        <f>VLOOKUP(D58,Data!H:I,2,0)</f>
        <v>İzmir</v>
      </c>
      <c r="F58" s="115" t="str">
        <f>VLOOKUP(D58,Data!H:J,3,0)</f>
        <v>Freelance</v>
      </c>
      <c r="G58" s="116" t="b">
        <v>0</v>
      </c>
      <c r="H58" s="116" t="b">
        <v>0</v>
      </c>
      <c r="I58" s="116" t="b">
        <v>0</v>
      </c>
      <c r="J58" s="116" t="b">
        <v>0</v>
      </c>
      <c r="K58" s="116" t="b">
        <v>0</v>
      </c>
      <c r="L58" s="117">
        <f t="shared" si="1"/>
        <v>0</v>
      </c>
      <c r="M58" s="117">
        <f t="shared" si="2"/>
        <v>0</v>
      </c>
      <c r="N58" s="112"/>
      <c r="O58" s="112"/>
    </row>
    <row r="59" ht="15.0" customHeight="1">
      <c r="A59" s="112"/>
      <c r="B59" s="112"/>
      <c r="C59" s="112"/>
      <c r="D59" s="132" t="s">
        <v>96</v>
      </c>
      <c r="E59" s="114" t="str">
        <f>VLOOKUP(D59,Data!H:I,2,0)</f>
        <v>Kocaeli</v>
      </c>
      <c r="F59" s="115" t="str">
        <f>VLOOKUP(D59,Data!H:J,3,0)</f>
        <v>Nazım Öztel</v>
      </c>
      <c r="G59" s="116" t="b">
        <v>1</v>
      </c>
      <c r="H59" s="116" t="b">
        <v>0</v>
      </c>
      <c r="I59" s="116" t="b">
        <v>0</v>
      </c>
      <c r="J59" s="116" t="b">
        <v>0</v>
      </c>
      <c r="K59" s="116" t="b">
        <v>0</v>
      </c>
      <c r="L59" s="117">
        <f t="shared" si="1"/>
        <v>1</v>
      </c>
      <c r="M59" s="117">
        <f t="shared" si="2"/>
        <v>4</v>
      </c>
      <c r="N59" s="112"/>
      <c r="O59" s="112"/>
    </row>
    <row r="60" ht="15.0" customHeight="1">
      <c r="A60" s="112"/>
      <c r="B60" s="112"/>
      <c r="C60" s="112"/>
      <c r="D60" s="129" t="s">
        <v>147</v>
      </c>
      <c r="E60" s="114" t="str">
        <f>VLOOKUP(D60,Data!H:I,2,0)</f>
        <v>Kocaeli</v>
      </c>
      <c r="F60" s="115" t="str">
        <f>VLOOKUP(D60,Data!H:J,3,0)</f>
        <v>Nazım Öztel</v>
      </c>
      <c r="G60" s="116" t="b">
        <v>1</v>
      </c>
      <c r="H60" s="116" t="b">
        <v>1</v>
      </c>
      <c r="I60" s="116" t="b">
        <v>0</v>
      </c>
      <c r="J60" s="116" t="b">
        <v>0</v>
      </c>
      <c r="K60" s="116" t="b">
        <v>0</v>
      </c>
      <c r="L60" s="117">
        <f t="shared" si="1"/>
        <v>2</v>
      </c>
      <c r="M60" s="117">
        <f t="shared" si="2"/>
        <v>8</v>
      </c>
      <c r="N60" s="112"/>
      <c r="O60" s="112"/>
    </row>
    <row r="61" ht="15.0" customHeight="1">
      <c r="A61" s="112"/>
      <c r="B61" s="112"/>
      <c r="C61" s="112"/>
      <c r="D61" s="132" t="s">
        <v>97</v>
      </c>
      <c r="E61" s="114" t="str">
        <f>VLOOKUP(D61,Data!H:I,2,0)</f>
        <v>Konya</v>
      </c>
      <c r="F61" s="115" t="str">
        <f>VLOOKUP(D61,Data!H:J,3,0)</f>
        <v>Nazım Öztel</v>
      </c>
      <c r="G61" s="116" t="b">
        <v>0</v>
      </c>
      <c r="H61" s="116" t="b">
        <v>0</v>
      </c>
      <c r="I61" s="116" t="b">
        <v>0</v>
      </c>
      <c r="J61" s="116" t="b">
        <v>0</v>
      </c>
      <c r="K61" s="116" t="b">
        <v>0</v>
      </c>
      <c r="L61" s="117">
        <f t="shared" si="1"/>
        <v>0</v>
      </c>
      <c r="M61" s="117">
        <f t="shared" si="2"/>
        <v>0</v>
      </c>
      <c r="N61" s="112"/>
      <c r="O61" s="112"/>
    </row>
    <row r="62" ht="15.0" customHeight="1">
      <c r="A62" s="112"/>
      <c r="B62" s="112"/>
      <c r="C62" s="112"/>
      <c r="D62" s="132" t="s">
        <v>98</v>
      </c>
      <c r="E62" s="114" t="str">
        <f>VLOOKUP(D62,Data!H:I,2,0)</f>
        <v>Manisa</v>
      </c>
      <c r="F62" s="115" t="str">
        <f>VLOOKUP(D62,Data!H:J,3,0)</f>
        <v>Nazım Öztel</v>
      </c>
      <c r="G62" s="116" t="b">
        <v>0</v>
      </c>
      <c r="H62" s="116" t="b">
        <v>0</v>
      </c>
      <c r="I62" s="116" t="b">
        <v>0</v>
      </c>
      <c r="J62" s="116" t="b">
        <v>1</v>
      </c>
      <c r="K62" s="116" t="b">
        <v>0</v>
      </c>
      <c r="L62" s="117">
        <f t="shared" si="1"/>
        <v>1</v>
      </c>
      <c r="M62" s="117">
        <f t="shared" si="2"/>
        <v>4</v>
      </c>
      <c r="N62" s="142"/>
      <c r="O62" s="112"/>
    </row>
    <row r="63" ht="15.0" customHeight="1">
      <c r="A63" s="112"/>
      <c r="B63" s="112"/>
      <c r="C63" s="112"/>
      <c r="D63" s="132" t="s">
        <v>99</v>
      </c>
      <c r="E63" s="114" t="str">
        <f>VLOOKUP(D63,Data!H:I,2,0)</f>
        <v>Mersin</v>
      </c>
      <c r="F63" s="115" t="str">
        <f>VLOOKUP(D63,Data!H:J,3,0)</f>
        <v>Nazım Öztel</v>
      </c>
      <c r="G63" s="116" t="b">
        <v>1</v>
      </c>
      <c r="H63" s="116" t="b">
        <v>0</v>
      </c>
      <c r="I63" s="116" t="b">
        <v>0</v>
      </c>
      <c r="J63" s="116" t="b">
        <v>1</v>
      </c>
      <c r="K63" s="116" t="b">
        <v>0</v>
      </c>
      <c r="L63" s="117">
        <f t="shared" si="1"/>
        <v>2</v>
      </c>
      <c r="M63" s="117">
        <f t="shared" si="2"/>
        <v>8</v>
      </c>
      <c r="N63" s="106"/>
      <c r="O63" s="112"/>
    </row>
    <row r="64" ht="15.0" customHeight="1">
      <c r="A64" s="112"/>
      <c r="B64" s="112"/>
      <c r="C64" s="112"/>
      <c r="D64" s="129" t="s">
        <v>148</v>
      </c>
      <c r="E64" s="114" t="str">
        <f>VLOOKUP(D64,Data!H:I,2,0)</f>
        <v>Muğla</v>
      </c>
      <c r="F64" s="115" t="str">
        <f>VLOOKUP(D64,Data!H:J,3,0)</f>
        <v>Nazım Öztel</v>
      </c>
      <c r="G64" s="116" t="b">
        <v>0</v>
      </c>
      <c r="H64" s="116" t="b">
        <v>0</v>
      </c>
      <c r="I64" s="116" t="b">
        <v>1</v>
      </c>
      <c r="J64" s="116" t="b">
        <v>0</v>
      </c>
      <c r="K64" s="116" t="b">
        <v>0</v>
      </c>
      <c r="L64" s="117">
        <f t="shared" si="1"/>
        <v>1</v>
      </c>
      <c r="M64" s="117">
        <f t="shared" si="2"/>
        <v>4</v>
      </c>
      <c r="N64" s="106"/>
      <c r="O64" s="112"/>
    </row>
    <row r="65" ht="15.0" customHeight="1">
      <c r="A65" s="112"/>
      <c r="B65" s="112"/>
      <c r="C65" s="112"/>
      <c r="D65" s="129" t="s">
        <v>104</v>
      </c>
      <c r="E65" s="114" t="str">
        <f>VLOOKUP(D65,Data!H:I,2,0)</f>
        <v>Tekirdağ</v>
      </c>
      <c r="F65" s="115" t="str">
        <f>VLOOKUP(D65,Data!H:J,3,0)</f>
        <v>Freelance</v>
      </c>
      <c r="G65" s="116" t="b">
        <v>1</v>
      </c>
      <c r="H65" s="116" t="b">
        <v>1</v>
      </c>
      <c r="I65" s="116" t="b">
        <v>1</v>
      </c>
      <c r="J65" s="116" t="b">
        <v>1</v>
      </c>
      <c r="K65" s="116" t="b">
        <v>1</v>
      </c>
      <c r="L65" s="117">
        <f t="shared" si="1"/>
        <v>5</v>
      </c>
      <c r="M65" s="117">
        <f t="shared" si="2"/>
        <v>20</v>
      </c>
      <c r="N65" s="112"/>
      <c r="O65" s="112"/>
    </row>
    <row r="66" ht="15.0" customHeight="1">
      <c r="A66" s="112"/>
      <c r="B66" s="112"/>
      <c r="C66" s="112"/>
      <c r="D66" s="132"/>
      <c r="E66" s="132"/>
      <c r="F66" s="132"/>
      <c r="G66" s="117">
        <f>4*(COUNTIF(G14:G65,"true"))+6</f>
        <v>118</v>
      </c>
      <c r="H66" s="117">
        <f>4*(COUNTIF(H14:H65,"true"))+9</f>
        <v>129</v>
      </c>
      <c r="I66" s="117">
        <f t="shared" ref="I66:J66" si="3">4*(COUNTIF(I14:I65,"true"))+3</f>
        <v>119</v>
      </c>
      <c r="J66" s="117">
        <f t="shared" si="3"/>
        <v>123</v>
      </c>
      <c r="K66" s="117">
        <f>4*(COUNTIF(K14:K65,"true"))+9</f>
        <v>109</v>
      </c>
      <c r="L66" s="135"/>
      <c r="M66" s="135">
        <f>SUM(G66:K66)</f>
        <v>598</v>
      </c>
      <c r="N66" s="112"/>
      <c r="O66" s="112"/>
    </row>
  </sheetData>
  <customSheetViews>
    <customSheetView guid="{90E1DF85-7252-44D2-BA7D-CC3767CD0E8B}" filter="1" showAutoFilter="1">
      <autoFilter ref="$A$14:$O$66">
        <filterColumn colId="4">
          <filters>
            <filter val="Muğla"/>
            <filter val="Balıkesir"/>
          </filters>
        </filterColumn>
      </autoFilter>
    </customSheetView>
    <customSheetView guid="{70B995D3-3AEB-4DFE-A0CA-D6FFCCE596BC}" filter="1" showAutoFilter="1">
      <autoFilter ref="$D$14:$D$65"/>
    </customSheetView>
  </customSheetViews>
  <mergeCells count="4">
    <mergeCell ref="D6:K6"/>
    <mergeCell ref="D7:F7"/>
    <mergeCell ref="D9:D12"/>
    <mergeCell ref="F10:M11"/>
  </mergeCells>
  <conditionalFormatting sqref="G15:K65">
    <cfRule type="cellIs" dxfId="1" priority="1" operator="equal">
      <formula>"False"</formula>
    </cfRule>
  </conditionalFormatting>
  <conditionalFormatting sqref="G15:K65">
    <cfRule type="cellIs" dxfId="0" priority="2" operator="equal">
      <formula>"TRUE"</formula>
    </cfRule>
  </conditionalFormatting>
  <dataValidations>
    <dataValidation type="list" allowBlank="1" showErrorMessage="1" sqref="E15:E65">
      <formula1>Data!$A$2:$A$10</formula1>
    </dataValidation>
    <dataValidation type="list" allowBlank="1" showErrorMessage="1" sqref="F15:F65">
      <formula1>Data!$C$2:$C$8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3" width="2.63"/>
    <col customWidth="1" min="4" max="4" width="20.38"/>
    <col customWidth="1" min="5" max="5" width="11.38"/>
    <col customWidth="1" min="6" max="6" width="16.63"/>
    <col customWidth="1" min="7" max="11" width="8.63"/>
    <col customWidth="1" min="12" max="12" width="12.63"/>
    <col customWidth="1" min="13" max="13" width="15.13"/>
    <col customWidth="1" min="14" max="15" width="2.63"/>
  </cols>
  <sheetData>
    <row r="1" ht="7.5" customHeight="1">
      <c r="A1" s="140"/>
      <c r="B1" s="84"/>
      <c r="C1" s="84"/>
      <c r="D1" s="84"/>
      <c r="E1" s="84"/>
      <c r="F1" s="84"/>
      <c r="G1" s="84"/>
      <c r="H1" s="84"/>
      <c r="I1" s="84"/>
      <c r="J1" s="84"/>
      <c r="K1" s="84"/>
      <c r="L1" s="85"/>
      <c r="M1" s="86"/>
      <c r="N1" s="86"/>
      <c r="O1" s="86"/>
    </row>
    <row r="2" ht="15.0" customHeight="1">
      <c r="A2" s="87"/>
      <c r="B2" s="87"/>
      <c r="C2" s="87"/>
      <c r="D2" s="88"/>
      <c r="E2" s="88"/>
      <c r="F2" s="88"/>
      <c r="G2" s="88"/>
      <c r="H2" s="88"/>
      <c r="I2" s="88"/>
      <c r="J2" s="88"/>
      <c r="K2" s="88"/>
      <c r="L2" s="88"/>
      <c r="M2" s="87"/>
      <c r="N2" s="87"/>
      <c r="O2" s="87"/>
    </row>
    <row r="3" ht="3.75" customHeight="1">
      <c r="A3" s="87"/>
      <c r="B3" s="87"/>
      <c r="C3" s="87"/>
      <c r="D3" s="89"/>
      <c r="E3" s="90"/>
      <c r="F3" s="90"/>
      <c r="G3" s="90"/>
      <c r="H3" s="90"/>
      <c r="I3" s="90"/>
      <c r="J3" s="90"/>
      <c r="K3" s="90"/>
      <c r="L3" s="90"/>
      <c r="M3" s="87"/>
      <c r="N3" s="87"/>
      <c r="O3" s="87"/>
    </row>
    <row r="4" ht="15.0" customHeight="1">
      <c r="A4" s="87"/>
      <c r="B4" s="87"/>
      <c r="C4" s="87"/>
      <c r="D4" s="88"/>
      <c r="E4" s="88"/>
      <c r="F4" s="88"/>
      <c r="G4" s="91"/>
      <c r="H4" s="91"/>
      <c r="I4" s="91"/>
      <c r="J4" s="91"/>
      <c r="K4" s="91"/>
      <c r="L4" s="91"/>
      <c r="M4" s="87"/>
      <c r="N4" s="87"/>
      <c r="O4" s="87"/>
    </row>
    <row r="5" ht="15.0" customHeight="1">
      <c r="A5" s="92"/>
      <c r="B5" s="92"/>
      <c r="C5" s="92"/>
      <c r="D5" s="88"/>
      <c r="E5" s="88"/>
      <c r="F5" s="88"/>
      <c r="G5" s="93"/>
      <c r="H5" s="93"/>
      <c r="I5" s="93"/>
      <c r="J5" s="93"/>
      <c r="K5" s="93"/>
      <c r="L5" s="94"/>
      <c r="M5" s="88"/>
      <c r="N5" s="92"/>
      <c r="O5" s="92"/>
    </row>
    <row r="6" ht="15.0" customHeight="1">
      <c r="A6" s="92"/>
      <c r="B6" s="92"/>
      <c r="C6" s="92"/>
      <c r="D6" s="95" t="s">
        <v>149</v>
      </c>
      <c r="L6" s="94"/>
      <c r="M6" s="88"/>
      <c r="N6" s="92"/>
      <c r="O6" s="92"/>
    </row>
    <row r="7" ht="15.0" customHeight="1">
      <c r="A7" s="92"/>
      <c r="B7" s="92"/>
      <c r="C7" s="92"/>
      <c r="D7" s="96" t="s">
        <v>150</v>
      </c>
      <c r="G7" s="97"/>
      <c r="H7" s="97"/>
      <c r="I7" s="97"/>
      <c r="J7" s="97"/>
      <c r="K7" s="97"/>
      <c r="L7" s="92"/>
      <c r="M7" s="92"/>
      <c r="N7" s="92"/>
      <c r="O7" s="92"/>
    </row>
    <row r="8" ht="15.0" customHeight="1">
      <c r="A8" s="92"/>
      <c r="B8" s="92"/>
      <c r="C8" s="92"/>
      <c r="D8" s="97"/>
      <c r="E8" s="97"/>
      <c r="F8" s="97"/>
      <c r="G8" s="97"/>
      <c r="H8" s="97"/>
      <c r="I8" s="97"/>
      <c r="J8" s="97"/>
      <c r="K8" s="97"/>
      <c r="L8" s="92"/>
      <c r="M8" s="92"/>
      <c r="N8" s="92"/>
      <c r="O8" s="92"/>
    </row>
    <row r="9" ht="15.0" customHeight="1">
      <c r="A9" s="92"/>
      <c r="B9" s="92"/>
      <c r="C9" s="98"/>
      <c r="D9" s="99" t="s">
        <v>35</v>
      </c>
      <c r="E9" s="100"/>
      <c r="F9" s="101"/>
      <c r="G9" s="101"/>
      <c r="H9" s="101"/>
      <c r="I9" s="101"/>
      <c r="J9" s="101"/>
      <c r="K9" s="101"/>
      <c r="L9" s="101"/>
      <c r="M9" s="100"/>
      <c r="N9" s="102"/>
      <c r="O9" s="102"/>
    </row>
    <row r="10" ht="15.0" customHeight="1">
      <c r="A10" s="92"/>
      <c r="B10" s="92"/>
      <c r="C10" s="98"/>
      <c r="E10" s="100"/>
      <c r="F10" s="103" t="s">
        <v>36</v>
      </c>
      <c r="N10" s="102"/>
      <c r="O10" s="102"/>
    </row>
    <row r="11" ht="15.0" customHeight="1">
      <c r="A11" s="92"/>
      <c r="B11" s="92"/>
      <c r="C11" s="98"/>
      <c r="E11" s="100"/>
      <c r="N11" s="102"/>
      <c r="O11" s="102"/>
    </row>
    <row r="12" ht="15.0" customHeight="1">
      <c r="A12" s="88"/>
      <c r="B12" s="92"/>
      <c r="C12" s="92"/>
      <c r="E12" s="100"/>
      <c r="F12" s="100"/>
      <c r="G12" s="100"/>
      <c r="H12" s="100"/>
      <c r="I12" s="100"/>
      <c r="J12" s="100"/>
      <c r="K12" s="100"/>
      <c r="L12" s="100"/>
      <c r="M12" s="100"/>
      <c r="N12" s="102"/>
      <c r="O12" s="102"/>
    </row>
    <row r="13" ht="15.0" customHeight="1">
      <c r="A13" s="88"/>
      <c r="B13" s="104"/>
      <c r="C13" s="104"/>
      <c r="D13" s="104"/>
      <c r="E13" s="104"/>
      <c r="F13" s="105"/>
      <c r="G13" s="105"/>
      <c r="H13" s="105"/>
      <c r="I13" s="105"/>
      <c r="J13" s="105"/>
      <c r="K13" s="105"/>
      <c r="L13" s="104"/>
      <c r="M13" s="104"/>
      <c r="N13" s="104"/>
      <c r="O13" s="104"/>
    </row>
    <row r="14" ht="15.0" customHeight="1">
      <c r="A14" s="106"/>
      <c r="B14" s="106"/>
      <c r="C14" s="106"/>
      <c r="D14" s="107" t="s">
        <v>37</v>
      </c>
      <c r="E14" s="108" t="s">
        <v>38</v>
      </c>
      <c r="F14" s="109" t="s">
        <v>39</v>
      </c>
      <c r="G14" s="110">
        <v>44459.0</v>
      </c>
      <c r="H14" s="110">
        <v>44460.0</v>
      </c>
      <c r="I14" s="110">
        <v>44461.0</v>
      </c>
      <c r="J14" s="110">
        <v>44462.0</v>
      </c>
      <c r="K14" s="110">
        <v>44463.0</v>
      </c>
      <c r="L14" s="111" t="s">
        <v>40</v>
      </c>
      <c r="M14" s="111" t="s">
        <v>41</v>
      </c>
      <c r="N14" s="88"/>
      <c r="O14" s="88"/>
    </row>
    <row r="15" ht="15.0" customHeight="1">
      <c r="A15" s="112"/>
      <c r="B15" s="112"/>
      <c r="C15" s="112"/>
      <c r="D15" s="129" t="s">
        <v>42</v>
      </c>
      <c r="E15" s="114" t="str">
        <f>VLOOKUP(D15,Data!H:I,2,0)</f>
        <v>Adana</v>
      </c>
      <c r="F15" s="115" t="str">
        <f>VLOOKUP(D15,Data!H:J,3,0)</f>
        <v>Freelance</v>
      </c>
      <c r="G15" s="116" t="b">
        <v>1</v>
      </c>
      <c r="H15" s="116" t="b">
        <v>1</v>
      </c>
      <c r="I15" s="116" t="b">
        <v>1</v>
      </c>
      <c r="J15" s="116" t="b">
        <v>1</v>
      </c>
      <c r="K15" s="116" t="b">
        <v>1</v>
      </c>
      <c r="L15" s="117">
        <f t="shared" ref="L15:L68" si="1">COUNTIF(G15:K15,"TRUE")</f>
        <v>5</v>
      </c>
      <c r="M15" s="117">
        <f t="shared" ref="M15:M67" si="2">L15*4</f>
        <v>20</v>
      </c>
      <c r="N15" s="112"/>
      <c r="O15" s="88"/>
    </row>
    <row r="16" ht="15.0" customHeight="1">
      <c r="A16" s="112"/>
      <c r="B16" s="112"/>
      <c r="C16" s="112"/>
      <c r="D16" s="129" t="s">
        <v>43</v>
      </c>
      <c r="E16" s="114" t="str">
        <f>VLOOKUP(D16,Data!H:I,2,0)</f>
        <v>Adana</v>
      </c>
      <c r="F16" s="115" t="str">
        <f>VLOOKUP(D16,Data!H:J,3,0)</f>
        <v>Freelance</v>
      </c>
      <c r="G16" s="116" t="b">
        <v>1</v>
      </c>
      <c r="H16" s="116" t="b">
        <v>1</v>
      </c>
      <c r="I16" s="116" t="b">
        <v>1</v>
      </c>
      <c r="J16" s="116" t="b">
        <v>1</v>
      </c>
      <c r="K16" s="116" t="b">
        <v>1</v>
      </c>
      <c r="L16" s="117">
        <f t="shared" si="1"/>
        <v>5</v>
      </c>
      <c r="M16" s="117">
        <f t="shared" si="2"/>
        <v>20</v>
      </c>
      <c r="N16" s="112"/>
      <c r="O16" s="88"/>
    </row>
    <row r="17" ht="15.0" customHeight="1">
      <c r="A17" s="112"/>
      <c r="B17" s="112"/>
      <c r="C17" s="112"/>
      <c r="D17" s="119" t="s">
        <v>48</v>
      </c>
      <c r="E17" s="114" t="str">
        <f>VLOOKUP(D17,Data!H:I,2,0)</f>
        <v>Ankara</v>
      </c>
      <c r="F17" s="115" t="str">
        <f>VLOOKUP(D17,Data!H:J,3,0)</f>
        <v>Medya Özgür Deniz</v>
      </c>
      <c r="G17" s="116" t="b">
        <v>1</v>
      </c>
      <c r="H17" s="116" t="b">
        <v>1</v>
      </c>
      <c r="I17" s="116" t="b">
        <v>1</v>
      </c>
      <c r="J17" s="116" t="b">
        <v>1</v>
      </c>
      <c r="K17" s="116" t="b">
        <v>1</v>
      </c>
      <c r="L17" s="117">
        <f t="shared" si="1"/>
        <v>5</v>
      </c>
      <c r="M17" s="117">
        <f t="shared" si="2"/>
        <v>20</v>
      </c>
      <c r="N17" s="88"/>
      <c r="O17" s="88"/>
    </row>
    <row r="18" ht="15.0" customHeight="1">
      <c r="A18" s="112"/>
      <c r="B18" s="112"/>
      <c r="C18" s="112"/>
      <c r="D18" s="131" t="s">
        <v>44</v>
      </c>
      <c r="E18" s="114" t="str">
        <f>VLOOKUP(D18,Data!H:I,2,0)</f>
        <v>Ankara</v>
      </c>
      <c r="F18" s="115" t="str">
        <f>VLOOKUP(D18,Data!H:J,3,0)</f>
        <v>Medya Özgür Deniz</v>
      </c>
      <c r="G18" s="116" t="b">
        <v>0</v>
      </c>
      <c r="H18" s="116" t="b">
        <v>0</v>
      </c>
      <c r="I18" s="116" t="b">
        <v>0</v>
      </c>
      <c r="J18" s="116" t="b">
        <v>0</v>
      </c>
      <c r="K18" s="116" t="b">
        <v>0</v>
      </c>
      <c r="L18" s="117">
        <f t="shared" si="1"/>
        <v>0</v>
      </c>
      <c r="M18" s="117">
        <f t="shared" si="2"/>
        <v>0</v>
      </c>
      <c r="N18" s="112"/>
      <c r="O18" s="88"/>
    </row>
    <row r="19" ht="15.0" customHeight="1">
      <c r="A19" s="120"/>
      <c r="B19" s="120"/>
      <c r="C19" s="120"/>
      <c r="D19" s="131" t="s">
        <v>45</v>
      </c>
      <c r="E19" s="114" t="str">
        <f>VLOOKUP(D19,Data!H:I,2,0)</f>
        <v>Ankara</v>
      </c>
      <c r="F19" s="115" t="str">
        <f>VLOOKUP(D19,Data!H:J,3,0)</f>
        <v>Medya Özgür Deniz</v>
      </c>
      <c r="G19" s="116" t="b">
        <v>0</v>
      </c>
      <c r="H19" s="116" t="b">
        <v>1</v>
      </c>
      <c r="I19" s="116" t="b">
        <v>0</v>
      </c>
      <c r="J19" s="116" t="b">
        <v>1</v>
      </c>
      <c r="K19" s="116" t="b">
        <v>1</v>
      </c>
      <c r="L19" s="117">
        <f t="shared" si="1"/>
        <v>3</v>
      </c>
      <c r="M19" s="117">
        <f t="shared" si="2"/>
        <v>12</v>
      </c>
      <c r="N19" s="112"/>
      <c r="O19" s="120"/>
    </row>
    <row r="20" ht="15.0" customHeight="1">
      <c r="A20" s="121"/>
      <c r="B20" s="121"/>
      <c r="C20" s="121"/>
      <c r="D20" s="131" t="s">
        <v>46</v>
      </c>
      <c r="E20" s="114" t="str">
        <f>VLOOKUP(D20,Data!H:I,2,0)</f>
        <v>Ankara</v>
      </c>
      <c r="F20" s="115" t="str">
        <f>VLOOKUP(D20,Data!H:J,3,0)</f>
        <v>Medya Özgür Deniz</v>
      </c>
      <c r="G20" s="116" t="b">
        <v>1</v>
      </c>
      <c r="H20" s="116" t="b">
        <v>0</v>
      </c>
      <c r="I20" s="116" t="b">
        <v>0</v>
      </c>
      <c r="J20" s="116" t="b">
        <v>1</v>
      </c>
      <c r="K20" s="116" t="b">
        <v>0</v>
      </c>
      <c r="L20" s="117">
        <f t="shared" si="1"/>
        <v>2</v>
      </c>
      <c r="M20" s="117">
        <f t="shared" si="2"/>
        <v>8</v>
      </c>
      <c r="N20" s="112"/>
      <c r="O20" s="121"/>
    </row>
    <row r="21" ht="15.0" customHeight="1">
      <c r="A21" s="121"/>
      <c r="B21" s="121"/>
      <c r="C21" s="121"/>
      <c r="D21" s="131" t="s">
        <v>47</v>
      </c>
      <c r="E21" s="114" t="str">
        <f>VLOOKUP(D21,Data!H:I,2,0)</f>
        <v>Ankara</v>
      </c>
      <c r="F21" s="115" t="str">
        <f>VLOOKUP(D21,Data!H:J,3,0)</f>
        <v>Medya Özgür Deniz</v>
      </c>
      <c r="G21" s="116" t="b">
        <v>1</v>
      </c>
      <c r="H21" s="116" t="b">
        <v>1</v>
      </c>
      <c r="I21" s="116" t="b">
        <v>1</v>
      </c>
      <c r="J21" s="116" t="b">
        <v>0</v>
      </c>
      <c r="K21" s="116" t="b">
        <v>1</v>
      </c>
      <c r="L21" s="117">
        <f t="shared" si="1"/>
        <v>4</v>
      </c>
      <c r="M21" s="117">
        <f t="shared" si="2"/>
        <v>16</v>
      </c>
      <c r="N21" s="112"/>
      <c r="O21" s="121"/>
    </row>
    <row r="22" ht="15.0" customHeight="1">
      <c r="A22" s="106"/>
      <c r="B22" s="106"/>
      <c r="C22" s="106"/>
      <c r="D22" s="129" t="s">
        <v>151</v>
      </c>
      <c r="E22" s="114" t="str">
        <f>VLOOKUP(D22,Data!H:I,2,0)</f>
        <v>Antalya</v>
      </c>
      <c r="F22" s="115" t="str">
        <f>VLOOKUP(D22,Data!H:J,3,0)</f>
        <v>Nazım Öztel</v>
      </c>
      <c r="G22" s="116" t="b">
        <v>0</v>
      </c>
      <c r="H22" s="116" t="b">
        <v>1</v>
      </c>
      <c r="I22" s="116" t="b">
        <v>0</v>
      </c>
      <c r="J22" s="116" t="b">
        <v>0</v>
      </c>
      <c r="K22" s="116" t="b">
        <v>0</v>
      </c>
      <c r="L22" s="117">
        <f t="shared" si="1"/>
        <v>1</v>
      </c>
      <c r="M22" s="117">
        <f t="shared" si="2"/>
        <v>4</v>
      </c>
      <c r="N22" s="112"/>
      <c r="O22" s="106"/>
    </row>
    <row r="23" ht="15.0" customHeight="1">
      <c r="A23" s="106"/>
      <c r="B23" s="106"/>
      <c r="C23" s="106"/>
      <c r="D23" s="129" t="s">
        <v>152</v>
      </c>
      <c r="E23" s="114" t="str">
        <f>VLOOKUP(D23,Data!H:I,2,0)</f>
        <v>Antalya</v>
      </c>
      <c r="F23" s="115" t="str">
        <f>VLOOKUP(D23,Data!H:J,3,0)</f>
        <v>Nazım Öztel</v>
      </c>
      <c r="G23" s="116" t="b">
        <v>1</v>
      </c>
      <c r="H23" s="116" t="b">
        <v>1</v>
      </c>
      <c r="I23" s="116" t="b">
        <v>1</v>
      </c>
      <c r="J23" s="116" t="b">
        <v>1</v>
      </c>
      <c r="K23" s="116" t="b">
        <v>1</v>
      </c>
      <c r="L23" s="117">
        <f t="shared" si="1"/>
        <v>5</v>
      </c>
      <c r="M23" s="117">
        <f t="shared" si="2"/>
        <v>20</v>
      </c>
      <c r="N23" s="112"/>
      <c r="O23" s="106"/>
    </row>
    <row r="24" ht="15.0" customHeight="1">
      <c r="A24" s="112"/>
      <c r="B24" s="112"/>
      <c r="C24" s="112"/>
      <c r="D24" s="129" t="s">
        <v>50</v>
      </c>
      <c r="E24" s="114" t="str">
        <f>VLOOKUP(D24,Data!H:I,2,0)</f>
        <v>Antalya</v>
      </c>
      <c r="F24" s="115" t="str">
        <f>VLOOKUP(D24,Data!H:J,3,0)</f>
        <v>Freelance</v>
      </c>
      <c r="G24" s="116" t="b">
        <v>1</v>
      </c>
      <c r="H24" s="116" t="b">
        <v>1</v>
      </c>
      <c r="I24" s="116" t="b">
        <v>1</v>
      </c>
      <c r="J24" s="116" t="b">
        <v>1</v>
      </c>
      <c r="K24" s="116" t="b">
        <v>1</v>
      </c>
      <c r="L24" s="117">
        <f t="shared" si="1"/>
        <v>5</v>
      </c>
      <c r="M24" s="117">
        <f t="shared" si="2"/>
        <v>20</v>
      </c>
      <c r="N24" s="112"/>
      <c r="O24" s="112"/>
    </row>
    <row r="25" ht="15.0" customHeight="1">
      <c r="A25" s="112"/>
      <c r="B25" s="112"/>
      <c r="C25" s="112"/>
      <c r="D25" s="132" t="s">
        <v>52</v>
      </c>
      <c r="E25" s="114" t="str">
        <f>VLOOKUP(D25,Data!H:I,2,0)</f>
        <v>Bursa</v>
      </c>
      <c r="F25" s="115" t="str">
        <f>VLOOKUP(D25,Data!H:J,3,0)</f>
        <v>Nazım Öztel</v>
      </c>
      <c r="G25" s="116" t="b">
        <v>1</v>
      </c>
      <c r="H25" s="116" t="b">
        <v>1</v>
      </c>
      <c r="I25" s="116" t="b">
        <v>1</v>
      </c>
      <c r="J25" s="116" t="b">
        <v>1</v>
      </c>
      <c r="K25" s="116" t="b">
        <v>1</v>
      </c>
      <c r="L25" s="117">
        <f t="shared" si="1"/>
        <v>5</v>
      </c>
      <c r="M25" s="117">
        <f t="shared" si="2"/>
        <v>20</v>
      </c>
      <c r="N25" s="122"/>
      <c r="O25" s="112"/>
    </row>
    <row r="26" ht="15.0" customHeight="1">
      <c r="A26" s="112"/>
      <c r="B26" s="112"/>
      <c r="C26" s="112"/>
      <c r="D26" s="129" t="s">
        <v>53</v>
      </c>
      <c r="E26" s="114" t="str">
        <f>VLOOKUP(D26,Data!H:I,2,0)</f>
        <v>Bursa</v>
      </c>
      <c r="F26" s="115" t="str">
        <f>VLOOKUP(D26,Data!H:J,3,0)</f>
        <v>Freelance</v>
      </c>
      <c r="G26" s="116" t="b">
        <v>1</v>
      </c>
      <c r="H26" s="116" t="b">
        <v>1</v>
      </c>
      <c r="I26" s="116" t="b">
        <v>1</v>
      </c>
      <c r="J26" s="116" t="b">
        <v>1</v>
      </c>
      <c r="K26" s="116" t="b">
        <v>1</v>
      </c>
      <c r="L26" s="117">
        <f t="shared" si="1"/>
        <v>5</v>
      </c>
      <c r="M26" s="117">
        <f t="shared" si="2"/>
        <v>20</v>
      </c>
      <c r="N26" s="112"/>
      <c r="O26" s="112"/>
    </row>
    <row r="27" ht="15.0" customHeight="1">
      <c r="A27" s="112"/>
      <c r="B27" s="112"/>
      <c r="C27" s="112"/>
      <c r="D27" s="132" t="s">
        <v>54</v>
      </c>
      <c r="E27" s="114" t="str">
        <f>VLOOKUP(D27,Data!H:I,2,0)</f>
        <v>Diyarbakır</v>
      </c>
      <c r="F27" s="115" t="str">
        <f>VLOOKUP(D27,Data!H:J,3,0)</f>
        <v>Nazım Öztel</v>
      </c>
      <c r="G27" s="116" t="b">
        <v>0</v>
      </c>
      <c r="H27" s="116" t="b">
        <v>0</v>
      </c>
      <c r="I27" s="116" t="b">
        <v>0</v>
      </c>
      <c r="J27" s="116" t="b">
        <v>0</v>
      </c>
      <c r="K27" s="116" t="b">
        <v>0</v>
      </c>
      <c r="L27" s="117">
        <f t="shared" si="1"/>
        <v>0</v>
      </c>
      <c r="M27" s="117">
        <f t="shared" si="2"/>
        <v>0</v>
      </c>
      <c r="N27" s="112"/>
      <c r="O27" s="112"/>
    </row>
    <row r="28" ht="15.0" customHeight="1">
      <c r="A28" s="112"/>
      <c r="B28" s="112"/>
      <c r="C28" s="112"/>
      <c r="D28" s="129" t="s">
        <v>153</v>
      </c>
      <c r="E28" s="114" t="str">
        <f>VLOOKUP(D28,Data!H:I,2,0)</f>
        <v>Edirne</v>
      </c>
      <c r="F28" s="115" t="str">
        <f>VLOOKUP(D28,Data!H:J,3,0)</f>
        <v>Nazım Öztel</v>
      </c>
      <c r="G28" s="116" t="b">
        <v>1</v>
      </c>
      <c r="H28" s="116" t="b">
        <v>1</v>
      </c>
      <c r="I28" s="116" t="b">
        <v>1</v>
      </c>
      <c r="J28" s="116" t="b">
        <v>1</v>
      </c>
      <c r="K28" s="116" t="b">
        <v>1</v>
      </c>
      <c r="L28" s="117">
        <f t="shared" si="1"/>
        <v>5</v>
      </c>
      <c r="M28" s="117">
        <f t="shared" si="2"/>
        <v>20</v>
      </c>
      <c r="N28" s="112"/>
      <c r="O28" s="112"/>
    </row>
    <row r="29" ht="15.0" customHeight="1">
      <c r="A29" s="112"/>
      <c r="B29" s="112"/>
      <c r="C29" s="112"/>
      <c r="D29" s="132" t="s">
        <v>55</v>
      </c>
      <c r="E29" s="114" t="str">
        <f>VLOOKUP(D29,Data!H:I,2,0)</f>
        <v>Erzurum</v>
      </c>
      <c r="F29" s="115" t="str">
        <f>VLOOKUP(D29,Data!H:J,3,0)</f>
        <v>Nazım Öztel</v>
      </c>
      <c r="G29" s="116" t="b">
        <v>0</v>
      </c>
      <c r="H29" s="116" t="b">
        <v>0</v>
      </c>
      <c r="I29" s="116" t="b">
        <v>0</v>
      </c>
      <c r="J29" s="116" t="b">
        <v>0</v>
      </c>
      <c r="K29" s="116" t="b">
        <v>0</v>
      </c>
      <c r="L29" s="117">
        <f t="shared" si="1"/>
        <v>0</v>
      </c>
      <c r="M29" s="117">
        <f t="shared" si="2"/>
        <v>0</v>
      </c>
      <c r="N29" s="112"/>
      <c r="O29" s="112"/>
    </row>
    <row r="30" ht="15.0" customHeight="1">
      <c r="A30" s="112"/>
      <c r="B30" s="112"/>
      <c r="C30" s="112"/>
      <c r="D30" s="129" t="s">
        <v>58</v>
      </c>
      <c r="E30" s="114" t="str">
        <f>VLOOKUP(D30,Data!H:I,2,0)</f>
        <v>İstanbul</v>
      </c>
      <c r="F30" s="115" t="str">
        <f>VLOOKUP(D30,Data!H:J,3,0)</f>
        <v>Freelance</v>
      </c>
      <c r="G30" s="116" t="b">
        <v>1</v>
      </c>
      <c r="H30" s="116" t="b">
        <v>1</v>
      </c>
      <c r="I30" s="116" t="b">
        <v>1</v>
      </c>
      <c r="J30" s="116" t="b">
        <v>1</v>
      </c>
      <c r="K30" s="116" t="b">
        <v>1</v>
      </c>
      <c r="L30" s="117">
        <f t="shared" si="1"/>
        <v>5</v>
      </c>
      <c r="M30" s="117">
        <f t="shared" si="2"/>
        <v>20</v>
      </c>
      <c r="N30" s="88"/>
      <c r="O30" s="112"/>
    </row>
    <row r="31" ht="15.0" customHeight="1">
      <c r="A31" s="112"/>
      <c r="B31" s="112"/>
      <c r="C31" s="112"/>
      <c r="D31" s="129" t="s">
        <v>133</v>
      </c>
      <c r="E31" s="114" t="str">
        <f>VLOOKUP(D31,Data!H:I,2,0)</f>
        <v>İstanbul</v>
      </c>
      <c r="F31" s="115" t="str">
        <f>VLOOKUP(D31,Data!H:J,3,0)</f>
        <v>Freelance</v>
      </c>
      <c r="G31" s="116" t="b">
        <v>0</v>
      </c>
      <c r="H31" s="116" t="b">
        <v>1</v>
      </c>
      <c r="I31" s="116" t="b">
        <v>1</v>
      </c>
      <c r="J31" s="116" t="b">
        <v>1</v>
      </c>
      <c r="K31" s="116" t="b">
        <v>1</v>
      </c>
      <c r="L31" s="117">
        <f t="shared" si="1"/>
        <v>4</v>
      </c>
      <c r="M31" s="117">
        <f t="shared" si="2"/>
        <v>16</v>
      </c>
      <c r="N31" s="88"/>
      <c r="O31" s="112"/>
    </row>
    <row r="32" ht="15.0" customHeight="1">
      <c r="A32" s="120"/>
      <c r="B32" s="120"/>
      <c r="C32" s="120"/>
      <c r="D32" s="129" t="s">
        <v>66</v>
      </c>
      <c r="E32" s="114" t="str">
        <f>VLOOKUP(D32,Data!H:I,2,0)</f>
        <v>İstanbul</v>
      </c>
      <c r="F32" s="115" t="str">
        <f>VLOOKUP(D32,Data!H:J,3,0)</f>
        <v>Freelance</v>
      </c>
      <c r="G32" s="116" t="b">
        <v>0</v>
      </c>
      <c r="H32" s="116" t="b">
        <v>0</v>
      </c>
      <c r="I32" s="116" t="b">
        <v>0</v>
      </c>
      <c r="J32" s="116" t="b">
        <v>1</v>
      </c>
      <c r="K32" s="116" t="b">
        <v>1</v>
      </c>
      <c r="L32" s="117">
        <f t="shared" si="1"/>
        <v>2</v>
      </c>
      <c r="M32" s="117">
        <f t="shared" si="2"/>
        <v>8</v>
      </c>
      <c r="N32" s="120"/>
      <c r="O32" s="120"/>
    </row>
    <row r="33" ht="15.0" customHeight="1">
      <c r="A33" s="121"/>
      <c r="B33" s="121"/>
      <c r="C33" s="121"/>
      <c r="D33" s="129" t="s">
        <v>134</v>
      </c>
      <c r="E33" s="114" t="str">
        <f>VLOOKUP(D33,Data!H:I,2,0)</f>
        <v>İstanbul</v>
      </c>
      <c r="F33" s="115" t="str">
        <f>VLOOKUP(D33,Data!H:J,3,0)</f>
        <v>Filamingo</v>
      </c>
      <c r="G33" s="116" t="b">
        <v>1</v>
      </c>
      <c r="H33" s="116" t="b">
        <v>1</v>
      </c>
      <c r="I33" s="116" t="b">
        <v>1</v>
      </c>
      <c r="J33" s="116" t="b">
        <v>1</v>
      </c>
      <c r="K33" s="116" t="b">
        <v>1</v>
      </c>
      <c r="L33" s="117">
        <f t="shared" si="1"/>
        <v>5</v>
      </c>
      <c r="M33" s="117">
        <f t="shared" si="2"/>
        <v>20</v>
      </c>
      <c r="N33" s="121"/>
      <c r="O33" s="121"/>
    </row>
    <row r="34" ht="15.0" customHeight="1">
      <c r="A34" s="121"/>
      <c r="B34" s="121"/>
      <c r="C34" s="121"/>
      <c r="D34" s="132" t="s">
        <v>67</v>
      </c>
      <c r="E34" s="114" t="str">
        <f>VLOOKUP(D34,Data!H:I,2,0)</f>
        <v>İstanbul</v>
      </c>
      <c r="F34" s="115" t="str">
        <f>VLOOKUP(D34,Data!H:J,3,0)</f>
        <v>Filamingo</v>
      </c>
      <c r="G34" s="116" t="b">
        <v>0</v>
      </c>
      <c r="H34" s="116" t="b">
        <v>0</v>
      </c>
      <c r="I34" s="116" t="b">
        <v>0</v>
      </c>
      <c r="J34" s="116" t="b">
        <v>0</v>
      </c>
      <c r="K34" s="116" t="b">
        <v>0</v>
      </c>
      <c r="L34" s="117">
        <f t="shared" si="1"/>
        <v>0</v>
      </c>
      <c r="M34" s="117">
        <f t="shared" si="2"/>
        <v>0</v>
      </c>
      <c r="N34" s="121"/>
      <c r="O34" s="121"/>
    </row>
    <row r="35" ht="15.0" customHeight="1">
      <c r="A35" s="112"/>
      <c r="B35" s="112"/>
      <c r="C35" s="112"/>
      <c r="D35" s="132" t="s">
        <v>117</v>
      </c>
      <c r="E35" s="114" t="str">
        <f>VLOOKUP(D35,Data!H:I,2,0)</f>
        <v>İstanbul</v>
      </c>
      <c r="F35" s="115" t="str">
        <f>VLOOKUP(D35,Data!H:J,3,0)</f>
        <v>Freelance</v>
      </c>
      <c r="G35" s="116" t="b">
        <v>0</v>
      </c>
      <c r="H35" s="116" t="b">
        <v>1</v>
      </c>
      <c r="I35" s="116" t="b">
        <v>1</v>
      </c>
      <c r="J35" s="116" t="b">
        <v>1</v>
      </c>
      <c r="K35" s="116" t="b">
        <v>0</v>
      </c>
      <c r="L35" s="117">
        <f t="shared" si="1"/>
        <v>3</v>
      </c>
      <c r="M35" s="117">
        <f t="shared" si="2"/>
        <v>12</v>
      </c>
      <c r="N35" s="112"/>
      <c r="O35" s="112"/>
    </row>
    <row r="36" ht="15.0" customHeight="1">
      <c r="A36" s="112"/>
      <c r="B36" s="112"/>
      <c r="C36" s="112"/>
      <c r="D36" s="129" t="s">
        <v>135</v>
      </c>
      <c r="E36" s="114" t="str">
        <f>VLOOKUP(D36,Data!H:I,2,0)</f>
        <v>İstanbul</v>
      </c>
      <c r="F36" s="115" t="str">
        <f>VLOOKUP(D36,Data!H:J,3,0)</f>
        <v>Freelance</v>
      </c>
      <c r="G36" s="116" t="b">
        <v>1</v>
      </c>
      <c r="H36" s="116" t="b">
        <v>1</v>
      </c>
      <c r="I36" s="116" t="b">
        <v>1</v>
      </c>
      <c r="J36" s="116" t="b">
        <v>1</v>
      </c>
      <c r="K36" s="116" t="b">
        <v>0</v>
      </c>
      <c r="L36" s="117">
        <f t="shared" si="1"/>
        <v>4</v>
      </c>
      <c r="M36" s="117">
        <f t="shared" si="2"/>
        <v>16</v>
      </c>
      <c r="N36" s="112"/>
      <c r="O36" s="112"/>
    </row>
    <row r="37" ht="15.0" customHeight="1">
      <c r="A37" s="112"/>
      <c r="B37" s="112"/>
      <c r="C37" s="112"/>
      <c r="D37" s="129" t="s">
        <v>123</v>
      </c>
      <c r="E37" s="114" t="str">
        <f>VLOOKUP(D37,Data!H:I,2,0)</f>
        <v>İstanbul</v>
      </c>
      <c r="F37" s="115" t="str">
        <f>VLOOKUP(D37,Data!H:J,3,0)</f>
        <v>Freelance</v>
      </c>
      <c r="G37" s="116" t="b">
        <v>1</v>
      </c>
      <c r="H37" s="116" t="b">
        <v>1</v>
      </c>
      <c r="I37" s="116" t="b">
        <v>1</v>
      </c>
      <c r="J37" s="116" t="b">
        <v>1</v>
      </c>
      <c r="K37" s="116" t="b">
        <v>1</v>
      </c>
      <c r="L37" s="117">
        <f t="shared" si="1"/>
        <v>5</v>
      </c>
      <c r="M37" s="117">
        <f t="shared" si="2"/>
        <v>20</v>
      </c>
      <c r="N37" s="112"/>
      <c r="O37" s="112"/>
    </row>
    <row r="38" ht="15.0" customHeight="1">
      <c r="A38" s="112"/>
      <c r="B38" s="112"/>
      <c r="C38" s="112"/>
      <c r="D38" s="129" t="s">
        <v>70</v>
      </c>
      <c r="E38" s="114" t="str">
        <f>VLOOKUP(D38,Data!H:I,2,0)</f>
        <v>İstanbul</v>
      </c>
      <c r="F38" s="115" t="str">
        <f>VLOOKUP(D38,Data!H:J,3,0)</f>
        <v>Freelance</v>
      </c>
      <c r="G38" s="116" t="b">
        <v>0</v>
      </c>
      <c r="H38" s="116" t="b">
        <v>0</v>
      </c>
      <c r="I38" s="116" t="b">
        <v>0</v>
      </c>
      <c r="J38" s="116" t="b">
        <v>1</v>
      </c>
      <c r="K38" s="116" t="b">
        <v>0</v>
      </c>
      <c r="L38" s="117">
        <f t="shared" si="1"/>
        <v>1</v>
      </c>
      <c r="M38" s="117">
        <f t="shared" si="2"/>
        <v>4</v>
      </c>
      <c r="N38" s="112"/>
      <c r="O38" s="112"/>
    </row>
    <row r="39" ht="15.0" customHeight="1">
      <c r="A39" s="112"/>
      <c r="B39" s="112"/>
      <c r="C39" s="112"/>
      <c r="D39" s="132" t="s">
        <v>71</v>
      </c>
      <c r="E39" s="114" t="str">
        <f>VLOOKUP(D39,Data!H:I,2,0)</f>
        <v>İstanbul</v>
      </c>
      <c r="F39" s="115" t="str">
        <f>VLOOKUP(D39,Data!H:J,3,0)</f>
        <v>Filamingo</v>
      </c>
      <c r="G39" s="116" t="b">
        <v>1</v>
      </c>
      <c r="H39" s="116" t="b">
        <v>1</v>
      </c>
      <c r="I39" s="116" t="b">
        <v>1</v>
      </c>
      <c r="J39" s="116" t="b">
        <v>1</v>
      </c>
      <c r="K39" s="116" t="b">
        <v>1</v>
      </c>
      <c r="L39" s="117">
        <f t="shared" si="1"/>
        <v>5</v>
      </c>
      <c r="M39" s="117">
        <f t="shared" si="2"/>
        <v>20</v>
      </c>
      <c r="N39" s="112"/>
      <c r="O39" s="112"/>
    </row>
    <row r="40" ht="15.0" customHeight="1">
      <c r="A40" s="112"/>
      <c r="B40" s="112"/>
      <c r="C40" s="112"/>
      <c r="D40" s="132" t="s">
        <v>72</v>
      </c>
      <c r="E40" s="114" t="str">
        <f>VLOOKUP(D40,Data!H:I,2,0)</f>
        <v>İstanbul</v>
      </c>
      <c r="F40" s="115" t="str">
        <f>VLOOKUP(D40,Data!H:J,3,0)</f>
        <v>Filamingo</v>
      </c>
      <c r="G40" s="116" t="b">
        <v>0</v>
      </c>
      <c r="H40" s="116" t="b">
        <v>0</v>
      </c>
      <c r="I40" s="116" t="b">
        <v>0</v>
      </c>
      <c r="J40" s="116" t="b">
        <v>0</v>
      </c>
      <c r="K40" s="116" t="b">
        <v>0</v>
      </c>
      <c r="L40" s="117">
        <f t="shared" si="1"/>
        <v>0</v>
      </c>
      <c r="M40" s="117">
        <f t="shared" si="2"/>
        <v>0</v>
      </c>
      <c r="N40" s="112"/>
      <c r="O40" s="112"/>
    </row>
    <row r="41" ht="15.0" customHeight="1">
      <c r="A41" s="112"/>
      <c r="B41" s="112"/>
      <c r="C41" s="112"/>
      <c r="D41" s="129" t="s">
        <v>136</v>
      </c>
      <c r="E41" s="114" t="str">
        <f>VLOOKUP(D41,Data!H:I,2,0)</f>
        <v>İstanbul</v>
      </c>
      <c r="F41" s="115" t="str">
        <f>VLOOKUP(D41,Data!H:J,3,0)</f>
        <v>Filamingo</v>
      </c>
      <c r="G41" s="116" t="b">
        <v>0</v>
      </c>
      <c r="H41" s="116" t="b">
        <v>0</v>
      </c>
      <c r="I41" s="116" t="b">
        <v>1</v>
      </c>
      <c r="J41" s="116" t="b">
        <v>1</v>
      </c>
      <c r="K41" s="116" t="b">
        <v>1</v>
      </c>
      <c r="L41" s="117">
        <f t="shared" si="1"/>
        <v>3</v>
      </c>
      <c r="M41" s="117">
        <f t="shared" si="2"/>
        <v>12</v>
      </c>
      <c r="N41" s="120"/>
      <c r="O41" s="112"/>
    </row>
    <row r="42" ht="15.0" customHeight="1">
      <c r="A42" s="125"/>
      <c r="B42" s="125"/>
      <c r="C42" s="125"/>
      <c r="D42" s="129" t="s">
        <v>77</v>
      </c>
      <c r="E42" s="114" t="str">
        <f>VLOOKUP(D42,Data!H:I,2,0)</f>
        <v>İstanbul</v>
      </c>
      <c r="F42" s="115" t="str">
        <f>VLOOKUP(D42,Data!H:J,3,0)</f>
        <v>Freelance</v>
      </c>
      <c r="G42" s="116" t="b">
        <v>0</v>
      </c>
      <c r="H42" s="116" t="b">
        <v>0</v>
      </c>
      <c r="I42" s="116" t="b">
        <v>0</v>
      </c>
      <c r="J42" s="116" t="b">
        <v>0</v>
      </c>
      <c r="K42" s="116" t="b">
        <v>0</v>
      </c>
      <c r="L42" s="117">
        <f t="shared" si="1"/>
        <v>0</v>
      </c>
      <c r="M42" s="117">
        <f t="shared" si="2"/>
        <v>0</v>
      </c>
      <c r="N42" s="124"/>
      <c r="O42" s="125"/>
    </row>
    <row r="43" ht="15.0" customHeight="1">
      <c r="A43" s="122"/>
      <c r="B43" s="122"/>
      <c r="C43" s="122"/>
      <c r="D43" s="129" t="s">
        <v>78</v>
      </c>
      <c r="E43" s="114" t="str">
        <f>VLOOKUP(D43,Data!H:I,2,0)</f>
        <v>İstanbul</v>
      </c>
      <c r="F43" s="115" t="str">
        <f>VLOOKUP(D43,Data!H:J,3,0)</f>
        <v>Freelance</v>
      </c>
      <c r="G43" s="116" t="b">
        <v>1</v>
      </c>
      <c r="H43" s="116" t="b">
        <v>1</v>
      </c>
      <c r="I43" s="116" t="b">
        <v>1</v>
      </c>
      <c r="J43" s="116" t="b">
        <v>1</v>
      </c>
      <c r="K43" s="116" t="b">
        <v>1</v>
      </c>
      <c r="L43" s="117">
        <f t="shared" si="1"/>
        <v>5</v>
      </c>
      <c r="M43" s="117">
        <f t="shared" si="2"/>
        <v>20</v>
      </c>
      <c r="N43" s="112"/>
      <c r="O43" s="122"/>
    </row>
    <row r="44" ht="15.0" customHeight="1">
      <c r="A44" s="124"/>
      <c r="B44" s="124"/>
      <c r="C44" s="124"/>
      <c r="D44" s="129" t="s">
        <v>79</v>
      </c>
      <c r="E44" s="114" t="str">
        <f>VLOOKUP(D44,Data!H:I,2,0)</f>
        <v>İstanbul</v>
      </c>
      <c r="F44" s="115" t="str">
        <f>VLOOKUP(D44,Data!H:J,3,0)</f>
        <v>Freelance</v>
      </c>
      <c r="G44" s="116" t="b">
        <v>1</v>
      </c>
      <c r="H44" s="116" t="b">
        <v>1</v>
      </c>
      <c r="I44" s="116" t="b">
        <v>1</v>
      </c>
      <c r="J44" s="116" t="b">
        <v>1</v>
      </c>
      <c r="K44" s="116" t="b">
        <v>1</v>
      </c>
      <c r="L44" s="117">
        <f t="shared" si="1"/>
        <v>5</v>
      </c>
      <c r="M44" s="117">
        <f t="shared" si="2"/>
        <v>20</v>
      </c>
      <c r="N44" s="112"/>
      <c r="O44" s="124"/>
    </row>
    <row r="45" ht="15.0" customHeight="1">
      <c r="A45" s="112"/>
      <c r="B45" s="112"/>
      <c r="C45" s="112"/>
      <c r="D45" s="141" t="s">
        <v>125</v>
      </c>
      <c r="E45" s="114" t="str">
        <f>VLOOKUP(D45,Data!H:I,2,0)</f>
        <v>İstanbul</v>
      </c>
      <c r="F45" s="115" t="str">
        <f>VLOOKUP(D45,Data!H:J,3,0)</f>
        <v>Filamingo</v>
      </c>
      <c r="G45" s="116" t="b">
        <v>0</v>
      </c>
      <c r="H45" s="116" t="b">
        <v>0</v>
      </c>
      <c r="I45" s="116" t="b">
        <v>0</v>
      </c>
      <c r="J45" s="116" t="b">
        <v>0</v>
      </c>
      <c r="K45" s="116" t="b">
        <v>0</v>
      </c>
      <c r="L45" s="117">
        <f t="shared" si="1"/>
        <v>0</v>
      </c>
      <c r="M45" s="117">
        <f t="shared" si="2"/>
        <v>0</v>
      </c>
      <c r="N45" s="124"/>
      <c r="O45" s="112"/>
    </row>
    <row r="46" ht="15.0" customHeight="1">
      <c r="A46" s="112"/>
      <c r="B46" s="112"/>
      <c r="C46" s="112"/>
      <c r="D46" s="129" t="s">
        <v>80</v>
      </c>
      <c r="E46" s="114" t="str">
        <f>VLOOKUP(D46,Data!H:I,2,0)</f>
        <v>İstanbul</v>
      </c>
      <c r="F46" s="115" t="str">
        <f>VLOOKUP(D46,Data!H:J,3,0)</f>
        <v>Freelance</v>
      </c>
      <c r="G46" s="116" t="b">
        <v>1</v>
      </c>
      <c r="H46" s="116" t="b">
        <v>1</v>
      </c>
      <c r="I46" s="116" t="b">
        <v>1</v>
      </c>
      <c r="J46" s="116" t="b">
        <v>1</v>
      </c>
      <c r="K46" s="116" t="b">
        <v>0</v>
      </c>
      <c r="L46" s="117">
        <f t="shared" si="1"/>
        <v>4</v>
      </c>
      <c r="M46" s="117">
        <f t="shared" si="2"/>
        <v>16</v>
      </c>
      <c r="N46" s="112"/>
      <c r="O46" s="112"/>
    </row>
    <row r="47" ht="15.0" customHeight="1">
      <c r="A47" s="112"/>
      <c r="B47" s="112"/>
      <c r="C47" s="112"/>
      <c r="D47" s="132" t="s">
        <v>119</v>
      </c>
      <c r="E47" s="114" t="str">
        <f>VLOOKUP(D47,Data!H:I,2,0)</f>
        <v>İstanbul</v>
      </c>
      <c r="F47" s="115" t="str">
        <f>VLOOKUP(D47,Data!H:J,3,0)</f>
        <v>Filamingo</v>
      </c>
      <c r="G47" s="116" t="b">
        <v>0</v>
      </c>
      <c r="H47" s="116" t="b">
        <v>1</v>
      </c>
      <c r="I47" s="116" t="b">
        <v>1</v>
      </c>
      <c r="J47" s="116" t="b">
        <v>1</v>
      </c>
      <c r="K47" s="116" t="b">
        <v>1</v>
      </c>
      <c r="L47" s="117">
        <f t="shared" si="1"/>
        <v>4</v>
      </c>
      <c r="M47" s="117">
        <f t="shared" si="2"/>
        <v>16</v>
      </c>
      <c r="N47" s="112"/>
      <c r="O47" s="112"/>
    </row>
    <row r="48" ht="15.0" customHeight="1">
      <c r="A48" s="112"/>
      <c r="B48" s="112"/>
      <c r="C48" s="112"/>
      <c r="D48" s="129" t="s">
        <v>81</v>
      </c>
      <c r="E48" s="114" t="str">
        <f>VLOOKUP(D48,Data!H:I,2,0)</f>
        <v>İstanbul</v>
      </c>
      <c r="F48" s="115" t="str">
        <f>VLOOKUP(D48,Data!H:J,3,0)</f>
        <v>Freelance</v>
      </c>
      <c r="G48" s="116" t="b">
        <v>1</v>
      </c>
      <c r="H48" s="116" t="b">
        <v>1</v>
      </c>
      <c r="I48" s="116" t="b">
        <v>1</v>
      </c>
      <c r="J48" s="116" t="b">
        <v>1</v>
      </c>
      <c r="K48" s="116" t="b">
        <v>1</v>
      </c>
      <c r="L48" s="117">
        <f t="shared" si="1"/>
        <v>5</v>
      </c>
      <c r="M48" s="117">
        <f t="shared" si="2"/>
        <v>20</v>
      </c>
      <c r="N48" s="125"/>
      <c r="O48" s="112"/>
    </row>
    <row r="49" ht="15.0" customHeight="1">
      <c r="A49" s="112"/>
      <c r="B49" s="112"/>
      <c r="C49" s="112"/>
      <c r="D49" s="132" t="s">
        <v>83</v>
      </c>
      <c r="E49" s="114" t="str">
        <f>VLOOKUP(D49,Data!H:I,2,0)</f>
        <v>İstanbul</v>
      </c>
      <c r="F49" s="115" t="str">
        <f>VLOOKUP(D49,Data!H:J,3,0)</f>
        <v>Nazım Öztel</v>
      </c>
      <c r="G49" s="116" t="b">
        <v>1</v>
      </c>
      <c r="H49" s="116" t="b">
        <v>1</v>
      </c>
      <c r="I49" s="116" t="b">
        <v>1</v>
      </c>
      <c r="J49" s="116" t="b">
        <v>1</v>
      </c>
      <c r="K49" s="116" t="b">
        <v>1</v>
      </c>
      <c r="L49" s="117">
        <f t="shared" si="1"/>
        <v>5</v>
      </c>
      <c r="M49" s="117">
        <f t="shared" si="2"/>
        <v>20</v>
      </c>
      <c r="N49" s="112"/>
      <c r="O49" s="112"/>
    </row>
    <row r="50" ht="15.0" customHeight="1">
      <c r="A50" s="125"/>
      <c r="B50" s="125"/>
      <c r="C50" s="125"/>
      <c r="D50" s="132" t="s">
        <v>85</v>
      </c>
      <c r="E50" s="114" t="str">
        <f>VLOOKUP(D50,Data!H:I,2,0)</f>
        <v>İstanbul</v>
      </c>
      <c r="F50" s="115" t="str">
        <f>VLOOKUP(D50,Data!H:J,3,0)</f>
        <v>Filamingo</v>
      </c>
      <c r="G50" s="116" t="b">
        <v>0</v>
      </c>
      <c r="H50" s="116" t="b">
        <v>0</v>
      </c>
      <c r="I50" s="116" t="b">
        <v>0</v>
      </c>
      <c r="J50" s="116" t="b">
        <v>0</v>
      </c>
      <c r="K50" s="116" t="b">
        <v>0</v>
      </c>
      <c r="L50" s="117">
        <f t="shared" si="1"/>
        <v>0</v>
      </c>
      <c r="M50" s="117">
        <f t="shared" si="2"/>
        <v>0</v>
      </c>
      <c r="N50" s="112"/>
      <c r="O50" s="125"/>
    </row>
    <row r="51" ht="15.0" customHeight="1">
      <c r="A51" s="125"/>
      <c r="B51" s="125"/>
      <c r="C51" s="125"/>
      <c r="D51" s="129" t="s">
        <v>145</v>
      </c>
      <c r="E51" s="114" t="str">
        <f>VLOOKUP(D51,Data!H:I,2,0)</f>
        <v>İstanbul</v>
      </c>
      <c r="F51" s="115" t="str">
        <f>VLOOKUP(D51,Data!H:J,3,0)</f>
        <v>Filamingo</v>
      </c>
      <c r="G51" s="116" t="b">
        <v>1</v>
      </c>
      <c r="H51" s="116" t="b">
        <v>1</v>
      </c>
      <c r="I51" s="116" t="b">
        <v>1</v>
      </c>
      <c r="J51" s="116" t="b">
        <v>1</v>
      </c>
      <c r="K51" s="116" t="b">
        <v>1</v>
      </c>
      <c r="L51" s="117">
        <f t="shared" si="1"/>
        <v>5</v>
      </c>
      <c r="M51" s="117">
        <f t="shared" si="2"/>
        <v>20</v>
      </c>
      <c r="N51" s="112"/>
      <c r="O51" s="125"/>
    </row>
    <row r="52" ht="15.0" customHeight="1">
      <c r="A52" s="126"/>
      <c r="B52" s="126"/>
      <c r="C52" s="126"/>
      <c r="D52" s="129" t="s">
        <v>86</v>
      </c>
      <c r="E52" s="114" t="str">
        <f>VLOOKUP(D52,Data!H:I,2,0)</f>
        <v>İstanbul</v>
      </c>
      <c r="F52" s="115" t="str">
        <f>VLOOKUP(D52,Data!H:J,3,0)</f>
        <v>Freelance</v>
      </c>
      <c r="G52" s="116" t="b">
        <v>1</v>
      </c>
      <c r="H52" s="116" t="b">
        <v>0</v>
      </c>
      <c r="I52" s="116" t="b">
        <v>0</v>
      </c>
      <c r="J52" s="116" t="b">
        <v>0</v>
      </c>
      <c r="K52" s="116" t="b">
        <v>0</v>
      </c>
      <c r="L52" s="117">
        <f t="shared" si="1"/>
        <v>1</v>
      </c>
      <c r="M52" s="117">
        <f t="shared" si="2"/>
        <v>4</v>
      </c>
      <c r="N52" s="112"/>
      <c r="O52" s="126"/>
    </row>
    <row r="53" ht="15.0" customHeight="1">
      <c r="A53" s="122"/>
      <c r="B53" s="122"/>
      <c r="C53" s="122"/>
      <c r="D53" s="129" t="s">
        <v>87</v>
      </c>
      <c r="E53" s="114" t="str">
        <f>VLOOKUP(D53,Data!H:I,2,0)</f>
        <v>İstanbul</v>
      </c>
      <c r="F53" s="115" t="str">
        <f>VLOOKUP(D53,Data!H:J,3,0)</f>
        <v>Freelance</v>
      </c>
      <c r="G53" s="116" t="b">
        <v>1</v>
      </c>
      <c r="H53" s="116" t="b">
        <v>1</v>
      </c>
      <c r="I53" s="116" t="b">
        <v>1</v>
      </c>
      <c r="J53" s="116" t="b">
        <v>1</v>
      </c>
      <c r="K53" s="116" t="b">
        <v>1</v>
      </c>
      <c r="L53" s="117">
        <f t="shared" si="1"/>
        <v>5</v>
      </c>
      <c r="M53" s="117">
        <f t="shared" si="2"/>
        <v>20</v>
      </c>
      <c r="N53" s="112"/>
      <c r="O53" s="122"/>
    </row>
    <row r="54" ht="15.0" customHeight="1">
      <c r="A54" s="112"/>
      <c r="B54" s="112"/>
      <c r="C54" s="112"/>
      <c r="D54" s="132" t="s">
        <v>88</v>
      </c>
      <c r="E54" s="114" t="str">
        <f>VLOOKUP(D54,Data!H:I,2,0)</f>
        <v>İstanbul</v>
      </c>
      <c r="F54" s="115" t="str">
        <f>VLOOKUP(D54,Data!H:J,3,0)</f>
        <v>Nazım Öztel</v>
      </c>
      <c r="G54" s="116" t="b">
        <v>1</v>
      </c>
      <c r="H54" s="116" t="b">
        <v>0</v>
      </c>
      <c r="I54" s="116" t="b">
        <v>0</v>
      </c>
      <c r="J54" s="116" t="b">
        <v>0</v>
      </c>
      <c r="K54" s="116" t="b">
        <v>0</v>
      </c>
      <c r="L54" s="117">
        <f t="shared" si="1"/>
        <v>1</v>
      </c>
      <c r="M54" s="117">
        <f t="shared" si="2"/>
        <v>4</v>
      </c>
      <c r="N54" s="112"/>
      <c r="O54" s="112"/>
    </row>
    <row r="55" ht="15.0" customHeight="1">
      <c r="A55" s="112"/>
      <c r="B55" s="112"/>
      <c r="C55" s="112"/>
      <c r="D55" s="132" t="s">
        <v>89</v>
      </c>
      <c r="E55" s="114" t="str">
        <f>VLOOKUP(D55,Data!H:I,2,0)</f>
        <v>İstanbul</v>
      </c>
      <c r="F55" s="115" t="str">
        <f>VLOOKUP(D55,Data!H:J,3,0)</f>
        <v>Filamingo</v>
      </c>
      <c r="G55" s="116" t="b">
        <v>1</v>
      </c>
      <c r="H55" s="116" t="b">
        <v>0</v>
      </c>
      <c r="I55" s="116" t="b">
        <v>0</v>
      </c>
      <c r="J55" s="116" t="b">
        <v>0</v>
      </c>
      <c r="K55" s="116" t="b">
        <v>0</v>
      </c>
      <c r="L55" s="117">
        <f t="shared" si="1"/>
        <v>1</v>
      </c>
      <c r="M55" s="117">
        <f t="shared" si="2"/>
        <v>4</v>
      </c>
      <c r="N55" s="112"/>
      <c r="O55" s="112"/>
    </row>
    <row r="56" ht="15.0" customHeight="1">
      <c r="A56" s="112"/>
      <c r="B56" s="112"/>
      <c r="C56" s="112"/>
      <c r="D56" s="129" t="s">
        <v>138</v>
      </c>
      <c r="E56" s="114" t="str">
        <f>VLOOKUP(D56,Data!H:I,2,0)</f>
        <v>İstanbul</v>
      </c>
      <c r="F56" s="115" t="str">
        <f>VLOOKUP(D56,Data!H:J,3,0)</f>
        <v>Filamingo</v>
      </c>
      <c r="G56" s="116" t="b">
        <v>0</v>
      </c>
      <c r="H56" s="116" t="b">
        <v>0</v>
      </c>
      <c r="I56" s="116" t="b">
        <v>0</v>
      </c>
      <c r="J56" s="116" t="b">
        <v>0</v>
      </c>
      <c r="K56" s="116" t="b">
        <v>0</v>
      </c>
      <c r="L56" s="117">
        <f t="shared" si="1"/>
        <v>0</v>
      </c>
      <c r="M56" s="117">
        <f t="shared" si="2"/>
        <v>0</v>
      </c>
      <c r="N56" s="112"/>
      <c r="O56" s="112"/>
    </row>
    <row r="57" ht="15.0" customHeight="1">
      <c r="A57" s="112"/>
      <c r="B57" s="112"/>
      <c r="C57" s="112"/>
      <c r="D57" s="129" t="s">
        <v>127</v>
      </c>
      <c r="E57" s="114" t="str">
        <f>VLOOKUP(D57,Data!H:I,2,0)</f>
        <v>İstanbul</v>
      </c>
      <c r="F57" s="115" t="str">
        <f>VLOOKUP(D57,Data!H:J,3,0)</f>
        <v>Filamingo</v>
      </c>
      <c r="G57" s="116" t="b">
        <v>0</v>
      </c>
      <c r="H57" s="116" t="b">
        <v>1</v>
      </c>
      <c r="I57" s="116" t="b">
        <v>0</v>
      </c>
      <c r="J57" s="116" t="b">
        <v>1</v>
      </c>
      <c r="K57" s="116" t="b">
        <v>1</v>
      </c>
      <c r="L57" s="117">
        <f t="shared" si="1"/>
        <v>3</v>
      </c>
      <c r="M57" s="117">
        <f t="shared" si="2"/>
        <v>12</v>
      </c>
      <c r="N57" s="112"/>
      <c r="O57" s="112"/>
    </row>
    <row r="58" ht="15.0" customHeight="1">
      <c r="A58" s="112"/>
      <c r="B58" s="112"/>
      <c r="C58" s="112"/>
      <c r="D58" s="132" t="s">
        <v>92</v>
      </c>
      <c r="E58" s="114" t="str">
        <f>VLOOKUP(D58,Data!H:I,2,0)</f>
        <v>İzmir</v>
      </c>
      <c r="F58" s="115" t="str">
        <f>VLOOKUP(D58,Data!H:J,3,0)</f>
        <v>Nazım Öztel</v>
      </c>
      <c r="G58" s="116" t="b">
        <v>1</v>
      </c>
      <c r="H58" s="116" t="b">
        <v>1</v>
      </c>
      <c r="I58" s="116" t="b">
        <v>0</v>
      </c>
      <c r="J58" s="116" t="b">
        <v>1</v>
      </c>
      <c r="K58" s="116" t="b">
        <v>1</v>
      </c>
      <c r="L58" s="117">
        <f t="shared" si="1"/>
        <v>4</v>
      </c>
      <c r="M58" s="117">
        <f t="shared" si="2"/>
        <v>16</v>
      </c>
      <c r="N58" s="125"/>
      <c r="O58" s="112"/>
    </row>
    <row r="59" ht="15.0" customHeight="1">
      <c r="A59" s="112"/>
      <c r="B59" s="112"/>
      <c r="C59" s="112"/>
      <c r="D59" s="129" t="s">
        <v>139</v>
      </c>
      <c r="E59" s="114" t="s">
        <v>129</v>
      </c>
      <c r="F59" s="115" t="str">
        <f>VLOOKUP(D59,Data!H:J,3,0)</f>
        <v>Nazım Öztel</v>
      </c>
      <c r="G59" s="116" t="b">
        <v>1</v>
      </c>
      <c r="H59" s="116" t="b">
        <v>1</v>
      </c>
      <c r="I59" s="116" t="b">
        <v>1</v>
      </c>
      <c r="J59" s="116" t="b">
        <v>1</v>
      </c>
      <c r="K59" s="116" t="b">
        <v>0</v>
      </c>
      <c r="L59" s="117">
        <f t="shared" si="1"/>
        <v>4</v>
      </c>
      <c r="M59" s="117">
        <f t="shared" si="2"/>
        <v>16</v>
      </c>
      <c r="N59" s="125"/>
      <c r="O59" s="112"/>
    </row>
    <row r="60" ht="15.0" customHeight="1">
      <c r="A60" s="112"/>
      <c r="B60" s="112"/>
      <c r="C60" s="112"/>
      <c r="D60" s="129" t="s">
        <v>93</v>
      </c>
      <c r="E60" s="114" t="str">
        <f>VLOOKUP(D60,Data!H:I,2,0)</f>
        <v>İzmir</v>
      </c>
      <c r="F60" s="115" t="str">
        <f>VLOOKUP(D60,Data!H:J,3,0)</f>
        <v>Freelance</v>
      </c>
      <c r="G60" s="116" t="b">
        <v>0</v>
      </c>
      <c r="H60" s="116" t="b">
        <v>0</v>
      </c>
      <c r="I60" s="116" t="b">
        <v>0</v>
      </c>
      <c r="J60" s="116" t="b">
        <v>0</v>
      </c>
      <c r="K60" s="116" t="b">
        <v>0</v>
      </c>
      <c r="L60" s="117">
        <f t="shared" si="1"/>
        <v>0</v>
      </c>
      <c r="M60" s="117">
        <f t="shared" si="2"/>
        <v>0</v>
      </c>
      <c r="N60" s="112"/>
      <c r="O60" s="112"/>
    </row>
    <row r="61" ht="15.0" customHeight="1">
      <c r="A61" s="112"/>
      <c r="B61" s="112"/>
      <c r="C61" s="112"/>
      <c r="D61" s="132" t="s">
        <v>96</v>
      </c>
      <c r="E61" s="114" t="str">
        <f>VLOOKUP(D61,Data!H:I,2,0)</f>
        <v>Kocaeli</v>
      </c>
      <c r="F61" s="115" t="str">
        <f>VLOOKUP(D61,Data!H:J,3,0)</f>
        <v>Nazım Öztel</v>
      </c>
      <c r="G61" s="116" t="b">
        <v>0</v>
      </c>
      <c r="H61" s="116" t="b">
        <v>0</v>
      </c>
      <c r="I61" s="116" t="b">
        <v>0</v>
      </c>
      <c r="J61" s="116" t="b">
        <v>1</v>
      </c>
      <c r="K61" s="116" t="b">
        <v>1</v>
      </c>
      <c r="L61" s="117">
        <f t="shared" si="1"/>
        <v>2</v>
      </c>
      <c r="M61" s="117">
        <f t="shared" si="2"/>
        <v>8</v>
      </c>
      <c r="N61" s="112"/>
      <c r="O61" s="112"/>
    </row>
    <row r="62" ht="15.0" customHeight="1">
      <c r="A62" s="112"/>
      <c r="B62" s="112"/>
      <c r="C62" s="112"/>
      <c r="D62" s="129" t="s">
        <v>147</v>
      </c>
      <c r="E62" s="114" t="str">
        <f>VLOOKUP(D62,Data!H:I,2,0)</f>
        <v>Kocaeli</v>
      </c>
      <c r="F62" s="115" t="str">
        <f>VLOOKUP(D62,Data!H:J,3,0)</f>
        <v>Nazım Öztel</v>
      </c>
      <c r="G62" s="116" t="b">
        <v>1</v>
      </c>
      <c r="H62" s="116" t="b">
        <v>0</v>
      </c>
      <c r="I62" s="116" t="b">
        <v>1</v>
      </c>
      <c r="J62" s="116" t="b">
        <v>1</v>
      </c>
      <c r="K62" s="116" t="b">
        <v>1</v>
      </c>
      <c r="L62" s="117">
        <f t="shared" si="1"/>
        <v>4</v>
      </c>
      <c r="M62" s="117">
        <f t="shared" si="2"/>
        <v>16</v>
      </c>
      <c r="N62" s="112"/>
      <c r="O62" s="112"/>
    </row>
    <row r="63" ht="15.0" customHeight="1">
      <c r="A63" s="112"/>
      <c r="B63" s="112"/>
      <c r="C63" s="112"/>
      <c r="D63" s="132" t="s">
        <v>97</v>
      </c>
      <c r="E63" s="114" t="str">
        <f>VLOOKUP(D63,Data!H:I,2,0)</f>
        <v>Konya</v>
      </c>
      <c r="F63" s="115" t="str">
        <f>VLOOKUP(D63,Data!H:J,3,0)</f>
        <v>Nazım Öztel</v>
      </c>
      <c r="G63" s="116" t="b">
        <v>0</v>
      </c>
      <c r="H63" s="116" t="b">
        <v>0</v>
      </c>
      <c r="I63" s="116" t="b">
        <v>0</v>
      </c>
      <c r="J63" s="116" t="b">
        <v>0</v>
      </c>
      <c r="K63" s="116" t="b">
        <v>0</v>
      </c>
      <c r="L63" s="117">
        <f t="shared" si="1"/>
        <v>0</v>
      </c>
      <c r="M63" s="117">
        <f t="shared" si="2"/>
        <v>0</v>
      </c>
      <c r="N63" s="112"/>
      <c r="O63" s="112"/>
    </row>
    <row r="64" ht="15.0" customHeight="1">
      <c r="A64" s="112"/>
      <c r="B64" s="112"/>
      <c r="C64" s="112"/>
      <c r="D64" s="132" t="s">
        <v>98</v>
      </c>
      <c r="E64" s="114" t="str">
        <f>VLOOKUP(D64,Data!H:I,2,0)</f>
        <v>Manisa</v>
      </c>
      <c r="F64" s="115" t="str">
        <f>VLOOKUP(D64,Data!H:J,3,0)</f>
        <v>Nazım Öztel</v>
      </c>
      <c r="G64" s="116" t="b">
        <v>0</v>
      </c>
      <c r="H64" s="116" t="b">
        <v>0</v>
      </c>
      <c r="I64" s="116" t="b">
        <v>0</v>
      </c>
      <c r="J64" s="116" t="b">
        <v>0</v>
      </c>
      <c r="K64" s="116" t="b">
        <v>0</v>
      </c>
      <c r="L64" s="117">
        <f t="shared" si="1"/>
        <v>0</v>
      </c>
      <c r="M64" s="117">
        <f t="shared" si="2"/>
        <v>0</v>
      </c>
      <c r="N64" s="142"/>
      <c r="O64" s="112"/>
    </row>
    <row r="65" ht="15.0" customHeight="1">
      <c r="A65" s="112"/>
      <c r="B65" s="112"/>
      <c r="C65" s="112"/>
      <c r="D65" s="132" t="s">
        <v>99</v>
      </c>
      <c r="E65" s="114" t="str">
        <f>VLOOKUP(D65,Data!H:I,2,0)</f>
        <v>Mersin</v>
      </c>
      <c r="F65" s="115" t="str">
        <f>VLOOKUP(D65,Data!H:J,3,0)</f>
        <v>Nazım Öztel</v>
      </c>
      <c r="G65" s="116" t="b">
        <v>0</v>
      </c>
      <c r="H65" s="116" t="b">
        <v>1</v>
      </c>
      <c r="I65" s="116" t="b">
        <v>1</v>
      </c>
      <c r="J65" s="116" t="b">
        <v>1</v>
      </c>
      <c r="K65" s="116" t="b">
        <v>0</v>
      </c>
      <c r="L65" s="117">
        <f t="shared" si="1"/>
        <v>3</v>
      </c>
      <c r="M65" s="117">
        <f t="shared" si="2"/>
        <v>12</v>
      </c>
      <c r="N65" s="106"/>
      <c r="O65" s="112"/>
    </row>
    <row r="66" ht="15.0" customHeight="1">
      <c r="A66" s="112"/>
      <c r="B66" s="112"/>
      <c r="C66" s="112"/>
      <c r="D66" s="129" t="s">
        <v>148</v>
      </c>
      <c r="E66" s="114" t="str">
        <f>VLOOKUP(D66,Data!H:I,2,0)</f>
        <v>Muğla</v>
      </c>
      <c r="F66" s="115" t="str">
        <f>VLOOKUP(D66,Data!H:J,3,0)</f>
        <v>Nazım Öztel</v>
      </c>
      <c r="G66" s="116" t="b">
        <v>0</v>
      </c>
      <c r="H66" s="116" t="b">
        <v>0</v>
      </c>
      <c r="I66" s="116" t="b">
        <v>0</v>
      </c>
      <c r="J66" s="116" t="b">
        <v>0</v>
      </c>
      <c r="K66" s="116" t="b">
        <v>0</v>
      </c>
      <c r="L66" s="117">
        <f t="shared" si="1"/>
        <v>0</v>
      </c>
      <c r="M66" s="117">
        <f t="shared" si="2"/>
        <v>0</v>
      </c>
      <c r="N66" s="106"/>
      <c r="O66" s="112"/>
    </row>
    <row r="67" ht="15.0" customHeight="1">
      <c r="A67" s="112"/>
      <c r="B67" s="112"/>
      <c r="C67" s="112"/>
      <c r="D67" s="129" t="s">
        <v>104</v>
      </c>
      <c r="E67" s="114" t="str">
        <f>VLOOKUP(D67,Data!H:I,2,0)</f>
        <v>Tekirdağ</v>
      </c>
      <c r="F67" s="115" t="str">
        <f>VLOOKUP(D67,Data!H:J,3,0)</f>
        <v>Freelance</v>
      </c>
      <c r="G67" s="139" t="b">
        <v>1</v>
      </c>
      <c r="H67" s="139" t="b">
        <v>1</v>
      </c>
      <c r="I67" s="139" t="b">
        <v>1</v>
      </c>
      <c r="J67" s="139" t="b">
        <v>1</v>
      </c>
      <c r="K67" s="139" t="b">
        <v>0</v>
      </c>
      <c r="L67" s="117">
        <f t="shared" si="1"/>
        <v>4</v>
      </c>
      <c r="M67" s="117">
        <f t="shared" si="2"/>
        <v>16</v>
      </c>
      <c r="N67" s="112"/>
      <c r="O67" s="112"/>
    </row>
    <row r="68" ht="15.0" customHeight="1">
      <c r="A68" s="112"/>
      <c r="B68" s="112"/>
      <c r="C68" s="112"/>
      <c r="D68" s="129" t="s">
        <v>154</v>
      </c>
      <c r="E68" s="114" t="str">
        <f>VLOOKUP(D68,Data!H:I,2,0)</f>
        <v>Uşak</v>
      </c>
      <c r="F68" s="115" t="str">
        <f>VLOOKUP(D68,Data!H:J,3,0)</f>
        <v>Nazım Öztel</v>
      </c>
      <c r="G68" s="139" t="b">
        <v>0</v>
      </c>
      <c r="H68" s="139" t="b">
        <v>1</v>
      </c>
      <c r="I68" s="139" t="b">
        <v>0</v>
      </c>
      <c r="J68" s="139" t="b">
        <v>0</v>
      </c>
      <c r="K68" s="139" t="b">
        <v>0</v>
      </c>
      <c r="L68" s="117">
        <f t="shared" si="1"/>
        <v>1</v>
      </c>
      <c r="M68" s="117">
        <f>L68*2</f>
        <v>2</v>
      </c>
      <c r="N68" s="112"/>
      <c r="O68" s="112"/>
    </row>
    <row r="69" ht="15.0" customHeight="1">
      <c r="A69" s="112"/>
      <c r="B69" s="112"/>
      <c r="C69" s="112"/>
      <c r="D69" s="132"/>
      <c r="E69" s="132"/>
      <c r="F69" s="132"/>
      <c r="G69" s="117">
        <f t="shared" ref="G69:K69" si="3">4*(COUNTIF(G14:G67,"true"))</f>
        <v>116</v>
      </c>
      <c r="H69" s="117">
        <f t="shared" si="3"/>
        <v>124</v>
      </c>
      <c r="I69" s="117">
        <f t="shared" si="3"/>
        <v>116</v>
      </c>
      <c r="J69" s="117">
        <f t="shared" si="3"/>
        <v>140</v>
      </c>
      <c r="K69" s="117">
        <f t="shared" si="3"/>
        <v>112</v>
      </c>
      <c r="L69" s="135"/>
      <c r="M69" s="135">
        <f>SUM(G69:K69)</f>
        <v>608</v>
      </c>
      <c r="N69" s="112"/>
      <c r="O69" s="112"/>
    </row>
  </sheetData>
  <customSheetViews>
    <customSheetView guid="{90E1DF85-7252-44D2-BA7D-CC3767CD0E8B}" filter="1" showAutoFilter="1">
      <autoFilter ref="$A$14:$O$69">
        <filterColumn colId="4">
          <filters>
            <filter val="Edirne"/>
            <filter val="Muğla"/>
            <filter val="Uşak"/>
          </filters>
        </filterColumn>
      </autoFilter>
    </customSheetView>
    <customSheetView guid="{70B995D3-3AEB-4DFE-A0CA-D6FFCCE596BC}" filter="1" showAutoFilter="1">
      <autoFilter ref="$D$14:$D$68"/>
    </customSheetView>
  </customSheetViews>
  <mergeCells count="4">
    <mergeCell ref="D6:K6"/>
    <mergeCell ref="D7:F7"/>
    <mergeCell ref="D9:D12"/>
    <mergeCell ref="F10:M11"/>
  </mergeCells>
  <conditionalFormatting sqref="G15:K68">
    <cfRule type="cellIs" dxfId="1" priority="1" operator="equal">
      <formula>"False"</formula>
    </cfRule>
  </conditionalFormatting>
  <conditionalFormatting sqref="G15:K68">
    <cfRule type="cellIs" dxfId="0" priority="2" operator="equal">
      <formula>"TRUE"</formula>
    </cfRule>
  </conditionalFormatting>
  <dataValidations>
    <dataValidation type="list" allowBlank="1" showErrorMessage="1" sqref="E15:E68">
      <formula1>Data!$A$2:$A$10</formula1>
    </dataValidation>
    <dataValidation type="list" allowBlank="1" showErrorMessage="1" sqref="F15:F68">
      <formula1>Data!$C$2:$C$8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3" width="2.63"/>
    <col customWidth="1" min="4" max="4" width="20.38"/>
    <col customWidth="1" min="5" max="5" width="11.38"/>
    <col customWidth="1" min="6" max="6" width="16.63"/>
    <col customWidth="1" min="7" max="11" width="8.63"/>
    <col customWidth="1" min="12" max="12" width="12.63"/>
    <col customWidth="1" min="13" max="13" width="15.13"/>
    <col customWidth="1" min="14" max="15" width="2.63"/>
  </cols>
  <sheetData>
    <row r="1" ht="7.5" customHeight="1">
      <c r="A1" s="140"/>
      <c r="B1" s="84"/>
      <c r="C1" s="84"/>
      <c r="D1" s="84"/>
      <c r="E1" s="84"/>
      <c r="F1" s="84"/>
      <c r="G1" s="84"/>
      <c r="H1" s="84"/>
      <c r="I1" s="84"/>
      <c r="J1" s="84"/>
      <c r="K1" s="84"/>
      <c r="L1" s="85"/>
      <c r="M1" s="86"/>
      <c r="N1" s="86"/>
      <c r="O1" s="86"/>
    </row>
    <row r="2" ht="15.0" customHeight="1">
      <c r="A2" s="87"/>
      <c r="B2" s="87"/>
      <c r="C2" s="87"/>
      <c r="D2" s="88"/>
      <c r="E2" s="88"/>
      <c r="F2" s="88"/>
      <c r="G2" s="88"/>
      <c r="H2" s="88"/>
      <c r="I2" s="88"/>
      <c r="J2" s="88"/>
      <c r="K2" s="88"/>
      <c r="L2" s="88"/>
      <c r="M2" s="87"/>
      <c r="N2" s="87"/>
      <c r="O2" s="87"/>
    </row>
    <row r="3" ht="3.75" customHeight="1">
      <c r="A3" s="87"/>
      <c r="B3" s="87"/>
      <c r="C3" s="87"/>
      <c r="D3" s="89"/>
      <c r="E3" s="90"/>
      <c r="F3" s="90"/>
      <c r="G3" s="90"/>
      <c r="H3" s="90"/>
      <c r="I3" s="90"/>
      <c r="J3" s="90"/>
      <c r="K3" s="90"/>
      <c r="L3" s="90"/>
      <c r="M3" s="87"/>
      <c r="N3" s="87"/>
      <c r="O3" s="87"/>
    </row>
    <row r="4" ht="15.0" customHeight="1">
      <c r="A4" s="87"/>
      <c r="B4" s="87"/>
      <c r="C4" s="87"/>
      <c r="D4" s="88"/>
      <c r="E4" s="88"/>
      <c r="F4" s="88"/>
      <c r="G4" s="91"/>
      <c r="H4" s="91"/>
      <c r="I4" s="91"/>
      <c r="J4" s="91"/>
      <c r="K4" s="91"/>
      <c r="L4" s="91"/>
      <c r="M4" s="87"/>
      <c r="N4" s="87"/>
      <c r="O4" s="87"/>
    </row>
    <row r="5" ht="15.0" customHeight="1">
      <c r="A5" s="92"/>
      <c r="B5" s="92"/>
      <c r="C5" s="92"/>
      <c r="D5" s="88"/>
      <c r="E5" s="88"/>
      <c r="F5" s="88"/>
      <c r="G5" s="93"/>
      <c r="H5" s="93"/>
      <c r="I5" s="93"/>
      <c r="J5" s="93"/>
      <c r="K5" s="93"/>
      <c r="L5" s="94"/>
      <c r="M5" s="88"/>
      <c r="N5" s="92"/>
      <c r="O5" s="92"/>
    </row>
    <row r="6" ht="15.0" customHeight="1">
      <c r="A6" s="92"/>
      <c r="B6" s="92"/>
      <c r="C6" s="92"/>
      <c r="D6" s="95" t="s">
        <v>155</v>
      </c>
      <c r="L6" s="94"/>
      <c r="M6" s="88"/>
      <c r="N6" s="92"/>
      <c r="O6" s="92"/>
    </row>
    <row r="7" ht="15.0" customHeight="1">
      <c r="A7" s="92"/>
      <c r="B7" s="92"/>
      <c r="C7" s="92"/>
      <c r="D7" s="96" t="s">
        <v>156</v>
      </c>
      <c r="G7" s="97"/>
      <c r="H7" s="97"/>
      <c r="I7" s="97"/>
      <c r="J7" s="97"/>
      <c r="K7" s="97"/>
      <c r="L7" s="92"/>
      <c r="M7" s="92"/>
      <c r="N7" s="92"/>
      <c r="O7" s="92"/>
    </row>
    <row r="8" ht="15.0" customHeight="1">
      <c r="A8" s="92"/>
      <c r="B8" s="92"/>
      <c r="C8" s="92"/>
      <c r="D8" s="97"/>
      <c r="E8" s="97"/>
      <c r="F8" s="97"/>
      <c r="G8" s="97"/>
      <c r="H8" s="97"/>
      <c r="I8" s="97"/>
      <c r="J8" s="97"/>
      <c r="K8" s="97"/>
      <c r="L8" s="92"/>
      <c r="M8" s="92"/>
      <c r="N8" s="92"/>
      <c r="O8" s="92"/>
    </row>
    <row r="9" ht="15.0" customHeight="1">
      <c r="A9" s="92"/>
      <c r="B9" s="92"/>
      <c r="C9" s="98"/>
      <c r="D9" s="99" t="s">
        <v>35</v>
      </c>
      <c r="E9" s="100"/>
      <c r="F9" s="101"/>
      <c r="G9" s="101"/>
      <c r="H9" s="101"/>
      <c r="I9" s="101"/>
      <c r="J9" s="101"/>
      <c r="K9" s="101"/>
      <c r="L9" s="101"/>
      <c r="M9" s="100"/>
      <c r="N9" s="102"/>
      <c r="O9" s="102"/>
    </row>
    <row r="10" ht="15.0" customHeight="1">
      <c r="A10" s="92"/>
      <c r="B10" s="92"/>
      <c r="C10" s="98"/>
      <c r="E10" s="100"/>
      <c r="F10" s="103" t="s">
        <v>36</v>
      </c>
      <c r="N10" s="102"/>
      <c r="O10" s="102"/>
    </row>
    <row r="11" ht="15.0" customHeight="1">
      <c r="A11" s="92"/>
      <c r="B11" s="92"/>
      <c r="C11" s="98"/>
      <c r="E11" s="100"/>
      <c r="N11" s="102"/>
      <c r="O11" s="102"/>
    </row>
    <row r="12" ht="15.0" customHeight="1">
      <c r="A12" s="88"/>
      <c r="B12" s="92"/>
      <c r="C12" s="92"/>
      <c r="E12" s="100"/>
      <c r="F12" s="100"/>
      <c r="G12" s="100"/>
      <c r="H12" s="100"/>
      <c r="I12" s="100"/>
      <c r="J12" s="100"/>
      <c r="K12" s="100"/>
      <c r="L12" s="100"/>
      <c r="M12" s="100"/>
      <c r="N12" s="102"/>
      <c r="O12" s="102"/>
    </row>
    <row r="13" ht="15.0" customHeight="1">
      <c r="A13" s="88"/>
      <c r="B13" s="104"/>
      <c r="C13" s="104"/>
      <c r="D13" s="104"/>
      <c r="E13" s="104"/>
      <c r="F13" s="105"/>
      <c r="G13" s="105"/>
      <c r="H13" s="105"/>
      <c r="I13" s="105"/>
      <c r="J13" s="105"/>
      <c r="K13" s="105"/>
      <c r="L13" s="104"/>
      <c r="M13" s="104"/>
      <c r="N13" s="104"/>
      <c r="O13" s="104"/>
    </row>
    <row r="14" ht="15.0" customHeight="1">
      <c r="A14" s="106"/>
      <c r="B14" s="106"/>
      <c r="C14" s="106"/>
      <c r="D14" s="107" t="s">
        <v>37</v>
      </c>
      <c r="E14" s="108" t="s">
        <v>38</v>
      </c>
      <c r="F14" s="109" t="s">
        <v>39</v>
      </c>
      <c r="G14" s="110">
        <v>44466.0</v>
      </c>
      <c r="H14" s="110">
        <v>44467.0</v>
      </c>
      <c r="I14" s="110">
        <v>44468.0</v>
      </c>
      <c r="J14" s="110">
        <v>44469.0</v>
      </c>
      <c r="K14" s="110">
        <v>44470.0</v>
      </c>
      <c r="L14" s="111" t="s">
        <v>40</v>
      </c>
      <c r="M14" s="111" t="s">
        <v>41</v>
      </c>
      <c r="N14" s="88"/>
      <c r="O14" s="88"/>
    </row>
    <row r="15" ht="15.0" customHeight="1">
      <c r="A15" s="112"/>
      <c r="B15" s="112"/>
      <c r="C15" s="112"/>
      <c r="D15" s="129" t="s">
        <v>42</v>
      </c>
      <c r="E15" s="114" t="str">
        <f>VLOOKUP(D15,Data!H:I,2,0)</f>
        <v>Adana</v>
      </c>
      <c r="F15" s="115" t="str">
        <f>VLOOKUP(D15,Data!H:J,3,0)</f>
        <v>Freelance</v>
      </c>
      <c r="G15" s="116" t="b">
        <v>1</v>
      </c>
      <c r="H15" s="116" t="b">
        <v>1</v>
      </c>
      <c r="I15" s="116" t="b">
        <v>1</v>
      </c>
      <c r="J15" s="116" t="b">
        <v>0</v>
      </c>
      <c r="K15" s="116" t="b">
        <v>1</v>
      </c>
      <c r="L15" s="117">
        <f t="shared" ref="L15:L68" si="1">COUNTIF(G15:K15,"TRUE")</f>
        <v>4</v>
      </c>
      <c r="M15" s="117">
        <f t="shared" ref="M15:M67" si="2">L15*4</f>
        <v>16</v>
      </c>
      <c r="N15" s="112"/>
      <c r="O15" s="88"/>
    </row>
    <row r="16" ht="15.0" customHeight="1">
      <c r="A16" s="112"/>
      <c r="B16" s="112"/>
      <c r="C16" s="112"/>
      <c r="D16" s="129" t="s">
        <v>43</v>
      </c>
      <c r="E16" s="114" t="str">
        <f>VLOOKUP(D16,Data!H:I,2,0)</f>
        <v>Adana</v>
      </c>
      <c r="F16" s="115" t="str">
        <f>VLOOKUP(D16,Data!H:J,3,0)</f>
        <v>Freelance</v>
      </c>
      <c r="G16" s="116" t="b">
        <v>1</v>
      </c>
      <c r="H16" s="116" t="b">
        <v>1</v>
      </c>
      <c r="I16" s="116" t="b">
        <v>1</v>
      </c>
      <c r="J16" s="116" t="b">
        <v>0</v>
      </c>
      <c r="K16" s="116" t="b">
        <v>1</v>
      </c>
      <c r="L16" s="117">
        <f t="shared" si="1"/>
        <v>4</v>
      </c>
      <c r="M16" s="117">
        <f t="shared" si="2"/>
        <v>16</v>
      </c>
      <c r="N16" s="112"/>
      <c r="O16" s="88"/>
    </row>
    <row r="17" ht="15.0" customHeight="1">
      <c r="A17" s="112"/>
      <c r="B17" s="112"/>
      <c r="C17" s="112"/>
      <c r="D17" s="119" t="s">
        <v>48</v>
      </c>
      <c r="E17" s="114" t="str">
        <f>VLOOKUP(D17,Data!H:I,2,0)</f>
        <v>Ankara</v>
      </c>
      <c r="F17" s="115" t="str">
        <f>VLOOKUP(D17,Data!H:J,3,0)</f>
        <v>Medya Özgür Deniz</v>
      </c>
      <c r="G17" s="116" t="b">
        <v>0</v>
      </c>
      <c r="H17" s="116" t="b">
        <v>0</v>
      </c>
      <c r="I17" s="116" t="b">
        <v>0</v>
      </c>
      <c r="J17" s="116" t="b">
        <v>0</v>
      </c>
      <c r="K17" s="116" t="b">
        <v>0</v>
      </c>
      <c r="L17" s="117">
        <f t="shared" si="1"/>
        <v>0</v>
      </c>
      <c r="M17" s="117">
        <f t="shared" si="2"/>
        <v>0</v>
      </c>
      <c r="N17" s="88"/>
      <c r="O17" s="88"/>
    </row>
    <row r="18" ht="15.0" customHeight="1">
      <c r="A18" s="112"/>
      <c r="B18" s="112"/>
      <c r="C18" s="112"/>
      <c r="D18" s="131" t="s">
        <v>44</v>
      </c>
      <c r="E18" s="114" t="str">
        <f>VLOOKUP(D18,Data!H:I,2,0)</f>
        <v>Ankara</v>
      </c>
      <c r="F18" s="115" t="str">
        <f>VLOOKUP(D18,Data!H:J,3,0)</f>
        <v>Medya Özgür Deniz</v>
      </c>
      <c r="G18" s="116" t="b">
        <v>0</v>
      </c>
      <c r="H18" s="116" t="b">
        <v>0</v>
      </c>
      <c r="I18" s="116" t="b">
        <v>0</v>
      </c>
      <c r="J18" s="116" t="b">
        <v>0</v>
      </c>
      <c r="K18" s="116" t="b">
        <v>0</v>
      </c>
      <c r="L18" s="117">
        <f t="shared" si="1"/>
        <v>0</v>
      </c>
      <c r="M18" s="117">
        <f t="shared" si="2"/>
        <v>0</v>
      </c>
      <c r="N18" s="112"/>
      <c r="O18" s="88"/>
    </row>
    <row r="19" ht="15.0" customHeight="1">
      <c r="A19" s="120"/>
      <c r="B19" s="120"/>
      <c r="C19" s="120"/>
      <c r="D19" s="131" t="s">
        <v>45</v>
      </c>
      <c r="E19" s="114" t="str">
        <f>VLOOKUP(D19,Data!H:I,2,0)</f>
        <v>Ankara</v>
      </c>
      <c r="F19" s="115" t="str">
        <f>VLOOKUP(D19,Data!H:J,3,0)</f>
        <v>Medya Özgür Deniz</v>
      </c>
      <c r="G19" s="116" t="b">
        <v>1</v>
      </c>
      <c r="H19" s="116" t="b">
        <v>1</v>
      </c>
      <c r="I19" s="116" t="b">
        <v>1</v>
      </c>
      <c r="J19" s="116" t="b">
        <v>1</v>
      </c>
      <c r="K19" s="116" t="b">
        <v>1</v>
      </c>
      <c r="L19" s="117">
        <f t="shared" si="1"/>
        <v>5</v>
      </c>
      <c r="M19" s="117">
        <f t="shared" si="2"/>
        <v>20</v>
      </c>
      <c r="N19" s="112"/>
      <c r="O19" s="120"/>
    </row>
    <row r="20" ht="15.0" customHeight="1">
      <c r="A20" s="121"/>
      <c r="B20" s="121"/>
      <c r="C20" s="121"/>
      <c r="D20" s="131" t="s">
        <v>46</v>
      </c>
      <c r="E20" s="114" t="str">
        <f>VLOOKUP(D20,Data!H:I,2,0)</f>
        <v>Ankara</v>
      </c>
      <c r="F20" s="115" t="str">
        <f>VLOOKUP(D20,Data!H:J,3,0)</f>
        <v>Medya Özgür Deniz</v>
      </c>
      <c r="G20" s="116" t="b">
        <v>1</v>
      </c>
      <c r="H20" s="116" t="b">
        <v>1</v>
      </c>
      <c r="I20" s="116" t="b">
        <v>1</v>
      </c>
      <c r="J20" s="116" t="b">
        <v>1</v>
      </c>
      <c r="K20" s="116" t="b">
        <v>1</v>
      </c>
      <c r="L20" s="117">
        <f t="shared" si="1"/>
        <v>5</v>
      </c>
      <c r="M20" s="117">
        <f t="shared" si="2"/>
        <v>20</v>
      </c>
      <c r="N20" s="112"/>
      <c r="O20" s="121"/>
    </row>
    <row r="21" ht="15.0" customHeight="1">
      <c r="A21" s="121"/>
      <c r="B21" s="121"/>
      <c r="C21" s="121"/>
      <c r="D21" s="131" t="s">
        <v>47</v>
      </c>
      <c r="E21" s="114" t="str">
        <f>VLOOKUP(D21,Data!H:I,2,0)</f>
        <v>Ankara</v>
      </c>
      <c r="F21" s="115" t="str">
        <f>VLOOKUP(D21,Data!H:J,3,0)</f>
        <v>Medya Özgür Deniz</v>
      </c>
      <c r="G21" s="116" t="b">
        <v>1</v>
      </c>
      <c r="H21" s="116" t="b">
        <v>1</v>
      </c>
      <c r="I21" s="116" t="b">
        <v>1</v>
      </c>
      <c r="J21" s="116" t="b">
        <v>1</v>
      </c>
      <c r="K21" s="116" t="b">
        <v>1</v>
      </c>
      <c r="L21" s="117">
        <f t="shared" si="1"/>
        <v>5</v>
      </c>
      <c r="M21" s="117">
        <f t="shared" si="2"/>
        <v>20</v>
      </c>
      <c r="N21" s="112"/>
      <c r="O21" s="121"/>
    </row>
    <row r="22" ht="15.0" customHeight="1">
      <c r="A22" s="106"/>
      <c r="B22" s="106"/>
      <c r="C22" s="106"/>
      <c r="D22" s="129" t="s">
        <v>151</v>
      </c>
      <c r="E22" s="114" t="str">
        <f>VLOOKUP(D22,Data!H:I,2,0)</f>
        <v>Antalya</v>
      </c>
      <c r="F22" s="115" t="str">
        <f>VLOOKUP(D22,Data!H:J,3,0)</f>
        <v>Nazım Öztel</v>
      </c>
      <c r="G22" s="116" t="b">
        <v>0</v>
      </c>
      <c r="H22" s="116" t="b">
        <v>0</v>
      </c>
      <c r="I22" s="116" t="b">
        <v>0</v>
      </c>
      <c r="J22" s="116" t="b">
        <v>0</v>
      </c>
      <c r="K22" s="116" t="b">
        <v>0</v>
      </c>
      <c r="L22" s="117">
        <f t="shared" si="1"/>
        <v>0</v>
      </c>
      <c r="M22" s="117">
        <f t="shared" si="2"/>
        <v>0</v>
      </c>
      <c r="N22" s="112"/>
      <c r="O22" s="106"/>
    </row>
    <row r="23" ht="15.0" customHeight="1">
      <c r="A23" s="106"/>
      <c r="B23" s="106"/>
      <c r="C23" s="106"/>
      <c r="D23" s="129" t="s">
        <v>152</v>
      </c>
      <c r="E23" s="114" t="str">
        <f>VLOOKUP(D23,Data!H:I,2,0)</f>
        <v>Antalya</v>
      </c>
      <c r="F23" s="115" t="str">
        <f>VLOOKUP(D23,Data!H:J,3,0)</f>
        <v>Nazım Öztel</v>
      </c>
      <c r="G23" s="116" t="b">
        <v>1</v>
      </c>
      <c r="H23" s="116" t="b">
        <v>1</v>
      </c>
      <c r="I23" s="116" t="b">
        <v>1</v>
      </c>
      <c r="J23" s="116" t="b">
        <v>1</v>
      </c>
      <c r="K23" s="116" t="b">
        <v>1</v>
      </c>
      <c r="L23" s="117">
        <f t="shared" si="1"/>
        <v>5</v>
      </c>
      <c r="M23" s="117">
        <f t="shared" si="2"/>
        <v>20</v>
      </c>
      <c r="N23" s="112"/>
      <c r="O23" s="106"/>
    </row>
    <row r="24" ht="15.0" customHeight="1">
      <c r="A24" s="112"/>
      <c r="B24" s="112"/>
      <c r="C24" s="112"/>
      <c r="D24" s="129" t="s">
        <v>50</v>
      </c>
      <c r="E24" s="114" t="str">
        <f>VLOOKUP(D24,Data!H:I,2,0)</f>
        <v>Antalya</v>
      </c>
      <c r="F24" s="115" t="str">
        <f>VLOOKUP(D24,Data!H:J,3,0)</f>
        <v>Freelance</v>
      </c>
      <c r="G24" s="116" t="b">
        <v>1</v>
      </c>
      <c r="H24" s="116" t="b">
        <v>1</v>
      </c>
      <c r="I24" s="116" t="b">
        <v>1</v>
      </c>
      <c r="J24" s="116" t="b">
        <v>1</v>
      </c>
      <c r="K24" s="116" t="b">
        <v>1</v>
      </c>
      <c r="L24" s="117">
        <f t="shared" si="1"/>
        <v>5</v>
      </c>
      <c r="M24" s="117">
        <f t="shared" si="2"/>
        <v>20</v>
      </c>
      <c r="N24" s="112"/>
      <c r="O24" s="112"/>
    </row>
    <row r="25" ht="15.0" customHeight="1">
      <c r="A25" s="112"/>
      <c r="B25" s="112"/>
      <c r="C25" s="112"/>
      <c r="D25" s="132" t="s">
        <v>52</v>
      </c>
      <c r="E25" s="114" t="str">
        <f>VLOOKUP(D25,Data!H:I,2,0)</f>
        <v>Bursa</v>
      </c>
      <c r="F25" s="115" t="str">
        <f>VLOOKUP(D25,Data!H:J,3,0)</f>
        <v>Nazım Öztel</v>
      </c>
      <c r="G25" s="116" t="b">
        <v>1</v>
      </c>
      <c r="H25" s="116" t="b">
        <v>1</v>
      </c>
      <c r="I25" s="116" t="b">
        <v>1</v>
      </c>
      <c r="J25" s="116" t="b">
        <v>1</v>
      </c>
      <c r="K25" s="116" t="b">
        <v>1</v>
      </c>
      <c r="L25" s="117">
        <f t="shared" si="1"/>
        <v>5</v>
      </c>
      <c r="M25" s="117">
        <f t="shared" si="2"/>
        <v>20</v>
      </c>
      <c r="N25" s="122"/>
      <c r="O25" s="112"/>
    </row>
    <row r="26" ht="15.0" customHeight="1">
      <c r="A26" s="112"/>
      <c r="B26" s="112"/>
      <c r="C26" s="112"/>
      <c r="D26" s="129" t="s">
        <v>53</v>
      </c>
      <c r="E26" s="114" t="str">
        <f>VLOOKUP(D26,Data!H:I,2,0)</f>
        <v>Bursa</v>
      </c>
      <c r="F26" s="115" t="str">
        <f>VLOOKUP(D26,Data!H:J,3,0)</f>
        <v>Freelance</v>
      </c>
      <c r="G26" s="116" t="b">
        <v>1</v>
      </c>
      <c r="H26" s="116" t="b">
        <v>1</v>
      </c>
      <c r="I26" s="116" t="b">
        <v>1</v>
      </c>
      <c r="J26" s="116" t="b">
        <v>1</v>
      </c>
      <c r="K26" s="116" t="b">
        <v>1</v>
      </c>
      <c r="L26" s="117">
        <f t="shared" si="1"/>
        <v>5</v>
      </c>
      <c r="M26" s="117">
        <f t="shared" si="2"/>
        <v>20</v>
      </c>
      <c r="N26" s="112"/>
      <c r="O26" s="112"/>
    </row>
    <row r="27" ht="15.0" customHeight="1">
      <c r="A27" s="112"/>
      <c r="B27" s="112"/>
      <c r="C27" s="112"/>
      <c r="D27" s="132" t="s">
        <v>54</v>
      </c>
      <c r="E27" s="114" t="str">
        <f>VLOOKUP(D27,Data!H:I,2,0)</f>
        <v>Diyarbakır</v>
      </c>
      <c r="F27" s="115" t="str">
        <f>VLOOKUP(D27,Data!H:J,3,0)</f>
        <v>Nazım Öztel</v>
      </c>
      <c r="G27" s="116" t="b">
        <v>0</v>
      </c>
      <c r="H27" s="116" t="b">
        <v>0</v>
      </c>
      <c r="I27" s="116" t="b">
        <v>0</v>
      </c>
      <c r="J27" s="116" t="b">
        <v>0</v>
      </c>
      <c r="K27" s="116" t="b">
        <v>0</v>
      </c>
      <c r="L27" s="117">
        <f t="shared" si="1"/>
        <v>0</v>
      </c>
      <c r="M27" s="117">
        <f t="shared" si="2"/>
        <v>0</v>
      </c>
      <c r="N27" s="112"/>
      <c r="O27" s="112"/>
    </row>
    <row r="28" ht="15.0" customHeight="1">
      <c r="A28" s="112"/>
      <c r="B28" s="112"/>
      <c r="C28" s="112"/>
      <c r="D28" s="129" t="s">
        <v>153</v>
      </c>
      <c r="E28" s="114" t="str">
        <f>VLOOKUP(D28,Data!H:I,2,0)</f>
        <v>Edirne</v>
      </c>
      <c r="F28" s="115" t="str">
        <f>VLOOKUP(D28,Data!H:J,3,0)</f>
        <v>Nazım Öztel</v>
      </c>
      <c r="G28" s="116" t="b">
        <v>1</v>
      </c>
      <c r="H28" s="116" t="b">
        <v>1</v>
      </c>
      <c r="I28" s="116" t="b">
        <v>1</v>
      </c>
      <c r="J28" s="116" t="b">
        <v>1</v>
      </c>
      <c r="K28" s="116" t="b">
        <v>0</v>
      </c>
      <c r="L28" s="117">
        <f t="shared" si="1"/>
        <v>4</v>
      </c>
      <c r="M28" s="117">
        <f t="shared" si="2"/>
        <v>16</v>
      </c>
      <c r="N28" s="112"/>
      <c r="O28" s="112"/>
    </row>
    <row r="29" ht="15.0" customHeight="1">
      <c r="A29" s="112"/>
      <c r="B29" s="112"/>
      <c r="C29" s="112"/>
      <c r="D29" s="132" t="s">
        <v>55</v>
      </c>
      <c r="E29" s="114" t="str">
        <f>VLOOKUP(D29,Data!H:I,2,0)</f>
        <v>Erzurum</v>
      </c>
      <c r="F29" s="115" t="str">
        <f>VLOOKUP(D29,Data!H:J,3,0)</f>
        <v>Nazım Öztel</v>
      </c>
      <c r="G29" s="116" t="b">
        <v>0</v>
      </c>
      <c r="H29" s="116" t="b">
        <v>0</v>
      </c>
      <c r="I29" s="116" t="b">
        <v>0</v>
      </c>
      <c r="J29" s="116" t="b">
        <v>0</v>
      </c>
      <c r="K29" s="116" t="b">
        <v>0</v>
      </c>
      <c r="L29" s="117">
        <f t="shared" si="1"/>
        <v>0</v>
      </c>
      <c r="M29" s="117">
        <f t="shared" si="2"/>
        <v>0</v>
      </c>
      <c r="N29" s="112"/>
      <c r="O29" s="112"/>
    </row>
    <row r="30" ht="15.0" customHeight="1">
      <c r="A30" s="112"/>
      <c r="B30" s="112"/>
      <c r="C30" s="112"/>
      <c r="D30" s="129" t="s">
        <v>58</v>
      </c>
      <c r="E30" s="114" t="str">
        <f>VLOOKUP(D30,Data!H:I,2,0)</f>
        <v>İstanbul</v>
      </c>
      <c r="F30" s="115" t="str">
        <f>VLOOKUP(D30,Data!H:J,3,0)</f>
        <v>Freelance</v>
      </c>
      <c r="G30" s="116" t="b">
        <v>1</v>
      </c>
      <c r="H30" s="116" t="b">
        <v>1</v>
      </c>
      <c r="I30" s="116" t="b">
        <v>1</v>
      </c>
      <c r="J30" s="116" t="b">
        <v>1</v>
      </c>
      <c r="K30" s="116" t="b">
        <v>1</v>
      </c>
      <c r="L30" s="117">
        <f t="shared" si="1"/>
        <v>5</v>
      </c>
      <c r="M30" s="117">
        <f t="shared" si="2"/>
        <v>20</v>
      </c>
      <c r="N30" s="88"/>
      <c r="O30" s="112"/>
    </row>
    <row r="31" ht="15.0" customHeight="1">
      <c r="A31" s="112"/>
      <c r="B31" s="112"/>
      <c r="C31" s="112"/>
      <c r="D31" s="129" t="s">
        <v>133</v>
      </c>
      <c r="E31" s="114" t="str">
        <f>VLOOKUP(D31,Data!H:I,2,0)</f>
        <v>İstanbul</v>
      </c>
      <c r="F31" s="115" t="str">
        <f>VLOOKUP(D31,Data!H:J,3,0)</f>
        <v>Freelance</v>
      </c>
      <c r="G31" s="116" t="b">
        <v>0</v>
      </c>
      <c r="H31" s="116" t="b">
        <v>1</v>
      </c>
      <c r="I31" s="116" t="b">
        <v>1</v>
      </c>
      <c r="J31" s="116" t="b">
        <v>1</v>
      </c>
      <c r="K31" s="116" t="b">
        <v>0</v>
      </c>
      <c r="L31" s="117">
        <f t="shared" si="1"/>
        <v>3</v>
      </c>
      <c r="M31" s="117">
        <f t="shared" si="2"/>
        <v>12</v>
      </c>
      <c r="N31" s="88"/>
      <c r="O31" s="112"/>
    </row>
    <row r="32" ht="15.0" customHeight="1">
      <c r="A32" s="120"/>
      <c r="B32" s="120"/>
      <c r="C32" s="120"/>
      <c r="D32" s="129" t="s">
        <v>66</v>
      </c>
      <c r="E32" s="114" t="str">
        <f>VLOOKUP(D32,Data!H:I,2,0)</f>
        <v>İstanbul</v>
      </c>
      <c r="F32" s="115" t="str">
        <f>VLOOKUP(D32,Data!H:J,3,0)</f>
        <v>Freelance</v>
      </c>
      <c r="G32" s="116" t="b">
        <v>1</v>
      </c>
      <c r="H32" s="116" t="b">
        <v>1</v>
      </c>
      <c r="I32" s="116" t="b">
        <v>1</v>
      </c>
      <c r="J32" s="116" t="b">
        <v>0</v>
      </c>
      <c r="K32" s="116" t="b">
        <v>0</v>
      </c>
      <c r="L32" s="117">
        <f t="shared" si="1"/>
        <v>3</v>
      </c>
      <c r="M32" s="117">
        <f t="shared" si="2"/>
        <v>12</v>
      </c>
      <c r="N32" s="120"/>
      <c r="O32" s="120"/>
    </row>
    <row r="33" ht="15.0" customHeight="1">
      <c r="A33" s="121"/>
      <c r="B33" s="121"/>
      <c r="C33" s="121"/>
      <c r="D33" s="129" t="s">
        <v>134</v>
      </c>
      <c r="E33" s="114" t="str">
        <f>VLOOKUP(D33,Data!H:I,2,0)</f>
        <v>İstanbul</v>
      </c>
      <c r="F33" s="115" t="str">
        <f>VLOOKUP(D33,Data!H:J,3,0)</f>
        <v>Filamingo</v>
      </c>
      <c r="G33" s="116" t="b">
        <v>1</v>
      </c>
      <c r="H33" s="116" t="b">
        <v>1</v>
      </c>
      <c r="I33" s="116" t="b">
        <v>0</v>
      </c>
      <c r="J33" s="116" t="b">
        <v>1</v>
      </c>
      <c r="K33" s="116" t="b">
        <v>0</v>
      </c>
      <c r="L33" s="117">
        <f t="shared" si="1"/>
        <v>3</v>
      </c>
      <c r="M33" s="117">
        <f t="shared" si="2"/>
        <v>12</v>
      </c>
      <c r="N33" s="121"/>
      <c r="O33" s="121"/>
    </row>
    <row r="34" ht="15.0" customHeight="1">
      <c r="A34" s="121"/>
      <c r="B34" s="121"/>
      <c r="C34" s="121"/>
      <c r="D34" s="132" t="s">
        <v>67</v>
      </c>
      <c r="E34" s="114" t="str">
        <f>VLOOKUP(D34,Data!H:I,2,0)</f>
        <v>İstanbul</v>
      </c>
      <c r="F34" s="115" t="str">
        <f>VLOOKUP(D34,Data!H:J,3,0)</f>
        <v>Filamingo</v>
      </c>
      <c r="G34" s="116" t="b">
        <v>0</v>
      </c>
      <c r="H34" s="116" t="b">
        <v>0</v>
      </c>
      <c r="I34" s="116" t="b">
        <v>0</v>
      </c>
      <c r="J34" s="116" t="b">
        <v>0</v>
      </c>
      <c r="K34" s="116" t="b">
        <v>0</v>
      </c>
      <c r="L34" s="117">
        <f t="shared" si="1"/>
        <v>0</v>
      </c>
      <c r="M34" s="117">
        <f t="shared" si="2"/>
        <v>0</v>
      </c>
      <c r="N34" s="121"/>
      <c r="O34" s="121"/>
    </row>
    <row r="35" ht="15.0" customHeight="1">
      <c r="A35" s="112"/>
      <c r="B35" s="112"/>
      <c r="C35" s="112"/>
      <c r="D35" s="132" t="s">
        <v>117</v>
      </c>
      <c r="E35" s="114" t="str">
        <f>VLOOKUP(D35,Data!H:I,2,0)</f>
        <v>İstanbul</v>
      </c>
      <c r="F35" s="115" t="str">
        <f>VLOOKUP(D35,Data!H:J,3,0)</f>
        <v>Freelance</v>
      </c>
      <c r="G35" s="116" t="b">
        <v>0</v>
      </c>
      <c r="H35" s="116" t="b">
        <v>1</v>
      </c>
      <c r="I35" s="116" t="b">
        <v>0</v>
      </c>
      <c r="J35" s="116" t="b">
        <v>1</v>
      </c>
      <c r="K35" s="116" t="b">
        <v>0</v>
      </c>
      <c r="L35" s="117">
        <f t="shared" si="1"/>
        <v>2</v>
      </c>
      <c r="M35" s="117">
        <f t="shared" si="2"/>
        <v>8</v>
      </c>
      <c r="N35" s="112"/>
      <c r="O35" s="112"/>
    </row>
    <row r="36" ht="15.0" customHeight="1">
      <c r="A36" s="112"/>
      <c r="B36" s="112"/>
      <c r="C36" s="112"/>
      <c r="D36" s="129" t="s">
        <v>135</v>
      </c>
      <c r="E36" s="114" t="str">
        <f>VLOOKUP(D36,Data!H:I,2,0)</f>
        <v>İstanbul</v>
      </c>
      <c r="F36" s="115" t="str">
        <f>VLOOKUP(D36,Data!H:J,3,0)</f>
        <v>Freelance</v>
      </c>
      <c r="G36" s="116" t="b">
        <v>0</v>
      </c>
      <c r="H36" s="116" t="b">
        <v>0</v>
      </c>
      <c r="I36" s="116" t="b">
        <v>0</v>
      </c>
      <c r="J36" s="116" t="b">
        <v>1</v>
      </c>
      <c r="K36" s="116" t="b">
        <v>0</v>
      </c>
      <c r="L36" s="117">
        <f t="shared" si="1"/>
        <v>1</v>
      </c>
      <c r="M36" s="117">
        <f t="shared" si="2"/>
        <v>4</v>
      </c>
      <c r="N36" s="112"/>
      <c r="O36" s="112"/>
    </row>
    <row r="37" ht="15.0" customHeight="1">
      <c r="A37" s="112"/>
      <c r="B37" s="112"/>
      <c r="C37" s="112"/>
      <c r="D37" s="129" t="s">
        <v>123</v>
      </c>
      <c r="E37" s="114" t="str">
        <f>VLOOKUP(D37,Data!H:I,2,0)</f>
        <v>İstanbul</v>
      </c>
      <c r="F37" s="115" t="str">
        <f>VLOOKUP(D37,Data!H:J,3,0)</f>
        <v>Freelance</v>
      </c>
      <c r="G37" s="116" t="b">
        <v>0</v>
      </c>
      <c r="H37" s="116" t="b">
        <v>0</v>
      </c>
      <c r="I37" s="116" t="b">
        <v>1</v>
      </c>
      <c r="J37" s="116" t="b">
        <v>0</v>
      </c>
      <c r="K37" s="116" t="b">
        <v>1</v>
      </c>
      <c r="L37" s="117">
        <f t="shared" si="1"/>
        <v>2</v>
      </c>
      <c r="M37" s="117">
        <f t="shared" si="2"/>
        <v>8</v>
      </c>
      <c r="N37" s="112"/>
      <c r="O37" s="112"/>
    </row>
    <row r="38" ht="15.0" customHeight="1">
      <c r="A38" s="112"/>
      <c r="B38" s="112"/>
      <c r="C38" s="112"/>
      <c r="D38" s="129" t="s">
        <v>70</v>
      </c>
      <c r="E38" s="114" t="str">
        <f>VLOOKUP(D38,Data!H:I,2,0)</f>
        <v>İstanbul</v>
      </c>
      <c r="F38" s="115" t="str">
        <f>VLOOKUP(D38,Data!H:J,3,0)</f>
        <v>Freelance</v>
      </c>
      <c r="G38" s="116" t="b">
        <v>0</v>
      </c>
      <c r="H38" s="116" t="b">
        <v>1</v>
      </c>
      <c r="I38" s="116" t="b">
        <v>0</v>
      </c>
      <c r="J38" s="116" t="b">
        <v>0</v>
      </c>
      <c r="K38" s="116" t="b">
        <v>0</v>
      </c>
      <c r="L38" s="117">
        <f t="shared" si="1"/>
        <v>1</v>
      </c>
      <c r="M38" s="117">
        <f t="shared" si="2"/>
        <v>4</v>
      </c>
      <c r="N38" s="112"/>
      <c r="O38" s="112"/>
    </row>
    <row r="39" ht="15.0" customHeight="1">
      <c r="A39" s="112"/>
      <c r="B39" s="112"/>
      <c r="C39" s="112"/>
      <c r="D39" s="132" t="s">
        <v>71</v>
      </c>
      <c r="E39" s="114" t="str">
        <f>VLOOKUP(D39,Data!H:I,2,0)</f>
        <v>İstanbul</v>
      </c>
      <c r="F39" s="115" t="str">
        <f>VLOOKUP(D39,Data!H:J,3,0)</f>
        <v>Filamingo</v>
      </c>
      <c r="G39" s="116" t="b">
        <v>1</v>
      </c>
      <c r="H39" s="116" t="b">
        <v>1</v>
      </c>
      <c r="I39" s="116" t="b">
        <v>0</v>
      </c>
      <c r="J39" s="116" t="b">
        <v>1</v>
      </c>
      <c r="K39" s="116" t="b">
        <v>1</v>
      </c>
      <c r="L39" s="117">
        <f t="shared" si="1"/>
        <v>4</v>
      </c>
      <c r="M39" s="117">
        <f t="shared" si="2"/>
        <v>16</v>
      </c>
      <c r="N39" s="112"/>
      <c r="O39" s="112"/>
    </row>
    <row r="40" ht="15.0" customHeight="1">
      <c r="A40" s="112"/>
      <c r="B40" s="112"/>
      <c r="C40" s="112"/>
      <c r="D40" s="132" t="s">
        <v>72</v>
      </c>
      <c r="E40" s="114" t="str">
        <f>VLOOKUP(D40,Data!H:I,2,0)</f>
        <v>İstanbul</v>
      </c>
      <c r="F40" s="115" t="str">
        <f>VLOOKUP(D40,Data!H:J,3,0)</f>
        <v>Filamingo</v>
      </c>
      <c r="G40" s="116" t="b">
        <v>0</v>
      </c>
      <c r="H40" s="116" t="b">
        <v>0</v>
      </c>
      <c r="I40" s="116" t="b">
        <v>0</v>
      </c>
      <c r="J40" s="116" t="b">
        <v>0</v>
      </c>
      <c r="K40" s="116" t="b">
        <v>0</v>
      </c>
      <c r="L40" s="117">
        <f t="shared" si="1"/>
        <v>0</v>
      </c>
      <c r="M40" s="117">
        <f t="shared" si="2"/>
        <v>0</v>
      </c>
      <c r="N40" s="112"/>
      <c r="O40" s="112"/>
    </row>
    <row r="41" ht="15.0" customHeight="1">
      <c r="A41" s="112"/>
      <c r="B41" s="112"/>
      <c r="C41" s="112"/>
      <c r="D41" s="129" t="s">
        <v>136</v>
      </c>
      <c r="E41" s="114" t="str">
        <f>VLOOKUP(D41,Data!H:I,2,0)</f>
        <v>İstanbul</v>
      </c>
      <c r="F41" s="115" t="str">
        <f>VLOOKUP(D41,Data!H:J,3,0)</f>
        <v>Filamingo</v>
      </c>
      <c r="G41" s="116" t="b">
        <v>1</v>
      </c>
      <c r="H41" s="116" t="b">
        <v>1</v>
      </c>
      <c r="I41" s="116" t="b">
        <v>1</v>
      </c>
      <c r="J41" s="116" t="b">
        <v>1</v>
      </c>
      <c r="K41" s="116" t="b">
        <v>1</v>
      </c>
      <c r="L41" s="117">
        <f t="shared" si="1"/>
        <v>5</v>
      </c>
      <c r="M41" s="117">
        <f t="shared" si="2"/>
        <v>20</v>
      </c>
      <c r="N41" s="120"/>
      <c r="O41" s="112"/>
    </row>
    <row r="42" ht="15.0" customHeight="1">
      <c r="A42" s="125"/>
      <c r="B42" s="125"/>
      <c r="C42" s="125"/>
      <c r="D42" s="129" t="s">
        <v>77</v>
      </c>
      <c r="E42" s="114" t="str">
        <f>VLOOKUP(D42,Data!H:I,2,0)</f>
        <v>İstanbul</v>
      </c>
      <c r="F42" s="115" t="str">
        <f>VLOOKUP(D42,Data!H:J,3,0)</f>
        <v>Freelance</v>
      </c>
      <c r="G42" s="116" t="b">
        <v>0</v>
      </c>
      <c r="H42" s="116" t="b">
        <v>0</v>
      </c>
      <c r="I42" s="116" t="b">
        <v>0</v>
      </c>
      <c r="J42" s="116" t="b">
        <v>0</v>
      </c>
      <c r="K42" s="116" t="b">
        <v>0</v>
      </c>
      <c r="L42" s="117">
        <f t="shared" si="1"/>
        <v>0</v>
      </c>
      <c r="M42" s="117">
        <f t="shared" si="2"/>
        <v>0</v>
      </c>
      <c r="N42" s="124"/>
      <c r="O42" s="125"/>
    </row>
    <row r="43" ht="15.0" customHeight="1">
      <c r="A43" s="122"/>
      <c r="B43" s="122"/>
      <c r="C43" s="122"/>
      <c r="D43" s="129" t="s">
        <v>78</v>
      </c>
      <c r="E43" s="114" t="str">
        <f>VLOOKUP(D43,Data!H:I,2,0)</f>
        <v>İstanbul</v>
      </c>
      <c r="F43" s="115" t="str">
        <f>VLOOKUP(D43,Data!H:J,3,0)</f>
        <v>Freelance</v>
      </c>
      <c r="G43" s="116" t="b">
        <v>1</v>
      </c>
      <c r="H43" s="116" t="b">
        <v>1</v>
      </c>
      <c r="I43" s="116" t="b">
        <v>1</v>
      </c>
      <c r="J43" s="116" t="b">
        <v>1</v>
      </c>
      <c r="K43" s="116" t="b">
        <v>1</v>
      </c>
      <c r="L43" s="117">
        <f t="shared" si="1"/>
        <v>5</v>
      </c>
      <c r="M43" s="117">
        <f t="shared" si="2"/>
        <v>20</v>
      </c>
      <c r="N43" s="112"/>
      <c r="O43" s="122"/>
    </row>
    <row r="44" ht="15.0" customHeight="1">
      <c r="A44" s="124"/>
      <c r="B44" s="124"/>
      <c r="C44" s="124"/>
      <c r="D44" s="129" t="s">
        <v>79</v>
      </c>
      <c r="E44" s="114" t="str">
        <f>VLOOKUP(D44,Data!H:I,2,0)</f>
        <v>İstanbul</v>
      </c>
      <c r="F44" s="115" t="str">
        <f>VLOOKUP(D44,Data!H:J,3,0)</f>
        <v>Freelance</v>
      </c>
      <c r="G44" s="116" t="b">
        <v>1</v>
      </c>
      <c r="H44" s="116" t="b">
        <v>1</v>
      </c>
      <c r="I44" s="116" t="b">
        <v>1</v>
      </c>
      <c r="J44" s="116" t="b">
        <v>1</v>
      </c>
      <c r="K44" s="116" t="b">
        <v>1</v>
      </c>
      <c r="L44" s="117">
        <f t="shared" si="1"/>
        <v>5</v>
      </c>
      <c r="M44" s="117">
        <f t="shared" si="2"/>
        <v>20</v>
      </c>
      <c r="N44" s="112"/>
      <c r="O44" s="124"/>
    </row>
    <row r="45" ht="15.0" customHeight="1">
      <c r="A45" s="112"/>
      <c r="B45" s="112"/>
      <c r="C45" s="112"/>
      <c r="D45" s="141" t="s">
        <v>125</v>
      </c>
      <c r="E45" s="114" t="str">
        <f>VLOOKUP(D45,Data!H:I,2,0)</f>
        <v>İstanbul</v>
      </c>
      <c r="F45" s="115" t="str">
        <f>VLOOKUP(D45,Data!H:J,3,0)</f>
        <v>Filamingo</v>
      </c>
      <c r="G45" s="116" t="b">
        <v>0</v>
      </c>
      <c r="H45" s="116" t="b">
        <v>0</v>
      </c>
      <c r="I45" s="116" t="b">
        <v>0</v>
      </c>
      <c r="J45" s="116" t="b">
        <v>0</v>
      </c>
      <c r="K45" s="116" t="b">
        <v>0</v>
      </c>
      <c r="L45" s="117">
        <f t="shared" si="1"/>
        <v>0</v>
      </c>
      <c r="M45" s="117">
        <f t="shared" si="2"/>
        <v>0</v>
      </c>
      <c r="N45" s="124"/>
      <c r="O45" s="112"/>
    </row>
    <row r="46" ht="15.0" customHeight="1">
      <c r="A46" s="112"/>
      <c r="B46" s="112"/>
      <c r="C46" s="112"/>
      <c r="D46" s="129" t="s">
        <v>80</v>
      </c>
      <c r="E46" s="114" t="str">
        <f>VLOOKUP(D46,Data!H:I,2,0)</f>
        <v>İstanbul</v>
      </c>
      <c r="F46" s="115" t="str">
        <f>VLOOKUP(D46,Data!H:J,3,0)</f>
        <v>Freelance</v>
      </c>
      <c r="G46" s="116" t="b">
        <v>1</v>
      </c>
      <c r="H46" s="116" t="b">
        <v>1</v>
      </c>
      <c r="I46" s="116" t="b">
        <v>1</v>
      </c>
      <c r="J46" s="116" t="b">
        <v>1</v>
      </c>
      <c r="K46" s="116" t="b">
        <v>1</v>
      </c>
      <c r="L46" s="117">
        <f t="shared" si="1"/>
        <v>5</v>
      </c>
      <c r="M46" s="117">
        <f t="shared" si="2"/>
        <v>20</v>
      </c>
      <c r="N46" s="112"/>
      <c r="O46" s="112"/>
    </row>
    <row r="47" ht="15.0" customHeight="1">
      <c r="A47" s="112"/>
      <c r="B47" s="112"/>
      <c r="C47" s="112"/>
      <c r="D47" s="132" t="s">
        <v>119</v>
      </c>
      <c r="E47" s="114" t="str">
        <f>VLOOKUP(D47,Data!H:I,2,0)</f>
        <v>İstanbul</v>
      </c>
      <c r="F47" s="115" t="str">
        <f>VLOOKUP(D47,Data!H:J,3,0)</f>
        <v>Filamingo</v>
      </c>
      <c r="G47" s="116" t="b">
        <v>0</v>
      </c>
      <c r="H47" s="116" t="b">
        <v>0</v>
      </c>
      <c r="I47" s="116" t="b">
        <v>1</v>
      </c>
      <c r="J47" s="116" t="b">
        <v>1</v>
      </c>
      <c r="K47" s="116" t="b">
        <v>1</v>
      </c>
      <c r="L47" s="117">
        <f t="shared" si="1"/>
        <v>3</v>
      </c>
      <c r="M47" s="117">
        <f t="shared" si="2"/>
        <v>12</v>
      </c>
      <c r="N47" s="112"/>
      <c r="O47" s="112"/>
    </row>
    <row r="48" ht="15.0" customHeight="1">
      <c r="A48" s="112"/>
      <c r="B48" s="112"/>
      <c r="C48" s="112"/>
      <c r="D48" s="129" t="s">
        <v>81</v>
      </c>
      <c r="E48" s="114" t="str">
        <f>VLOOKUP(D48,Data!H:I,2,0)</f>
        <v>İstanbul</v>
      </c>
      <c r="F48" s="115" t="str">
        <f>VLOOKUP(D48,Data!H:J,3,0)</f>
        <v>Freelance</v>
      </c>
      <c r="G48" s="116" t="b">
        <v>1</v>
      </c>
      <c r="H48" s="116" t="b">
        <v>0</v>
      </c>
      <c r="I48" s="116" t="b">
        <v>1</v>
      </c>
      <c r="J48" s="116" t="b">
        <v>1</v>
      </c>
      <c r="K48" s="116" t="b">
        <v>1</v>
      </c>
      <c r="L48" s="117">
        <f t="shared" si="1"/>
        <v>4</v>
      </c>
      <c r="M48" s="117">
        <f t="shared" si="2"/>
        <v>16</v>
      </c>
      <c r="N48" s="125"/>
      <c r="O48" s="112"/>
    </row>
    <row r="49" ht="15.0" customHeight="1">
      <c r="A49" s="112"/>
      <c r="B49" s="112"/>
      <c r="C49" s="112"/>
      <c r="D49" s="132" t="s">
        <v>83</v>
      </c>
      <c r="E49" s="114" t="str">
        <f>VLOOKUP(D49,Data!H:I,2,0)</f>
        <v>İstanbul</v>
      </c>
      <c r="F49" s="115" t="str">
        <f>VLOOKUP(D49,Data!H:J,3,0)</f>
        <v>Nazım Öztel</v>
      </c>
      <c r="G49" s="116" t="b">
        <v>1</v>
      </c>
      <c r="H49" s="116" t="b">
        <v>1</v>
      </c>
      <c r="I49" s="116" t="b">
        <v>1</v>
      </c>
      <c r="J49" s="116" t="b">
        <v>1</v>
      </c>
      <c r="K49" s="116" t="b">
        <v>1</v>
      </c>
      <c r="L49" s="117">
        <f t="shared" si="1"/>
        <v>5</v>
      </c>
      <c r="M49" s="117">
        <f t="shared" si="2"/>
        <v>20</v>
      </c>
      <c r="N49" s="112"/>
      <c r="O49" s="112"/>
    </row>
    <row r="50" ht="15.0" customHeight="1">
      <c r="A50" s="125"/>
      <c r="B50" s="125"/>
      <c r="C50" s="125"/>
      <c r="D50" s="132" t="s">
        <v>85</v>
      </c>
      <c r="E50" s="114" t="str">
        <f>VLOOKUP(D50,Data!H:I,2,0)</f>
        <v>İstanbul</v>
      </c>
      <c r="F50" s="115" t="str">
        <f>VLOOKUP(D50,Data!H:J,3,0)</f>
        <v>Filamingo</v>
      </c>
      <c r="G50" s="116" t="b">
        <v>0</v>
      </c>
      <c r="H50" s="116" t="b">
        <v>0</v>
      </c>
      <c r="I50" s="116" t="b">
        <v>0</v>
      </c>
      <c r="J50" s="116" t="b">
        <v>0</v>
      </c>
      <c r="K50" s="116" t="b">
        <v>0</v>
      </c>
      <c r="L50" s="117">
        <f t="shared" si="1"/>
        <v>0</v>
      </c>
      <c r="M50" s="117">
        <f t="shared" si="2"/>
        <v>0</v>
      </c>
      <c r="N50" s="112"/>
      <c r="O50" s="125"/>
    </row>
    <row r="51" ht="15.0" customHeight="1">
      <c r="A51" s="125"/>
      <c r="B51" s="125"/>
      <c r="C51" s="125"/>
      <c r="D51" s="129" t="s">
        <v>145</v>
      </c>
      <c r="E51" s="114" t="str">
        <f>VLOOKUP(D51,Data!H:I,2,0)</f>
        <v>İstanbul</v>
      </c>
      <c r="F51" s="115" t="str">
        <f>VLOOKUP(D51,Data!H:J,3,0)</f>
        <v>Filamingo</v>
      </c>
      <c r="G51" s="116" t="b">
        <v>0</v>
      </c>
      <c r="H51" s="116" t="b">
        <v>1</v>
      </c>
      <c r="I51" s="116" t="b">
        <v>0</v>
      </c>
      <c r="J51" s="116" t="b">
        <v>0</v>
      </c>
      <c r="K51" s="116" t="b">
        <v>0</v>
      </c>
      <c r="L51" s="117">
        <f t="shared" si="1"/>
        <v>1</v>
      </c>
      <c r="M51" s="117">
        <f t="shared" si="2"/>
        <v>4</v>
      </c>
      <c r="N51" s="112"/>
      <c r="O51" s="125"/>
    </row>
    <row r="52" ht="15.0" customHeight="1">
      <c r="A52" s="125"/>
      <c r="B52" s="125"/>
      <c r="C52" s="125"/>
      <c r="D52" s="129" t="s">
        <v>146</v>
      </c>
      <c r="E52" s="114" t="str">
        <f>VLOOKUP(D52,Data!H:I,2,0)</f>
        <v>İstanbul</v>
      </c>
      <c r="F52" s="115" t="str">
        <f>VLOOKUP(D52,Data!H:J,3,0)</f>
        <v>Filamingo</v>
      </c>
      <c r="G52" s="116" t="b">
        <v>1</v>
      </c>
      <c r="H52" s="116" t="b">
        <v>0</v>
      </c>
      <c r="I52" s="116" t="b">
        <v>0</v>
      </c>
      <c r="J52" s="116" t="b">
        <v>0</v>
      </c>
      <c r="K52" s="116" t="b">
        <v>0</v>
      </c>
      <c r="L52" s="117">
        <f t="shared" si="1"/>
        <v>1</v>
      </c>
      <c r="M52" s="117">
        <f t="shared" si="2"/>
        <v>4</v>
      </c>
      <c r="N52" s="112"/>
      <c r="O52" s="125"/>
    </row>
    <row r="53" ht="15.0" customHeight="1">
      <c r="A53" s="126"/>
      <c r="B53" s="126"/>
      <c r="C53" s="126"/>
      <c r="D53" s="129" t="s">
        <v>86</v>
      </c>
      <c r="E53" s="114" t="str">
        <f>VLOOKUP(D53,Data!H:I,2,0)</f>
        <v>İstanbul</v>
      </c>
      <c r="F53" s="115" t="str">
        <f>VLOOKUP(D53,Data!H:J,3,0)</f>
        <v>Freelance</v>
      </c>
      <c r="G53" s="116" t="b">
        <v>0</v>
      </c>
      <c r="H53" s="116" t="b">
        <v>0</v>
      </c>
      <c r="I53" s="116" t="b">
        <v>0</v>
      </c>
      <c r="J53" s="116" t="b">
        <v>0</v>
      </c>
      <c r="K53" s="116" t="b">
        <v>0</v>
      </c>
      <c r="L53" s="117">
        <f t="shared" si="1"/>
        <v>0</v>
      </c>
      <c r="M53" s="117">
        <f t="shared" si="2"/>
        <v>0</v>
      </c>
      <c r="N53" s="112"/>
      <c r="O53" s="126"/>
    </row>
    <row r="54" ht="15.0" customHeight="1">
      <c r="A54" s="122"/>
      <c r="B54" s="122"/>
      <c r="C54" s="122"/>
      <c r="D54" s="129" t="s">
        <v>87</v>
      </c>
      <c r="E54" s="114" t="str">
        <f>VLOOKUP(D54,Data!H:I,2,0)</f>
        <v>İstanbul</v>
      </c>
      <c r="F54" s="115" t="str">
        <f>VLOOKUP(D54,Data!H:J,3,0)</f>
        <v>Freelance</v>
      </c>
      <c r="G54" s="116" t="b">
        <v>1</v>
      </c>
      <c r="H54" s="116" t="b">
        <v>1</v>
      </c>
      <c r="I54" s="116" t="b">
        <v>1</v>
      </c>
      <c r="J54" s="116" t="b">
        <v>1</v>
      </c>
      <c r="K54" s="116" t="b">
        <v>1</v>
      </c>
      <c r="L54" s="117">
        <f t="shared" si="1"/>
        <v>5</v>
      </c>
      <c r="M54" s="117">
        <f t="shared" si="2"/>
        <v>20</v>
      </c>
      <c r="N54" s="112"/>
      <c r="O54" s="122"/>
    </row>
    <row r="55" ht="15.0" customHeight="1">
      <c r="A55" s="112"/>
      <c r="B55" s="112"/>
      <c r="C55" s="112"/>
      <c r="D55" s="132" t="s">
        <v>88</v>
      </c>
      <c r="E55" s="114" t="str">
        <f>VLOOKUP(D55,Data!H:I,2,0)</f>
        <v>İstanbul</v>
      </c>
      <c r="F55" s="115" t="str">
        <f>VLOOKUP(D55,Data!H:J,3,0)</f>
        <v>Nazım Öztel</v>
      </c>
      <c r="G55" s="116" t="b">
        <v>0</v>
      </c>
      <c r="H55" s="116" t="b">
        <v>1</v>
      </c>
      <c r="I55" s="116" t="b">
        <v>1</v>
      </c>
      <c r="J55" s="116" t="b">
        <v>0</v>
      </c>
      <c r="K55" s="116" t="b">
        <v>0</v>
      </c>
      <c r="L55" s="117">
        <f t="shared" si="1"/>
        <v>2</v>
      </c>
      <c r="M55" s="117">
        <f t="shared" si="2"/>
        <v>8</v>
      </c>
      <c r="N55" s="112"/>
      <c r="O55" s="112"/>
    </row>
    <row r="56" ht="15.0" customHeight="1">
      <c r="A56" s="112"/>
      <c r="B56" s="112"/>
      <c r="C56" s="112"/>
      <c r="D56" s="132" t="s">
        <v>89</v>
      </c>
      <c r="E56" s="114" t="str">
        <f>VLOOKUP(D56,Data!H:I,2,0)</f>
        <v>İstanbul</v>
      </c>
      <c r="F56" s="115" t="str">
        <f>VLOOKUP(D56,Data!H:J,3,0)</f>
        <v>Filamingo</v>
      </c>
      <c r="G56" s="116" t="b">
        <v>0</v>
      </c>
      <c r="H56" s="116" t="b">
        <v>0</v>
      </c>
      <c r="I56" s="116" t="b">
        <v>0</v>
      </c>
      <c r="J56" s="116" t="b">
        <v>0</v>
      </c>
      <c r="K56" s="116" t="b">
        <v>0</v>
      </c>
      <c r="L56" s="117">
        <f t="shared" si="1"/>
        <v>0</v>
      </c>
      <c r="M56" s="117">
        <f t="shared" si="2"/>
        <v>0</v>
      </c>
      <c r="N56" s="112"/>
      <c r="O56" s="112"/>
    </row>
    <row r="57" ht="15.0" customHeight="1">
      <c r="A57" s="112"/>
      <c r="B57" s="112"/>
      <c r="C57" s="112"/>
      <c r="D57" s="129" t="s">
        <v>138</v>
      </c>
      <c r="E57" s="114" t="str">
        <f>VLOOKUP(D57,Data!H:I,2,0)</f>
        <v>İstanbul</v>
      </c>
      <c r="F57" s="115" t="str">
        <f>VLOOKUP(D57,Data!H:J,3,0)</f>
        <v>Filamingo</v>
      </c>
      <c r="G57" s="116" t="b">
        <v>0</v>
      </c>
      <c r="H57" s="116" t="b">
        <v>0</v>
      </c>
      <c r="I57" s="116" t="b">
        <v>0</v>
      </c>
      <c r="J57" s="116" t="b">
        <v>0</v>
      </c>
      <c r="K57" s="116" t="b">
        <v>0</v>
      </c>
      <c r="L57" s="117">
        <f t="shared" si="1"/>
        <v>0</v>
      </c>
      <c r="M57" s="117">
        <f t="shared" si="2"/>
        <v>0</v>
      </c>
      <c r="N57" s="112"/>
      <c r="O57" s="112"/>
    </row>
    <row r="58" ht="15.0" customHeight="1">
      <c r="A58" s="112"/>
      <c r="B58" s="112"/>
      <c r="C58" s="112"/>
      <c r="D58" s="129" t="s">
        <v>127</v>
      </c>
      <c r="E58" s="114" t="str">
        <f>VLOOKUP(D58,Data!H:I,2,0)</f>
        <v>İstanbul</v>
      </c>
      <c r="F58" s="115" t="str">
        <f>VLOOKUP(D58,Data!H:J,3,0)</f>
        <v>Filamingo</v>
      </c>
      <c r="G58" s="116" t="b">
        <v>0</v>
      </c>
      <c r="H58" s="116" t="b">
        <v>1</v>
      </c>
      <c r="I58" s="116" t="b">
        <v>1</v>
      </c>
      <c r="J58" s="116" t="b">
        <v>1</v>
      </c>
      <c r="K58" s="116" t="b">
        <v>1</v>
      </c>
      <c r="L58" s="117">
        <f t="shared" si="1"/>
        <v>4</v>
      </c>
      <c r="M58" s="117">
        <f t="shared" si="2"/>
        <v>16</v>
      </c>
      <c r="N58" s="112"/>
      <c r="O58" s="112"/>
    </row>
    <row r="59" ht="15.0" customHeight="1">
      <c r="A59" s="112"/>
      <c r="B59" s="112"/>
      <c r="C59" s="112"/>
      <c r="D59" s="132" t="s">
        <v>92</v>
      </c>
      <c r="E59" s="114" t="str">
        <f>VLOOKUP(D59,Data!H:I,2,0)</f>
        <v>İzmir</v>
      </c>
      <c r="F59" s="115" t="str">
        <f>VLOOKUP(D59,Data!H:J,3,0)</f>
        <v>Nazım Öztel</v>
      </c>
      <c r="G59" s="116" t="b">
        <v>1</v>
      </c>
      <c r="H59" s="116" t="b">
        <v>1</v>
      </c>
      <c r="I59" s="116" t="b">
        <v>1</v>
      </c>
      <c r="J59" s="116" t="b">
        <v>1</v>
      </c>
      <c r="K59" s="116" t="b">
        <v>1</v>
      </c>
      <c r="L59" s="117">
        <f t="shared" si="1"/>
        <v>5</v>
      </c>
      <c r="M59" s="117">
        <f t="shared" si="2"/>
        <v>20</v>
      </c>
      <c r="N59" s="125"/>
      <c r="O59" s="112"/>
    </row>
    <row r="60" ht="15.0" customHeight="1">
      <c r="A60" s="112"/>
      <c r="B60" s="112"/>
      <c r="C60" s="112"/>
      <c r="D60" s="129" t="s">
        <v>139</v>
      </c>
      <c r="E60" s="114" t="s">
        <v>129</v>
      </c>
      <c r="F60" s="115" t="str">
        <f>VLOOKUP(D60,Data!H:J,3,0)</f>
        <v>Nazım Öztel</v>
      </c>
      <c r="G60" s="116" t="b">
        <v>1</v>
      </c>
      <c r="H60" s="116" t="b">
        <v>0</v>
      </c>
      <c r="I60" s="116" t="b">
        <v>0</v>
      </c>
      <c r="J60" s="116" t="b">
        <v>1</v>
      </c>
      <c r="K60" s="116" t="b">
        <v>1</v>
      </c>
      <c r="L60" s="117">
        <f t="shared" si="1"/>
        <v>3</v>
      </c>
      <c r="M60" s="117">
        <f t="shared" si="2"/>
        <v>12</v>
      </c>
      <c r="N60" s="125"/>
      <c r="O60" s="112"/>
    </row>
    <row r="61" ht="15.0" customHeight="1">
      <c r="A61" s="112"/>
      <c r="B61" s="112"/>
      <c r="C61" s="112"/>
      <c r="D61" s="129" t="s">
        <v>93</v>
      </c>
      <c r="E61" s="114" t="str">
        <f>VLOOKUP(D61,Data!H:I,2,0)</f>
        <v>İzmir</v>
      </c>
      <c r="F61" s="115" t="str">
        <f>VLOOKUP(D61,Data!H:J,3,0)</f>
        <v>Freelance</v>
      </c>
      <c r="G61" s="116" t="b">
        <v>0</v>
      </c>
      <c r="H61" s="116" t="b">
        <v>0</v>
      </c>
      <c r="I61" s="116" t="b">
        <v>0</v>
      </c>
      <c r="J61" s="116" t="b">
        <v>0</v>
      </c>
      <c r="K61" s="116" t="b">
        <v>0</v>
      </c>
      <c r="L61" s="117">
        <f t="shared" si="1"/>
        <v>0</v>
      </c>
      <c r="M61" s="117">
        <f t="shared" si="2"/>
        <v>0</v>
      </c>
      <c r="N61" s="112"/>
      <c r="O61" s="112"/>
    </row>
    <row r="62" ht="15.0" customHeight="1">
      <c r="A62" s="112"/>
      <c r="B62" s="112"/>
      <c r="C62" s="112"/>
      <c r="D62" s="132" t="s">
        <v>96</v>
      </c>
      <c r="E62" s="114" t="str">
        <f>VLOOKUP(D62,Data!H:I,2,0)</f>
        <v>Kocaeli</v>
      </c>
      <c r="F62" s="115" t="str">
        <f>VLOOKUP(D62,Data!H:J,3,0)</f>
        <v>Nazım Öztel</v>
      </c>
      <c r="G62" s="116" t="b">
        <v>0</v>
      </c>
      <c r="H62" s="116" t="b">
        <v>0</v>
      </c>
      <c r="I62" s="116" t="b">
        <v>0</v>
      </c>
      <c r="J62" s="116" t="b">
        <v>0</v>
      </c>
      <c r="K62" s="116" t="b">
        <v>0</v>
      </c>
      <c r="L62" s="117">
        <f t="shared" si="1"/>
        <v>0</v>
      </c>
      <c r="M62" s="117">
        <f t="shared" si="2"/>
        <v>0</v>
      </c>
      <c r="N62" s="112"/>
      <c r="O62" s="112"/>
    </row>
    <row r="63" ht="15.0" customHeight="1">
      <c r="A63" s="112"/>
      <c r="B63" s="112"/>
      <c r="C63" s="112"/>
      <c r="D63" s="129" t="s">
        <v>147</v>
      </c>
      <c r="E63" s="114" t="str">
        <f>VLOOKUP(D63,Data!H:I,2,0)</f>
        <v>Kocaeli</v>
      </c>
      <c r="F63" s="115" t="str">
        <f>VLOOKUP(D63,Data!H:J,3,0)</f>
        <v>Nazım Öztel</v>
      </c>
      <c r="G63" s="116" t="b">
        <v>0</v>
      </c>
      <c r="H63" s="116" t="b">
        <v>0</v>
      </c>
      <c r="I63" s="116" t="b">
        <v>0</v>
      </c>
      <c r="J63" s="116" t="b">
        <v>0</v>
      </c>
      <c r="K63" s="116" t="b">
        <v>0</v>
      </c>
      <c r="L63" s="117">
        <f t="shared" si="1"/>
        <v>0</v>
      </c>
      <c r="M63" s="117">
        <f t="shared" si="2"/>
        <v>0</v>
      </c>
      <c r="N63" s="112"/>
      <c r="O63" s="112"/>
    </row>
    <row r="64" ht="15.0" customHeight="1">
      <c r="A64" s="112"/>
      <c r="B64" s="112"/>
      <c r="C64" s="112"/>
      <c r="D64" s="132" t="s">
        <v>98</v>
      </c>
      <c r="E64" s="114" t="str">
        <f>VLOOKUP(D64,Data!H:I,2,0)</f>
        <v>Manisa</v>
      </c>
      <c r="F64" s="115" t="str">
        <f>VLOOKUP(D64,Data!H:J,3,0)</f>
        <v>Nazım Öztel</v>
      </c>
      <c r="G64" s="116" t="b">
        <v>0</v>
      </c>
      <c r="H64" s="116" t="b">
        <v>0</v>
      </c>
      <c r="I64" s="116" t="b">
        <v>0</v>
      </c>
      <c r="J64" s="116" t="b">
        <v>0</v>
      </c>
      <c r="K64" s="116" t="b">
        <v>0</v>
      </c>
      <c r="L64" s="117">
        <f t="shared" si="1"/>
        <v>0</v>
      </c>
      <c r="M64" s="117">
        <f t="shared" si="2"/>
        <v>0</v>
      </c>
      <c r="N64" s="142"/>
      <c r="O64" s="112"/>
    </row>
    <row r="65" ht="15.0" customHeight="1">
      <c r="A65" s="112"/>
      <c r="B65" s="112"/>
      <c r="C65" s="112"/>
      <c r="D65" s="132" t="s">
        <v>99</v>
      </c>
      <c r="E65" s="114" t="str">
        <f>VLOOKUP(D65,Data!H:I,2,0)</f>
        <v>Mersin</v>
      </c>
      <c r="F65" s="115" t="str">
        <f>VLOOKUP(D65,Data!H:J,3,0)</f>
        <v>Nazım Öztel</v>
      </c>
      <c r="G65" s="116" t="b">
        <v>0</v>
      </c>
      <c r="H65" s="116" t="b">
        <v>0</v>
      </c>
      <c r="I65" s="116" t="b">
        <v>0</v>
      </c>
      <c r="J65" s="116" t="b">
        <v>0</v>
      </c>
      <c r="K65" s="116" t="b">
        <v>0</v>
      </c>
      <c r="L65" s="117">
        <f t="shared" si="1"/>
        <v>0</v>
      </c>
      <c r="M65" s="117">
        <f t="shared" si="2"/>
        <v>0</v>
      </c>
      <c r="N65" s="106"/>
      <c r="O65" s="112"/>
    </row>
    <row r="66" ht="15.0" customHeight="1">
      <c r="A66" s="112"/>
      <c r="B66" s="112"/>
      <c r="C66" s="112"/>
      <c r="D66" s="129" t="s">
        <v>148</v>
      </c>
      <c r="E66" s="114" t="str">
        <f>VLOOKUP(D66,Data!H:I,2,0)</f>
        <v>Muğla</v>
      </c>
      <c r="F66" s="115" t="str">
        <f>VLOOKUP(D66,Data!H:J,3,0)</f>
        <v>Nazım Öztel</v>
      </c>
      <c r="G66" s="116" t="b">
        <v>0</v>
      </c>
      <c r="H66" s="116" t="b">
        <v>0</v>
      </c>
      <c r="I66" s="116" t="b">
        <v>0</v>
      </c>
      <c r="J66" s="116" t="b">
        <v>0</v>
      </c>
      <c r="K66" s="116" t="b">
        <v>0</v>
      </c>
      <c r="L66" s="117">
        <f t="shared" si="1"/>
        <v>0</v>
      </c>
      <c r="M66" s="117">
        <f t="shared" si="2"/>
        <v>0</v>
      </c>
      <c r="N66" s="106"/>
      <c r="O66" s="112"/>
    </row>
    <row r="67" ht="15.0" customHeight="1">
      <c r="A67" s="112"/>
      <c r="B67" s="112"/>
      <c r="C67" s="112"/>
      <c r="D67" s="129" t="s">
        <v>104</v>
      </c>
      <c r="E67" s="114" t="str">
        <f>VLOOKUP(D67,Data!H:I,2,0)</f>
        <v>Tekirdağ</v>
      </c>
      <c r="F67" s="115" t="str">
        <f>VLOOKUP(D67,Data!H:J,3,0)</f>
        <v>Freelance</v>
      </c>
      <c r="G67" s="139" t="b">
        <v>0</v>
      </c>
      <c r="H67" s="139" t="b">
        <v>0</v>
      </c>
      <c r="I67" s="139" t="b">
        <v>1</v>
      </c>
      <c r="J67" s="139" t="b">
        <v>1</v>
      </c>
      <c r="K67" s="139" t="b">
        <v>1</v>
      </c>
      <c r="L67" s="117">
        <f t="shared" si="1"/>
        <v>3</v>
      </c>
      <c r="M67" s="117">
        <f t="shared" si="2"/>
        <v>12</v>
      </c>
      <c r="N67" s="112"/>
      <c r="O67" s="112"/>
    </row>
    <row r="68" ht="15.0" customHeight="1">
      <c r="A68" s="112"/>
      <c r="B68" s="112"/>
      <c r="C68" s="112"/>
      <c r="D68" s="129" t="s">
        <v>154</v>
      </c>
      <c r="E68" s="114" t="str">
        <f>VLOOKUP(D68,Data!H:I,2,0)</f>
        <v>Uşak</v>
      </c>
      <c r="F68" s="115" t="str">
        <f>VLOOKUP(D68,Data!H:J,3,0)</f>
        <v>Nazım Öztel</v>
      </c>
      <c r="G68" s="139" t="b">
        <v>0</v>
      </c>
      <c r="H68" s="139" t="b">
        <v>1</v>
      </c>
      <c r="I68" s="139" t="b">
        <v>0</v>
      </c>
      <c r="J68" s="139" t="b">
        <v>0</v>
      </c>
      <c r="K68" s="139" t="b">
        <v>0</v>
      </c>
      <c r="L68" s="117">
        <f t="shared" si="1"/>
        <v>1</v>
      </c>
      <c r="M68" s="117">
        <f>L68*2</f>
        <v>2</v>
      </c>
      <c r="N68" s="112"/>
      <c r="O68" s="112"/>
    </row>
    <row r="69" ht="15.0" customHeight="1">
      <c r="A69" s="112"/>
      <c r="B69" s="112"/>
      <c r="C69" s="112"/>
      <c r="D69" s="132"/>
      <c r="E69" s="132"/>
      <c r="F69" s="132"/>
      <c r="G69" s="117">
        <f t="shared" ref="G69:K69" si="3">4*(COUNTIF(G14:G67,"true"))</f>
        <v>96</v>
      </c>
      <c r="H69" s="117">
        <f t="shared" si="3"/>
        <v>108</v>
      </c>
      <c r="I69" s="117">
        <f t="shared" si="3"/>
        <v>104</v>
      </c>
      <c r="J69" s="117">
        <f t="shared" si="3"/>
        <v>104</v>
      </c>
      <c r="K69" s="117">
        <f t="shared" si="3"/>
        <v>96</v>
      </c>
      <c r="L69" s="135"/>
      <c r="M69" s="135">
        <f>SUM(G69:K69)</f>
        <v>508</v>
      </c>
      <c r="N69" s="112"/>
      <c r="O69" s="112"/>
    </row>
  </sheetData>
  <autoFilter ref="$D$14:$M$69">
    <sortState ref="D14:M69">
      <sortCondition ref="D14:D69"/>
    </sortState>
  </autoFilter>
  <customSheetViews>
    <customSheetView guid="{90E1DF85-7252-44D2-BA7D-CC3767CD0E8B}" filter="1" showAutoFilter="1">
      <autoFilter ref="$A$14:$O$69">
        <filterColumn colId="4">
          <filters>
            <filter val="Edirne"/>
            <filter val="Muğla"/>
            <filter val="Uşak"/>
          </filters>
        </filterColumn>
      </autoFilter>
    </customSheetView>
    <customSheetView guid="{70B995D3-3AEB-4DFE-A0CA-D6FFCCE596BC}" filter="1" showAutoFilter="1">
      <autoFilter ref="$D$14:$D$68"/>
    </customSheetView>
  </customSheetViews>
  <mergeCells count="4">
    <mergeCell ref="D6:K6"/>
    <mergeCell ref="D7:F7"/>
    <mergeCell ref="D9:D12"/>
    <mergeCell ref="F10:M11"/>
  </mergeCells>
  <conditionalFormatting sqref="G15:K68">
    <cfRule type="cellIs" dxfId="1" priority="1" operator="equal">
      <formula>"False"</formula>
    </cfRule>
  </conditionalFormatting>
  <conditionalFormatting sqref="G15:K68">
    <cfRule type="cellIs" dxfId="0" priority="2" operator="equal">
      <formula>"TRUE"</formula>
    </cfRule>
  </conditionalFormatting>
  <dataValidations>
    <dataValidation type="list" allowBlank="1" showErrorMessage="1" sqref="E15:E68">
      <formula1>Data!$A$2:$A$10</formula1>
    </dataValidation>
    <dataValidation type="list" allowBlank="1" showErrorMessage="1" sqref="F15:F68">
      <formula1>Data!$C$2:$C$8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3" width="2.63"/>
    <col customWidth="1" min="4" max="4" width="20.38"/>
    <col customWidth="1" min="5" max="5" width="11.38"/>
    <col customWidth="1" min="6" max="6" width="16.63"/>
    <col customWidth="1" min="7" max="11" width="8.63"/>
    <col customWidth="1" min="12" max="12" width="12.63"/>
    <col customWidth="1" min="13" max="13" width="15.13"/>
    <col customWidth="1" min="14" max="15" width="2.63"/>
  </cols>
  <sheetData>
    <row r="1" ht="7.5" customHeight="1">
      <c r="A1" s="140"/>
      <c r="B1" s="84"/>
      <c r="C1" s="84"/>
      <c r="D1" s="84"/>
      <c r="E1" s="84"/>
      <c r="F1" s="84"/>
      <c r="G1" s="84"/>
      <c r="H1" s="84"/>
      <c r="I1" s="84"/>
      <c r="J1" s="84"/>
      <c r="K1" s="84"/>
      <c r="L1" s="85"/>
      <c r="M1" s="86"/>
      <c r="N1" s="86"/>
      <c r="O1" s="86"/>
    </row>
    <row r="2" ht="15.0" customHeight="1">
      <c r="A2" s="87"/>
      <c r="B2" s="87"/>
      <c r="C2" s="87"/>
      <c r="D2" s="88"/>
      <c r="E2" s="88"/>
      <c r="F2" s="88"/>
      <c r="G2" s="88"/>
      <c r="H2" s="88"/>
      <c r="I2" s="88"/>
      <c r="J2" s="88"/>
      <c r="K2" s="88"/>
      <c r="L2" s="88"/>
      <c r="M2" s="87"/>
      <c r="N2" s="87"/>
      <c r="O2" s="87"/>
    </row>
    <row r="3" ht="3.75" customHeight="1">
      <c r="A3" s="87"/>
      <c r="B3" s="87"/>
      <c r="C3" s="87"/>
      <c r="D3" s="89"/>
      <c r="E3" s="90"/>
      <c r="F3" s="90"/>
      <c r="G3" s="90"/>
      <c r="H3" s="90"/>
      <c r="I3" s="90"/>
      <c r="J3" s="90"/>
      <c r="K3" s="90"/>
      <c r="L3" s="90"/>
      <c r="M3" s="87"/>
      <c r="N3" s="87"/>
      <c r="O3" s="87"/>
    </row>
    <row r="4" ht="15.0" customHeight="1">
      <c r="A4" s="87"/>
      <c r="B4" s="87"/>
      <c r="C4" s="87"/>
      <c r="D4" s="88"/>
      <c r="E4" s="88"/>
      <c r="F4" s="88"/>
      <c r="G4" s="91"/>
      <c r="H4" s="91"/>
      <c r="I4" s="91"/>
      <c r="J4" s="91"/>
      <c r="K4" s="91"/>
      <c r="L4" s="91"/>
      <c r="M4" s="87"/>
      <c r="N4" s="87"/>
      <c r="O4" s="87"/>
    </row>
    <row r="5" ht="15.0" customHeight="1">
      <c r="A5" s="92"/>
      <c r="B5" s="92"/>
      <c r="C5" s="92"/>
      <c r="D5" s="88"/>
      <c r="E5" s="88"/>
      <c r="F5" s="88"/>
      <c r="G5" s="93"/>
      <c r="H5" s="93"/>
      <c r="I5" s="93"/>
      <c r="J5" s="93"/>
      <c r="K5" s="93"/>
      <c r="L5" s="94"/>
      <c r="M5" s="88"/>
      <c r="N5" s="92"/>
      <c r="O5" s="92"/>
    </row>
    <row r="6" ht="15.0" customHeight="1">
      <c r="A6" s="92"/>
      <c r="B6" s="92"/>
      <c r="C6" s="92"/>
      <c r="D6" s="95" t="s">
        <v>157</v>
      </c>
      <c r="L6" s="94"/>
      <c r="M6" s="88"/>
      <c r="N6" s="92"/>
      <c r="O6" s="92"/>
    </row>
    <row r="7" ht="15.0" customHeight="1">
      <c r="A7" s="92"/>
      <c r="B7" s="92"/>
      <c r="C7" s="92"/>
      <c r="D7" s="96" t="s">
        <v>158</v>
      </c>
      <c r="G7" s="97"/>
      <c r="H7" s="97"/>
      <c r="I7" s="97"/>
      <c r="J7" s="97"/>
      <c r="K7" s="97"/>
      <c r="L7" s="92"/>
      <c r="M7" s="92"/>
      <c r="N7" s="92"/>
      <c r="O7" s="92"/>
    </row>
    <row r="8" ht="15.0" customHeight="1">
      <c r="A8" s="92"/>
      <c r="B8" s="92"/>
      <c r="C8" s="92"/>
      <c r="D8" s="97"/>
      <c r="E8" s="97"/>
      <c r="F8" s="97"/>
      <c r="G8" s="97"/>
      <c r="H8" s="97"/>
      <c r="I8" s="97"/>
      <c r="J8" s="97"/>
      <c r="K8" s="97"/>
      <c r="L8" s="92"/>
      <c r="M8" s="92"/>
      <c r="N8" s="92"/>
      <c r="O8" s="92"/>
    </row>
    <row r="9" ht="15.0" customHeight="1">
      <c r="A9" s="92"/>
      <c r="B9" s="92"/>
      <c r="C9" s="98"/>
      <c r="D9" s="99" t="s">
        <v>35</v>
      </c>
      <c r="E9" s="100"/>
      <c r="F9" s="101"/>
      <c r="G9" s="101"/>
      <c r="H9" s="101"/>
      <c r="I9" s="101"/>
      <c r="J9" s="101"/>
      <c r="K9" s="101"/>
      <c r="L9" s="101"/>
      <c r="M9" s="100"/>
      <c r="N9" s="102"/>
      <c r="O9" s="102"/>
    </row>
    <row r="10" ht="15.0" customHeight="1">
      <c r="A10" s="92"/>
      <c r="B10" s="92"/>
      <c r="C10" s="98"/>
      <c r="E10" s="100"/>
      <c r="F10" s="103" t="s">
        <v>36</v>
      </c>
      <c r="N10" s="102"/>
      <c r="O10" s="102"/>
    </row>
    <row r="11" ht="15.0" customHeight="1">
      <c r="A11" s="92"/>
      <c r="B11" s="92"/>
      <c r="C11" s="98"/>
      <c r="E11" s="100"/>
      <c r="N11" s="102"/>
      <c r="O11" s="102"/>
    </row>
    <row r="12" ht="15.0" customHeight="1">
      <c r="A12" s="88"/>
      <c r="B12" s="92"/>
      <c r="C12" s="92"/>
      <c r="E12" s="100"/>
      <c r="F12" s="100"/>
      <c r="G12" s="100"/>
      <c r="H12" s="100"/>
      <c r="I12" s="100"/>
      <c r="J12" s="100"/>
      <c r="K12" s="100"/>
      <c r="L12" s="100"/>
      <c r="M12" s="100"/>
      <c r="N12" s="102"/>
      <c r="O12" s="102"/>
    </row>
    <row r="13" ht="15.0" customHeight="1">
      <c r="A13" s="88"/>
      <c r="B13" s="104"/>
      <c r="C13" s="104"/>
      <c r="D13" s="104"/>
      <c r="E13" s="104"/>
      <c r="F13" s="105"/>
      <c r="G13" s="105"/>
      <c r="H13" s="105"/>
      <c r="I13" s="105"/>
      <c r="J13" s="105"/>
      <c r="K13" s="105"/>
      <c r="L13" s="104"/>
      <c r="M13" s="104"/>
      <c r="N13" s="104"/>
      <c r="O13" s="104"/>
    </row>
    <row r="14" ht="15.0" customHeight="1">
      <c r="A14" s="106"/>
      <c r="B14" s="106"/>
      <c r="C14" s="106"/>
      <c r="D14" s="107" t="s">
        <v>37</v>
      </c>
      <c r="E14" s="108" t="s">
        <v>38</v>
      </c>
      <c r="F14" s="109" t="s">
        <v>39</v>
      </c>
      <c r="G14" s="110">
        <v>44473.0</v>
      </c>
      <c r="H14" s="110">
        <v>44474.0</v>
      </c>
      <c r="I14" s="110">
        <v>44475.0</v>
      </c>
      <c r="J14" s="110">
        <v>44476.0</v>
      </c>
      <c r="K14" s="110">
        <v>44477.0</v>
      </c>
      <c r="L14" s="111" t="s">
        <v>40</v>
      </c>
      <c r="M14" s="111" t="s">
        <v>41</v>
      </c>
      <c r="N14" s="88"/>
      <c r="O14" s="88"/>
    </row>
    <row r="15" ht="15.0" customHeight="1">
      <c r="A15" s="112"/>
      <c r="B15" s="112"/>
      <c r="C15" s="112"/>
      <c r="D15" s="129" t="s">
        <v>42</v>
      </c>
      <c r="E15" s="114" t="str">
        <f>VLOOKUP(D15,Data!H:I,2,0)</f>
        <v>Adana</v>
      </c>
      <c r="F15" s="115" t="str">
        <f>VLOOKUP(D15,Data!H:J,3,0)</f>
        <v>Freelance</v>
      </c>
      <c r="G15" s="116" t="b">
        <v>1</v>
      </c>
      <c r="H15" s="116" t="b">
        <v>1</v>
      </c>
      <c r="I15" s="116" t="b">
        <v>1</v>
      </c>
      <c r="J15" s="116" t="b">
        <v>1</v>
      </c>
      <c r="K15" s="116" t="b">
        <v>1</v>
      </c>
      <c r="L15" s="117">
        <f t="shared" ref="L15:L71" si="1">COUNTIF(G15:K15,"TRUE")</f>
        <v>5</v>
      </c>
      <c r="M15" s="117">
        <f t="shared" ref="M15:M70" si="2">L15*4</f>
        <v>20</v>
      </c>
      <c r="N15" s="112"/>
      <c r="O15" s="88"/>
    </row>
    <row r="16" ht="15.0" customHeight="1">
      <c r="A16" s="112"/>
      <c r="B16" s="112"/>
      <c r="C16" s="112"/>
      <c r="D16" s="129" t="s">
        <v>43</v>
      </c>
      <c r="E16" s="114" t="str">
        <f>VLOOKUP(D16,Data!H:I,2,0)</f>
        <v>Adana</v>
      </c>
      <c r="F16" s="115" t="str">
        <f>VLOOKUP(D16,Data!H:J,3,0)</f>
        <v>Freelance</v>
      </c>
      <c r="G16" s="116" t="b">
        <v>1</v>
      </c>
      <c r="H16" s="116" t="b">
        <v>1</v>
      </c>
      <c r="I16" s="116" t="b">
        <v>0</v>
      </c>
      <c r="J16" s="116" t="b">
        <v>0</v>
      </c>
      <c r="K16" s="116" t="b">
        <v>0</v>
      </c>
      <c r="L16" s="117">
        <f t="shared" si="1"/>
        <v>2</v>
      </c>
      <c r="M16" s="117">
        <f t="shared" si="2"/>
        <v>8</v>
      </c>
      <c r="N16" s="112"/>
      <c r="O16" s="88"/>
    </row>
    <row r="17" ht="15.0" customHeight="1">
      <c r="A17" s="112"/>
      <c r="B17" s="112"/>
      <c r="C17" s="112"/>
      <c r="D17" s="119" t="s">
        <v>48</v>
      </c>
      <c r="E17" s="114" t="str">
        <f>VLOOKUP(D17,Data!H:I,2,0)</f>
        <v>Ankara</v>
      </c>
      <c r="F17" s="115" t="str">
        <f>VLOOKUP(D17,Data!H:J,3,0)</f>
        <v>Medya Özgür Deniz</v>
      </c>
      <c r="G17" s="116" t="b">
        <v>0</v>
      </c>
      <c r="H17" s="116" t="b">
        <v>0</v>
      </c>
      <c r="I17" s="116" t="b">
        <v>0</v>
      </c>
      <c r="J17" s="116" t="b">
        <v>0</v>
      </c>
      <c r="K17" s="116" t="b">
        <v>0</v>
      </c>
      <c r="L17" s="117">
        <f t="shared" si="1"/>
        <v>0</v>
      </c>
      <c r="M17" s="117">
        <f t="shared" si="2"/>
        <v>0</v>
      </c>
      <c r="N17" s="88"/>
      <c r="O17" s="88"/>
    </row>
    <row r="18" ht="15.0" customHeight="1">
      <c r="A18" s="112"/>
      <c r="B18" s="112"/>
      <c r="C18" s="112"/>
      <c r="D18" s="131" t="s">
        <v>44</v>
      </c>
      <c r="E18" s="114" t="str">
        <f>VLOOKUP(D18,Data!H:I,2,0)</f>
        <v>Ankara</v>
      </c>
      <c r="F18" s="115" t="str">
        <f>VLOOKUP(D18,Data!H:J,3,0)</f>
        <v>Medya Özgür Deniz</v>
      </c>
      <c r="G18" s="116" t="b">
        <v>0</v>
      </c>
      <c r="H18" s="116" t="b">
        <v>0</v>
      </c>
      <c r="I18" s="116" t="b">
        <v>0</v>
      </c>
      <c r="J18" s="116" t="b">
        <v>0</v>
      </c>
      <c r="K18" s="116" t="b">
        <v>0</v>
      </c>
      <c r="L18" s="117">
        <f t="shared" si="1"/>
        <v>0</v>
      </c>
      <c r="M18" s="117">
        <f t="shared" si="2"/>
        <v>0</v>
      </c>
      <c r="N18" s="112"/>
      <c r="O18" s="88"/>
    </row>
    <row r="19" ht="15.0" customHeight="1">
      <c r="A19" s="120"/>
      <c r="B19" s="120"/>
      <c r="C19" s="120"/>
      <c r="D19" s="131" t="s">
        <v>45</v>
      </c>
      <c r="E19" s="114" t="str">
        <f>VLOOKUP(D19,Data!H:I,2,0)</f>
        <v>Ankara</v>
      </c>
      <c r="F19" s="115" t="str">
        <f>VLOOKUP(D19,Data!H:J,3,0)</f>
        <v>Medya Özgür Deniz</v>
      </c>
      <c r="G19" s="116" t="b">
        <v>0</v>
      </c>
      <c r="H19" s="116" t="b">
        <v>0</v>
      </c>
      <c r="I19" s="116" t="b">
        <v>0</v>
      </c>
      <c r="J19" s="116" t="b">
        <v>0</v>
      </c>
      <c r="K19" s="116" t="b">
        <v>0</v>
      </c>
      <c r="L19" s="117">
        <f t="shared" si="1"/>
        <v>0</v>
      </c>
      <c r="M19" s="117">
        <f t="shared" si="2"/>
        <v>0</v>
      </c>
      <c r="N19" s="112"/>
      <c r="O19" s="120"/>
    </row>
    <row r="20" ht="15.0" customHeight="1">
      <c r="A20" s="121"/>
      <c r="B20" s="121"/>
      <c r="C20" s="121"/>
      <c r="D20" s="131" t="s">
        <v>46</v>
      </c>
      <c r="E20" s="114" t="str">
        <f>VLOOKUP(D20,Data!H:I,2,0)</f>
        <v>Ankara</v>
      </c>
      <c r="F20" s="115" t="str">
        <f>VLOOKUP(D20,Data!H:J,3,0)</f>
        <v>Medya Özgür Deniz</v>
      </c>
      <c r="G20" s="116" t="b">
        <v>0</v>
      </c>
      <c r="H20" s="116" t="b">
        <v>0</v>
      </c>
      <c r="I20" s="116" t="b">
        <v>0</v>
      </c>
      <c r="J20" s="116" t="b">
        <v>0</v>
      </c>
      <c r="K20" s="116" t="b">
        <v>0</v>
      </c>
      <c r="L20" s="117">
        <f t="shared" si="1"/>
        <v>0</v>
      </c>
      <c r="M20" s="117">
        <f t="shared" si="2"/>
        <v>0</v>
      </c>
      <c r="N20" s="112"/>
      <c r="O20" s="121"/>
    </row>
    <row r="21" ht="15.0" customHeight="1">
      <c r="A21" s="121"/>
      <c r="B21" s="121"/>
      <c r="C21" s="121"/>
      <c r="D21" s="131" t="s">
        <v>47</v>
      </c>
      <c r="E21" s="114" t="str">
        <f>VLOOKUP(D21,Data!H:I,2,0)</f>
        <v>Ankara</v>
      </c>
      <c r="F21" s="115" t="str">
        <f>VLOOKUP(D21,Data!H:J,3,0)</f>
        <v>Medya Özgür Deniz</v>
      </c>
      <c r="G21" s="116" t="b">
        <v>0</v>
      </c>
      <c r="H21" s="116" t="b">
        <v>0</v>
      </c>
      <c r="I21" s="116" t="b">
        <v>0</v>
      </c>
      <c r="J21" s="116" t="b">
        <v>0</v>
      </c>
      <c r="K21" s="116" t="b">
        <v>0</v>
      </c>
      <c r="L21" s="117">
        <f t="shared" si="1"/>
        <v>0</v>
      </c>
      <c r="M21" s="117">
        <f t="shared" si="2"/>
        <v>0</v>
      </c>
      <c r="N21" s="112"/>
      <c r="O21" s="121"/>
    </row>
    <row r="22" ht="15.0" customHeight="1">
      <c r="A22" s="106"/>
      <c r="B22" s="106"/>
      <c r="C22" s="106"/>
      <c r="D22" s="129" t="s">
        <v>151</v>
      </c>
      <c r="E22" s="114" t="str">
        <f>VLOOKUP(D22,Data!H:I,2,0)</f>
        <v>Antalya</v>
      </c>
      <c r="F22" s="115" t="str">
        <f>VLOOKUP(D22,Data!H:J,3,0)</f>
        <v>Nazım Öztel</v>
      </c>
      <c r="G22" s="116" t="b">
        <v>0</v>
      </c>
      <c r="H22" s="116" t="b">
        <v>0</v>
      </c>
      <c r="I22" s="116" t="b">
        <v>0</v>
      </c>
      <c r="J22" s="116" t="b">
        <v>0</v>
      </c>
      <c r="K22" s="116" t="b">
        <v>0</v>
      </c>
      <c r="L22" s="117">
        <f t="shared" si="1"/>
        <v>0</v>
      </c>
      <c r="M22" s="117">
        <f t="shared" si="2"/>
        <v>0</v>
      </c>
      <c r="N22" s="112"/>
      <c r="O22" s="106"/>
    </row>
    <row r="23" ht="15.0" customHeight="1">
      <c r="A23" s="106"/>
      <c r="B23" s="106"/>
      <c r="C23" s="106"/>
      <c r="D23" s="129" t="s">
        <v>152</v>
      </c>
      <c r="E23" s="114" t="str">
        <f>VLOOKUP(D23,Data!H:I,2,0)</f>
        <v>Antalya</v>
      </c>
      <c r="F23" s="115" t="str">
        <f>VLOOKUP(D23,Data!H:J,3,0)</f>
        <v>Nazım Öztel</v>
      </c>
      <c r="G23" s="116" t="b">
        <v>1</v>
      </c>
      <c r="H23" s="116" t="b">
        <v>1</v>
      </c>
      <c r="I23" s="116" t="b">
        <v>1</v>
      </c>
      <c r="J23" s="116" t="b">
        <v>1</v>
      </c>
      <c r="K23" s="116" t="b">
        <v>1</v>
      </c>
      <c r="L23" s="117">
        <f t="shared" si="1"/>
        <v>5</v>
      </c>
      <c r="M23" s="117">
        <f t="shared" si="2"/>
        <v>20</v>
      </c>
      <c r="N23" s="112"/>
      <c r="O23" s="106"/>
    </row>
    <row r="24" ht="15.0" customHeight="1">
      <c r="A24" s="112"/>
      <c r="B24" s="112"/>
      <c r="C24" s="112"/>
      <c r="D24" s="129" t="s">
        <v>50</v>
      </c>
      <c r="E24" s="114" t="str">
        <f>VLOOKUP(D24,Data!H:I,2,0)</f>
        <v>Antalya</v>
      </c>
      <c r="F24" s="115" t="str">
        <f>VLOOKUP(D24,Data!H:J,3,0)</f>
        <v>Freelance</v>
      </c>
      <c r="G24" s="116" t="b">
        <v>1</v>
      </c>
      <c r="H24" s="116" t="b">
        <v>1</v>
      </c>
      <c r="I24" s="116" t="b">
        <v>1</v>
      </c>
      <c r="J24" s="116" t="b">
        <v>1</v>
      </c>
      <c r="K24" s="116" t="b">
        <v>1</v>
      </c>
      <c r="L24" s="117">
        <f t="shared" si="1"/>
        <v>5</v>
      </c>
      <c r="M24" s="117">
        <f t="shared" si="2"/>
        <v>20</v>
      </c>
      <c r="N24" s="112"/>
      <c r="O24" s="112"/>
    </row>
    <row r="25" ht="15.0" customHeight="1">
      <c r="A25" s="112"/>
      <c r="B25" s="112"/>
      <c r="C25" s="112"/>
      <c r="D25" s="129" t="s">
        <v>159</v>
      </c>
      <c r="E25" s="114" t="str">
        <f>VLOOKUP(D25,Data!H:I,2,0)</f>
        <v>Aydın</v>
      </c>
      <c r="F25" s="115" t="str">
        <f>VLOOKUP(D25,Data!H:J,3,0)</f>
        <v>Nazım Öztel</v>
      </c>
      <c r="G25" s="116" t="b">
        <v>0</v>
      </c>
      <c r="H25" s="116" t="b">
        <v>0</v>
      </c>
      <c r="I25" s="116" t="b">
        <v>0</v>
      </c>
      <c r="J25" s="116" t="b">
        <v>1</v>
      </c>
      <c r="K25" s="116" t="b">
        <v>1</v>
      </c>
      <c r="L25" s="117">
        <f t="shared" si="1"/>
        <v>2</v>
      </c>
      <c r="M25" s="117">
        <f t="shared" si="2"/>
        <v>8</v>
      </c>
      <c r="N25" s="112"/>
      <c r="O25" s="112"/>
    </row>
    <row r="26" ht="15.0" customHeight="1">
      <c r="A26" s="112"/>
      <c r="B26" s="112"/>
      <c r="C26" s="112"/>
      <c r="D26" s="129" t="s">
        <v>160</v>
      </c>
      <c r="E26" s="114" t="str">
        <f>VLOOKUP(D26,Data!H:I,2,0)</f>
        <v>Burdur</v>
      </c>
      <c r="F26" s="115" t="str">
        <f>VLOOKUP(D26,Data!H:J,3,0)</f>
        <v>Nazım Öztel</v>
      </c>
      <c r="G26" s="116" t="b">
        <v>1</v>
      </c>
      <c r="H26" s="116" t="b">
        <v>0</v>
      </c>
      <c r="I26" s="116" t="b">
        <v>0</v>
      </c>
      <c r="J26" s="116" t="b">
        <v>1</v>
      </c>
      <c r="K26" s="116" t="b">
        <v>0</v>
      </c>
      <c r="L26" s="117">
        <f t="shared" si="1"/>
        <v>2</v>
      </c>
      <c r="M26" s="117">
        <f t="shared" si="2"/>
        <v>8</v>
      </c>
      <c r="N26" s="112"/>
      <c r="O26" s="112"/>
    </row>
    <row r="27" ht="15.0" customHeight="1">
      <c r="A27" s="112"/>
      <c r="B27" s="112"/>
      <c r="C27" s="112"/>
      <c r="D27" s="132" t="s">
        <v>52</v>
      </c>
      <c r="E27" s="114" t="str">
        <f>VLOOKUP(D27,Data!H:I,2,0)</f>
        <v>Bursa</v>
      </c>
      <c r="F27" s="115" t="str">
        <f>VLOOKUP(D27,Data!H:J,3,0)</f>
        <v>Nazım Öztel</v>
      </c>
      <c r="G27" s="116" t="b">
        <v>1</v>
      </c>
      <c r="H27" s="116" t="b">
        <v>1</v>
      </c>
      <c r="I27" s="116" t="b">
        <v>1</v>
      </c>
      <c r="J27" s="116" t="b">
        <v>1</v>
      </c>
      <c r="K27" s="116" t="b">
        <v>1</v>
      </c>
      <c r="L27" s="117">
        <f t="shared" si="1"/>
        <v>5</v>
      </c>
      <c r="M27" s="117">
        <f t="shared" si="2"/>
        <v>20</v>
      </c>
      <c r="N27" s="122"/>
      <c r="O27" s="112"/>
    </row>
    <row r="28" ht="15.0" customHeight="1">
      <c r="A28" s="112"/>
      <c r="B28" s="112"/>
      <c r="C28" s="112"/>
      <c r="D28" s="129" t="s">
        <v>53</v>
      </c>
      <c r="E28" s="114" t="str">
        <f>VLOOKUP(D28,Data!H:I,2,0)</f>
        <v>Bursa</v>
      </c>
      <c r="F28" s="115" t="str">
        <f>VLOOKUP(D28,Data!H:J,3,0)</f>
        <v>Freelance</v>
      </c>
      <c r="G28" s="116" t="b">
        <v>1</v>
      </c>
      <c r="H28" s="116" t="b">
        <v>1</v>
      </c>
      <c r="I28" s="116" t="b">
        <v>0</v>
      </c>
      <c r="J28" s="116" t="b">
        <v>1</v>
      </c>
      <c r="K28" s="116" t="b">
        <v>0</v>
      </c>
      <c r="L28" s="117">
        <f t="shared" si="1"/>
        <v>3</v>
      </c>
      <c r="M28" s="117">
        <f t="shared" si="2"/>
        <v>12</v>
      </c>
      <c r="N28" s="112"/>
      <c r="O28" s="112"/>
    </row>
    <row r="29" ht="15.0" customHeight="1">
      <c r="A29" s="112"/>
      <c r="B29" s="112"/>
      <c r="C29" s="112"/>
      <c r="D29" s="132" t="s">
        <v>54</v>
      </c>
      <c r="E29" s="114" t="str">
        <f>VLOOKUP(D29,Data!H:I,2,0)</f>
        <v>Diyarbakır</v>
      </c>
      <c r="F29" s="115" t="str">
        <f>VLOOKUP(D29,Data!H:J,3,0)</f>
        <v>Nazım Öztel</v>
      </c>
      <c r="G29" s="116" t="b">
        <v>0</v>
      </c>
      <c r="H29" s="116" t="b">
        <v>0</v>
      </c>
      <c r="I29" s="116" t="b">
        <v>0</v>
      </c>
      <c r="J29" s="116" t="b">
        <v>0</v>
      </c>
      <c r="K29" s="116" t="b">
        <v>0</v>
      </c>
      <c r="L29" s="117">
        <f t="shared" si="1"/>
        <v>0</v>
      </c>
      <c r="M29" s="117">
        <f t="shared" si="2"/>
        <v>0</v>
      </c>
      <c r="N29" s="112"/>
      <c r="O29" s="112"/>
    </row>
    <row r="30" ht="15.0" customHeight="1">
      <c r="A30" s="112"/>
      <c r="B30" s="112"/>
      <c r="C30" s="112"/>
      <c r="D30" s="129" t="s">
        <v>153</v>
      </c>
      <c r="E30" s="114" t="str">
        <f>VLOOKUP(D30,Data!H:I,2,0)</f>
        <v>Edirne</v>
      </c>
      <c r="F30" s="115" t="str">
        <f>VLOOKUP(D30,Data!H:J,3,0)</f>
        <v>Nazım Öztel</v>
      </c>
      <c r="G30" s="116" t="b">
        <v>1</v>
      </c>
      <c r="H30" s="116" t="b">
        <v>1</v>
      </c>
      <c r="I30" s="116" t="b">
        <v>1</v>
      </c>
      <c r="J30" s="116" t="b">
        <v>1</v>
      </c>
      <c r="K30" s="116" t="b">
        <v>1</v>
      </c>
      <c r="L30" s="117">
        <f t="shared" si="1"/>
        <v>5</v>
      </c>
      <c r="M30" s="117">
        <f t="shared" si="2"/>
        <v>20</v>
      </c>
      <c r="N30" s="112"/>
      <c r="O30" s="112"/>
    </row>
    <row r="31" ht="15.0" customHeight="1">
      <c r="A31" s="112"/>
      <c r="B31" s="112"/>
      <c r="C31" s="112"/>
      <c r="D31" s="132" t="s">
        <v>55</v>
      </c>
      <c r="E31" s="114" t="str">
        <f>VLOOKUP(D31,Data!H:I,2,0)</f>
        <v>Erzurum</v>
      </c>
      <c r="F31" s="115" t="str">
        <f>VLOOKUP(D31,Data!H:J,3,0)</f>
        <v>Nazım Öztel</v>
      </c>
      <c r="G31" s="116" t="b">
        <v>0</v>
      </c>
      <c r="H31" s="116" t="b">
        <v>0</v>
      </c>
      <c r="I31" s="116" t="b">
        <v>0</v>
      </c>
      <c r="J31" s="116" t="b">
        <v>0</v>
      </c>
      <c r="K31" s="116" t="b">
        <v>0</v>
      </c>
      <c r="L31" s="117">
        <f t="shared" si="1"/>
        <v>0</v>
      </c>
      <c r="M31" s="117">
        <f t="shared" si="2"/>
        <v>0</v>
      </c>
      <c r="N31" s="112"/>
      <c r="O31" s="112"/>
    </row>
    <row r="32" ht="15.0" customHeight="1">
      <c r="A32" s="112"/>
      <c r="B32" s="112"/>
      <c r="C32" s="112"/>
      <c r="D32" s="129" t="s">
        <v>58</v>
      </c>
      <c r="E32" s="114" t="str">
        <f>VLOOKUP(D32,Data!H:I,2,0)</f>
        <v>İstanbul</v>
      </c>
      <c r="F32" s="115" t="str">
        <f>VLOOKUP(D32,Data!H:J,3,0)</f>
        <v>Freelance</v>
      </c>
      <c r="G32" s="116" t="b">
        <v>1</v>
      </c>
      <c r="H32" s="116" t="b">
        <v>1</v>
      </c>
      <c r="I32" s="116" t="b">
        <v>1</v>
      </c>
      <c r="J32" s="116" t="b">
        <v>0</v>
      </c>
      <c r="K32" s="116" t="b">
        <v>1</v>
      </c>
      <c r="L32" s="117">
        <f t="shared" si="1"/>
        <v>4</v>
      </c>
      <c r="M32" s="117">
        <f t="shared" si="2"/>
        <v>16</v>
      </c>
      <c r="N32" s="88"/>
      <c r="O32" s="112"/>
    </row>
    <row r="33" ht="15.0" customHeight="1">
      <c r="A33" s="112"/>
      <c r="B33" s="112"/>
      <c r="C33" s="112"/>
      <c r="D33" s="129" t="s">
        <v>133</v>
      </c>
      <c r="E33" s="114" t="str">
        <f>VLOOKUP(D33,Data!H:I,2,0)</f>
        <v>İstanbul</v>
      </c>
      <c r="F33" s="115" t="str">
        <f>VLOOKUP(D33,Data!H:J,3,0)</f>
        <v>Freelance</v>
      </c>
      <c r="G33" s="116" t="b">
        <v>0</v>
      </c>
      <c r="H33" s="116" t="b">
        <v>1</v>
      </c>
      <c r="I33" s="116" t="b">
        <v>1</v>
      </c>
      <c r="J33" s="116" t="b">
        <v>1</v>
      </c>
      <c r="K33" s="116" t="b">
        <v>1</v>
      </c>
      <c r="L33" s="117">
        <f t="shared" si="1"/>
        <v>4</v>
      </c>
      <c r="M33" s="117">
        <f t="shared" si="2"/>
        <v>16</v>
      </c>
      <c r="N33" s="88"/>
      <c r="O33" s="112"/>
    </row>
    <row r="34" ht="15.0" customHeight="1">
      <c r="A34" s="120"/>
      <c r="B34" s="120"/>
      <c r="C34" s="120"/>
      <c r="D34" s="129" t="s">
        <v>66</v>
      </c>
      <c r="E34" s="114" t="str">
        <f>VLOOKUP(D34,Data!H:I,2,0)</f>
        <v>İstanbul</v>
      </c>
      <c r="F34" s="115" t="str">
        <f>VLOOKUP(D34,Data!H:J,3,0)</f>
        <v>Freelance</v>
      </c>
      <c r="G34" s="116" t="b">
        <v>1</v>
      </c>
      <c r="H34" s="116" t="b">
        <v>1</v>
      </c>
      <c r="I34" s="116" t="b">
        <v>0</v>
      </c>
      <c r="J34" s="116" t="b">
        <v>1</v>
      </c>
      <c r="K34" s="116" t="b">
        <v>0</v>
      </c>
      <c r="L34" s="117">
        <f t="shared" si="1"/>
        <v>3</v>
      </c>
      <c r="M34" s="117">
        <f t="shared" si="2"/>
        <v>12</v>
      </c>
      <c r="N34" s="120"/>
      <c r="O34" s="120"/>
    </row>
    <row r="35" ht="15.0" customHeight="1">
      <c r="A35" s="121"/>
      <c r="B35" s="121"/>
      <c r="C35" s="121"/>
      <c r="D35" s="129" t="s">
        <v>134</v>
      </c>
      <c r="E35" s="114" t="str">
        <f>VLOOKUP(D35,Data!H:I,2,0)</f>
        <v>İstanbul</v>
      </c>
      <c r="F35" s="115" t="str">
        <f>VLOOKUP(D35,Data!H:J,3,0)</f>
        <v>Filamingo</v>
      </c>
      <c r="G35" s="116" t="b">
        <v>0</v>
      </c>
      <c r="H35" s="116" t="b">
        <v>0</v>
      </c>
      <c r="I35" s="116" t="b">
        <v>0</v>
      </c>
      <c r="J35" s="116" t="b">
        <v>0</v>
      </c>
      <c r="K35" s="116" t="b">
        <v>0</v>
      </c>
      <c r="L35" s="117">
        <f t="shared" si="1"/>
        <v>0</v>
      </c>
      <c r="M35" s="117">
        <f t="shared" si="2"/>
        <v>0</v>
      </c>
      <c r="N35" s="121"/>
      <c r="O35" s="121"/>
    </row>
    <row r="36" ht="15.0" customHeight="1">
      <c r="A36" s="121"/>
      <c r="B36" s="121"/>
      <c r="C36" s="121"/>
      <c r="D36" s="132" t="s">
        <v>67</v>
      </c>
      <c r="E36" s="114" t="str">
        <f>VLOOKUP(D36,Data!H:I,2,0)</f>
        <v>İstanbul</v>
      </c>
      <c r="F36" s="115" t="str">
        <f>VLOOKUP(D36,Data!H:J,3,0)</f>
        <v>Filamingo</v>
      </c>
      <c r="G36" s="116" t="b">
        <v>0</v>
      </c>
      <c r="H36" s="116" t="b">
        <v>0</v>
      </c>
      <c r="I36" s="116" t="b">
        <v>0</v>
      </c>
      <c r="J36" s="116" t="b">
        <v>0</v>
      </c>
      <c r="K36" s="116" t="b">
        <v>0</v>
      </c>
      <c r="L36" s="117">
        <f t="shared" si="1"/>
        <v>0</v>
      </c>
      <c r="M36" s="117">
        <f t="shared" si="2"/>
        <v>0</v>
      </c>
      <c r="N36" s="121"/>
      <c r="O36" s="121"/>
    </row>
    <row r="37" ht="15.0" customHeight="1">
      <c r="A37" s="112"/>
      <c r="B37" s="112"/>
      <c r="C37" s="112"/>
      <c r="D37" s="132" t="s">
        <v>117</v>
      </c>
      <c r="E37" s="114" t="str">
        <f>VLOOKUP(D37,Data!H:I,2,0)</f>
        <v>İstanbul</v>
      </c>
      <c r="F37" s="115" t="str">
        <f>VLOOKUP(D37,Data!H:J,3,0)</f>
        <v>Freelance</v>
      </c>
      <c r="G37" s="116" t="b">
        <v>1</v>
      </c>
      <c r="H37" s="116" t="b">
        <v>1</v>
      </c>
      <c r="I37" s="116" t="b">
        <v>1</v>
      </c>
      <c r="J37" s="116" t="b">
        <v>1</v>
      </c>
      <c r="K37" s="116" t="b">
        <v>0</v>
      </c>
      <c r="L37" s="117">
        <f t="shared" si="1"/>
        <v>4</v>
      </c>
      <c r="M37" s="117">
        <f t="shared" si="2"/>
        <v>16</v>
      </c>
      <c r="N37" s="112"/>
      <c r="O37" s="112"/>
    </row>
    <row r="38" ht="15.0" customHeight="1">
      <c r="A38" s="112"/>
      <c r="B38" s="112"/>
      <c r="C38" s="112"/>
      <c r="D38" s="129" t="s">
        <v>135</v>
      </c>
      <c r="E38" s="114" t="str">
        <f>VLOOKUP(D38,Data!H:I,2,0)</f>
        <v>İstanbul</v>
      </c>
      <c r="F38" s="115" t="str">
        <f>VLOOKUP(D38,Data!H:J,3,0)</f>
        <v>Freelance</v>
      </c>
      <c r="G38" s="116" t="b">
        <v>0</v>
      </c>
      <c r="H38" s="116" t="b">
        <v>0</v>
      </c>
      <c r="I38" s="116" t="b">
        <v>1</v>
      </c>
      <c r="J38" s="116" t="b">
        <v>0</v>
      </c>
      <c r="K38" s="116" t="b">
        <v>0</v>
      </c>
      <c r="L38" s="117">
        <f t="shared" si="1"/>
        <v>1</v>
      </c>
      <c r="M38" s="117">
        <f t="shared" si="2"/>
        <v>4</v>
      </c>
      <c r="N38" s="112"/>
      <c r="O38" s="112"/>
    </row>
    <row r="39" ht="15.0" customHeight="1">
      <c r="A39" s="112"/>
      <c r="B39" s="112"/>
      <c r="C39" s="112"/>
      <c r="D39" s="129" t="s">
        <v>123</v>
      </c>
      <c r="E39" s="114" t="str">
        <f>VLOOKUP(D39,Data!H:I,2,0)</f>
        <v>İstanbul</v>
      </c>
      <c r="F39" s="115" t="str">
        <f>VLOOKUP(D39,Data!H:J,3,0)</f>
        <v>Freelance</v>
      </c>
      <c r="G39" s="116" t="b">
        <v>0</v>
      </c>
      <c r="H39" s="116" t="b">
        <v>0</v>
      </c>
      <c r="I39" s="116" t="b">
        <v>0</v>
      </c>
      <c r="J39" s="116" t="b">
        <v>0</v>
      </c>
      <c r="K39" s="116" t="b">
        <v>0</v>
      </c>
      <c r="L39" s="117">
        <f t="shared" si="1"/>
        <v>0</v>
      </c>
      <c r="M39" s="117">
        <f t="shared" si="2"/>
        <v>0</v>
      </c>
      <c r="N39" s="112"/>
      <c r="O39" s="112"/>
    </row>
    <row r="40" ht="15.0" customHeight="1">
      <c r="A40" s="112"/>
      <c r="B40" s="112"/>
      <c r="C40" s="112"/>
      <c r="D40" s="129" t="s">
        <v>70</v>
      </c>
      <c r="E40" s="114" t="str">
        <f>VLOOKUP(D40,Data!H:I,2,0)</f>
        <v>İstanbul</v>
      </c>
      <c r="F40" s="115" t="str">
        <f>VLOOKUP(D40,Data!H:J,3,0)</f>
        <v>Freelance</v>
      </c>
      <c r="G40" s="116" t="b">
        <v>0</v>
      </c>
      <c r="H40" s="116" t="b">
        <v>1</v>
      </c>
      <c r="I40" s="116" t="b">
        <v>1</v>
      </c>
      <c r="J40" s="116" t="b">
        <v>0</v>
      </c>
      <c r="K40" s="116" t="b">
        <v>0</v>
      </c>
      <c r="L40" s="117">
        <f t="shared" si="1"/>
        <v>2</v>
      </c>
      <c r="M40" s="117">
        <f t="shared" si="2"/>
        <v>8</v>
      </c>
      <c r="N40" s="112"/>
      <c r="O40" s="112"/>
    </row>
    <row r="41" ht="15.0" customHeight="1">
      <c r="A41" s="112"/>
      <c r="B41" s="112"/>
      <c r="C41" s="112"/>
      <c r="D41" s="132" t="s">
        <v>71</v>
      </c>
      <c r="E41" s="114" t="str">
        <f>VLOOKUP(D41,Data!H:I,2,0)</f>
        <v>İstanbul</v>
      </c>
      <c r="F41" s="115" t="str">
        <f>VLOOKUP(D41,Data!H:J,3,0)</f>
        <v>Filamingo</v>
      </c>
      <c r="G41" s="116" t="b">
        <v>1</v>
      </c>
      <c r="H41" s="116" t="b">
        <v>1</v>
      </c>
      <c r="I41" s="116" t="b">
        <v>0</v>
      </c>
      <c r="J41" s="116" t="b">
        <v>1</v>
      </c>
      <c r="K41" s="116" t="b">
        <v>0</v>
      </c>
      <c r="L41" s="117">
        <f t="shared" si="1"/>
        <v>3</v>
      </c>
      <c r="M41" s="117">
        <f t="shared" si="2"/>
        <v>12</v>
      </c>
      <c r="N41" s="112"/>
      <c r="O41" s="112"/>
    </row>
    <row r="42" ht="15.0" customHeight="1">
      <c r="A42" s="112"/>
      <c r="B42" s="112"/>
      <c r="C42" s="112"/>
      <c r="D42" s="132" t="s">
        <v>72</v>
      </c>
      <c r="E42" s="114" t="str">
        <f>VLOOKUP(D42,Data!H:I,2,0)</f>
        <v>İstanbul</v>
      </c>
      <c r="F42" s="115" t="str">
        <f>VLOOKUP(D42,Data!H:J,3,0)</f>
        <v>Filamingo</v>
      </c>
      <c r="G42" s="116" t="b">
        <v>0</v>
      </c>
      <c r="H42" s="116" t="b">
        <v>0</v>
      </c>
      <c r="I42" s="116" t="b">
        <v>0</v>
      </c>
      <c r="J42" s="116" t="b">
        <v>0</v>
      </c>
      <c r="K42" s="116" t="b">
        <v>0</v>
      </c>
      <c r="L42" s="117">
        <f t="shared" si="1"/>
        <v>0</v>
      </c>
      <c r="M42" s="117">
        <f t="shared" si="2"/>
        <v>0</v>
      </c>
      <c r="N42" s="112"/>
      <c r="O42" s="112"/>
    </row>
    <row r="43" ht="15.0" customHeight="1">
      <c r="A43" s="112"/>
      <c r="B43" s="112"/>
      <c r="C43" s="112"/>
      <c r="D43" s="129" t="s">
        <v>136</v>
      </c>
      <c r="E43" s="114" t="str">
        <f>VLOOKUP(D43,Data!H:I,2,0)</f>
        <v>İstanbul</v>
      </c>
      <c r="F43" s="115" t="str">
        <f>VLOOKUP(D43,Data!H:J,3,0)</f>
        <v>Filamingo</v>
      </c>
      <c r="G43" s="116" t="b">
        <v>0</v>
      </c>
      <c r="H43" s="116" t="b">
        <v>0</v>
      </c>
      <c r="I43" s="116" t="b">
        <v>0</v>
      </c>
      <c r="J43" s="116" t="b">
        <v>0</v>
      </c>
      <c r="K43" s="116" t="b">
        <v>0</v>
      </c>
      <c r="L43" s="117">
        <f t="shared" si="1"/>
        <v>0</v>
      </c>
      <c r="M43" s="117">
        <f t="shared" si="2"/>
        <v>0</v>
      </c>
      <c r="N43" s="120"/>
      <c r="O43" s="112"/>
    </row>
    <row r="44" ht="15.0" customHeight="1">
      <c r="A44" s="125"/>
      <c r="B44" s="125"/>
      <c r="C44" s="125"/>
      <c r="D44" s="129" t="s">
        <v>77</v>
      </c>
      <c r="E44" s="114" t="str">
        <f>VLOOKUP(D44,Data!H:I,2,0)</f>
        <v>İstanbul</v>
      </c>
      <c r="F44" s="115" t="str">
        <f>VLOOKUP(D44,Data!H:J,3,0)</f>
        <v>Freelance</v>
      </c>
      <c r="G44" s="116" t="b">
        <v>0</v>
      </c>
      <c r="H44" s="116" t="b">
        <v>0</v>
      </c>
      <c r="I44" s="116" t="b">
        <v>0</v>
      </c>
      <c r="J44" s="116" t="b">
        <v>0</v>
      </c>
      <c r="K44" s="116" t="b">
        <v>0</v>
      </c>
      <c r="L44" s="117">
        <f t="shared" si="1"/>
        <v>0</v>
      </c>
      <c r="M44" s="117">
        <f t="shared" si="2"/>
        <v>0</v>
      </c>
      <c r="N44" s="124"/>
      <c r="O44" s="125"/>
    </row>
    <row r="45" ht="15.0" customHeight="1">
      <c r="A45" s="122"/>
      <c r="B45" s="122"/>
      <c r="C45" s="122"/>
      <c r="D45" s="129" t="s">
        <v>78</v>
      </c>
      <c r="E45" s="114" t="str">
        <f>VLOOKUP(D45,Data!H:I,2,0)</f>
        <v>İstanbul</v>
      </c>
      <c r="F45" s="115" t="str">
        <f>VLOOKUP(D45,Data!H:J,3,0)</f>
        <v>Freelance</v>
      </c>
      <c r="G45" s="116" t="b">
        <v>1</v>
      </c>
      <c r="H45" s="116" t="b">
        <v>1</v>
      </c>
      <c r="I45" s="116" t="b">
        <v>1</v>
      </c>
      <c r="J45" s="116" t="b">
        <v>1</v>
      </c>
      <c r="K45" s="116" t="b">
        <v>1</v>
      </c>
      <c r="L45" s="117">
        <f t="shared" si="1"/>
        <v>5</v>
      </c>
      <c r="M45" s="117">
        <f t="shared" si="2"/>
        <v>20</v>
      </c>
      <c r="N45" s="112"/>
      <c r="O45" s="122"/>
    </row>
    <row r="46" ht="15.0" customHeight="1">
      <c r="A46" s="124"/>
      <c r="B46" s="124"/>
      <c r="C46" s="124"/>
      <c r="D46" s="129" t="s">
        <v>79</v>
      </c>
      <c r="E46" s="114" t="str">
        <f>VLOOKUP(D46,Data!H:I,2,0)</f>
        <v>İstanbul</v>
      </c>
      <c r="F46" s="115" t="str">
        <f>VLOOKUP(D46,Data!H:J,3,0)</f>
        <v>Freelance</v>
      </c>
      <c r="G46" s="116" t="b">
        <v>0</v>
      </c>
      <c r="H46" s="116" t="b">
        <v>1</v>
      </c>
      <c r="I46" s="116" t="b">
        <v>1</v>
      </c>
      <c r="J46" s="116" t="b">
        <v>1</v>
      </c>
      <c r="K46" s="116" t="b">
        <v>1</v>
      </c>
      <c r="L46" s="117">
        <f t="shared" si="1"/>
        <v>4</v>
      </c>
      <c r="M46" s="117">
        <f t="shared" si="2"/>
        <v>16</v>
      </c>
      <c r="N46" s="112"/>
      <c r="O46" s="124"/>
    </row>
    <row r="47" ht="15.0" customHeight="1">
      <c r="A47" s="112"/>
      <c r="B47" s="112"/>
      <c r="C47" s="112"/>
      <c r="D47" s="141" t="s">
        <v>125</v>
      </c>
      <c r="E47" s="114" t="str">
        <f>VLOOKUP(D47,Data!H:I,2,0)</f>
        <v>İstanbul</v>
      </c>
      <c r="F47" s="115" t="str">
        <f>VLOOKUP(D47,Data!H:J,3,0)</f>
        <v>Filamingo</v>
      </c>
      <c r="G47" s="116" t="b">
        <v>0</v>
      </c>
      <c r="H47" s="116" t="b">
        <v>0</v>
      </c>
      <c r="I47" s="116" t="b">
        <v>0</v>
      </c>
      <c r="J47" s="116" t="b">
        <v>0</v>
      </c>
      <c r="K47" s="116" t="b">
        <v>0</v>
      </c>
      <c r="L47" s="117">
        <f t="shared" si="1"/>
        <v>0</v>
      </c>
      <c r="M47" s="117">
        <f t="shared" si="2"/>
        <v>0</v>
      </c>
      <c r="N47" s="124"/>
      <c r="O47" s="112"/>
    </row>
    <row r="48" ht="15.0" customHeight="1">
      <c r="A48" s="112"/>
      <c r="B48" s="112"/>
      <c r="C48" s="112"/>
      <c r="D48" s="129" t="s">
        <v>80</v>
      </c>
      <c r="E48" s="114" t="str">
        <f>VLOOKUP(D48,Data!H:I,2,0)</f>
        <v>İstanbul</v>
      </c>
      <c r="F48" s="115" t="str">
        <f>VLOOKUP(D48,Data!H:J,3,0)</f>
        <v>Freelance</v>
      </c>
      <c r="G48" s="116" t="b">
        <v>1</v>
      </c>
      <c r="H48" s="116" t="b">
        <v>1</v>
      </c>
      <c r="I48" s="116" t="b">
        <v>1</v>
      </c>
      <c r="J48" s="116" t="b">
        <v>1</v>
      </c>
      <c r="K48" s="116" t="b">
        <v>1</v>
      </c>
      <c r="L48" s="117">
        <f t="shared" si="1"/>
        <v>5</v>
      </c>
      <c r="M48" s="117">
        <f t="shared" si="2"/>
        <v>20</v>
      </c>
      <c r="N48" s="112"/>
      <c r="O48" s="112"/>
    </row>
    <row r="49" ht="15.0" customHeight="1">
      <c r="A49" s="112"/>
      <c r="B49" s="112"/>
      <c r="C49" s="112"/>
      <c r="D49" s="132" t="s">
        <v>119</v>
      </c>
      <c r="E49" s="114" t="str">
        <f>VLOOKUP(D49,Data!H:I,2,0)</f>
        <v>İstanbul</v>
      </c>
      <c r="F49" s="115" t="str">
        <f>VLOOKUP(D49,Data!H:J,3,0)</f>
        <v>Filamingo</v>
      </c>
      <c r="G49" s="116" t="b">
        <v>1</v>
      </c>
      <c r="H49" s="116" t="b">
        <v>1</v>
      </c>
      <c r="I49" s="116" t="b">
        <v>1</v>
      </c>
      <c r="J49" s="116" t="b">
        <v>1</v>
      </c>
      <c r="K49" s="116" t="b">
        <v>0</v>
      </c>
      <c r="L49" s="117">
        <f t="shared" si="1"/>
        <v>4</v>
      </c>
      <c r="M49" s="117">
        <f t="shared" si="2"/>
        <v>16</v>
      </c>
      <c r="N49" s="112"/>
      <c r="O49" s="112"/>
    </row>
    <row r="50" ht="15.0" customHeight="1">
      <c r="A50" s="112"/>
      <c r="B50" s="112"/>
      <c r="C50" s="112"/>
      <c r="D50" s="129" t="s">
        <v>81</v>
      </c>
      <c r="E50" s="114" t="str">
        <f>VLOOKUP(D50,Data!H:I,2,0)</f>
        <v>İstanbul</v>
      </c>
      <c r="F50" s="115" t="str">
        <f>VLOOKUP(D50,Data!H:J,3,0)</f>
        <v>Freelance</v>
      </c>
      <c r="G50" s="116" t="b">
        <v>1</v>
      </c>
      <c r="H50" s="116" t="b">
        <v>1</v>
      </c>
      <c r="I50" s="116" t="b">
        <v>1</v>
      </c>
      <c r="J50" s="116" t="b">
        <v>1</v>
      </c>
      <c r="K50" s="116" t="b">
        <v>1</v>
      </c>
      <c r="L50" s="117">
        <f t="shared" si="1"/>
        <v>5</v>
      </c>
      <c r="M50" s="117">
        <f t="shared" si="2"/>
        <v>20</v>
      </c>
      <c r="N50" s="125"/>
      <c r="O50" s="112"/>
    </row>
    <row r="51" ht="15.0" customHeight="1">
      <c r="A51" s="112"/>
      <c r="B51" s="112"/>
      <c r="C51" s="112"/>
      <c r="D51" s="132" t="s">
        <v>83</v>
      </c>
      <c r="E51" s="114" t="str">
        <f>VLOOKUP(D51,Data!H:I,2,0)</f>
        <v>İstanbul</v>
      </c>
      <c r="F51" s="115" t="str">
        <f>VLOOKUP(D51,Data!H:J,3,0)</f>
        <v>Nazım Öztel</v>
      </c>
      <c r="G51" s="116" t="b">
        <v>1</v>
      </c>
      <c r="H51" s="116" t="b">
        <v>1</v>
      </c>
      <c r="I51" s="116" t="b">
        <v>1</v>
      </c>
      <c r="J51" s="116" t="b">
        <v>1</v>
      </c>
      <c r="K51" s="116" t="b">
        <v>1</v>
      </c>
      <c r="L51" s="117">
        <f t="shared" si="1"/>
        <v>5</v>
      </c>
      <c r="M51" s="117">
        <f t="shared" si="2"/>
        <v>20</v>
      </c>
      <c r="N51" s="112"/>
      <c r="O51" s="112"/>
    </row>
    <row r="52" ht="15.0" customHeight="1">
      <c r="A52" s="125"/>
      <c r="B52" s="125"/>
      <c r="C52" s="125"/>
      <c r="D52" s="132" t="s">
        <v>85</v>
      </c>
      <c r="E52" s="114" t="str">
        <f>VLOOKUP(D52,Data!H:I,2,0)</f>
        <v>İstanbul</v>
      </c>
      <c r="F52" s="115" t="str">
        <f>VLOOKUP(D52,Data!H:J,3,0)</f>
        <v>Filamingo</v>
      </c>
      <c r="G52" s="116" t="b">
        <v>0</v>
      </c>
      <c r="H52" s="116" t="b">
        <v>0</v>
      </c>
      <c r="I52" s="116" t="b">
        <v>0</v>
      </c>
      <c r="J52" s="116" t="b">
        <v>0</v>
      </c>
      <c r="K52" s="116" t="b">
        <v>0</v>
      </c>
      <c r="L52" s="117">
        <f t="shared" si="1"/>
        <v>0</v>
      </c>
      <c r="M52" s="117">
        <f t="shared" si="2"/>
        <v>0</v>
      </c>
      <c r="N52" s="112"/>
      <c r="O52" s="125"/>
    </row>
    <row r="53" ht="15.0" customHeight="1">
      <c r="A53" s="125"/>
      <c r="B53" s="125"/>
      <c r="C53" s="125"/>
      <c r="D53" s="129" t="s">
        <v>145</v>
      </c>
      <c r="E53" s="114" t="str">
        <f>VLOOKUP(D53,Data!H:I,2,0)</f>
        <v>İstanbul</v>
      </c>
      <c r="F53" s="115" t="str">
        <f>VLOOKUP(D53,Data!H:J,3,0)</f>
        <v>Filamingo</v>
      </c>
      <c r="G53" s="116" t="b">
        <v>1</v>
      </c>
      <c r="H53" s="116" t="b">
        <v>0</v>
      </c>
      <c r="I53" s="116" t="b">
        <v>1</v>
      </c>
      <c r="J53" s="116" t="b">
        <v>1</v>
      </c>
      <c r="K53" s="116" t="b">
        <v>0</v>
      </c>
      <c r="L53" s="117">
        <f t="shared" si="1"/>
        <v>3</v>
      </c>
      <c r="M53" s="117">
        <f t="shared" si="2"/>
        <v>12</v>
      </c>
      <c r="N53" s="112"/>
      <c r="O53" s="125"/>
    </row>
    <row r="54" ht="15.0" customHeight="1">
      <c r="A54" s="125"/>
      <c r="B54" s="125"/>
      <c r="C54" s="125"/>
      <c r="D54" s="129" t="s">
        <v>146</v>
      </c>
      <c r="E54" s="114" t="str">
        <f>VLOOKUP(D54,Data!H:I,2,0)</f>
        <v>İstanbul</v>
      </c>
      <c r="F54" s="115" t="str">
        <f>VLOOKUP(D54,Data!H:J,3,0)</f>
        <v>Filamingo</v>
      </c>
      <c r="G54" s="116" t="b">
        <v>0</v>
      </c>
      <c r="H54" s="116" t="b">
        <v>0</v>
      </c>
      <c r="I54" s="116" t="b">
        <v>0</v>
      </c>
      <c r="J54" s="116" t="b">
        <v>0</v>
      </c>
      <c r="K54" s="116" t="b">
        <v>0</v>
      </c>
      <c r="L54" s="117">
        <f t="shared" si="1"/>
        <v>0</v>
      </c>
      <c r="M54" s="117">
        <f t="shared" si="2"/>
        <v>0</v>
      </c>
      <c r="N54" s="112"/>
      <c r="O54" s="125"/>
    </row>
    <row r="55" ht="15.0" customHeight="1">
      <c r="A55" s="126"/>
      <c r="B55" s="126"/>
      <c r="C55" s="126"/>
      <c r="D55" s="129" t="s">
        <v>86</v>
      </c>
      <c r="E55" s="114" t="str">
        <f>VLOOKUP(D55,Data!H:I,2,0)</f>
        <v>İstanbul</v>
      </c>
      <c r="F55" s="115" t="str">
        <f>VLOOKUP(D55,Data!H:J,3,0)</f>
        <v>Freelance</v>
      </c>
      <c r="G55" s="116" t="b">
        <v>0</v>
      </c>
      <c r="H55" s="116" t="b">
        <v>0</v>
      </c>
      <c r="I55" s="116" t="b">
        <v>0</v>
      </c>
      <c r="J55" s="116" t="b">
        <v>0</v>
      </c>
      <c r="K55" s="116" t="b">
        <v>0</v>
      </c>
      <c r="L55" s="117">
        <f t="shared" si="1"/>
        <v>0</v>
      </c>
      <c r="M55" s="117">
        <f t="shared" si="2"/>
        <v>0</v>
      </c>
      <c r="N55" s="112"/>
      <c r="O55" s="126"/>
    </row>
    <row r="56" ht="15.0" customHeight="1">
      <c r="A56" s="122"/>
      <c r="B56" s="122"/>
      <c r="C56" s="122"/>
      <c r="D56" s="129" t="s">
        <v>87</v>
      </c>
      <c r="E56" s="114" t="str">
        <f>VLOOKUP(D56,Data!H:I,2,0)</f>
        <v>İstanbul</v>
      </c>
      <c r="F56" s="115" t="str">
        <f>VLOOKUP(D56,Data!H:J,3,0)</f>
        <v>Freelance</v>
      </c>
      <c r="G56" s="116" t="b">
        <v>0</v>
      </c>
      <c r="H56" s="116" t="b">
        <v>0</v>
      </c>
      <c r="I56" s="116" t="b">
        <v>0</v>
      </c>
      <c r="J56" s="116" t="b">
        <v>1</v>
      </c>
      <c r="K56" s="116" t="b">
        <v>1</v>
      </c>
      <c r="L56" s="117">
        <f t="shared" si="1"/>
        <v>2</v>
      </c>
      <c r="M56" s="117">
        <f t="shared" si="2"/>
        <v>8</v>
      </c>
      <c r="N56" s="112"/>
      <c r="O56" s="122"/>
    </row>
    <row r="57" ht="15.0" customHeight="1">
      <c r="A57" s="112"/>
      <c r="B57" s="112"/>
      <c r="C57" s="112"/>
      <c r="D57" s="132" t="s">
        <v>88</v>
      </c>
      <c r="E57" s="114" t="str">
        <f>VLOOKUP(D57,Data!H:I,2,0)</f>
        <v>İstanbul</v>
      </c>
      <c r="F57" s="115" t="str">
        <f>VLOOKUP(D57,Data!H:J,3,0)</f>
        <v>Nazım Öztel</v>
      </c>
      <c r="G57" s="116" t="b">
        <v>1</v>
      </c>
      <c r="H57" s="116" t="b">
        <v>1</v>
      </c>
      <c r="I57" s="116" t="b">
        <v>1</v>
      </c>
      <c r="J57" s="116" t="b">
        <v>1</v>
      </c>
      <c r="K57" s="116" t="b">
        <v>0</v>
      </c>
      <c r="L57" s="117">
        <f t="shared" si="1"/>
        <v>4</v>
      </c>
      <c r="M57" s="117">
        <f t="shared" si="2"/>
        <v>16</v>
      </c>
      <c r="N57" s="112"/>
      <c r="O57" s="112"/>
    </row>
    <row r="58" ht="15.0" customHeight="1">
      <c r="A58" s="112"/>
      <c r="B58" s="112"/>
      <c r="C58" s="112"/>
      <c r="D58" s="132" t="s">
        <v>89</v>
      </c>
      <c r="E58" s="114" t="str">
        <f>VLOOKUP(D58,Data!H:I,2,0)</f>
        <v>İstanbul</v>
      </c>
      <c r="F58" s="115" t="str">
        <f>VLOOKUP(D58,Data!H:J,3,0)</f>
        <v>Filamingo</v>
      </c>
      <c r="G58" s="116" t="b">
        <v>0</v>
      </c>
      <c r="H58" s="116" t="b">
        <v>1</v>
      </c>
      <c r="I58" s="116" t="b">
        <v>0</v>
      </c>
      <c r="J58" s="116" t="b">
        <v>0</v>
      </c>
      <c r="K58" s="116" t="b">
        <v>0</v>
      </c>
      <c r="L58" s="117">
        <f t="shared" si="1"/>
        <v>1</v>
      </c>
      <c r="M58" s="117">
        <f t="shared" si="2"/>
        <v>4</v>
      </c>
      <c r="N58" s="112"/>
      <c r="O58" s="112"/>
    </row>
    <row r="59" ht="15.0" customHeight="1">
      <c r="A59" s="112"/>
      <c r="B59" s="112"/>
      <c r="C59" s="112"/>
      <c r="D59" s="129" t="s">
        <v>138</v>
      </c>
      <c r="E59" s="114" t="str">
        <f>VLOOKUP(D59,Data!H:I,2,0)</f>
        <v>İstanbul</v>
      </c>
      <c r="F59" s="115" t="str">
        <f>VLOOKUP(D59,Data!H:J,3,0)</f>
        <v>Filamingo</v>
      </c>
      <c r="G59" s="116" t="b">
        <v>0</v>
      </c>
      <c r="H59" s="116" t="b">
        <v>0</v>
      </c>
      <c r="I59" s="116" t="b">
        <v>0</v>
      </c>
      <c r="J59" s="116" t="b">
        <v>0</v>
      </c>
      <c r="K59" s="116" t="b">
        <v>0</v>
      </c>
      <c r="L59" s="117">
        <f t="shared" si="1"/>
        <v>0</v>
      </c>
      <c r="M59" s="117">
        <f t="shared" si="2"/>
        <v>0</v>
      </c>
      <c r="N59" s="112"/>
      <c r="O59" s="112"/>
    </row>
    <row r="60" ht="15.0" customHeight="1">
      <c r="A60" s="112"/>
      <c r="B60" s="112"/>
      <c r="C60" s="112"/>
      <c r="D60" s="129" t="s">
        <v>127</v>
      </c>
      <c r="E60" s="114" t="str">
        <f>VLOOKUP(D60,Data!H:I,2,0)</f>
        <v>İstanbul</v>
      </c>
      <c r="F60" s="115" t="str">
        <f>VLOOKUP(D60,Data!H:J,3,0)</f>
        <v>Filamingo</v>
      </c>
      <c r="G60" s="116" t="b">
        <v>1</v>
      </c>
      <c r="H60" s="116" t="b">
        <v>1</v>
      </c>
      <c r="I60" s="116" t="b">
        <v>0</v>
      </c>
      <c r="J60" s="116" t="b">
        <v>0</v>
      </c>
      <c r="K60" s="116" t="b">
        <v>0</v>
      </c>
      <c r="L60" s="117">
        <f t="shared" si="1"/>
        <v>2</v>
      </c>
      <c r="M60" s="117">
        <f t="shared" si="2"/>
        <v>8</v>
      </c>
      <c r="N60" s="112"/>
      <c r="O60" s="112"/>
    </row>
    <row r="61" ht="15.0" customHeight="1">
      <c r="A61" s="112"/>
      <c r="B61" s="112"/>
      <c r="C61" s="112"/>
      <c r="D61" s="132" t="s">
        <v>92</v>
      </c>
      <c r="E61" s="114" t="str">
        <f>VLOOKUP(D61,Data!H:I,2,0)</f>
        <v>İzmir</v>
      </c>
      <c r="F61" s="115" t="str">
        <f>VLOOKUP(D61,Data!H:J,3,0)</f>
        <v>Nazım Öztel</v>
      </c>
      <c r="G61" s="116" t="b">
        <v>1</v>
      </c>
      <c r="H61" s="116" t="b">
        <v>1</v>
      </c>
      <c r="I61" s="116" t="b">
        <v>1</v>
      </c>
      <c r="J61" s="116" t="b">
        <v>1</v>
      </c>
      <c r="K61" s="116" t="b">
        <v>0</v>
      </c>
      <c r="L61" s="117">
        <f t="shared" si="1"/>
        <v>4</v>
      </c>
      <c r="M61" s="117">
        <f t="shared" si="2"/>
        <v>16</v>
      </c>
      <c r="N61" s="125"/>
      <c r="O61" s="112"/>
    </row>
    <row r="62" ht="15.0" customHeight="1">
      <c r="A62" s="112"/>
      <c r="B62" s="112"/>
      <c r="C62" s="112"/>
      <c r="D62" s="129" t="s">
        <v>139</v>
      </c>
      <c r="E62" s="114" t="s">
        <v>129</v>
      </c>
      <c r="F62" s="115" t="str">
        <f>VLOOKUP(D62,Data!H:J,3,0)</f>
        <v>Nazım Öztel</v>
      </c>
      <c r="G62" s="116" t="b">
        <v>1</v>
      </c>
      <c r="H62" s="116" t="b">
        <v>1</v>
      </c>
      <c r="I62" s="116" t="b">
        <v>0</v>
      </c>
      <c r="J62" s="116" t="b">
        <v>1</v>
      </c>
      <c r="K62" s="116" t="b">
        <v>0</v>
      </c>
      <c r="L62" s="117">
        <f t="shared" si="1"/>
        <v>3</v>
      </c>
      <c r="M62" s="117">
        <f t="shared" si="2"/>
        <v>12</v>
      </c>
      <c r="N62" s="125"/>
      <c r="O62" s="112"/>
    </row>
    <row r="63" ht="15.0" customHeight="1">
      <c r="A63" s="112"/>
      <c r="B63" s="112"/>
      <c r="C63" s="112"/>
      <c r="D63" s="129" t="s">
        <v>93</v>
      </c>
      <c r="E63" s="114" t="str">
        <f>VLOOKUP(D63,Data!H:I,2,0)</f>
        <v>İzmir</v>
      </c>
      <c r="F63" s="115" t="str">
        <f>VLOOKUP(D63,Data!H:J,3,0)</f>
        <v>Freelance</v>
      </c>
      <c r="G63" s="116" t="b">
        <v>1</v>
      </c>
      <c r="H63" s="116" t="b">
        <v>1</v>
      </c>
      <c r="I63" s="116" t="b">
        <v>1</v>
      </c>
      <c r="J63" s="116" t="b">
        <v>0</v>
      </c>
      <c r="K63" s="116" t="b">
        <v>0</v>
      </c>
      <c r="L63" s="117">
        <f t="shared" si="1"/>
        <v>3</v>
      </c>
      <c r="M63" s="117">
        <f t="shared" si="2"/>
        <v>12</v>
      </c>
      <c r="N63" s="112"/>
      <c r="O63" s="112"/>
    </row>
    <row r="64" ht="15.0" customHeight="1">
      <c r="A64" s="112"/>
      <c r="B64" s="112"/>
      <c r="C64" s="112"/>
      <c r="D64" s="129" t="s">
        <v>161</v>
      </c>
      <c r="E64" s="143" t="str">
        <f>VLOOKUP(D64,Data!H:I,2,0)</f>
        <v>Kahramanmaraş</v>
      </c>
      <c r="F64" s="115" t="str">
        <f>VLOOKUP(D64,Data!H:J,3,0)</f>
        <v>Nazım Öztel</v>
      </c>
      <c r="G64" s="116" t="b">
        <v>1</v>
      </c>
      <c r="H64" s="116" t="b">
        <v>1</v>
      </c>
      <c r="I64" s="116" t="b">
        <v>1</v>
      </c>
      <c r="J64" s="116" t="b">
        <v>0</v>
      </c>
      <c r="K64" s="116" t="b">
        <v>0</v>
      </c>
      <c r="L64" s="117">
        <f t="shared" si="1"/>
        <v>3</v>
      </c>
      <c r="M64" s="117">
        <f t="shared" si="2"/>
        <v>12</v>
      </c>
      <c r="N64" s="112"/>
      <c r="O64" s="112"/>
    </row>
    <row r="65" ht="15.0" customHeight="1">
      <c r="A65" s="112"/>
      <c r="B65" s="112"/>
      <c r="C65" s="112"/>
      <c r="D65" s="132" t="s">
        <v>96</v>
      </c>
      <c r="E65" s="114" t="str">
        <f>VLOOKUP(D65,Data!H:I,2,0)</f>
        <v>Kocaeli</v>
      </c>
      <c r="F65" s="115" t="str">
        <f>VLOOKUP(D65,Data!H:J,3,0)</f>
        <v>Nazım Öztel</v>
      </c>
      <c r="G65" s="116" t="b">
        <v>0</v>
      </c>
      <c r="H65" s="116" t="b">
        <v>0</v>
      </c>
      <c r="I65" s="116" t="b">
        <v>1</v>
      </c>
      <c r="J65" s="116" t="b">
        <v>1</v>
      </c>
      <c r="K65" s="116" t="b">
        <v>0</v>
      </c>
      <c r="L65" s="117">
        <f t="shared" si="1"/>
        <v>2</v>
      </c>
      <c r="M65" s="117">
        <f t="shared" si="2"/>
        <v>8</v>
      </c>
      <c r="N65" s="112"/>
      <c r="O65" s="112"/>
    </row>
    <row r="66" ht="15.0" customHeight="1">
      <c r="A66" s="112"/>
      <c r="B66" s="112"/>
      <c r="C66" s="112"/>
      <c r="D66" s="129" t="s">
        <v>147</v>
      </c>
      <c r="E66" s="114" t="str">
        <f>VLOOKUP(D66,Data!H:I,2,0)</f>
        <v>Kocaeli</v>
      </c>
      <c r="F66" s="115" t="str">
        <f>VLOOKUP(D66,Data!H:J,3,0)</f>
        <v>Nazım Öztel</v>
      </c>
      <c r="G66" s="116" t="b">
        <v>0</v>
      </c>
      <c r="H66" s="116" t="b">
        <v>0</v>
      </c>
      <c r="I66" s="116" t="b">
        <v>0</v>
      </c>
      <c r="J66" s="116" t="b">
        <v>0</v>
      </c>
      <c r="K66" s="116" t="b">
        <v>0</v>
      </c>
      <c r="L66" s="117">
        <f t="shared" si="1"/>
        <v>0</v>
      </c>
      <c r="M66" s="117">
        <f t="shared" si="2"/>
        <v>0</v>
      </c>
      <c r="N66" s="112"/>
      <c r="O66" s="112"/>
    </row>
    <row r="67" ht="15.0" customHeight="1">
      <c r="A67" s="112"/>
      <c r="B67" s="112"/>
      <c r="C67" s="112"/>
      <c r="D67" s="132" t="s">
        <v>98</v>
      </c>
      <c r="E67" s="114" t="str">
        <f>VLOOKUP(D67,Data!H:I,2,0)</f>
        <v>Manisa</v>
      </c>
      <c r="F67" s="115" t="str">
        <f>VLOOKUP(D67,Data!H:J,3,0)</f>
        <v>Nazım Öztel</v>
      </c>
      <c r="G67" s="116" t="b">
        <v>0</v>
      </c>
      <c r="H67" s="116" t="b">
        <v>0</v>
      </c>
      <c r="I67" s="116" t="b">
        <v>0</v>
      </c>
      <c r="J67" s="116" t="b">
        <v>1</v>
      </c>
      <c r="K67" s="116" t="b">
        <v>0</v>
      </c>
      <c r="L67" s="117">
        <f t="shared" si="1"/>
        <v>1</v>
      </c>
      <c r="M67" s="117">
        <f t="shared" si="2"/>
        <v>4</v>
      </c>
      <c r="N67" s="142"/>
      <c r="O67" s="112"/>
    </row>
    <row r="68" ht="15.0" customHeight="1">
      <c r="A68" s="112"/>
      <c r="B68" s="112"/>
      <c r="C68" s="112"/>
      <c r="D68" s="132" t="s">
        <v>99</v>
      </c>
      <c r="E68" s="114" t="str">
        <f>VLOOKUP(D68,Data!H:I,2,0)</f>
        <v>Mersin</v>
      </c>
      <c r="F68" s="115" t="str">
        <f>VLOOKUP(D68,Data!H:J,3,0)</f>
        <v>Nazım Öztel</v>
      </c>
      <c r="G68" s="116" t="b">
        <v>0</v>
      </c>
      <c r="H68" s="116" t="b">
        <v>0</v>
      </c>
      <c r="I68" s="116" t="b">
        <v>0</v>
      </c>
      <c r="J68" s="116" t="b">
        <v>1</v>
      </c>
      <c r="K68" s="116" t="b">
        <v>1</v>
      </c>
      <c r="L68" s="117">
        <f t="shared" si="1"/>
        <v>2</v>
      </c>
      <c r="M68" s="117">
        <f t="shared" si="2"/>
        <v>8</v>
      </c>
      <c r="N68" s="106"/>
      <c r="O68" s="112"/>
    </row>
    <row r="69" ht="15.0" customHeight="1">
      <c r="A69" s="112"/>
      <c r="B69" s="112"/>
      <c r="C69" s="112"/>
      <c r="D69" s="129" t="s">
        <v>148</v>
      </c>
      <c r="E69" s="114" t="str">
        <f>VLOOKUP(D69,Data!H:I,2,0)</f>
        <v>Muğla</v>
      </c>
      <c r="F69" s="115" t="str">
        <f>VLOOKUP(D69,Data!H:J,3,0)</f>
        <v>Nazım Öztel</v>
      </c>
      <c r="G69" s="116" t="b">
        <v>0</v>
      </c>
      <c r="H69" s="116" t="b">
        <v>0</v>
      </c>
      <c r="I69" s="116" t="b">
        <v>0</v>
      </c>
      <c r="J69" s="116" t="b">
        <v>0</v>
      </c>
      <c r="K69" s="116" t="b">
        <v>0</v>
      </c>
      <c r="L69" s="117">
        <f t="shared" si="1"/>
        <v>0</v>
      </c>
      <c r="M69" s="117">
        <f t="shared" si="2"/>
        <v>0</v>
      </c>
      <c r="N69" s="106"/>
      <c r="O69" s="112"/>
    </row>
    <row r="70" ht="15.0" customHeight="1">
      <c r="A70" s="112"/>
      <c r="B70" s="112"/>
      <c r="C70" s="112"/>
      <c r="D70" s="129" t="s">
        <v>104</v>
      </c>
      <c r="E70" s="114" t="str">
        <f>VLOOKUP(D70,Data!H:I,2,0)</f>
        <v>Tekirdağ</v>
      </c>
      <c r="F70" s="115" t="str">
        <f>VLOOKUP(D70,Data!H:J,3,0)</f>
        <v>Freelance</v>
      </c>
      <c r="G70" s="139" t="b">
        <v>1</v>
      </c>
      <c r="H70" s="139" t="b">
        <v>1</v>
      </c>
      <c r="I70" s="139" t="b">
        <v>1</v>
      </c>
      <c r="J70" s="139" t="b">
        <v>1</v>
      </c>
      <c r="K70" s="139" t="b">
        <v>1</v>
      </c>
      <c r="L70" s="117">
        <f t="shared" si="1"/>
        <v>5</v>
      </c>
      <c r="M70" s="117">
        <f t="shared" si="2"/>
        <v>20</v>
      </c>
      <c r="N70" s="112"/>
      <c r="O70" s="112"/>
    </row>
    <row r="71" ht="15.0" customHeight="1">
      <c r="A71" s="112"/>
      <c r="B71" s="112"/>
      <c r="C71" s="112"/>
      <c r="D71" s="129" t="s">
        <v>154</v>
      </c>
      <c r="E71" s="114" t="str">
        <f>VLOOKUP(D71,Data!H:I,2,0)</f>
        <v>Uşak</v>
      </c>
      <c r="F71" s="115" t="str">
        <f>VLOOKUP(D71,Data!H:J,3,0)</f>
        <v>Nazım Öztel</v>
      </c>
      <c r="G71" s="139" t="b">
        <v>0</v>
      </c>
      <c r="H71" s="139" t="b">
        <v>1</v>
      </c>
      <c r="I71" s="139" t="b">
        <v>0</v>
      </c>
      <c r="J71" s="139" t="b">
        <v>0</v>
      </c>
      <c r="K71" s="139" t="b">
        <v>0</v>
      </c>
      <c r="L71" s="117">
        <f t="shared" si="1"/>
        <v>1</v>
      </c>
      <c r="M71" s="117">
        <f>L71*2</f>
        <v>2</v>
      </c>
      <c r="N71" s="112"/>
      <c r="O71" s="112"/>
    </row>
    <row r="72" ht="15.0" customHeight="1">
      <c r="A72" s="112"/>
      <c r="B72" s="112"/>
      <c r="C72" s="112"/>
      <c r="D72" s="132"/>
      <c r="E72" s="132"/>
      <c r="F72" s="132"/>
      <c r="G72" s="117">
        <f t="shared" ref="G72:K72" si="3">4*(COUNTIF(G14:G70,"true"))</f>
        <v>100</v>
      </c>
      <c r="H72" s="117">
        <f t="shared" si="3"/>
        <v>108</v>
      </c>
      <c r="I72" s="117">
        <f t="shared" si="3"/>
        <v>92</v>
      </c>
      <c r="J72" s="117">
        <f t="shared" si="3"/>
        <v>108</v>
      </c>
      <c r="K72" s="117">
        <f t="shared" si="3"/>
        <v>64</v>
      </c>
      <c r="L72" s="135"/>
      <c r="M72" s="135">
        <f>SUM(G72:K72)</f>
        <v>472</v>
      </c>
      <c r="N72" s="112"/>
      <c r="O72" s="112"/>
    </row>
  </sheetData>
  <customSheetViews>
    <customSheetView guid="{90E1DF85-7252-44D2-BA7D-CC3767CD0E8B}" filter="1" showAutoFilter="1">
      <autoFilter ref="$A$14:$O$72">
        <filterColumn colId="4">
          <filters>
            <filter val="Aydın"/>
            <filter val="Burdur"/>
            <filter val="Edirne"/>
            <filter val="Muğla"/>
            <filter val="Kahramanmaraş"/>
            <filter val="Uşak"/>
          </filters>
        </filterColumn>
      </autoFilter>
    </customSheetView>
    <customSheetView guid="{70B995D3-3AEB-4DFE-A0CA-D6FFCCE596BC}" filter="1" showAutoFilter="1">
      <autoFilter ref="$D$14:$D$71"/>
    </customSheetView>
  </customSheetViews>
  <mergeCells count="4">
    <mergeCell ref="D6:K6"/>
    <mergeCell ref="D7:F7"/>
    <mergeCell ref="D9:D12"/>
    <mergeCell ref="F10:M11"/>
  </mergeCells>
  <conditionalFormatting sqref="G15:K71">
    <cfRule type="cellIs" dxfId="1" priority="1" operator="equal">
      <formula>"False"</formula>
    </cfRule>
  </conditionalFormatting>
  <conditionalFormatting sqref="G15:K71">
    <cfRule type="cellIs" dxfId="0" priority="2" operator="equal">
      <formula>"TRUE"</formula>
    </cfRule>
  </conditionalFormatting>
  <dataValidations>
    <dataValidation type="list" allowBlank="1" showErrorMessage="1" sqref="E15:E71">
      <formula1>Data!$A$2:$A$10</formula1>
    </dataValidation>
    <dataValidation type="list" allowBlank="1" showErrorMessage="1" sqref="F15:F71">
      <formula1>Data!$C$2:$C$8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3" width="2.63"/>
    <col customWidth="1" min="4" max="4" width="20.38"/>
    <col customWidth="1" min="5" max="5" width="11.38"/>
    <col customWidth="1" min="6" max="6" width="16.63"/>
    <col customWidth="1" min="7" max="11" width="8.63"/>
    <col customWidth="1" min="12" max="12" width="12.63"/>
    <col customWidth="1" min="13" max="13" width="15.13"/>
    <col customWidth="1" min="14" max="15" width="2.63"/>
  </cols>
  <sheetData>
    <row r="1" ht="7.5" customHeight="1">
      <c r="A1" s="140"/>
      <c r="B1" s="84"/>
      <c r="C1" s="84"/>
      <c r="D1" s="84"/>
      <c r="E1" s="84"/>
      <c r="F1" s="84"/>
      <c r="G1" s="84"/>
      <c r="H1" s="84"/>
      <c r="I1" s="84"/>
      <c r="J1" s="84"/>
      <c r="K1" s="84"/>
      <c r="L1" s="85"/>
      <c r="M1" s="86"/>
      <c r="N1" s="86"/>
      <c r="O1" s="86"/>
    </row>
    <row r="2" ht="15.0" customHeight="1">
      <c r="A2" s="87"/>
      <c r="B2" s="87"/>
      <c r="C2" s="87"/>
      <c r="D2" s="88"/>
      <c r="E2" s="88"/>
      <c r="F2" s="88"/>
      <c r="G2" s="88"/>
      <c r="H2" s="88"/>
      <c r="I2" s="88"/>
      <c r="J2" s="88"/>
      <c r="K2" s="88"/>
      <c r="L2" s="88"/>
      <c r="M2" s="87"/>
      <c r="N2" s="87"/>
      <c r="O2" s="87"/>
    </row>
    <row r="3" ht="3.75" customHeight="1">
      <c r="A3" s="87"/>
      <c r="B3" s="87"/>
      <c r="C3" s="87"/>
      <c r="D3" s="89"/>
      <c r="E3" s="90"/>
      <c r="F3" s="90"/>
      <c r="G3" s="90"/>
      <c r="H3" s="90"/>
      <c r="I3" s="90"/>
      <c r="J3" s="90"/>
      <c r="K3" s="90"/>
      <c r="L3" s="90"/>
      <c r="M3" s="87"/>
      <c r="N3" s="87"/>
      <c r="O3" s="87"/>
    </row>
    <row r="4" ht="15.0" customHeight="1">
      <c r="A4" s="87"/>
      <c r="B4" s="87"/>
      <c r="C4" s="87"/>
      <c r="D4" s="88"/>
      <c r="E4" s="88"/>
      <c r="F4" s="88"/>
      <c r="G4" s="91"/>
      <c r="H4" s="91"/>
      <c r="I4" s="91"/>
      <c r="J4" s="91"/>
      <c r="K4" s="91"/>
      <c r="L4" s="91"/>
      <c r="M4" s="87"/>
      <c r="N4" s="87"/>
      <c r="O4" s="87"/>
    </row>
    <row r="5" ht="15.0" customHeight="1">
      <c r="A5" s="92"/>
      <c r="B5" s="92"/>
      <c r="C5" s="92"/>
      <c r="D5" s="88"/>
      <c r="E5" s="88"/>
      <c r="F5" s="88"/>
      <c r="G5" s="93"/>
      <c r="H5" s="93"/>
      <c r="I5" s="93"/>
      <c r="J5" s="93"/>
      <c r="K5" s="93"/>
      <c r="L5" s="94"/>
      <c r="M5" s="88"/>
      <c r="N5" s="92"/>
      <c r="O5" s="92"/>
    </row>
    <row r="6" ht="15.0" customHeight="1">
      <c r="A6" s="92"/>
      <c r="B6" s="92"/>
      <c r="C6" s="92"/>
      <c r="D6" s="95" t="s">
        <v>162</v>
      </c>
      <c r="L6" s="94"/>
      <c r="M6" s="88"/>
      <c r="N6" s="92"/>
      <c r="O6" s="92"/>
    </row>
    <row r="7" ht="15.0" customHeight="1">
      <c r="A7" s="92"/>
      <c r="B7" s="92"/>
      <c r="C7" s="92"/>
      <c r="D7" s="96" t="s">
        <v>163</v>
      </c>
      <c r="G7" s="97"/>
      <c r="H7" s="97"/>
      <c r="I7" s="97"/>
      <c r="J7" s="97"/>
      <c r="K7" s="97"/>
      <c r="L7" s="92"/>
      <c r="M7" s="92"/>
      <c r="N7" s="92"/>
      <c r="O7" s="92"/>
    </row>
    <row r="8" ht="15.0" customHeight="1">
      <c r="A8" s="92"/>
      <c r="B8" s="92"/>
      <c r="C8" s="92"/>
      <c r="D8" s="97"/>
      <c r="E8" s="97"/>
      <c r="F8" s="97"/>
      <c r="G8" s="97"/>
      <c r="H8" s="97"/>
      <c r="I8" s="97"/>
      <c r="J8" s="97"/>
      <c r="K8" s="97"/>
      <c r="L8" s="92"/>
      <c r="M8" s="92"/>
      <c r="N8" s="92"/>
      <c r="O8" s="92"/>
    </row>
    <row r="9" ht="15.0" customHeight="1">
      <c r="A9" s="92"/>
      <c r="B9" s="92"/>
      <c r="C9" s="98"/>
      <c r="D9" s="99" t="s">
        <v>35</v>
      </c>
      <c r="E9" s="100"/>
      <c r="F9" s="101"/>
      <c r="G9" s="101"/>
      <c r="H9" s="101"/>
      <c r="I9" s="101"/>
      <c r="J9" s="101"/>
      <c r="K9" s="101"/>
      <c r="L9" s="101"/>
      <c r="M9" s="100"/>
      <c r="N9" s="102"/>
      <c r="O9" s="102"/>
    </row>
    <row r="10" ht="15.0" customHeight="1">
      <c r="A10" s="92"/>
      <c r="B10" s="92"/>
      <c r="C10" s="98"/>
      <c r="E10" s="100"/>
      <c r="F10" s="103" t="s">
        <v>36</v>
      </c>
      <c r="N10" s="102"/>
      <c r="O10" s="102"/>
    </row>
    <row r="11" ht="15.0" customHeight="1">
      <c r="A11" s="92"/>
      <c r="B11" s="92"/>
      <c r="C11" s="98"/>
      <c r="E11" s="100"/>
      <c r="N11" s="102"/>
      <c r="O11" s="102"/>
    </row>
    <row r="12" ht="15.0" customHeight="1">
      <c r="A12" s="88"/>
      <c r="B12" s="92"/>
      <c r="C12" s="92"/>
      <c r="E12" s="100"/>
      <c r="F12" s="100"/>
      <c r="G12" s="100"/>
      <c r="H12" s="100"/>
      <c r="I12" s="100"/>
      <c r="J12" s="100"/>
      <c r="K12" s="100"/>
      <c r="L12" s="100"/>
      <c r="M12" s="100"/>
      <c r="N12" s="102"/>
      <c r="O12" s="102"/>
    </row>
    <row r="13" ht="15.0" customHeight="1">
      <c r="A13" s="88"/>
      <c r="B13" s="104"/>
      <c r="C13" s="104"/>
      <c r="D13" s="104"/>
      <c r="E13" s="104"/>
      <c r="F13" s="105"/>
      <c r="G13" s="105"/>
      <c r="H13" s="105"/>
      <c r="I13" s="105"/>
      <c r="J13" s="105"/>
      <c r="K13" s="105"/>
      <c r="L13" s="104"/>
      <c r="M13" s="104"/>
      <c r="N13" s="104"/>
      <c r="O13" s="104"/>
    </row>
    <row r="14" ht="15.0" customHeight="1">
      <c r="A14" s="106"/>
      <c r="B14" s="106"/>
      <c r="C14" s="106"/>
      <c r="D14" s="107" t="s">
        <v>37</v>
      </c>
      <c r="E14" s="108" t="s">
        <v>38</v>
      </c>
      <c r="F14" s="109" t="s">
        <v>39</v>
      </c>
      <c r="G14" s="110">
        <v>44480.0</v>
      </c>
      <c r="H14" s="110">
        <v>44481.0</v>
      </c>
      <c r="I14" s="110">
        <v>44482.0</v>
      </c>
      <c r="J14" s="110">
        <v>44483.0</v>
      </c>
      <c r="K14" s="110">
        <v>44484.0</v>
      </c>
      <c r="L14" s="111" t="s">
        <v>40</v>
      </c>
      <c r="M14" s="111" t="s">
        <v>41</v>
      </c>
      <c r="N14" s="88"/>
      <c r="O14" s="88"/>
    </row>
    <row r="15" ht="15.0" customHeight="1">
      <c r="A15" s="112"/>
      <c r="B15" s="112"/>
      <c r="C15" s="112"/>
      <c r="D15" s="129" t="s">
        <v>42</v>
      </c>
      <c r="E15" s="114" t="str">
        <f>VLOOKUP(D15,Data!H:I,2,0)</f>
        <v>Adana</v>
      </c>
      <c r="F15" s="115" t="str">
        <f>VLOOKUP(D15,Data!H:J,3,0)</f>
        <v>Freelance</v>
      </c>
      <c r="G15" s="116" t="b">
        <v>1</v>
      </c>
      <c r="H15" s="116" t="b">
        <v>1</v>
      </c>
      <c r="I15" s="116" t="b">
        <v>1</v>
      </c>
      <c r="J15" s="116" t="b">
        <v>1</v>
      </c>
      <c r="K15" s="116" t="b">
        <v>1</v>
      </c>
      <c r="L15" s="117">
        <f t="shared" ref="L15:L76" si="1">COUNTIF(G15:K15,"TRUE")</f>
        <v>5</v>
      </c>
      <c r="M15" s="117">
        <f t="shared" ref="M15:M75" si="2">L15*4</f>
        <v>20</v>
      </c>
      <c r="N15" s="112"/>
      <c r="O15" s="88"/>
    </row>
    <row r="16" ht="15.0" customHeight="1">
      <c r="A16" s="112"/>
      <c r="B16" s="112"/>
      <c r="C16" s="112"/>
      <c r="D16" s="129" t="s">
        <v>43</v>
      </c>
      <c r="E16" s="114" t="str">
        <f>VLOOKUP(D16,Data!H:I,2,0)</f>
        <v>Adana</v>
      </c>
      <c r="F16" s="115" t="str">
        <f>VLOOKUP(D16,Data!H:J,3,0)</f>
        <v>Freelance</v>
      </c>
      <c r="G16" s="116" t="b">
        <v>0</v>
      </c>
      <c r="H16" s="116" t="b">
        <v>0</v>
      </c>
      <c r="I16" s="116" t="b">
        <v>0</v>
      </c>
      <c r="J16" s="116" t="b">
        <v>0</v>
      </c>
      <c r="K16" s="116" t="b">
        <v>0</v>
      </c>
      <c r="L16" s="117">
        <f t="shared" si="1"/>
        <v>0</v>
      </c>
      <c r="M16" s="117">
        <f t="shared" si="2"/>
        <v>0</v>
      </c>
      <c r="N16" s="112"/>
      <c r="O16" s="88"/>
    </row>
    <row r="17" ht="15.0" customHeight="1">
      <c r="A17" s="112"/>
      <c r="B17" s="112"/>
      <c r="C17" s="112"/>
      <c r="D17" s="119" t="s">
        <v>48</v>
      </c>
      <c r="E17" s="114" t="str">
        <f>VLOOKUP(D17,Data!H:I,2,0)</f>
        <v>Ankara</v>
      </c>
      <c r="F17" s="115" t="str">
        <f>VLOOKUP(D17,Data!H:J,3,0)</f>
        <v>Medya Özgür Deniz</v>
      </c>
      <c r="G17" s="116" t="b">
        <v>0</v>
      </c>
      <c r="H17" s="116" t="b">
        <v>0</v>
      </c>
      <c r="I17" s="116" t="b">
        <v>0</v>
      </c>
      <c r="J17" s="116" t="b">
        <v>0</v>
      </c>
      <c r="K17" s="116" t="b">
        <v>0</v>
      </c>
      <c r="L17" s="117">
        <f t="shared" si="1"/>
        <v>0</v>
      </c>
      <c r="M17" s="117">
        <f t="shared" si="2"/>
        <v>0</v>
      </c>
      <c r="N17" s="88"/>
      <c r="O17" s="88"/>
    </row>
    <row r="18" ht="15.0" customHeight="1">
      <c r="A18" s="112"/>
      <c r="B18" s="112"/>
      <c r="C18" s="112"/>
      <c r="D18" s="131" t="s">
        <v>44</v>
      </c>
      <c r="E18" s="114" t="str">
        <f>VLOOKUP(D18,Data!H:I,2,0)</f>
        <v>Ankara</v>
      </c>
      <c r="F18" s="115" t="str">
        <f>VLOOKUP(D18,Data!H:J,3,0)</f>
        <v>Medya Özgür Deniz</v>
      </c>
      <c r="G18" s="116" t="b">
        <v>0</v>
      </c>
      <c r="H18" s="116" t="b">
        <v>0</v>
      </c>
      <c r="I18" s="116" t="b">
        <v>0</v>
      </c>
      <c r="J18" s="116" t="b">
        <v>0</v>
      </c>
      <c r="K18" s="116" t="b">
        <v>0</v>
      </c>
      <c r="L18" s="117">
        <f t="shared" si="1"/>
        <v>0</v>
      </c>
      <c r="M18" s="117">
        <f t="shared" si="2"/>
        <v>0</v>
      </c>
      <c r="N18" s="112"/>
      <c r="O18" s="88"/>
    </row>
    <row r="19" ht="15.0" customHeight="1">
      <c r="A19" s="120"/>
      <c r="B19" s="120"/>
      <c r="C19" s="120"/>
      <c r="D19" s="131" t="s">
        <v>45</v>
      </c>
      <c r="E19" s="114" t="str">
        <f>VLOOKUP(D19,Data!H:I,2,0)</f>
        <v>Ankara</v>
      </c>
      <c r="F19" s="115" t="str">
        <f>VLOOKUP(D19,Data!H:J,3,0)</f>
        <v>Medya Özgür Deniz</v>
      </c>
      <c r="G19" s="116" t="b">
        <v>0</v>
      </c>
      <c r="H19" s="116" t="b">
        <v>1</v>
      </c>
      <c r="I19" s="116" t="b">
        <v>1</v>
      </c>
      <c r="J19" s="116" t="b">
        <v>1</v>
      </c>
      <c r="K19" s="116" t="b">
        <v>1</v>
      </c>
      <c r="L19" s="117">
        <f t="shared" si="1"/>
        <v>4</v>
      </c>
      <c r="M19" s="117">
        <f t="shared" si="2"/>
        <v>16</v>
      </c>
      <c r="N19" s="112"/>
      <c r="O19" s="120"/>
    </row>
    <row r="20" ht="15.0" customHeight="1">
      <c r="A20" s="121"/>
      <c r="B20" s="121"/>
      <c r="C20" s="121"/>
      <c r="D20" s="131" t="s">
        <v>46</v>
      </c>
      <c r="E20" s="114" t="str">
        <f>VLOOKUP(D20,Data!H:I,2,0)</f>
        <v>Ankara</v>
      </c>
      <c r="F20" s="115" t="str">
        <f>VLOOKUP(D20,Data!H:J,3,0)</f>
        <v>Medya Özgür Deniz</v>
      </c>
      <c r="G20" s="116" t="b">
        <v>0</v>
      </c>
      <c r="H20" s="116" t="b">
        <v>1</v>
      </c>
      <c r="I20" s="116" t="b">
        <v>1</v>
      </c>
      <c r="J20" s="116" t="b">
        <v>1</v>
      </c>
      <c r="K20" s="116" t="b">
        <v>1</v>
      </c>
      <c r="L20" s="117">
        <f t="shared" si="1"/>
        <v>4</v>
      </c>
      <c r="M20" s="117">
        <f t="shared" si="2"/>
        <v>16</v>
      </c>
      <c r="N20" s="112"/>
      <c r="O20" s="121"/>
    </row>
    <row r="21" ht="15.0" customHeight="1">
      <c r="A21" s="121"/>
      <c r="B21" s="121"/>
      <c r="C21" s="121"/>
      <c r="D21" s="131" t="s">
        <v>47</v>
      </c>
      <c r="E21" s="114" t="str">
        <f>VLOOKUP(D21,Data!H:I,2,0)</f>
        <v>Ankara</v>
      </c>
      <c r="F21" s="115" t="str">
        <f>VLOOKUP(D21,Data!H:J,3,0)</f>
        <v>Medya Özgür Deniz</v>
      </c>
      <c r="G21" s="116" t="b">
        <v>0</v>
      </c>
      <c r="H21" s="116" t="b">
        <v>0</v>
      </c>
      <c r="I21" s="116" t="b">
        <v>1</v>
      </c>
      <c r="J21" s="116" t="b">
        <v>1</v>
      </c>
      <c r="K21" s="116" t="b">
        <v>0</v>
      </c>
      <c r="L21" s="117">
        <f t="shared" si="1"/>
        <v>2</v>
      </c>
      <c r="M21" s="117">
        <f t="shared" si="2"/>
        <v>8</v>
      </c>
      <c r="N21" s="112"/>
      <c r="O21" s="121"/>
    </row>
    <row r="22" ht="15.0" customHeight="1">
      <c r="A22" s="106"/>
      <c r="B22" s="106"/>
      <c r="C22" s="106"/>
      <c r="D22" s="129" t="s">
        <v>164</v>
      </c>
      <c r="E22" s="114" t="str">
        <f>VLOOKUP(D22,Data!H:I,2,0)</f>
        <v>Antalya</v>
      </c>
      <c r="F22" s="115" t="str">
        <f>VLOOKUP(D22,Data!H:J,3,0)</f>
        <v>Nazım Öztel</v>
      </c>
      <c r="G22" s="116" t="b">
        <v>1</v>
      </c>
      <c r="H22" s="116" t="b">
        <v>1</v>
      </c>
      <c r="I22" s="116" t="b">
        <v>1</v>
      </c>
      <c r="J22" s="116" t="b">
        <v>1</v>
      </c>
      <c r="K22" s="116" t="b">
        <v>1</v>
      </c>
      <c r="L22" s="117">
        <f t="shared" si="1"/>
        <v>5</v>
      </c>
      <c r="M22" s="117">
        <f t="shared" si="2"/>
        <v>20</v>
      </c>
      <c r="N22" s="112"/>
      <c r="O22" s="106"/>
    </row>
    <row r="23" ht="15.0" customHeight="1">
      <c r="A23" s="106"/>
      <c r="B23" s="106"/>
      <c r="C23" s="106"/>
      <c r="D23" s="129" t="s">
        <v>152</v>
      </c>
      <c r="E23" s="114" t="str">
        <f>VLOOKUP(D23,Data!H:I,2,0)</f>
        <v>Antalya</v>
      </c>
      <c r="F23" s="115" t="str">
        <f>VLOOKUP(D23,Data!H:J,3,0)</f>
        <v>Nazım Öztel</v>
      </c>
      <c r="G23" s="116" t="b">
        <v>1</v>
      </c>
      <c r="H23" s="116" t="b">
        <v>1</v>
      </c>
      <c r="I23" s="116" t="b">
        <v>1</v>
      </c>
      <c r="J23" s="116" t="b">
        <v>1</v>
      </c>
      <c r="K23" s="116" t="b">
        <v>0</v>
      </c>
      <c r="L23" s="117">
        <f t="shared" si="1"/>
        <v>4</v>
      </c>
      <c r="M23" s="117">
        <f t="shared" si="2"/>
        <v>16</v>
      </c>
      <c r="N23" s="112"/>
      <c r="O23" s="106"/>
    </row>
    <row r="24" ht="15.0" customHeight="1">
      <c r="A24" s="112"/>
      <c r="B24" s="112"/>
      <c r="C24" s="112"/>
      <c r="D24" s="129" t="s">
        <v>50</v>
      </c>
      <c r="E24" s="114" t="str">
        <f>VLOOKUP(D24,Data!H:I,2,0)</f>
        <v>Antalya</v>
      </c>
      <c r="F24" s="115" t="str">
        <f>VLOOKUP(D24,Data!H:J,3,0)</f>
        <v>Freelance</v>
      </c>
      <c r="G24" s="116" t="b">
        <v>0</v>
      </c>
      <c r="H24" s="116" t="b">
        <v>1</v>
      </c>
      <c r="I24" s="116" t="b">
        <v>1</v>
      </c>
      <c r="J24" s="116" t="b">
        <v>1</v>
      </c>
      <c r="K24" s="116" t="b">
        <v>1</v>
      </c>
      <c r="L24" s="117">
        <f t="shared" si="1"/>
        <v>4</v>
      </c>
      <c r="M24" s="117">
        <f t="shared" si="2"/>
        <v>16</v>
      </c>
      <c r="N24" s="112"/>
      <c r="O24" s="112"/>
    </row>
    <row r="25" ht="15.0" customHeight="1">
      <c r="A25" s="112"/>
      <c r="B25" s="112"/>
      <c r="C25" s="112"/>
      <c r="D25" s="129" t="s">
        <v>159</v>
      </c>
      <c r="E25" s="114" t="str">
        <f>VLOOKUP(D25,Data!H:I,2,0)</f>
        <v>Aydın</v>
      </c>
      <c r="F25" s="115" t="str">
        <f>VLOOKUP(D25,Data!H:J,3,0)</f>
        <v>Nazım Öztel</v>
      </c>
      <c r="G25" s="116" t="b">
        <v>1</v>
      </c>
      <c r="H25" s="116" t="b">
        <v>1</v>
      </c>
      <c r="I25" s="116" t="b">
        <v>1</v>
      </c>
      <c r="J25" s="116" t="b">
        <v>0</v>
      </c>
      <c r="K25" s="116" t="b">
        <v>1</v>
      </c>
      <c r="L25" s="117">
        <f t="shared" si="1"/>
        <v>4</v>
      </c>
      <c r="M25" s="117">
        <f t="shared" si="2"/>
        <v>16</v>
      </c>
      <c r="N25" s="112"/>
      <c r="O25" s="112"/>
    </row>
    <row r="26" ht="15.0" customHeight="1">
      <c r="A26" s="112"/>
      <c r="B26" s="112"/>
      <c r="C26" s="112"/>
      <c r="D26" s="129" t="s">
        <v>160</v>
      </c>
      <c r="E26" s="114" t="str">
        <f>VLOOKUP(D26,Data!H:I,2,0)</f>
        <v>Burdur</v>
      </c>
      <c r="F26" s="115" t="str">
        <f>VLOOKUP(D26,Data!H:J,3,0)</f>
        <v>Nazım Öztel</v>
      </c>
      <c r="G26" s="116" t="b">
        <v>1</v>
      </c>
      <c r="H26" s="116" t="b">
        <v>0</v>
      </c>
      <c r="I26" s="116" t="b">
        <v>0</v>
      </c>
      <c r="J26" s="116" t="b">
        <v>1</v>
      </c>
      <c r="K26" s="116" t="b">
        <v>0</v>
      </c>
      <c r="L26" s="117">
        <f t="shared" si="1"/>
        <v>2</v>
      </c>
      <c r="M26" s="117">
        <f t="shared" si="2"/>
        <v>8</v>
      </c>
      <c r="N26" s="112"/>
      <c r="O26" s="112"/>
    </row>
    <row r="27" ht="15.0" customHeight="1">
      <c r="A27" s="112"/>
      <c r="B27" s="112"/>
      <c r="C27" s="112"/>
      <c r="D27" s="132" t="s">
        <v>52</v>
      </c>
      <c r="E27" s="114" t="str">
        <f>VLOOKUP(D27,Data!H:I,2,0)</f>
        <v>Bursa</v>
      </c>
      <c r="F27" s="115" t="str">
        <f>VLOOKUP(D27,Data!H:J,3,0)</f>
        <v>Nazım Öztel</v>
      </c>
      <c r="G27" s="116" t="b">
        <v>1</v>
      </c>
      <c r="H27" s="116" t="b">
        <v>1</v>
      </c>
      <c r="I27" s="116" t="b">
        <v>1</v>
      </c>
      <c r="J27" s="116" t="b">
        <v>1</v>
      </c>
      <c r="K27" s="116" t="b">
        <v>0</v>
      </c>
      <c r="L27" s="117">
        <f t="shared" si="1"/>
        <v>4</v>
      </c>
      <c r="M27" s="117">
        <f t="shared" si="2"/>
        <v>16</v>
      </c>
      <c r="N27" s="122"/>
      <c r="O27" s="112"/>
    </row>
    <row r="28" ht="15.0" customHeight="1">
      <c r="A28" s="112"/>
      <c r="B28" s="112"/>
      <c r="C28" s="112"/>
      <c r="D28" s="129" t="s">
        <v>53</v>
      </c>
      <c r="E28" s="114" t="str">
        <f>VLOOKUP(D28,Data!H:I,2,0)</f>
        <v>Bursa</v>
      </c>
      <c r="F28" s="115" t="str">
        <f>VLOOKUP(D28,Data!H:J,3,0)</f>
        <v>Freelance</v>
      </c>
      <c r="G28" s="116" t="b">
        <v>1</v>
      </c>
      <c r="H28" s="116" t="b">
        <v>1</v>
      </c>
      <c r="I28" s="116" t="b">
        <v>0</v>
      </c>
      <c r="J28" s="116" t="b">
        <v>1</v>
      </c>
      <c r="K28" s="116" t="b">
        <v>1</v>
      </c>
      <c r="L28" s="117">
        <f t="shared" si="1"/>
        <v>4</v>
      </c>
      <c r="M28" s="117">
        <f t="shared" si="2"/>
        <v>16</v>
      </c>
      <c r="N28" s="112"/>
      <c r="O28" s="112"/>
    </row>
    <row r="29" ht="15.0" customHeight="1">
      <c r="A29" s="112"/>
      <c r="B29" s="112"/>
      <c r="C29" s="112"/>
      <c r="D29" s="132" t="s">
        <v>54</v>
      </c>
      <c r="E29" s="114" t="str">
        <f>VLOOKUP(D29,Data!H:I,2,0)</f>
        <v>Diyarbakır</v>
      </c>
      <c r="F29" s="115" t="str">
        <f>VLOOKUP(D29,Data!H:J,3,0)</f>
        <v>Nazım Öztel</v>
      </c>
      <c r="G29" s="116" t="b">
        <v>0</v>
      </c>
      <c r="H29" s="116" t="b">
        <v>0</v>
      </c>
      <c r="I29" s="116" t="b">
        <v>0</v>
      </c>
      <c r="J29" s="116" t="b">
        <v>0</v>
      </c>
      <c r="K29" s="116" t="b">
        <v>0</v>
      </c>
      <c r="L29" s="117">
        <f t="shared" si="1"/>
        <v>0</v>
      </c>
      <c r="M29" s="117">
        <f t="shared" si="2"/>
        <v>0</v>
      </c>
      <c r="N29" s="112"/>
      <c r="O29" s="112"/>
    </row>
    <row r="30" ht="15.0" customHeight="1">
      <c r="A30" s="112"/>
      <c r="B30" s="112"/>
      <c r="C30" s="112"/>
      <c r="D30" s="129" t="s">
        <v>153</v>
      </c>
      <c r="E30" s="114" t="str">
        <f>VLOOKUP(D30,Data!H:I,2,0)</f>
        <v>Edirne</v>
      </c>
      <c r="F30" s="115" t="str">
        <f>VLOOKUP(D30,Data!H:J,3,0)</f>
        <v>Nazım Öztel</v>
      </c>
      <c r="G30" s="116" t="b">
        <v>1</v>
      </c>
      <c r="H30" s="116" t="b">
        <v>1</v>
      </c>
      <c r="I30" s="116" t="b">
        <v>1</v>
      </c>
      <c r="J30" s="116" t="b">
        <v>1</v>
      </c>
      <c r="K30" s="116" t="b">
        <v>0</v>
      </c>
      <c r="L30" s="117">
        <f t="shared" si="1"/>
        <v>4</v>
      </c>
      <c r="M30" s="117">
        <f t="shared" si="2"/>
        <v>16</v>
      </c>
      <c r="N30" s="112"/>
      <c r="O30" s="112"/>
    </row>
    <row r="31" ht="15.0" customHeight="1">
      <c r="A31" s="112"/>
      <c r="B31" s="112"/>
      <c r="C31" s="112"/>
      <c r="D31" s="132" t="s">
        <v>55</v>
      </c>
      <c r="E31" s="114" t="str">
        <f>VLOOKUP(D31,Data!H:I,2,0)</f>
        <v>Erzurum</v>
      </c>
      <c r="F31" s="115" t="str">
        <f>VLOOKUP(D31,Data!H:J,3,0)</f>
        <v>Nazım Öztel</v>
      </c>
      <c r="G31" s="116" t="b">
        <v>0</v>
      </c>
      <c r="H31" s="116" t="b">
        <v>0</v>
      </c>
      <c r="I31" s="116" t="b">
        <v>0</v>
      </c>
      <c r="J31" s="116" t="b">
        <v>0</v>
      </c>
      <c r="K31" s="116" t="b">
        <v>0</v>
      </c>
      <c r="L31" s="117">
        <f t="shared" si="1"/>
        <v>0</v>
      </c>
      <c r="M31" s="117">
        <f t="shared" si="2"/>
        <v>0</v>
      </c>
      <c r="N31" s="112"/>
      <c r="O31" s="112"/>
    </row>
    <row r="32" ht="15.0" customHeight="1">
      <c r="A32" s="112"/>
      <c r="B32" s="112"/>
      <c r="C32" s="112"/>
      <c r="D32" s="129" t="s">
        <v>165</v>
      </c>
      <c r="E32" s="114" t="str">
        <f>VLOOKUP(D32,Data!H:I,2,0)</f>
        <v>Eskişehir</v>
      </c>
      <c r="F32" s="115" t="str">
        <f>VLOOKUP(D32,Data!H:J,3,0)</f>
        <v>Nazım Öztel</v>
      </c>
      <c r="G32" s="116" t="b">
        <v>0</v>
      </c>
      <c r="H32" s="116" t="b">
        <v>1</v>
      </c>
      <c r="I32" s="116" t="b">
        <v>1</v>
      </c>
      <c r="J32" s="116" t="b">
        <v>1</v>
      </c>
      <c r="K32" s="116" t="b">
        <v>1</v>
      </c>
      <c r="L32" s="117">
        <f t="shared" si="1"/>
        <v>4</v>
      </c>
      <c r="M32" s="117">
        <f t="shared" si="2"/>
        <v>16</v>
      </c>
      <c r="N32" s="112"/>
      <c r="O32" s="112"/>
    </row>
    <row r="33" ht="15.0" customHeight="1">
      <c r="A33" s="112"/>
      <c r="B33" s="112"/>
      <c r="C33" s="112"/>
      <c r="D33" s="129" t="s">
        <v>58</v>
      </c>
      <c r="E33" s="114" t="str">
        <f>VLOOKUP(D33,Data!H:I,2,0)</f>
        <v>İstanbul</v>
      </c>
      <c r="F33" s="115" t="str">
        <f>VLOOKUP(D33,Data!H:J,3,0)</f>
        <v>Freelance</v>
      </c>
      <c r="G33" s="116" t="b">
        <v>1</v>
      </c>
      <c r="H33" s="116" t="b">
        <v>1</v>
      </c>
      <c r="I33" s="116" t="b">
        <v>1</v>
      </c>
      <c r="J33" s="116" t="b">
        <v>1</v>
      </c>
      <c r="K33" s="116" t="b">
        <v>1</v>
      </c>
      <c r="L33" s="117">
        <f t="shared" si="1"/>
        <v>5</v>
      </c>
      <c r="M33" s="117">
        <f t="shared" si="2"/>
        <v>20</v>
      </c>
      <c r="N33" s="88"/>
      <c r="O33" s="112"/>
    </row>
    <row r="34" ht="15.0" customHeight="1">
      <c r="A34" s="112"/>
      <c r="B34" s="112"/>
      <c r="C34" s="112"/>
      <c r="D34" s="129" t="s">
        <v>133</v>
      </c>
      <c r="E34" s="114" t="str">
        <f>VLOOKUP(D34,Data!H:I,2,0)</f>
        <v>İstanbul</v>
      </c>
      <c r="F34" s="115" t="str">
        <f>VLOOKUP(D34,Data!H:J,3,0)</f>
        <v>Freelance</v>
      </c>
      <c r="G34" s="116" t="b">
        <v>0</v>
      </c>
      <c r="H34" s="116" t="b">
        <v>1</v>
      </c>
      <c r="I34" s="116" t="b">
        <v>1</v>
      </c>
      <c r="J34" s="116" t="b">
        <v>0</v>
      </c>
      <c r="K34" s="116" t="b">
        <v>1</v>
      </c>
      <c r="L34" s="117">
        <f t="shared" si="1"/>
        <v>3</v>
      </c>
      <c r="M34" s="117">
        <f t="shared" si="2"/>
        <v>12</v>
      </c>
      <c r="N34" s="88"/>
      <c r="O34" s="112"/>
    </row>
    <row r="35" ht="15.0" customHeight="1">
      <c r="A35" s="120"/>
      <c r="B35" s="120"/>
      <c r="C35" s="120"/>
      <c r="D35" s="129" t="s">
        <v>66</v>
      </c>
      <c r="E35" s="114" t="str">
        <f>VLOOKUP(D35,Data!H:I,2,0)</f>
        <v>İstanbul</v>
      </c>
      <c r="F35" s="115" t="str">
        <f>VLOOKUP(D35,Data!H:J,3,0)</f>
        <v>Freelance</v>
      </c>
      <c r="G35" s="116" t="b">
        <v>1</v>
      </c>
      <c r="H35" s="116" t="b">
        <v>0</v>
      </c>
      <c r="I35" s="116" t="b">
        <v>1</v>
      </c>
      <c r="J35" s="116" t="b">
        <v>1</v>
      </c>
      <c r="K35" s="116" t="b">
        <v>1</v>
      </c>
      <c r="L35" s="117">
        <f t="shared" si="1"/>
        <v>4</v>
      </c>
      <c r="M35" s="117">
        <f t="shared" si="2"/>
        <v>16</v>
      </c>
      <c r="N35" s="120"/>
      <c r="O35" s="120"/>
    </row>
    <row r="36" ht="15.0" customHeight="1">
      <c r="A36" s="121"/>
      <c r="B36" s="121"/>
      <c r="C36" s="121"/>
      <c r="D36" s="129" t="s">
        <v>134</v>
      </c>
      <c r="E36" s="114" t="str">
        <f>VLOOKUP(D36,Data!H:I,2,0)</f>
        <v>İstanbul</v>
      </c>
      <c r="F36" s="115" t="str">
        <f>VLOOKUP(D36,Data!H:J,3,0)</f>
        <v>Filamingo</v>
      </c>
      <c r="G36" s="116" t="b">
        <v>1</v>
      </c>
      <c r="H36" s="116" t="b">
        <v>0</v>
      </c>
      <c r="I36" s="116" t="b">
        <v>0</v>
      </c>
      <c r="J36" s="116" t="b">
        <v>0</v>
      </c>
      <c r="K36" s="116" t="b">
        <v>1</v>
      </c>
      <c r="L36" s="117">
        <f t="shared" si="1"/>
        <v>2</v>
      </c>
      <c r="M36" s="117">
        <f t="shared" si="2"/>
        <v>8</v>
      </c>
      <c r="N36" s="121"/>
      <c r="O36" s="121"/>
    </row>
    <row r="37" ht="15.0" customHeight="1">
      <c r="A37" s="121"/>
      <c r="B37" s="121"/>
      <c r="C37" s="121"/>
      <c r="D37" s="132" t="s">
        <v>67</v>
      </c>
      <c r="E37" s="114" t="str">
        <f>VLOOKUP(D37,Data!H:I,2,0)</f>
        <v>İstanbul</v>
      </c>
      <c r="F37" s="115" t="str">
        <f>VLOOKUP(D37,Data!H:J,3,0)</f>
        <v>Filamingo</v>
      </c>
      <c r="G37" s="116" t="b">
        <v>0</v>
      </c>
      <c r="H37" s="116" t="b">
        <v>0</v>
      </c>
      <c r="I37" s="116" t="b">
        <v>0</v>
      </c>
      <c r="J37" s="116" t="b">
        <v>0</v>
      </c>
      <c r="K37" s="116" t="b">
        <v>0</v>
      </c>
      <c r="L37" s="117">
        <f t="shared" si="1"/>
        <v>0</v>
      </c>
      <c r="M37" s="117">
        <f t="shared" si="2"/>
        <v>0</v>
      </c>
      <c r="N37" s="121"/>
      <c r="O37" s="121"/>
    </row>
    <row r="38" ht="15.0" customHeight="1">
      <c r="A38" s="112"/>
      <c r="B38" s="112"/>
      <c r="C38" s="112"/>
      <c r="D38" s="132" t="s">
        <v>117</v>
      </c>
      <c r="E38" s="114" t="str">
        <f>VLOOKUP(D38,Data!H:I,2,0)</f>
        <v>İstanbul</v>
      </c>
      <c r="F38" s="115" t="str">
        <f>VLOOKUP(D38,Data!H:J,3,0)</f>
        <v>Freelance</v>
      </c>
      <c r="G38" s="116" t="b">
        <v>0</v>
      </c>
      <c r="H38" s="116" t="b">
        <v>0</v>
      </c>
      <c r="I38" s="116" t="b">
        <v>1</v>
      </c>
      <c r="J38" s="116" t="b">
        <v>1</v>
      </c>
      <c r="K38" s="116" t="b">
        <v>1</v>
      </c>
      <c r="L38" s="117">
        <f t="shared" si="1"/>
        <v>3</v>
      </c>
      <c r="M38" s="117">
        <f t="shared" si="2"/>
        <v>12</v>
      </c>
      <c r="N38" s="112"/>
      <c r="O38" s="112"/>
    </row>
    <row r="39" ht="15.0" customHeight="1">
      <c r="A39" s="112"/>
      <c r="B39" s="112"/>
      <c r="C39" s="112"/>
      <c r="D39" s="129" t="s">
        <v>135</v>
      </c>
      <c r="E39" s="114" t="str">
        <f>VLOOKUP(D39,Data!H:I,2,0)</f>
        <v>İstanbul</v>
      </c>
      <c r="F39" s="115" t="str">
        <f>VLOOKUP(D39,Data!H:J,3,0)</f>
        <v>Freelance</v>
      </c>
      <c r="G39" s="116" t="b">
        <v>1</v>
      </c>
      <c r="H39" s="116" t="b">
        <v>1</v>
      </c>
      <c r="I39" s="116" t="b">
        <v>1</v>
      </c>
      <c r="J39" s="116" t="b">
        <v>0</v>
      </c>
      <c r="K39" s="116" t="b">
        <v>1</v>
      </c>
      <c r="L39" s="117">
        <f t="shared" si="1"/>
        <v>4</v>
      </c>
      <c r="M39" s="117">
        <f t="shared" si="2"/>
        <v>16</v>
      </c>
      <c r="N39" s="112"/>
      <c r="O39" s="112"/>
    </row>
    <row r="40" ht="15.0" customHeight="1">
      <c r="A40" s="112"/>
      <c r="B40" s="112"/>
      <c r="C40" s="112"/>
      <c r="D40" s="129" t="s">
        <v>123</v>
      </c>
      <c r="E40" s="114" t="str">
        <f>VLOOKUP(D40,Data!H:I,2,0)</f>
        <v>İstanbul</v>
      </c>
      <c r="F40" s="115" t="str">
        <f>VLOOKUP(D40,Data!H:J,3,0)</f>
        <v>Freelance</v>
      </c>
      <c r="G40" s="116" t="b">
        <v>0</v>
      </c>
      <c r="H40" s="116" t="b">
        <v>0</v>
      </c>
      <c r="I40" s="116" t="b">
        <v>0</v>
      </c>
      <c r="J40" s="116" t="b">
        <v>0</v>
      </c>
      <c r="K40" s="116" t="b">
        <v>0</v>
      </c>
      <c r="L40" s="117">
        <f t="shared" si="1"/>
        <v>0</v>
      </c>
      <c r="M40" s="117">
        <f t="shared" si="2"/>
        <v>0</v>
      </c>
      <c r="N40" s="112"/>
      <c r="O40" s="112"/>
    </row>
    <row r="41" ht="15.0" customHeight="1">
      <c r="A41" s="112"/>
      <c r="B41" s="112"/>
      <c r="C41" s="112"/>
      <c r="D41" s="129" t="s">
        <v>70</v>
      </c>
      <c r="E41" s="114" t="str">
        <f>VLOOKUP(D41,Data!H:I,2,0)</f>
        <v>İstanbul</v>
      </c>
      <c r="F41" s="115" t="str">
        <f>VLOOKUP(D41,Data!H:J,3,0)</f>
        <v>Freelance</v>
      </c>
      <c r="G41" s="116" t="b">
        <v>0</v>
      </c>
      <c r="H41" s="116" t="b">
        <v>1</v>
      </c>
      <c r="I41" s="116" t="b">
        <v>0</v>
      </c>
      <c r="J41" s="116" t="b">
        <v>0</v>
      </c>
      <c r="K41" s="116" t="b">
        <v>0</v>
      </c>
      <c r="L41" s="117">
        <f t="shared" si="1"/>
        <v>1</v>
      </c>
      <c r="M41" s="117">
        <f t="shared" si="2"/>
        <v>4</v>
      </c>
      <c r="N41" s="112"/>
      <c r="O41" s="112"/>
    </row>
    <row r="42" ht="15.0" customHeight="1">
      <c r="A42" s="112"/>
      <c r="B42" s="112"/>
      <c r="C42" s="112"/>
      <c r="D42" s="132" t="s">
        <v>71</v>
      </c>
      <c r="E42" s="114" t="str">
        <f>VLOOKUP(D42,Data!H:I,2,0)</f>
        <v>İstanbul</v>
      </c>
      <c r="F42" s="115" t="str">
        <f>VLOOKUP(D42,Data!H:J,3,0)</f>
        <v>Filamingo</v>
      </c>
      <c r="G42" s="116" t="b">
        <v>0</v>
      </c>
      <c r="H42" s="116" t="b">
        <v>0</v>
      </c>
      <c r="I42" s="116" t="b">
        <v>0</v>
      </c>
      <c r="J42" s="116" t="b">
        <v>0</v>
      </c>
      <c r="K42" s="116" t="b">
        <v>0</v>
      </c>
      <c r="L42" s="117">
        <f t="shared" si="1"/>
        <v>0</v>
      </c>
      <c r="M42" s="117">
        <f t="shared" si="2"/>
        <v>0</v>
      </c>
      <c r="N42" s="112"/>
      <c r="O42" s="112"/>
    </row>
    <row r="43" ht="15.0" customHeight="1">
      <c r="A43" s="112"/>
      <c r="B43" s="112"/>
      <c r="C43" s="112"/>
      <c r="D43" s="132" t="s">
        <v>72</v>
      </c>
      <c r="E43" s="114" t="str">
        <f>VLOOKUP(D43,Data!H:I,2,0)</f>
        <v>İstanbul</v>
      </c>
      <c r="F43" s="115" t="str">
        <f>VLOOKUP(D43,Data!H:J,3,0)</f>
        <v>Filamingo</v>
      </c>
      <c r="G43" s="116" t="b">
        <v>0</v>
      </c>
      <c r="H43" s="116" t="b">
        <v>0</v>
      </c>
      <c r="I43" s="116" t="b">
        <v>0</v>
      </c>
      <c r="J43" s="116" t="b">
        <v>0</v>
      </c>
      <c r="K43" s="116" t="b">
        <v>0</v>
      </c>
      <c r="L43" s="117">
        <f t="shared" si="1"/>
        <v>0</v>
      </c>
      <c r="M43" s="117">
        <f t="shared" si="2"/>
        <v>0</v>
      </c>
      <c r="N43" s="112"/>
      <c r="O43" s="112"/>
    </row>
    <row r="44" ht="15.0" customHeight="1">
      <c r="A44" s="112"/>
      <c r="B44" s="112"/>
      <c r="C44" s="112"/>
      <c r="D44" s="129" t="s">
        <v>136</v>
      </c>
      <c r="E44" s="114" t="str">
        <f>VLOOKUP(D44,Data!H:I,2,0)</f>
        <v>İstanbul</v>
      </c>
      <c r="F44" s="115" t="str">
        <f>VLOOKUP(D44,Data!H:J,3,0)</f>
        <v>Filamingo</v>
      </c>
      <c r="G44" s="116" t="b">
        <v>0</v>
      </c>
      <c r="H44" s="116" t="b">
        <v>0</v>
      </c>
      <c r="I44" s="116" t="b">
        <v>0</v>
      </c>
      <c r="J44" s="116" t="b">
        <v>0</v>
      </c>
      <c r="K44" s="116" t="b">
        <v>0</v>
      </c>
      <c r="L44" s="117">
        <f t="shared" si="1"/>
        <v>0</v>
      </c>
      <c r="M44" s="117">
        <f t="shared" si="2"/>
        <v>0</v>
      </c>
      <c r="N44" s="120"/>
      <c r="O44" s="112"/>
    </row>
    <row r="45" ht="15.0" customHeight="1">
      <c r="A45" s="125"/>
      <c r="B45" s="125"/>
      <c r="C45" s="125"/>
      <c r="D45" s="129" t="s">
        <v>77</v>
      </c>
      <c r="E45" s="114" t="str">
        <f>VLOOKUP(D45,Data!H:I,2,0)</f>
        <v>İstanbul</v>
      </c>
      <c r="F45" s="115" t="str">
        <f>VLOOKUP(D45,Data!H:J,3,0)</f>
        <v>Freelance</v>
      </c>
      <c r="G45" s="116" t="b">
        <v>0</v>
      </c>
      <c r="H45" s="116" t="b">
        <v>0</v>
      </c>
      <c r="I45" s="116" t="b">
        <v>0</v>
      </c>
      <c r="J45" s="116" t="b">
        <v>0</v>
      </c>
      <c r="K45" s="116" t="b">
        <v>0</v>
      </c>
      <c r="L45" s="117">
        <f t="shared" si="1"/>
        <v>0</v>
      </c>
      <c r="M45" s="117">
        <f t="shared" si="2"/>
        <v>0</v>
      </c>
      <c r="N45" s="124"/>
      <c r="O45" s="125"/>
    </row>
    <row r="46" ht="15.0" customHeight="1">
      <c r="A46" s="122"/>
      <c r="B46" s="122"/>
      <c r="C46" s="122"/>
      <c r="D46" s="129" t="s">
        <v>78</v>
      </c>
      <c r="E46" s="114" t="str">
        <f>VLOOKUP(D46,Data!H:I,2,0)</f>
        <v>İstanbul</v>
      </c>
      <c r="F46" s="115" t="str">
        <f>VLOOKUP(D46,Data!H:J,3,0)</f>
        <v>Freelance</v>
      </c>
      <c r="G46" s="116" t="b">
        <v>1</v>
      </c>
      <c r="H46" s="116" t="b">
        <v>1</v>
      </c>
      <c r="I46" s="116" t="b">
        <v>1</v>
      </c>
      <c r="J46" s="116" t="b">
        <v>1</v>
      </c>
      <c r="K46" s="116" t="b">
        <v>1</v>
      </c>
      <c r="L46" s="117">
        <f t="shared" si="1"/>
        <v>5</v>
      </c>
      <c r="M46" s="117">
        <f t="shared" si="2"/>
        <v>20</v>
      </c>
      <c r="N46" s="112"/>
      <c r="O46" s="122"/>
    </row>
    <row r="47" ht="15.0" customHeight="1">
      <c r="A47" s="124"/>
      <c r="B47" s="124"/>
      <c r="C47" s="124"/>
      <c r="D47" s="129" t="s">
        <v>79</v>
      </c>
      <c r="E47" s="114" t="str">
        <f>VLOOKUP(D47,Data!H:I,2,0)</f>
        <v>İstanbul</v>
      </c>
      <c r="F47" s="115" t="str">
        <f>VLOOKUP(D47,Data!H:J,3,0)</f>
        <v>Freelance</v>
      </c>
      <c r="G47" s="116" t="b">
        <v>1</v>
      </c>
      <c r="H47" s="116" t="b">
        <v>1</v>
      </c>
      <c r="I47" s="116" t="b">
        <v>1</v>
      </c>
      <c r="J47" s="116" t="b">
        <v>1</v>
      </c>
      <c r="K47" s="116" t="b">
        <v>1</v>
      </c>
      <c r="L47" s="117">
        <f t="shared" si="1"/>
        <v>5</v>
      </c>
      <c r="M47" s="117">
        <f t="shared" si="2"/>
        <v>20</v>
      </c>
      <c r="N47" s="112"/>
      <c r="O47" s="124"/>
    </row>
    <row r="48" ht="15.0" customHeight="1">
      <c r="A48" s="112"/>
      <c r="B48" s="112"/>
      <c r="C48" s="112"/>
      <c r="D48" s="141" t="s">
        <v>125</v>
      </c>
      <c r="E48" s="114" t="str">
        <f>VLOOKUP(D48,Data!H:I,2,0)</f>
        <v>İstanbul</v>
      </c>
      <c r="F48" s="115" t="str">
        <f>VLOOKUP(D48,Data!H:J,3,0)</f>
        <v>Filamingo</v>
      </c>
      <c r="G48" s="116" t="b">
        <v>0</v>
      </c>
      <c r="H48" s="116" t="b">
        <v>0</v>
      </c>
      <c r="I48" s="116" t="b">
        <v>0</v>
      </c>
      <c r="J48" s="116" t="b">
        <v>0</v>
      </c>
      <c r="K48" s="116" t="b">
        <v>0</v>
      </c>
      <c r="L48" s="117">
        <f t="shared" si="1"/>
        <v>0</v>
      </c>
      <c r="M48" s="117">
        <f t="shared" si="2"/>
        <v>0</v>
      </c>
      <c r="N48" s="124"/>
      <c r="O48" s="112"/>
    </row>
    <row r="49" ht="15.0" customHeight="1">
      <c r="A49" s="112"/>
      <c r="B49" s="112"/>
      <c r="C49" s="112"/>
      <c r="D49" s="129" t="s">
        <v>166</v>
      </c>
      <c r="E49" s="114" t="str">
        <f>VLOOKUP(D49,Data!H:I,2,0)</f>
        <v>İstanbul</v>
      </c>
      <c r="F49" s="115" t="str">
        <f>VLOOKUP(D49,Data!H:J,3,0)</f>
        <v>Filamingo</v>
      </c>
      <c r="G49" s="116" t="b">
        <v>0</v>
      </c>
      <c r="H49" s="116" t="b">
        <v>0</v>
      </c>
      <c r="I49" s="116" t="b">
        <v>1</v>
      </c>
      <c r="J49" s="116" t="b">
        <v>0</v>
      </c>
      <c r="K49" s="116" t="b">
        <v>1</v>
      </c>
      <c r="L49" s="117">
        <f t="shared" si="1"/>
        <v>2</v>
      </c>
      <c r="M49" s="117">
        <f t="shared" si="2"/>
        <v>8</v>
      </c>
      <c r="N49" s="124"/>
      <c r="O49" s="112"/>
    </row>
    <row r="50" ht="15.0" customHeight="1">
      <c r="A50" s="112"/>
      <c r="B50" s="112"/>
      <c r="C50" s="112"/>
      <c r="D50" s="129" t="s">
        <v>80</v>
      </c>
      <c r="E50" s="114" t="str">
        <f>VLOOKUP(D50,Data!H:I,2,0)</f>
        <v>İstanbul</v>
      </c>
      <c r="F50" s="115" t="str">
        <f>VLOOKUP(D50,Data!H:J,3,0)</f>
        <v>Freelance</v>
      </c>
      <c r="G50" s="116" t="b">
        <v>1</v>
      </c>
      <c r="H50" s="116" t="b">
        <v>1</v>
      </c>
      <c r="I50" s="116" t="b">
        <v>1</v>
      </c>
      <c r="J50" s="116" t="b">
        <v>1</v>
      </c>
      <c r="K50" s="116" t="b">
        <v>1</v>
      </c>
      <c r="L50" s="117">
        <f t="shared" si="1"/>
        <v>5</v>
      </c>
      <c r="M50" s="117">
        <f t="shared" si="2"/>
        <v>20</v>
      </c>
      <c r="N50" s="112"/>
      <c r="O50" s="112"/>
    </row>
    <row r="51" ht="15.0" customHeight="1">
      <c r="A51" s="112"/>
      <c r="B51" s="112"/>
      <c r="C51" s="112"/>
      <c r="D51" s="132" t="s">
        <v>119</v>
      </c>
      <c r="E51" s="114" t="str">
        <f>VLOOKUP(D51,Data!H:I,2,0)</f>
        <v>İstanbul</v>
      </c>
      <c r="F51" s="115" t="str">
        <f>VLOOKUP(D51,Data!H:J,3,0)</f>
        <v>Filamingo</v>
      </c>
      <c r="G51" s="116" t="b">
        <v>0</v>
      </c>
      <c r="H51" s="116" t="b">
        <v>0</v>
      </c>
      <c r="I51" s="116" t="b">
        <v>1</v>
      </c>
      <c r="J51" s="116" t="b">
        <v>1</v>
      </c>
      <c r="K51" s="116" t="b">
        <v>0</v>
      </c>
      <c r="L51" s="117">
        <f t="shared" si="1"/>
        <v>2</v>
      </c>
      <c r="M51" s="117">
        <f t="shared" si="2"/>
        <v>8</v>
      </c>
      <c r="N51" s="112"/>
      <c r="O51" s="112"/>
    </row>
    <row r="52" ht="15.0" customHeight="1">
      <c r="A52" s="112"/>
      <c r="B52" s="112"/>
      <c r="C52" s="112"/>
      <c r="D52" s="129" t="s">
        <v>81</v>
      </c>
      <c r="E52" s="114" t="str">
        <f>VLOOKUP(D52,Data!H:I,2,0)</f>
        <v>İstanbul</v>
      </c>
      <c r="F52" s="115" t="str">
        <f>VLOOKUP(D52,Data!H:J,3,0)</f>
        <v>Freelance</v>
      </c>
      <c r="G52" s="116" t="b">
        <v>1</v>
      </c>
      <c r="H52" s="116" t="b">
        <v>0</v>
      </c>
      <c r="I52" s="116" t="b">
        <v>1</v>
      </c>
      <c r="J52" s="116" t="b">
        <v>1</v>
      </c>
      <c r="K52" s="116" t="b">
        <v>0</v>
      </c>
      <c r="L52" s="117">
        <f t="shared" si="1"/>
        <v>3</v>
      </c>
      <c r="M52" s="117">
        <f t="shared" si="2"/>
        <v>12</v>
      </c>
      <c r="N52" s="125"/>
      <c r="O52" s="112"/>
    </row>
    <row r="53" ht="15.0" customHeight="1">
      <c r="A53" s="112"/>
      <c r="B53" s="112"/>
      <c r="C53" s="112"/>
      <c r="D53" s="132" t="s">
        <v>83</v>
      </c>
      <c r="E53" s="114" t="str">
        <f>VLOOKUP(D53,Data!H:I,2,0)</f>
        <v>İstanbul</v>
      </c>
      <c r="F53" s="115" t="str">
        <f>VLOOKUP(D53,Data!H:J,3,0)</f>
        <v>Nazım Öztel</v>
      </c>
      <c r="G53" s="116" t="b">
        <v>1</v>
      </c>
      <c r="H53" s="116" t="b">
        <v>1</v>
      </c>
      <c r="I53" s="116" t="b">
        <v>1</v>
      </c>
      <c r="J53" s="116" t="b">
        <v>1</v>
      </c>
      <c r="K53" s="116" t="b">
        <v>1</v>
      </c>
      <c r="L53" s="117">
        <f t="shared" si="1"/>
        <v>5</v>
      </c>
      <c r="M53" s="117">
        <f t="shared" si="2"/>
        <v>20</v>
      </c>
      <c r="N53" s="112"/>
      <c r="O53" s="112"/>
    </row>
    <row r="54" ht="15.0" customHeight="1">
      <c r="A54" s="125"/>
      <c r="B54" s="125"/>
      <c r="C54" s="125"/>
      <c r="D54" s="132" t="s">
        <v>85</v>
      </c>
      <c r="E54" s="114" t="str">
        <f>VLOOKUP(D54,Data!H:I,2,0)</f>
        <v>İstanbul</v>
      </c>
      <c r="F54" s="115" t="str">
        <f>VLOOKUP(D54,Data!H:J,3,0)</f>
        <v>Filamingo</v>
      </c>
      <c r="G54" s="116" t="b">
        <v>0</v>
      </c>
      <c r="H54" s="116" t="b">
        <v>0</v>
      </c>
      <c r="I54" s="116" t="b">
        <v>0</v>
      </c>
      <c r="J54" s="116" t="b">
        <v>0</v>
      </c>
      <c r="K54" s="116" t="b">
        <v>0</v>
      </c>
      <c r="L54" s="117">
        <f t="shared" si="1"/>
        <v>0</v>
      </c>
      <c r="M54" s="117">
        <f t="shared" si="2"/>
        <v>0</v>
      </c>
      <c r="N54" s="112"/>
      <c r="O54" s="125"/>
    </row>
    <row r="55" ht="15.0" customHeight="1">
      <c r="A55" s="125"/>
      <c r="B55" s="125"/>
      <c r="C55" s="125"/>
      <c r="D55" s="129" t="s">
        <v>167</v>
      </c>
      <c r="E55" s="114" t="str">
        <f>VLOOKUP(D55,Data!H:I,2,0)</f>
        <v>İstanbul</v>
      </c>
      <c r="F55" s="115" t="str">
        <f>VLOOKUP(D55,Data!H:J,3,0)</f>
        <v>Filamingo</v>
      </c>
      <c r="G55" s="116" t="b">
        <v>0</v>
      </c>
      <c r="H55" s="116" t="b">
        <v>0</v>
      </c>
      <c r="I55" s="116" t="b">
        <v>1</v>
      </c>
      <c r="J55" s="116" t="b">
        <v>1</v>
      </c>
      <c r="K55" s="116" t="b">
        <v>1</v>
      </c>
      <c r="L55" s="117">
        <f t="shared" si="1"/>
        <v>3</v>
      </c>
      <c r="M55" s="117">
        <f t="shared" si="2"/>
        <v>12</v>
      </c>
      <c r="N55" s="112"/>
      <c r="O55" s="125"/>
    </row>
    <row r="56" ht="15.0" customHeight="1">
      <c r="A56" s="125"/>
      <c r="B56" s="125"/>
      <c r="C56" s="125"/>
      <c r="D56" s="129" t="s">
        <v>145</v>
      </c>
      <c r="E56" s="114" t="str">
        <f>VLOOKUP(D56,Data!H:I,2,0)</f>
        <v>İstanbul</v>
      </c>
      <c r="F56" s="115" t="str">
        <f>VLOOKUP(D56,Data!H:J,3,0)</f>
        <v>Filamingo</v>
      </c>
      <c r="G56" s="116" t="b">
        <v>1</v>
      </c>
      <c r="H56" s="116" t="b">
        <v>0</v>
      </c>
      <c r="I56" s="116" t="b">
        <v>1</v>
      </c>
      <c r="J56" s="116" t="b">
        <v>1</v>
      </c>
      <c r="K56" s="116" t="b">
        <v>1</v>
      </c>
      <c r="L56" s="117">
        <f t="shared" si="1"/>
        <v>4</v>
      </c>
      <c r="M56" s="117">
        <f t="shared" si="2"/>
        <v>16</v>
      </c>
      <c r="N56" s="112"/>
      <c r="O56" s="125"/>
    </row>
    <row r="57" ht="15.0" customHeight="1">
      <c r="A57" s="125"/>
      <c r="B57" s="125"/>
      <c r="C57" s="125"/>
      <c r="D57" s="129" t="s">
        <v>146</v>
      </c>
      <c r="E57" s="114" t="str">
        <f>VLOOKUP(D57,Data!H:I,2,0)</f>
        <v>İstanbul</v>
      </c>
      <c r="F57" s="115" t="str">
        <f>VLOOKUP(D57,Data!H:J,3,0)</f>
        <v>Filamingo</v>
      </c>
      <c r="G57" s="116" t="b">
        <v>0</v>
      </c>
      <c r="H57" s="116" t="b">
        <v>0</v>
      </c>
      <c r="I57" s="116" t="b">
        <v>0</v>
      </c>
      <c r="J57" s="116" t="b">
        <v>0</v>
      </c>
      <c r="K57" s="116" t="b">
        <v>0</v>
      </c>
      <c r="L57" s="117">
        <f t="shared" si="1"/>
        <v>0</v>
      </c>
      <c r="M57" s="117">
        <f t="shared" si="2"/>
        <v>0</v>
      </c>
      <c r="N57" s="112"/>
      <c r="O57" s="125"/>
    </row>
    <row r="58" ht="15.0" customHeight="1">
      <c r="A58" s="126"/>
      <c r="B58" s="126"/>
      <c r="C58" s="126"/>
      <c r="D58" s="129" t="s">
        <v>86</v>
      </c>
      <c r="E58" s="114" t="str">
        <f>VLOOKUP(D58,Data!H:I,2,0)</f>
        <v>İstanbul</v>
      </c>
      <c r="F58" s="115" t="str">
        <f>VLOOKUP(D58,Data!H:J,3,0)</f>
        <v>Freelance</v>
      </c>
      <c r="G58" s="116" t="b">
        <v>0</v>
      </c>
      <c r="H58" s="116" t="b">
        <v>0</v>
      </c>
      <c r="I58" s="116" t="b">
        <v>0</v>
      </c>
      <c r="J58" s="116" t="b">
        <v>0</v>
      </c>
      <c r="K58" s="116" t="b">
        <v>0</v>
      </c>
      <c r="L58" s="117">
        <f t="shared" si="1"/>
        <v>0</v>
      </c>
      <c r="M58" s="117">
        <f t="shared" si="2"/>
        <v>0</v>
      </c>
      <c r="N58" s="112"/>
      <c r="O58" s="126"/>
    </row>
    <row r="59" ht="15.0" customHeight="1">
      <c r="A59" s="122"/>
      <c r="B59" s="122"/>
      <c r="C59" s="122"/>
      <c r="D59" s="129" t="s">
        <v>87</v>
      </c>
      <c r="E59" s="114" t="str">
        <f>VLOOKUP(D59,Data!H:I,2,0)</f>
        <v>İstanbul</v>
      </c>
      <c r="F59" s="115" t="str">
        <f>VLOOKUP(D59,Data!H:J,3,0)</f>
        <v>Freelance</v>
      </c>
      <c r="G59" s="116" t="b">
        <v>0</v>
      </c>
      <c r="H59" s="116" t="b">
        <v>1</v>
      </c>
      <c r="I59" s="116" t="b">
        <v>0</v>
      </c>
      <c r="J59" s="116" t="b">
        <v>1</v>
      </c>
      <c r="K59" s="116" t="b">
        <v>1</v>
      </c>
      <c r="L59" s="117">
        <f t="shared" si="1"/>
        <v>3</v>
      </c>
      <c r="M59" s="117">
        <f t="shared" si="2"/>
        <v>12</v>
      </c>
      <c r="N59" s="112"/>
      <c r="O59" s="122"/>
    </row>
    <row r="60" ht="15.0" customHeight="1">
      <c r="A60" s="112"/>
      <c r="B60" s="112"/>
      <c r="C60" s="112"/>
      <c r="D60" s="132" t="s">
        <v>88</v>
      </c>
      <c r="E60" s="114" t="str">
        <f>VLOOKUP(D60,Data!H:I,2,0)</f>
        <v>İstanbul</v>
      </c>
      <c r="F60" s="115" t="str">
        <f>VLOOKUP(D60,Data!H:J,3,0)</f>
        <v>Nazım Öztel</v>
      </c>
      <c r="G60" s="116" t="b">
        <v>0</v>
      </c>
      <c r="H60" s="116" t="b">
        <v>0</v>
      </c>
      <c r="I60" s="116" t="b">
        <v>0</v>
      </c>
      <c r="J60" s="116" t="b">
        <v>1</v>
      </c>
      <c r="K60" s="116" t="b">
        <v>1</v>
      </c>
      <c r="L60" s="117">
        <f t="shared" si="1"/>
        <v>2</v>
      </c>
      <c r="M60" s="117">
        <f t="shared" si="2"/>
        <v>8</v>
      </c>
      <c r="N60" s="112"/>
      <c r="O60" s="112"/>
    </row>
    <row r="61" ht="15.0" customHeight="1">
      <c r="A61" s="112"/>
      <c r="B61" s="112"/>
      <c r="C61" s="112"/>
      <c r="D61" s="132" t="s">
        <v>89</v>
      </c>
      <c r="E61" s="114" t="str">
        <f>VLOOKUP(D61,Data!H:I,2,0)</f>
        <v>İstanbul</v>
      </c>
      <c r="F61" s="115" t="str">
        <f>VLOOKUP(D61,Data!H:J,3,0)</f>
        <v>Filamingo</v>
      </c>
      <c r="G61" s="116" t="b">
        <v>0</v>
      </c>
      <c r="H61" s="116" t="b">
        <v>0</v>
      </c>
      <c r="I61" s="116" t="b">
        <v>1</v>
      </c>
      <c r="J61" s="116" t="b">
        <v>0</v>
      </c>
      <c r="K61" s="116" t="b">
        <v>0</v>
      </c>
      <c r="L61" s="117">
        <f t="shared" si="1"/>
        <v>1</v>
      </c>
      <c r="M61" s="117">
        <f t="shared" si="2"/>
        <v>4</v>
      </c>
      <c r="N61" s="112"/>
      <c r="O61" s="112"/>
    </row>
    <row r="62" ht="15.0" customHeight="1">
      <c r="A62" s="112"/>
      <c r="B62" s="112"/>
      <c r="C62" s="112"/>
      <c r="D62" s="129" t="s">
        <v>138</v>
      </c>
      <c r="E62" s="114" t="str">
        <f>VLOOKUP(D62,Data!H:I,2,0)</f>
        <v>İstanbul</v>
      </c>
      <c r="F62" s="115" t="str">
        <f>VLOOKUP(D62,Data!H:J,3,0)</f>
        <v>Filamingo</v>
      </c>
      <c r="G62" s="116" t="b">
        <v>0</v>
      </c>
      <c r="H62" s="116" t="b">
        <v>0</v>
      </c>
      <c r="I62" s="116" t="b">
        <v>0</v>
      </c>
      <c r="J62" s="116" t="b">
        <v>0</v>
      </c>
      <c r="K62" s="116" t="b">
        <v>0</v>
      </c>
      <c r="L62" s="117">
        <f t="shared" si="1"/>
        <v>0</v>
      </c>
      <c r="M62" s="117">
        <f t="shared" si="2"/>
        <v>0</v>
      </c>
      <c r="N62" s="112"/>
      <c r="O62" s="112"/>
    </row>
    <row r="63" ht="15.0" customHeight="1">
      <c r="A63" s="112"/>
      <c r="B63" s="112"/>
      <c r="C63" s="112"/>
      <c r="D63" s="129" t="s">
        <v>127</v>
      </c>
      <c r="E63" s="114" t="str">
        <f>VLOOKUP(D63,Data!H:I,2,0)</f>
        <v>İstanbul</v>
      </c>
      <c r="F63" s="115" t="str">
        <f>VLOOKUP(D63,Data!H:J,3,0)</f>
        <v>Filamingo</v>
      </c>
      <c r="G63" s="116" t="b">
        <v>0</v>
      </c>
      <c r="H63" s="116" t="b">
        <v>0</v>
      </c>
      <c r="I63" s="116" t="b">
        <v>0</v>
      </c>
      <c r="J63" s="116" t="b">
        <v>0</v>
      </c>
      <c r="K63" s="116" t="b">
        <v>0</v>
      </c>
      <c r="L63" s="117">
        <f t="shared" si="1"/>
        <v>0</v>
      </c>
      <c r="M63" s="117">
        <f t="shared" si="2"/>
        <v>0</v>
      </c>
      <c r="N63" s="112"/>
      <c r="O63" s="112"/>
    </row>
    <row r="64" ht="15.0" customHeight="1">
      <c r="A64" s="112"/>
      <c r="B64" s="112"/>
      <c r="C64" s="112"/>
      <c r="D64" s="129" t="s">
        <v>168</v>
      </c>
      <c r="E64" s="114" t="str">
        <f>VLOOKUP(D64,Data!H:I,2,0)</f>
        <v>İstanbul</v>
      </c>
      <c r="F64" s="115" t="str">
        <f>VLOOKUP(D64,Data!H:J,3,0)</f>
        <v>Nazım Öztel</v>
      </c>
      <c r="G64" s="116" t="b">
        <v>1</v>
      </c>
      <c r="H64" s="116" t="b">
        <v>1</v>
      </c>
      <c r="I64" s="116" t="b">
        <v>0</v>
      </c>
      <c r="J64" s="116" t="b">
        <v>0</v>
      </c>
      <c r="K64" s="116" t="b">
        <v>0</v>
      </c>
      <c r="L64" s="117">
        <f t="shared" si="1"/>
        <v>2</v>
      </c>
      <c r="M64" s="117">
        <f t="shared" si="2"/>
        <v>8</v>
      </c>
      <c r="N64" s="112"/>
      <c r="O64" s="112"/>
    </row>
    <row r="65" ht="15.0" customHeight="1">
      <c r="A65" s="112"/>
      <c r="B65" s="112"/>
      <c r="C65" s="112"/>
      <c r="D65" s="132" t="s">
        <v>92</v>
      </c>
      <c r="E65" s="114" t="str">
        <f>VLOOKUP(D65,Data!H:I,2,0)</f>
        <v>İzmir</v>
      </c>
      <c r="F65" s="115" t="str">
        <f>VLOOKUP(D65,Data!H:J,3,0)</f>
        <v>Nazım Öztel</v>
      </c>
      <c r="G65" s="116" t="b">
        <v>1</v>
      </c>
      <c r="H65" s="116" t="b">
        <v>1</v>
      </c>
      <c r="I65" s="116" t="b">
        <v>1</v>
      </c>
      <c r="J65" s="116" t="b">
        <v>1</v>
      </c>
      <c r="K65" s="116" t="b">
        <v>1</v>
      </c>
      <c r="L65" s="117">
        <f t="shared" si="1"/>
        <v>5</v>
      </c>
      <c r="M65" s="117">
        <f t="shared" si="2"/>
        <v>20</v>
      </c>
      <c r="N65" s="125"/>
      <c r="O65" s="112"/>
    </row>
    <row r="66" ht="15.0" customHeight="1">
      <c r="A66" s="112"/>
      <c r="B66" s="112"/>
      <c r="C66" s="112"/>
      <c r="D66" s="129" t="s">
        <v>139</v>
      </c>
      <c r="E66" s="114" t="s">
        <v>129</v>
      </c>
      <c r="F66" s="115" t="str">
        <f>VLOOKUP(D66,Data!H:J,3,0)</f>
        <v>Nazım Öztel</v>
      </c>
      <c r="G66" s="116" t="b">
        <v>1</v>
      </c>
      <c r="H66" s="116" t="b">
        <v>1</v>
      </c>
      <c r="I66" s="116" t="b">
        <v>1</v>
      </c>
      <c r="J66" s="116" t="b">
        <v>1</v>
      </c>
      <c r="K66" s="116" t="b">
        <v>1</v>
      </c>
      <c r="L66" s="117">
        <f t="shared" si="1"/>
        <v>5</v>
      </c>
      <c r="M66" s="117">
        <f t="shared" si="2"/>
        <v>20</v>
      </c>
      <c r="N66" s="125"/>
      <c r="O66" s="112"/>
    </row>
    <row r="67" ht="15.0" customHeight="1">
      <c r="A67" s="112"/>
      <c r="B67" s="112"/>
      <c r="C67" s="112"/>
      <c r="D67" s="129" t="s">
        <v>93</v>
      </c>
      <c r="E67" s="114" t="str">
        <f>VLOOKUP(D67,Data!H:I,2,0)</f>
        <v>İzmir</v>
      </c>
      <c r="F67" s="115" t="str">
        <f>VLOOKUP(D67,Data!H:J,3,0)</f>
        <v>Freelance</v>
      </c>
      <c r="G67" s="116" t="b">
        <v>0</v>
      </c>
      <c r="H67" s="116" t="b">
        <v>0</v>
      </c>
      <c r="I67" s="116" t="b">
        <v>0</v>
      </c>
      <c r="J67" s="116" t="b">
        <v>0</v>
      </c>
      <c r="K67" s="116" t="b">
        <v>0</v>
      </c>
      <c r="L67" s="117">
        <f t="shared" si="1"/>
        <v>0</v>
      </c>
      <c r="M67" s="117">
        <f t="shared" si="2"/>
        <v>0</v>
      </c>
      <c r="N67" s="112"/>
      <c r="O67" s="112"/>
    </row>
    <row r="68" ht="15.0" customHeight="1">
      <c r="A68" s="112"/>
      <c r="B68" s="112"/>
      <c r="C68" s="112"/>
      <c r="D68" s="129" t="s">
        <v>161</v>
      </c>
      <c r="E68" s="143" t="str">
        <f>VLOOKUP(D68,Data!H:I,2,0)</f>
        <v>Kahramanmaraş</v>
      </c>
      <c r="F68" s="115" t="str">
        <f>VLOOKUP(D68,Data!H:J,3,0)</f>
        <v>Nazım Öztel</v>
      </c>
      <c r="G68" s="116" t="b">
        <v>1</v>
      </c>
      <c r="H68" s="116" t="b">
        <v>1</v>
      </c>
      <c r="I68" s="116" t="b">
        <v>0</v>
      </c>
      <c r="J68" s="116" t="b">
        <v>0</v>
      </c>
      <c r="K68" s="116" t="b">
        <v>0</v>
      </c>
      <c r="L68" s="117">
        <f t="shared" si="1"/>
        <v>2</v>
      </c>
      <c r="M68" s="117">
        <f t="shared" si="2"/>
        <v>8</v>
      </c>
      <c r="N68" s="112"/>
      <c r="O68" s="112"/>
    </row>
    <row r="69" ht="15.0" customHeight="1">
      <c r="A69" s="112"/>
      <c r="B69" s="112"/>
      <c r="C69" s="112"/>
      <c r="D69" s="132" t="s">
        <v>96</v>
      </c>
      <c r="E69" s="114" t="str">
        <f>VLOOKUP(D69,Data!H:I,2,0)</f>
        <v>Kocaeli</v>
      </c>
      <c r="F69" s="115" t="str">
        <f>VLOOKUP(D69,Data!H:J,3,0)</f>
        <v>Nazım Öztel</v>
      </c>
      <c r="G69" s="116" t="b">
        <v>0</v>
      </c>
      <c r="H69" s="116" t="b">
        <v>0</v>
      </c>
      <c r="I69" s="116" t="b">
        <v>0</v>
      </c>
      <c r="J69" s="116" t="b">
        <v>0</v>
      </c>
      <c r="K69" s="116" t="b">
        <v>1</v>
      </c>
      <c r="L69" s="117">
        <f t="shared" si="1"/>
        <v>1</v>
      </c>
      <c r="M69" s="117">
        <f t="shared" si="2"/>
        <v>4</v>
      </c>
      <c r="N69" s="112"/>
      <c r="O69" s="112"/>
    </row>
    <row r="70" ht="15.0" customHeight="1">
      <c r="A70" s="112"/>
      <c r="B70" s="112"/>
      <c r="C70" s="112"/>
      <c r="D70" s="129" t="s">
        <v>147</v>
      </c>
      <c r="E70" s="114" t="str">
        <f>VLOOKUP(D70,Data!H:I,2,0)</f>
        <v>Kocaeli</v>
      </c>
      <c r="F70" s="115" t="str">
        <f>VLOOKUP(D70,Data!H:J,3,0)</f>
        <v>Nazım Öztel</v>
      </c>
      <c r="G70" s="116" t="b">
        <v>0</v>
      </c>
      <c r="H70" s="116" t="b">
        <v>0</v>
      </c>
      <c r="I70" s="116" t="b">
        <v>0</v>
      </c>
      <c r="J70" s="116" t="b">
        <v>0</v>
      </c>
      <c r="K70" s="116" t="b">
        <v>0</v>
      </c>
      <c r="L70" s="117">
        <f t="shared" si="1"/>
        <v>0</v>
      </c>
      <c r="M70" s="117">
        <f t="shared" si="2"/>
        <v>0</v>
      </c>
      <c r="N70" s="112"/>
      <c r="O70" s="112"/>
    </row>
    <row r="71" ht="15.0" customHeight="1">
      <c r="A71" s="112"/>
      <c r="B71" s="112"/>
      <c r="C71" s="112"/>
      <c r="D71" s="132" t="s">
        <v>98</v>
      </c>
      <c r="E71" s="114" t="str">
        <f>VLOOKUP(D71,Data!H:I,2,0)</f>
        <v>Manisa</v>
      </c>
      <c r="F71" s="115" t="str">
        <f>VLOOKUP(D71,Data!H:J,3,0)</f>
        <v>Nazım Öztel</v>
      </c>
      <c r="G71" s="116" t="b">
        <v>0</v>
      </c>
      <c r="H71" s="116" t="b">
        <v>0</v>
      </c>
      <c r="I71" s="116" t="b">
        <v>0</v>
      </c>
      <c r="J71" s="116" t="b">
        <v>1</v>
      </c>
      <c r="K71" s="116" t="b">
        <v>0</v>
      </c>
      <c r="L71" s="117">
        <f t="shared" si="1"/>
        <v>1</v>
      </c>
      <c r="M71" s="117">
        <f t="shared" si="2"/>
        <v>4</v>
      </c>
      <c r="N71" s="142"/>
      <c r="O71" s="112"/>
    </row>
    <row r="72" ht="15.0" customHeight="1">
      <c r="A72" s="112"/>
      <c r="B72" s="112"/>
      <c r="C72" s="112"/>
      <c r="D72" s="132" t="s">
        <v>99</v>
      </c>
      <c r="E72" s="114" t="str">
        <f>VLOOKUP(D72,Data!H:I,2,0)</f>
        <v>Mersin</v>
      </c>
      <c r="F72" s="115" t="str">
        <f>VLOOKUP(D72,Data!H:J,3,0)</f>
        <v>Nazım Öztel</v>
      </c>
      <c r="G72" s="116" t="b">
        <v>1</v>
      </c>
      <c r="H72" s="116" t="b">
        <v>1</v>
      </c>
      <c r="I72" s="116" t="b">
        <v>1</v>
      </c>
      <c r="J72" s="116" t="b">
        <v>1</v>
      </c>
      <c r="K72" s="116" t="b">
        <v>1</v>
      </c>
      <c r="L72" s="117">
        <f t="shared" si="1"/>
        <v>5</v>
      </c>
      <c r="M72" s="117">
        <f t="shared" si="2"/>
        <v>20</v>
      </c>
      <c r="N72" s="106"/>
      <c r="O72" s="112"/>
    </row>
    <row r="73" ht="15.0" customHeight="1">
      <c r="A73" s="112"/>
      <c r="B73" s="112"/>
      <c r="C73" s="112"/>
      <c r="D73" s="129" t="s">
        <v>169</v>
      </c>
      <c r="E73" s="114" t="str">
        <f>VLOOKUP(D73,Data!H:I,2,0)</f>
        <v>Mersin</v>
      </c>
      <c r="F73" s="115" t="str">
        <f>VLOOKUP(D73,Data!H:J,3,0)</f>
        <v>Nazım Öztel</v>
      </c>
      <c r="G73" s="116" t="b">
        <v>0</v>
      </c>
      <c r="H73" s="116" t="b">
        <v>0</v>
      </c>
      <c r="I73" s="116" t="b">
        <v>1</v>
      </c>
      <c r="J73" s="116" t="b">
        <v>0</v>
      </c>
      <c r="K73" s="116" t="b">
        <v>1</v>
      </c>
      <c r="L73" s="117">
        <f t="shared" si="1"/>
        <v>2</v>
      </c>
      <c r="M73" s="117">
        <f t="shared" si="2"/>
        <v>8</v>
      </c>
      <c r="N73" s="106"/>
      <c r="O73" s="112"/>
    </row>
    <row r="74" ht="15.0" customHeight="1">
      <c r="A74" s="112"/>
      <c r="B74" s="112"/>
      <c r="C74" s="112"/>
      <c r="D74" s="129" t="s">
        <v>148</v>
      </c>
      <c r="E74" s="114" t="str">
        <f>VLOOKUP(D74,Data!H:I,2,0)</f>
        <v>Muğla</v>
      </c>
      <c r="F74" s="115" t="str">
        <f>VLOOKUP(D74,Data!H:J,3,0)</f>
        <v>Nazım Öztel</v>
      </c>
      <c r="G74" s="116" t="b">
        <v>0</v>
      </c>
      <c r="H74" s="116" t="b">
        <v>0</v>
      </c>
      <c r="I74" s="116" t="b">
        <v>0</v>
      </c>
      <c r="J74" s="116" t="b">
        <v>0</v>
      </c>
      <c r="K74" s="116" t="b">
        <v>0</v>
      </c>
      <c r="L74" s="117">
        <f t="shared" si="1"/>
        <v>0</v>
      </c>
      <c r="M74" s="117">
        <f t="shared" si="2"/>
        <v>0</v>
      </c>
      <c r="N74" s="106"/>
      <c r="O74" s="112"/>
    </row>
    <row r="75" ht="15.0" customHeight="1">
      <c r="A75" s="112"/>
      <c r="B75" s="112"/>
      <c r="C75" s="112"/>
      <c r="D75" s="129" t="s">
        <v>104</v>
      </c>
      <c r="E75" s="114" t="str">
        <f>VLOOKUP(D75,Data!H:I,2,0)</f>
        <v>Tekirdağ</v>
      </c>
      <c r="F75" s="115" t="str">
        <f>VLOOKUP(D75,Data!H:J,3,0)</f>
        <v>Freelance</v>
      </c>
      <c r="G75" s="139" t="b">
        <v>0</v>
      </c>
      <c r="H75" s="139" t="b">
        <v>1</v>
      </c>
      <c r="I75" s="139" t="b">
        <v>1</v>
      </c>
      <c r="J75" s="139" t="b">
        <v>1</v>
      </c>
      <c r="K75" s="139" t="b">
        <v>1</v>
      </c>
      <c r="L75" s="117">
        <f t="shared" si="1"/>
        <v>4</v>
      </c>
      <c r="M75" s="117">
        <f t="shared" si="2"/>
        <v>16</v>
      </c>
      <c r="N75" s="112"/>
      <c r="O75" s="112"/>
    </row>
    <row r="76" ht="15.0" customHeight="1">
      <c r="A76" s="112"/>
      <c r="B76" s="112"/>
      <c r="C76" s="112"/>
      <c r="D76" s="129" t="s">
        <v>154</v>
      </c>
      <c r="E76" s="114" t="str">
        <f>VLOOKUP(D76,Data!H:I,2,0)</f>
        <v>Uşak</v>
      </c>
      <c r="F76" s="115" t="str">
        <f>VLOOKUP(D76,Data!H:J,3,0)</f>
        <v>Nazım Öztel</v>
      </c>
      <c r="G76" s="139" t="b">
        <v>0</v>
      </c>
      <c r="H76" s="139" t="b">
        <v>1</v>
      </c>
      <c r="I76" s="139" t="b">
        <v>0</v>
      </c>
      <c r="J76" s="139" t="b">
        <v>0</v>
      </c>
      <c r="K76" s="139" t="b">
        <v>0</v>
      </c>
      <c r="L76" s="117">
        <f t="shared" si="1"/>
        <v>1</v>
      </c>
      <c r="M76" s="117">
        <f>L76*2</f>
        <v>2</v>
      </c>
      <c r="N76" s="112"/>
      <c r="O76" s="112"/>
    </row>
    <row r="77" ht="15.0" customHeight="1">
      <c r="A77" s="112"/>
      <c r="B77" s="112"/>
      <c r="C77" s="112"/>
      <c r="D77" s="132"/>
      <c r="E77" s="132"/>
      <c r="F77" s="132"/>
      <c r="G77" s="117">
        <f t="shared" ref="G77:K77" si="3">4*(COUNTIF(G14:G76,"true"))</f>
        <v>92</v>
      </c>
      <c r="H77" s="117">
        <f t="shared" si="3"/>
        <v>108</v>
      </c>
      <c r="I77" s="117">
        <f t="shared" si="3"/>
        <v>124</v>
      </c>
      <c r="J77" s="117">
        <f t="shared" si="3"/>
        <v>120</v>
      </c>
      <c r="K77" s="117">
        <f t="shared" si="3"/>
        <v>116</v>
      </c>
      <c r="L77" s="135"/>
      <c r="M77" s="135">
        <f>SUM(G77:K77)</f>
        <v>560</v>
      </c>
      <c r="N77" s="112"/>
      <c r="O77" s="112"/>
    </row>
  </sheetData>
  <autoFilter ref="$D$14:$M$77">
    <sortState ref="D14:M77">
      <sortCondition ref="D14:D77"/>
    </sortState>
  </autoFilter>
  <customSheetViews>
    <customSheetView guid="{70B995D3-3AEB-4DFE-A0CA-D6FFCCE596BC}" filter="1" showAutoFilter="1">
      <autoFilter ref="$D$14:$D$76"/>
    </customSheetView>
    <customSheetView guid="{90E1DF85-7252-44D2-BA7D-CC3767CD0E8B}" filter="1" showAutoFilter="1">
      <autoFilter ref="$A$14:$O$77">
        <filterColumn colId="4">
          <filters>
            <filter val="Aydın"/>
            <filter val="Burdur"/>
            <filter val="Edirne"/>
            <filter val="Muğla"/>
            <filter val="Eskişehir"/>
            <filter val="Kahramanmaraş"/>
            <filter val="Uşak"/>
          </filters>
        </filterColumn>
      </autoFilter>
    </customSheetView>
  </customSheetViews>
  <mergeCells count="4">
    <mergeCell ref="D6:K6"/>
    <mergeCell ref="D7:F7"/>
    <mergeCell ref="D9:D12"/>
    <mergeCell ref="F10:M11"/>
  </mergeCells>
  <conditionalFormatting sqref="G15:K76">
    <cfRule type="cellIs" dxfId="1" priority="1" operator="equal">
      <formula>"False"</formula>
    </cfRule>
  </conditionalFormatting>
  <conditionalFormatting sqref="G15:K76">
    <cfRule type="cellIs" dxfId="0" priority="2" operator="equal">
      <formula>"TRUE"</formula>
    </cfRule>
  </conditionalFormatting>
  <dataValidations>
    <dataValidation type="list" allowBlank="1" showErrorMessage="1" sqref="E15:E76">
      <formula1>Data!$A$2:$A$10</formula1>
    </dataValidation>
    <dataValidation type="list" allowBlank="1" showErrorMessage="1" sqref="F15:F76">
      <formula1>Data!$C$2:$C$8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3" width="2.63"/>
    <col customWidth="1" min="4" max="4" width="20.38"/>
    <col customWidth="1" min="5" max="5" width="11.38"/>
    <col customWidth="1" min="6" max="6" width="16.63"/>
    <col customWidth="1" min="7" max="11" width="8.63"/>
    <col customWidth="1" min="12" max="12" width="12.63"/>
    <col customWidth="1" min="13" max="13" width="15.13"/>
    <col customWidth="1" min="14" max="15" width="2.63"/>
  </cols>
  <sheetData>
    <row r="1" ht="7.5" customHeight="1">
      <c r="A1" s="140"/>
      <c r="B1" s="84"/>
      <c r="C1" s="84"/>
      <c r="D1" s="84"/>
      <c r="E1" s="84"/>
      <c r="F1" s="84"/>
      <c r="G1" s="84"/>
      <c r="H1" s="84"/>
      <c r="I1" s="84"/>
      <c r="J1" s="84"/>
      <c r="K1" s="84"/>
      <c r="L1" s="85"/>
      <c r="M1" s="86"/>
      <c r="N1" s="86"/>
      <c r="O1" s="86"/>
    </row>
    <row r="2" ht="15.0" customHeight="1">
      <c r="A2" s="87"/>
      <c r="B2" s="87"/>
      <c r="C2" s="87"/>
      <c r="D2" s="88"/>
      <c r="E2" s="88"/>
      <c r="F2" s="88"/>
      <c r="G2" s="88"/>
      <c r="H2" s="88"/>
      <c r="I2" s="88"/>
      <c r="J2" s="88"/>
      <c r="K2" s="88"/>
      <c r="L2" s="88"/>
      <c r="M2" s="87"/>
      <c r="N2" s="87"/>
      <c r="O2" s="87"/>
    </row>
    <row r="3" ht="3.75" customHeight="1">
      <c r="A3" s="87"/>
      <c r="B3" s="87"/>
      <c r="C3" s="87"/>
      <c r="D3" s="89"/>
      <c r="E3" s="90"/>
      <c r="F3" s="90"/>
      <c r="G3" s="90"/>
      <c r="H3" s="90"/>
      <c r="I3" s="90"/>
      <c r="J3" s="90"/>
      <c r="K3" s="90"/>
      <c r="L3" s="90"/>
      <c r="M3" s="87"/>
      <c r="N3" s="87"/>
      <c r="O3" s="87"/>
    </row>
    <row r="4" ht="15.0" customHeight="1">
      <c r="A4" s="87"/>
      <c r="B4" s="87"/>
      <c r="C4" s="87"/>
      <c r="D4" s="88"/>
      <c r="E4" s="88"/>
      <c r="F4" s="88"/>
      <c r="G4" s="91"/>
      <c r="H4" s="91"/>
      <c r="I4" s="91"/>
      <c r="J4" s="91"/>
      <c r="K4" s="91"/>
      <c r="L4" s="91"/>
      <c r="M4" s="87"/>
      <c r="N4" s="87"/>
      <c r="O4" s="87"/>
    </row>
    <row r="5" ht="15.0" customHeight="1">
      <c r="A5" s="92"/>
      <c r="B5" s="92"/>
      <c r="C5" s="92"/>
      <c r="D5" s="88"/>
      <c r="E5" s="88"/>
      <c r="F5" s="88"/>
      <c r="G5" s="93"/>
      <c r="H5" s="93"/>
      <c r="I5" s="93"/>
      <c r="J5" s="93"/>
      <c r="K5" s="93"/>
      <c r="L5" s="94"/>
      <c r="M5" s="88"/>
      <c r="N5" s="92"/>
      <c r="O5" s="92"/>
    </row>
    <row r="6" ht="15.0" customHeight="1">
      <c r="A6" s="92"/>
      <c r="B6" s="92"/>
      <c r="C6" s="92"/>
      <c r="D6" s="95" t="s">
        <v>170</v>
      </c>
      <c r="L6" s="94"/>
      <c r="M6" s="88"/>
      <c r="N6" s="92"/>
      <c r="O6" s="92"/>
    </row>
    <row r="7" ht="15.0" customHeight="1">
      <c r="A7" s="92"/>
      <c r="B7" s="92"/>
      <c r="C7" s="92"/>
      <c r="D7" s="96" t="s">
        <v>171</v>
      </c>
      <c r="G7" s="97"/>
      <c r="H7" s="97"/>
      <c r="I7" s="97"/>
      <c r="J7" s="97"/>
      <c r="K7" s="97"/>
      <c r="L7" s="92"/>
      <c r="M7" s="92"/>
      <c r="N7" s="92"/>
      <c r="O7" s="92"/>
    </row>
    <row r="8" ht="15.0" customHeight="1">
      <c r="A8" s="92"/>
      <c r="B8" s="92"/>
      <c r="C8" s="92"/>
      <c r="D8" s="97"/>
      <c r="E8" s="97"/>
      <c r="F8" s="97"/>
      <c r="G8" s="97"/>
      <c r="H8" s="97"/>
      <c r="I8" s="97"/>
      <c r="J8" s="97"/>
      <c r="K8" s="97"/>
      <c r="L8" s="92"/>
      <c r="M8" s="92"/>
      <c r="N8" s="92"/>
      <c r="O8" s="92"/>
    </row>
    <row r="9" ht="15.0" customHeight="1">
      <c r="A9" s="92"/>
      <c r="B9" s="92"/>
      <c r="C9" s="98"/>
      <c r="D9" s="99" t="s">
        <v>35</v>
      </c>
      <c r="E9" s="100"/>
      <c r="F9" s="101"/>
      <c r="G9" s="101"/>
      <c r="H9" s="101"/>
      <c r="I9" s="101"/>
      <c r="J9" s="101"/>
      <c r="K9" s="101"/>
      <c r="L9" s="101"/>
      <c r="M9" s="100"/>
      <c r="N9" s="102"/>
      <c r="O9" s="102"/>
    </row>
    <row r="10" ht="15.0" customHeight="1">
      <c r="A10" s="92"/>
      <c r="B10" s="92"/>
      <c r="C10" s="98"/>
      <c r="E10" s="100"/>
      <c r="F10" s="103" t="s">
        <v>36</v>
      </c>
      <c r="N10" s="102"/>
      <c r="O10" s="102"/>
    </row>
    <row r="11" ht="15.0" customHeight="1">
      <c r="A11" s="92"/>
      <c r="B11" s="92"/>
      <c r="C11" s="98"/>
      <c r="E11" s="100"/>
      <c r="N11" s="102"/>
      <c r="O11" s="102"/>
    </row>
    <row r="12" ht="15.0" customHeight="1">
      <c r="A12" s="88"/>
      <c r="B12" s="92"/>
      <c r="C12" s="92"/>
      <c r="E12" s="100"/>
      <c r="F12" s="100"/>
      <c r="G12" s="100"/>
      <c r="H12" s="100"/>
      <c r="I12" s="100"/>
      <c r="J12" s="100"/>
      <c r="K12" s="100"/>
      <c r="L12" s="100"/>
      <c r="M12" s="100"/>
      <c r="N12" s="102"/>
      <c r="O12" s="102"/>
    </row>
    <row r="13" ht="15.0" customHeight="1">
      <c r="A13" s="88"/>
      <c r="B13" s="104"/>
      <c r="C13" s="104"/>
      <c r="D13" s="104"/>
      <c r="E13" s="104"/>
      <c r="F13" s="105"/>
      <c r="G13" s="105"/>
      <c r="H13" s="105"/>
      <c r="I13" s="105"/>
      <c r="J13" s="105"/>
      <c r="K13" s="105"/>
      <c r="L13" s="104"/>
      <c r="M13" s="104"/>
      <c r="N13" s="104"/>
      <c r="O13" s="104"/>
    </row>
    <row r="14" ht="15.0" customHeight="1">
      <c r="A14" s="106"/>
      <c r="B14" s="106"/>
      <c r="C14" s="106"/>
      <c r="D14" s="107" t="s">
        <v>37</v>
      </c>
      <c r="E14" s="108" t="s">
        <v>38</v>
      </c>
      <c r="F14" s="109" t="s">
        <v>39</v>
      </c>
      <c r="G14" s="110">
        <v>44487.0</v>
      </c>
      <c r="H14" s="110">
        <v>44488.0</v>
      </c>
      <c r="I14" s="110">
        <v>44489.0</v>
      </c>
      <c r="J14" s="110">
        <v>44490.0</v>
      </c>
      <c r="K14" s="110">
        <v>44491.0</v>
      </c>
      <c r="L14" s="111" t="s">
        <v>40</v>
      </c>
      <c r="M14" s="111" t="s">
        <v>41</v>
      </c>
      <c r="N14" s="88"/>
      <c r="O14" s="88"/>
    </row>
    <row r="15" ht="15.0" customHeight="1">
      <c r="A15" s="112"/>
      <c r="B15" s="112"/>
      <c r="C15" s="112"/>
      <c r="D15" s="129" t="s">
        <v>42</v>
      </c>
      <c r="E15" s="114" t="str">
        <f>VLOOKUP(D15,Data!H:I,2,0)</f>
        <v>Adana</v>
      </c>
      <c r="F15" s="115" t="str">
        <f>VLOOKUP(D15,Data!H:J,3,0)</f>
        <v>Freelance</v>
      </c>
      <c r="G15" s="116" t="b">
        <v>1</v>
      </c>
      <c r="H15" s="116" t="b">
        <v>1</v>
      </c>
      <c r="I15" s="116" t="b">
        <v>1</v>
      </c>
      <c r="J15" s="116" t="b">
        <v>1</v>
      </c>
      <c r="K15" s="116" t="b">
        <v>1</v>
      </c>
      <c r="L15" s="117">
        <f t="shared" ref="L15:L76" si="1">COUNTIF(G15:K15,"TRUE")</f>
        <v>5</v>
      </c>
      <c r="M15" s="117">
        <f t="shared" ref="M15:M75" si="2">L15*4</f>
        <v>20</v>
      </c>
      <c r="N15" s="112"/>
      <c r="O15" s="88"/>
    </row>
    <row r="16" ht="15.0" customHeight="1">
      <c r="A16" s="112"/>
      <c r="B16" s="112"/>
      <c r="C16" s="112"/>
      <c r="D16" s="129" t="s">
        <v>43</v>
      </c>
      <c r="E16" s="114" t="str">
        <f>VLOOKUP(D16,Data!H:I,2,0)</f>
        <v>Adana</v>
      </c>
      <c r="F16" s="115" t="str">
        <f>VLOOKUP(D16,Data!H:J,3,0)</f>
        <v>Freelance</v>
      </c>
      <c r="G16" s="116" t="b">
        <v>0</v>
      </c>
      <c r="H16" s="116" t="b">
        <v>0</v>
      </c>
      <c r="I16" s="116" t="b">
        <v>0</v>
      </c>
      <c r="J16" s="116" t="b">
        <v>0</v>
      </c>
      <c r="K16" s="116" t="b">
        <v>0</v>
      </c>
      <c r="L16" s="117">
        <f t="shared" si="1"/>
        <v>0</v>
      </c>
      <c r="M16" s="117">
        <f t="shared" si="2"/>
        <v>0</v>
      </c>
      <c r="N16" s="112"/>
      <c r="O16" s="88"/>
    </row>
    <row r="17" ht="15.0" customHeight="1">
      <c r="A17" s="112"/>
      <c r="B17" s="112"/>
      <c r="C17" s="112"/>
      <c r="D17" s="119" t="s">
        <v>48</v>
      </c>
      <c r="E17" s="114" t="str">
        <f>VLOOKUP(D17,Data!H:I,2,0)</f>
        <v>Ankara</v>
      </c>
      <c r="F17" s="115" t="str">
        <f>VLOOKUP(D17,Data!H:J,3,0)</f>
        <v>Medya Özgür Deniz</v>
      </c>
      <c r="G17" s="116" t="b">
        <v>0</v>
      </c>
      <c r="H17" s="116" t="b">
        <v>0</v>
      </c>
      <c r="I17" s="116" t="b">
        <v>0</v>
      </c>
      <c r="J17" s="116" t="b">
        <v>0</v>
      </c>
      <c r="K17" s="116" t="b">
        <v>0</v>
      </c>
      <c r="L17" s="117">
        <f t="shared" si="1"/>
        <v>0</v>
      </c>
      <c r="M17" s="117">
        <f t="shared" si="2"/>
        <v>0</v>
      </c>
      <c r="N17" s="88"/>
      <c r="O17" s="88"/>
    </row>
    <row r="18" ht="15.0" customHeight="1">
      <c r="A18" s="112"/>
      <c r="B18" s="112"/>
      <c r="C18" s="112"/>
      <c r="D18" s="131" t="s">
        <v>44</v>
      </c>
      <c r="E18" s="114" t="str">
        <f>VLOOKUP(D18,Data!H:I,2,0)</f>
        <v>Ankara</v>
      </c>
      <c r="F18" s="115" t="str">
        <f>VLOOKUP(D18,Data!H:J,3,0)</f>
        <v>Medya Özgür Deniz</v>
      </c>
      <c r="G18" s="116" t="b">
        <v>1</v>
      </c>
      <c r="H18" s="116" t="b">
        <v>1</v>
      </c>
      <c r="I18" s="116" t="b">
        <v>1</v>
      </c>
      <c r="J18" s="116" t="b">
        <v>1</v>
      </c>
      <c r="K18" s="116" t="b">
        <v>1</v>
      </c>
      <c r="L18" s="117">
        <f t="shared" si="1"/>
        <v>5</v>
      </c>
      <c r="M18" s="117">
        <f t="shared" si="2"/>
        <v>20</v>
      </c>
      <c r="N18" s="112"/>
      <c r="O18" s="88"/>
    </row>
    <row r="19" ht="15.0" customHeight="1">
      <c r="A19" s="120"/>
      <c r="B19" s="120"/>
      <c r="C19" s="120"/>
      <c r="D19" s="131" t="s">
        <v>45</v>
      </c>
      <c r="E19" s="114" t="str">
        <f>VLOOKUP(D19,Data!H:I,2,0)</f>
        <v>Ankara</v>
      </c>
      <c r="F19" s="115" t="str">
        <f>VLOOKUP(D19,Data!H:J,3,0)</f>
        <v>Medya Özgür Deniz</v>
      </c>
      <c r="G19" s="116" t="b">
        <v>0</v>
      </c>
      <c r="H19" s="116" t="b">
        <v>0</v>
      </c>
      <c r="I19" s="116" t="b">
        <v>0</v>
      </c>
      <c r="J19" s="116" t="b">
        <v>0</v>
      </c>
      <c r="K19" s="116" t="b">
        <v>0</v>
      </c>
      <c r="L19" s="117">
        <f t="shared" si="1"/>
        <v>0</v>
      </c>
      <c r="M19" s="117">
        <f t="shared" si="2"/>
        <v>0</v>
      </c>
      <c r="N19" s="112"/>
      <c r="O19" s="120"/>
    </row>
    <row r="20" ht="15.0" customHeight="1">
      <c r="A20" s="121"/>
      <c r="B20" s="121"/>
      <c r="C20" s="121"/>
      <c r="D20" s="131" t="s">
        <v>46</v>
      </c>
      <c r="E20" s="114" t="str">
        <f>VLOOKUP(D20,Data!H:I,2,0)</f>
        <v>Ankara</v>
      </c>
      <c r="F20" s="115" t="str">
        <f>VLOOKUP(D20,Data!H:J,3,0)</f>
        <v>Medya Özgür Deniz</v>
      </c>
      <c r="G20" s="116" t="b">
        <v>1</v>
      </c>
      <c r="H20" s="116" t="b">
        <v>1</v>
      </c>
      <c r="I20" s="116" t="b">
        <v>1</v>
      </c>
      <c r="J20" s="116" t="b">
        <v>1</v>
      </c>
      <c r="K20" s="116" t="b">
        <v>1</v>
      </c>
      <c r="L20" s="117">
        <f t="shared" si="1"/>
        <v>5</v>
      </c>
      <c r="M20" s="117">
        <f t="shared" si="2"/>
        <v>20</v>
      </c>
      <c r="N20" s="112"/>
      <c r="O20" s="121"/>
    </row>
    <row r="21" ht="15.0" customHeight="1">
      <c r="A21" s="121"/>
      <c r="B21" s="121"/>
      <c r="C21" s="121"/>
      <c r="D21" s="131" t="s">
        <v>47</v>
      </c>
      <c r="E21" s="114" t="str">
        <f>VLOOKUP(D21,Data!H:I,2,0)</f>
        <v>Ankara</v>
      </c>
      <c r="F21" s="115" t="str">
        <f>VLOOKUP(D21,Data!H:J,3,0)</f>
        <v>Medya Özgür Deniz</v>
      </c>
      <c r="G21" s="116" t="b">
        <v>1</v>
      </c>
      <c r="H21" s="116" t="b">
        <v>1</v>
      </c>
      <c r="I21" s="116" t="b">
        <v>1</v>
      </c>
      <c r="J21" s="116" t="b">
        <v>1</v>
      </c>
      <c r="K21" s="116" t="b">
        <v>1</v>
      </c>
      <c r="L21" s="117">
        <f t="shared" si="1"/>
        <v>5</v>
      </c>
      <c r="M21" s="117">
        <f t="shared" si="2"/>
        <v>20</v>
      </c>
      <c r="N21" s="112"/>
      <c r="O21" s="121"/>
    </row>
    <row r="22" ht="15.0" customHeight="1">
      <c r="A22" s="106"/>
      <c r="B22" s="106"/>
      <c r="C22" s="106"/>
      <c r="D22" s="129" t="s">
        <v>164</v>
      </c>
      <c r="E22" s="114" t="str">
        <f>VLOOKUP(D22,Data!H:I,2,0)</f>
        <v>Antalya</v>
      </c>
      <c r="F22" s="115" t="str">
        <f>VLOOKUP(D22,Data!H:J,3,0)</f>
        <v>Nazım Öztel</v>
      </c>
      <c r="G22" s="116" t="b">
        <v>1</v>
      </c>
      <c r="H22" s="116" t="b">
        <v>1</v>
      </c>
      <c r="I22" s="116" t="b">
        <v>0</v>
      </c>
      <c r="J22" s="116" t="b">
        <v>1</v>
      </c>
      <c r="K22" s="116" t="b">
        <v>0</v>
      </c>
      <c r="L22" s="117">
        <f t="shared" si="1"/>
        <v>3</v>
      </c>
      <c r="M22" s="117">
        <f t="shared" si="2"/>
        <v>12</v>
      </c>
      <c r="N22" s="112"/>
      <c r="O22" s="106"/>
    </row>
    <row r="23" ht="15.0" customHeight="1">
      <c r="A23" s="106"/>
      <c r="B23" s="106"/>
      <c r="C23" s="106"/>
      <c r="D23" s="129" t="s">
        <v>152</v>
      </c>
      <c r="E23" s="114" t="str">
        <f>VLOOKUP(D23,Data!H:I,2,0)</f>
        <v>Antalya</v>
      </c>
      <c r="F23" s="115" t="str">
        <f>VLOOKUP(D23,Data!H:J,3,0)</f>
        <v>Nazım Öztel</v>
      </c>
      <c r="G23" s="116" t="b">
        <v>1</v>
      </c>
      <c r="H23" s="116" t="b">
        <v>1</v>
      </c>
      <c r="I23" s="116" t="b">
        <v>1</v>
      </c>
      <c r="J23" s="116" t="b">
        <v>1</v>
      </c>
      <c r="K23" s="116" t="b">
        <v>1</v>
      </c>
      <c r="L23" s="117">
        <f t="shared" si="1"/>
        <v>5</v>
      </c>
      <c r="M23" s="117">
        <f t="shared" si="2"/>
        <v>20</v>
      </c>
      <c r="N23" s="112"/>
      <c r="O23" s="106"/>
    </row>
    <row r="24" ht="15.0" customHeight="1">
      <c r="A24" s="112"/>
      <c r="B24" s="112"/>
      <c r="C24" s="112"/>
      <c r="D24" s="129" t="s">
        <v>50</v>
      </c>
      <c r="E24" s="114" t="str">
        <f>VLOOKUP(D24,Data!H:I,2,0)</f>
        <v>Antalya</v>
      </c>
      <c r="F24" s="115" t="str">
        <f>VLOOKUP(D24,Data!H:J,3,0)</f>
        <v>Freelance</v>
      </c>
      <c r="G24" s="116" t="b">
        <v>1</v>
      </c>
      <c r="H24" s="116" t="b">
        <v>1</v>
      </c>
      <c r="I24" s="116" t="b">
        <v>1</v>
      </c>
      <c r="J24" s="116" t="b">
        <v>1</v>
      </c>
      <c r="K24" s="116" t="b">
        <v>1</v>
      </c>
      <c r="L24" s="117">
        <f t="shared" si="1"/>
        <v>5</v>
      </c>
      <c r="M24" s="117">
        <f t="shared" si="2"/>
        <v>20</v>
      </c>
      <c r="N24" s="112"/>
      <c r="O24" s="112"/>
    </row>
    <row r="25" ht="15.0" customHeight="1">
      <c r="A25" s="112"/>
      <c r="B25" s="112"/>
      <c r="C25" s="112"/>
      <c r="D25" s="129" t="s">
        <v>159</v>
      </c>
      <c r="E25" s="114" t="str">
        <f>VLOOKUP(D25,Data!H:I,2,0)</f>
        <v>Aydın</v>
      </c>
      <c r="F25" s="115" t="str">
        <f>VLOOKUP(D25,Data!H:J,3,0)</f>
        <v>Nazım Öztel</v>
      </c>
      <c r="G25" s="116" t="b">
        <v>1</v>
      </c>
      <c r="H25" s="116" t="b">
        <v>1</v>
      </c>
      <c r="I25" s="116" t="b">
        <v>0</v>
      </c>
      <c r="J25" s="116" t="b">
        <v>1</v>
      </c>
      <c r="K25" s="116" t="b">
        <v>0</v>
      </c>
      <c r="L25" s="117">
        <f t="shared" si="1"/>
        <v>3</v>
      </c>
      <c r="M25" s="117">
        <f t="shared" si="2"/>
        <v>12</v>
      </c>
      <c r="N25" s="112"/>
      <c r="O25" s="112"/>
    </row>
    <row r="26" ht="15.0" customHeight="1">
      <c r="A26" s="112"/>
      <c r="B26" s="112"/>
      <c r="C26" s="112"/>
      <c r="D26" s="129" t="s">
        <v>172</v>
      </c>
      <c r="E26" s="114" t="str">
        <f>VLOOKUP(D26,Data!H:I,2,0)</f>
        <v>Balıkesir</v>
      </c>
      <c r="F26" s="115" t="str">
        <f>VLOOKUP(D26,Data!H:J,3,0)</f>
        <v>Nazım Öztel</v>
      </c>
      <c r="G26" s="116" t="b">
        <v>0</v>
      </c>
      <c r="H26" s="116" t="b">
        <v>0</v>
      </c>
      <c r="I26" s="116" t="b">
        <v>0</v>
      </c>
      <c r="J26" s="116" t="b">
        <v>0</v>
      </c>
      <c r="K26" s="116" t="b">
        <v>0</v>
      </c>
      <c r="L26" s="117">
        <f t="shared" si="1"/>
        <v>0</v>
      </c>
      <c r="M26" s="117">
        <f t="shared" si="2"/>
        <v>0</v>
      </c>
      <c r="N26" s="112"/>
      <c r="O26" s="112"/>
    </row>
    <row r="27" ht="15.0" customHeight="1">
      <c r="A27" s="112"/>
      <c r="B27" s="112"/>
      <c r="C27" s="112"/>
      <c r="D27" s="129" t="s">
        <v>160</v>
      </c>
      <c r="E27" s="114" t="str">
        <f>VLOOKUP(D27,Data!H:I,2,0)</f>
        <v>Burdur</v>
      </c>
      <c r="F27" s="115" t="str">
        <f>VLOOKUP(D27,Data!H:J,3,0)</f>
        <v>Nazım Öztel</v>
      </c>
      <c r="G27" s="116" t="b">
        <v>1</v>
      </c>
      <c r="H27" s="116" t="b">
        <v>0</v>
      </c>
      <c r="I27" s="116" t="b">
        <v>0</v>
      </c>
      <c r="J27" s="116" t="b">
        <v>0</v>
      </c>
      <c r="K27" s="116" t="b">
        <v>0</v>
      </c>
      <c r="L27" s="117">
        <f t="shared" si="1"/>
        <v>1</v>
      </c>
      <c r="M27" s="117">
        <f t="shared" si="2"/>
        <v>4</v>
      </c>
      <c r="N27" s="112"/>
      <c r="O27" s="112"/>
    </row>
    <row r="28" ht="15.0" customHeight="1">
      <c r="A28" s="112"/>
      <c r="B28" s="112"/>
      <c r="C28" s="112"/>
      <c r="D28" s="132" t="s">
        <v>52</v>
      </c>
      <c r="E28" s="114" t="str">
        <f>VLOOKUP(D28,Data!H:I,2,0)</f>
        <v>Bursa</v>
      </c>
      <c r="F28" s="115" t="str">
        <f>VLOOKUP(D28,Data!H:J,3,0)</f>
        <v>Nazım Öztel</v>
      </c>
      <c r="G28" s="116" t="b">
        <v>0</v>
      </c>
      <c r="H28" s="116" t="b">
        <v>1</v>
      </c>
      <c r="I28" s="116" t="b">
        <v>1</v>
      </c>
      <c r="J28" s="116" t="b">
        <v>1</v>
      </c>
      <c r="K28" s="116" t="b">
        <v>0</v>
      </c>
      <c r="L28" s="117">
        <f t="shared" si="1"/>
        <v>3</v>
      </c>
      <c r="M28" s="117">
        <f t="shared" si="2"/>
        <v>12</v>
      </c>
      <c r="N28" s="122"/>
      <c r="O28" s="112"/>
    </row>
    <row r="29" ht="15.0" customHeight="1">
      <c r="A29" s="112"/>
      <c r="B29" s="112"/>
      <c r="C29" s="112"/>
      <c r="D29" s="129" t="s">
        <v>53</v>
      </c>
      <c r="E29" s="114" t="str">
        <f>VLOOKUP(D29,Data!H:I,2,0)</f>
        <v>Bursa</v>
      </c>
      <c r="F29" s="115" t="str">
        <f>VLOOKUP(D29,Data!H:J,3,0)</f>
        <v>Freelance</v>
      </c>
      <c r="G29" s="116" t="b">
        <v>1</v>
      </c>
      <c r="H29" s="116" t="b">
        <v>1</v>
      </c>
      <c r="I29" s="116" t="b">
        <v>1</v>
      </c>
      <c r="J29" s="116" t="b">
        <v>1</v>
      </c>
      <c r="K29" s="116" t="b">
        <v>1</v>
      </c>
      <c r="L29" s="117">
        <f t="shared" si="1"/>
        <v>5</v>
      </c>
      <c r="M29" s="117">
        <f t="shared" si="2"/>
        <v>20</v>
      </c>
      <c r="N29" s="112"/>
      <c r="O29" s="112"/>
    </row>
    <row r="30" ht="15.0" customHeight="1">
      <c r="A30" s="112"/>
      <c r="B30" s="112"/>
      <c r="C30" s="112"/>
      <c r="D30" s="132" t="s">
        <v>54</v>
      </c>
      <c r="E30" s="114" t="str">
        <f>VLOOKUP(D30,Data!H:I,2,0)</f>
        <v>Diyarbakır</v>
      </c>
      <c r="F30" s="115" t="str">
        <f>VLOOKUP(D30,Data!H:J,3,0)</f>
        <v>Nazım Öztel</v>
      </c>
      <c r="G30" s="116" t="b">
        <v>0</v>
      </c>
      <c r="H30" s="116" t="b">
        <v>0</v>
      </c>
      <c r="I30" s="116" t="b">
        <v>0</v>
      </c>
      <c r="J30" s="116" t="b">
        <v>0</v>
      </c>
      <c r="K30" s="116" t="b">
        <v>0</v>
      </c>
      <c r="L30" s="117">
        <f t="shared" si="1"/>
        <v>0</v>
      </c>
      <c r="M30" s="117">
        <f t="shared" si="2"/>
        <v>0</v>
      </c>
      <c r="N30" s="112"/>
      <c r="O30" s="112"/>
    </row>
    <row r="31" ht="15.0" customHeight="1">
      <c r="A31" s="112"/>
      <c r="B31" s="112"/>
      <c r="C31" s="112"/>
      <c r="D31" s="129" t="s">
        <v>173</v>
      </c>
      <c r="E31" s="114" t="str">
        <f>VLOOKUP(D31,Data!H:I,2,0)</f>
        <v>Düzce</v>
      </c>
      <c r="F31" s="115" t="str">
        <f>VLOOKUP(D31,Data!H:J,3,0)</f>
        <v>Nazım Öztel</v>
      </c>
      <c r="G31" s="116" t="b">
        <v>1</v>
      </c>
      <c r="H31" s="116" t="b">
        <v>1</v>
      </c>
      <c r="I31" s="116" t="b">
        <v>1</v>
      </c>
      <c r="J31" s="116" t="b">
        <v>0</v>
      </c>
      <c r="K31" s="116" t="b">
        <v>0</v>
      </c>
      <c r="L31" s="117">
        <f t="shared" si="1"/>
        <v>3</v>
      </c>
      <c r="M31" s="117">
        <f t="shared" si="2"/>
        <v>12</v>
      </c>
      <c r="N31" s="112"/>
      <c r="O31" s="112"/>
    </row>
    <row r="32" ht="15.0" customHeight="1">
      <c r="A32" s="112"/>
      <c r="B32" s="112"/>
      <c r="C32" s="112"/>
      <c r="D32" s="129" t="s">
        <v>153</v>
      </c>
      <c r="E32" s="114" t="str">
        <f>VLOOKUP(D32,Data!H:I,2,0)</f>
        <v>Edirne</v>
      </c>
      <c r="F32" s="115" t="str">
        <f>VLOOKUP(D32,Data!H:J,3,0)</f>
        <v>Nazım Öztel</v>
      </c>
      <c r="G32" s="116" t="b">
        <v>1</v>
      </c>
      <c r="H32" s="116" t="b">
        <v>1</v>
      </c>
      <c r="I32" s="116" t="b">
        <v>0</v>
      </c>
      <c r="J32" s="116" t="b">
        <v>0</v>
      </c>
      <c r="K32" s="116" t="b">
        <v>0</v>
      </c>
      <c r="L32" s="117">
        <f t="shared" si="1"/>
        <v>2</v>
      </c>
      <c r="M32" s="117">
        <f t="shared" si="2"/>
        <v>8</v>
      </c>
      <c r="N32" s="112"/>
      <c r="O32" s="112"/>
    </row>
    <row r="33" ht="15.0" customHeight="1">
      <c r="A33" s="112"/>
      <c r="B33" s="112"/>
      <c r="C33" s="112"/>
      <c r="D33" s="132" t="s">
        <v>55</v>
      </c>
      <c r="E33" s="114" t="str">
        <f>VLOOKUP(D33,Data!H:I,2,0)</f>
        <v>Erzurum</v>
      </c>
      <c r="F33" s="115" t="str">
        <f>VLOOKUP(D33,Data!H:J,3,0)</f>
        <v>Nazım Öztel</v>
      </c>
      <c r="G33" s="116" t="b">
        <v>0</v>
      </c>
      <c r="H33" s="116" t="b">
        <v>0</v>
      </c>
      <c r="I33" s="116" t="b">
        <v>0</v>
      </c>
      <c r="J33" s="116" t="b">
        <v>0</v>
      </c>
      <c r="K33" s="116" t="b">
        <v>0</v>
      </c>
      <c r="L33" s="117">
        <f t="shared" si="1"/>
        <v>0</v>
      </c>
      <c r="M33" s="117">
        <f t="shared" si="2"/>
        <v>0</v>
      </c>
      <c r="N33" s="112"/>
      <c r="O33" s="112"/>
    </row>
    <row r="34" ht="15.0" customHeight="1">
      <c r="A34" s="112"/>
      <c r="B34" s="112"/>
      <c r="C34" s="112"/>
      <c r="D34" s="129" t="s">
        <v>165</v>
      </c>
      <c r="E34" s="114" t="str">
        <f>VLOOKUP(D34,Data!H:I,2,0)</f>
        <v>Eskişehir</v>
      </c>
      <c r="F34" s="115" t="str">
        <f>VLOOKUP(D34,Data!H:J,3,0)</f>
        <v>Nazım Öztel</v>
      </c>
      <c r="G34" s="116" t="b">
        <v>0</v>
      </c>
      <c r="H34" s="116" t="b">
        <v>1</v>
      </c>
      <c r="I34" s="116" t="b">
        <v>1</v>
      </c>
      <c r="J34" s="116" t="b">
        <v>1</v>
      </c>
      <c r="K34" s="116" t="b">
        <v>1</v>
      </c>
      <c r="L34" s="117">
        <f t="shared" si="1"/>
        <v>4</v>
      </c>
      <c r="M34" s="117">
        <f t="shared" si="2"/>
        <v>16</v>
      </c>
      <c r="N34" s="112"/>
      <c r="O34" s="112"/>
    </row>
    <row r="35" ht="15.0" customHeight="1">
      <c r="A35" s="112"/>
      <c r="B35" s="112"/>
      <c r="C35" s="112"/>
      <c r="D35" s="129" t="s">
        <v>58</v>
      </c>
      <c r="E35" s="114" t="str">
        <f>VLOOKUP(D35,Data!H:I,2,0)</f>
        <v>İstanbul</v>
      </c>
      <c r="F35" s="115" t="str">
        <f>VLOOKUP(D35,Data!H:J,3,0)</f>
        <v>Freelance</v>
      </c>
      <c r="G35" s="116" t="b">
        <v>1</v>
      </c>
      <c r="H35" s="116" t="b">
        <v>1</v>
      </c>
      <c r="I35" s="116" t="b">
        <v>1</v>
      </c>
      <c r="J35" s="116" t="b">
        <v>1</v>
      </c>
      <c r="K35" s="116" t="b">
        <v>1</v>
      </c>
      <c r="L35" s="117">
        <f t="shared" si="1"/>
        <v>5</v>
      </c>
      <c r="M35" s="117">
        <f t="shared" si="2"/>
        <v>20</v>
      </c>
      <c r="N35" s="88"/>
      <c r="O35" s="112"/>
    </row>
    <row r="36" ht="15.0" customHeight="1">
      <c r="A36" s="112"/>
      <c r="B36" s="112"/>
      <c r="C36" s="112"/>
      <c r="D36" s="129" t="s">
        <v>133</v>
      </c>
      <c r="E36" s="114" t="str">
        <f>VLOOKUP(D36,Data!H:I,2,0)</f>
        <v>İstanbul</v>
      </c>
      <c r="F36" s="115" t="str">
        <f>VLOOKUP(D36,Data!H:J,3,0)</f>
        <v>Freelance</v>
      </c>
      <c r="G36" s="116" t="b">
        <v>0</v>
      </c>
      <c r="H36" s="116" t="b">
        <v>1</v>
      </c>
      <c r="I36" s="116" t="b">
        <v>1</v>
      </c>
      <c r="J36" s="116" t="b">
        <v>1</v>
      </c>
      <c r="K36" s="116" t="b">
        <v>1</v>
      </c>
      <c r="L36" s="117">
        <f t="shared" si="1"/>
        <v>4</v>
      </c>
      <c r="M36" s="117">
        <f t="shared" si="2"/>
        <v>16</v>
      </c>
      <c r="N36" s="88"/>
      <c r="O36" s="112"/>
    </row>
    <row r="37" ht="15.0" customHeight="1">
      <c r="A37" s="120"/>
      <c r="B37" s="120"/>
      <c r="C37" s="120"/>
      <c r="D37" s="129" t="s">
        <v>66</v>
      </c>
      <c r="E37" s="114" t="str">
        <f>VLOOKUP(D37,Data!H:I,2,0)</f>
        <v>İstanbul</v>
      </c>
      <c r="F37" s="115" t="str">
        <f>VLOOKUP(D37,Data!H:J,3,0)</f>
        <v>Freelance</v>
      </c>
      <c r="G37" s="116" t="b">
        <v>0</v>
      </c>
      <c r="H37" s="116" t="b">
        <v>0</v>
      </c>
      <c r="I37" s="116" t="b">
        <v>0</v>
      </c>
      <c r="J37" s="116" t="b">
        <v>0</v>
      </c>
      <c r="K37" s="116" t="b">
        <v>0</v>
      </c>
      <c r="L37" s="117">
        <f t="shared" si="1"/>
        <v>0</v>
      </c>
      <c r="M37" s="117">
        <f t="shared" si="2"/>
        <v>0</v>
      </c>
      <c r="N37" s="120"/>
      <c r="O37" s="120"/>
    </row>
    <row r="38" ht="15.0" customHeight="1">
      <c r="A38" s="121"/>
      <c r="B38" s="121"/>
      <c r="C38" s="121"/>
      <c r="D38" s="129" t="s">
        <v>134</v>
      </c>
      <c r="E38" s="114" t="str">
        <f>VLOOKUP(D38,Data!H:I,2,0)</f>
        <v>İstanbul</v>
      </c>
      <c r="F38" s="115" t="str">
        <f>VLOOKUP(D38,Data!H:J,3,0)</f>
        <v>Filamingo</v>
      </c>
      <c r="G38" s="116" t="b">
        <v>1</v>
      </c>
      <c r="H38" s="116" t="b">
        <v>1</v>
      </c>
      <c r="I38" s="116" t="b">
        <v>0</v>
      </c>
      <c r="J38" s="116" t="b">
        <v>1</v>
      </c>
      <c r="K38" s="116" t="b">
        <v>0</v>
      </c>
      <c r="L38" s="117">
        <f t="shared" si="1"/>
        <v>3</v>
      </c>
      <c r="M38" s="117">
        <f t="shared" si="2"/>
        <v>12</v>
      </c>
      <c r="N38" s="121"/>
      <c r="O38" s="121"/>
    </row>
    <row r="39" ht="15.0" customHeight="1">
      <c r="A39" s="112"/>
      <c r="B39" s="112"/>
      <c r="C39" s="112"/>
      <c r="D39" s="132" t="s">
        <v>117</v>
      </c>
      <c r="E39" s="114" t="str">
        <f>VLOOKUP(D39,Data!H:I,2,0)</f>
        <v>İstanbul</v>
      </c>
      <c r="F39" s="115" t="str">
        <f>VLOOKUP(D39,Data!H:J,3,0)</f>
        <v>Freelance</v>
      </c>
      <c r="G39" s="116" t="b">
        <v>0</v>
      </c>
      <c r="H39" s="116" t="b">
        <v>0</v>
      </c>
      <c r="I39" s="116" t="b">
        <v>1</v>
      </c>
      <c r="J39" s="116" t="b">
        <v>1</v>
      </c>
      <c r="K39" s="116" t="b">
        <v>1</v>
      </c>
      <c r="L39" s="117">
        <f t="shared" si="1"/>
        <v>3</v>
      </c>
      <c r="M39" s="117">
        <f t="shared" si="2"/>
        <v>12</v>
      </c>
      <c r="N39" s="112"/>
      <c r="O39" s="112"/>
    </row>
    <row r="40" ht="15.0" customHeight="1">
      <c r="A40" s="112"/>
      <c r="B40" s="112"/>
      <c r="C40" s="112"/>
      <c r="D40" s="129" t="s">
        <v>135</v>
      </c>
      <c r="E40" s="114" t="str">
        <f>VLOOKUP(D40,Data!H:I,2,0)</f>
        <v>İstanbul</v>
      </c>
      <c r="F40" s="115" t="str">
        <f>VLOOKUP(D40,Data!H:J,3,0)</f>
        <v>Freelance</v>
      </c>
      <c r="G40" s="116" t="b">
        <v>1</v>
      </c>
      <c r="H40" s="116" t="b">
        <v>1</v>
      </c>
      <c r="I40" s="116" t="b">
        <v>1</v>
      </c>
      <c r="J40" s="116" t="b">
        <v>0</v>
      </c>
      <c r="K40" s="116" t="b">
        <v>1</v>
      </c>
      <c r="L40" s="117">
        <f t="shared" si="1"/>
        <v>4</v>
      </c>
      <c r="M40" s="117">
        <f t="shared" si="2"/>
        <v>16</v>
      </c>
      <c r="N40" s="112"/>
      <c r="O40" s="112"/>
    </row>
    <row r="41" ht="15.0" customHeight="1">
      <c r="A41" s="112"/>
      <c r="B41" s="112"/>
      <c r="C41" s="112"/>
      <c r="D41" s="129" t="s">
        <v>123</v>
      </c>
      <c r="E41" s="114" t="str">
        <f>VLOOKUP(D41,Data!H:I,2,0)</f>
        <v>İstanbul</v>
      </c>
      <c r="F41" s="115" t="str">
        <f>VLOOKUP(D41,Data!H:J,3,0)</f>
        <v>Freelance</v>
      </c>
      <c r="G41" s="116" t="b">
        <v>0</v>
      </c>
      <c r="H41" s="116" t="b">
        <v>0</v>
      </c>
      <c r="I41" s="116" t="b">
        <v>0</v>
      </c>
      <c r="J41" s="116" t="b">
        <v>0</v>
      </c>
      <c r="K41" s="116" t="b">
        <v>1</v>
      </c>
      <c r="L41" s="117">
        <f t="shared" si="1"/>
        <v>1</v>
      </c>
      <c r="M41" s="117">
        <f t="shared" si="2"/>
        <v>4</v>
      </c>
      <c r="N41" s="112"/>
      <c r="O41" s="112"/>
    </row>
    <row r="42" ht="15.0" customHeight="1">
      <c r="A42" s="112"/>
      <c r="B42" s="112"/>
      <c r="C42" s="112"/>
      <c r="D42" s="129" t="s">
        <v>70</v>
      </c>
      <c r="E42" s="114" t="str">
        <f>VLOOKUP(D42,Data!H:I,2,0)</f>
        <v>İstanbul</v>
      </c>
      <c r="F42" s="115" t="str">
        <f>VLOOKUP(D42,Data!H:J,3,0)</f>
        <v>Freelance</v>
      </c>
      <c r="G42" s="116" t="b">
        <v>0</v>
      </c>
      <c r="H42" s="116" t="b">
        <v>0</v>
      </c>
      <c r="I42" s="116" t="b">
        <v>0</v>
      </c>
      <c r="J42" s="116" t="b">
        <v>1</v>
      </c>
      <c r="K42" s="116" t="b">
        <v>0</v>
      </c>
      <c r="L42" s="117">
        <f t="shared" si="1"/>
        <v>1</v>
      </c>
      <c r="M42" s="117">
        <f t="shared" si="2"/>
        <v>4</v>
      </c>
      <c r="N42" s="112"/>
      <c r="O42" s="112"/>
    </row>
    <row r="43" ht="15.0" customHeight="1">
      <c r="A43" s="112"/>
      <c r="B43" s="112"/>
      <c r="C43" s="112"/>
      <c r="D43" s="129" t="s">
        <v>174</v>
      </c>
      <c r="E43" s="114" t="str">
        <f>VLOOKUP(D43,Data!H:I,2,0)</f>
        <v>İstanbul</v>
      </c>
      <c r="F43" s="115" t="str">
        <f>VLOOKUP(D43,Data!H:J,3,0)</f>
        <v>Freelance</v>
      </c>
      <c r="G43" s="116" t="b">
        <v>0</v>
      </c>
      <c r="H43" s="116" t="b">
        <v>1</v>
      </c>
      <c r="I43" s="116" t="b">
        <v>0</v>
      </c>
      <c r="J43" s="116" t="b">
        <v>1</v>
      </c>
      <c r="K43" s="116" t="b">
        <v>0</v>
      </c>
      <c r="L43" s="117">
        <f t="shared" si="1"/>
        <v>2</v>
      </c>
      <c r="M43" s="117">
        <f t="shared" si="2"/>
        <v>8</v>
      </c>
      <c r="N43" s="112"/>
      <c r="O43" s="112"/>
    </row>
    <row r="44" ht="15.0" customHeight="1">
      <c r="A44" s="112"/>
      <c r="B44" s="112"/>
      <c r="C44" s="112"/>
      <c r="D44" s="132" t="s">
        <v>71</v>
      </c>
      <c r="E44" s="114" t="str">
        <f>VLOOKUP(D44,Data!H:I,2,0)</f>
        <v>İstanbul</v>
      </c>
      <c r="F44" s="115" t="str">
        <f>VLOOKUP(D44,Data!H:J,3,0)</f>
        <v>Filamingo</v>
      </c>
      <c r="G44" s="116" t="b">
        <v>0</v>
      </c>
      <c r="H44" s="116" t="b">
        <v>0</v>
      </c>
      <c r="I44" s="116" t="b">
        <v>0</v>
      </c>
      <c r="J44" s="116" t="b">
        <v>0</v>
      </c>
      <c r="K44" s="116" t="b">
        <v>0</v>
      </c>
      <c r="L44" s="117">
        <f t="shared" si="1"/>
        <v>0</v>
      </c>
      <c r="M44" s="117">
        <f t="shared" si="2"/>
        <v>0</v>
      </c>
      <c r="N44" s="112"/>
      <c r="O44" s="112"/>
    </row>
    <row r="45" ht="15.0" customHeight="1">
      <c r="A45" s="112"/>
      <c r="B45" s="112"/>
      <c r="C45" s="112"/>
      <c r="D45" s="132" t="s">
        <v>72</v>
      </c>
      <c r="E45" s="114" t="str">
        <f>VLOOKUP(D45,Data!H:I,2,0)</f>
        <v>İstanbul</v>
      </c>
      <c r="F45" s="115" t="str">
        <f>VLOOKUP(D45,Data!H:J,3,0)</f>
        <v>Filamingo</v>
      </c>
      <c r="G45" s="116" t="b">
        <v>0</v>
      </c>
      <c r="H45" s="116" t="b">
        <v>0</v>
      </c>
      <c r="I45" s="116" t="b">
        <v>0</v>
      </c>
      <c r="J45" s="116" t="b">
        <v>0</v>
      </c>
      <c r="K45" s="116" t="b">
        <v>0</v>
      </c>
      <c r="L45" s="117">
        <f t="shared" si="1"/>
        <v>0</v>
      </c>
      <c r="M45" s="117">
        <f t="shared" si="2"/>
        <v>0</v>
      </c>
      <c r="N45" s="112"/>
      <c r="O45" s="112"/>
    </row>
    <row r="46" ht="15.0" customHeight="1">
      <c r="A46" s="112"/>
      <c r="B46" s="112"/>
      <c r="C46" s="112"/>
      <c r="D46" s="129" t="s">
        <v>136</v>
      </c>
      <c r="E46" s="114" t="str">
        <f>VLOOKUP(D46,Data!H:I,2,0)</f>
        <v>İstanbul</v>
      </c>
      <c r="F46" s="115" t="str">
        <f>VLOOKUP(D46,Data!H:J,3,0)</f>
        <v>Filamingo</v>
      </c>
      <c r="G46" s="116" t="b">
        <v>0</v>
      </c>
      <c r="H46" s="116" t="b">
        <v>0</v>
      </c>
      <c r="I46" s="116" t="b">
        <v>0</v>
      </c>
      <c r="J46" s="116" t="b">
        <v>0</v>
      </c>
      <c r="K46" s="116" t="b">
        <v>0</v>
      </c>
      <c r="L46" s="117">
        <f t="shared" si="1"/>
        <v>0</v>
      </c>
      <c r="M46" s="117">
        <f t="shared" si="2"/>
        <v>0</v>
      </c>
      <c r="N46" s="120"/>
      <c r="O46" s="112"/>
    </row>
    <row r="47" ht="15.0" customHeight="1">
      <c r="A47" s="122"/>
      <c r="B47" s="122"/>
      <c r="C47" s="122"/>
      <c r="D47" s="129" t="s">
        <v>78</v>
      </c>
      <c r="E47" s="114" t="str">
        <f>VLOOKUP(D47,Data!H:I,2,0)</f>
        <v>İstanbul</v>
      </c>
      <c r="F47" s="115" t="str">
        <f>VLOOKUP(D47,Data!H:J,3,0)</f>
        <v>Freelance</v>
      </c>
      <c r="G47" s="116" t="b">
        <v>1</v>
      </c>
      <c r="H47" s="116" t="b">
        <v>1</v>
      </c>
      <c r="I47" s="116" t="b">
        <v>1</v>
      </c>
      <c r="J47" s="116" t="b">
        <v>1</v>
      </c>
      <c r="K47" s="116" t="b">
        <v>1</v>
      </c>
      <c r="L47" s="117">
        <f t="shared" si="1"/>
        <v>5</v>
      </c>
      <c r="M47" s="117">
        <f t="shared" si="2"/>
        <v>20</v>
      </c>
      <c r="N47" s="112"/>
      <c r="O47" s="122"/>
    </row>
    <row r="48" ht="15.0" customHeight="1">
      <c r="A48" s="124"/>
      <c r="B48" s="124"/>
      <c r="C48" s="124"/>
      <c r="D48" s="129" t="s">
        <v>79</v>
      </c>
      <c r="E48" s="114" t="str">
        <f>VLOOKUP(D48,Data!H:I,2,0)</f>
        <v>İstanbul</v>
      </c>
      <c r="F48" s="115" t="str">
        <f>VLOOKUP(D48,Data!H:J,3,0)</f>
        <v>Freelance</v>
      </c>
      <c r="G48" s="116" t="b">
        <v>1</v>
      </c>
      <c r="H48" s="116" t="b">
        <v>1</v>
      </c>
      <c r="I48" s="116" t="b">
        <v>1</v>
      </c>
      <c r="J48" s="116" t="b">
        <v>1</v>
      </c>
      <c r="K48" s="116" t="b">
        <v>1</v>
      </c>
      <c r="L48" s="117">
        <f t="shared" si="1"/>
        <v>5</v>
      </c>
      <c r="M48" s="117">
        <f t="shared" si="2"/>
        <v>20</v>
      </c>
      <c r="N48" s="112"/>
      <c r="O48" s="124"/>
    </row>
    <row r="49" ht="15.0" customHeight="1">
      <c r="A49" s="124"/>
      <c r="B49" s="124"/>
      <c r="C49" s="124"/>
      <c r="D49" s="129" t="s">
        <v>175</v>
      </c>
      <c r="E49" s="114" t="str">
        <f>VLOOKUP(D49,Data!H:I,2,0)</f>
        <v>İstanbul</v>
      </c>
      <c r="F49" s="115" t="str">
        <f>VLOOKUP(D49,Data!H:J,3,0)</f>
        <v>Freelance</v>
      </c>
      <c r="G49" s="116" t="b">
        <v>0</v>
      </c>
      <c r="H49" s="116" t="b">
        <v>1</v>
      </c>
      <c r="I49" s="116" t="b">
        <v>0</v>
      </c>
      <c r="J49" s="116" t="b">
        <v>1</v>
      </c>
      <c r="K49" s="116" t="b">
        <v>0</v>
      </c>
      <c r="L49" s="117">
        <f t="shared" si="1"/>
        <v>2</v>
      </c>
      <c r="M49" s="117">
        <f t="shared" si="2"/>
        <v>8</v>
      </c>
      <c r="N49" s="112"/>
      <c r="O49" s="124"/>
    </row>
    <row r="50" ht="15.0" customHeight="1">
      <c r="A50" s="112"/>
      <c r="B50" s="112"/>
      <c r="C50" s="112"/>
      <c r="D50" s="141" t="s">
        <v>125</v>
      </c>
      <c r="E50" s="114" t="str">
        <f>VLOOKUP(D50,Data!H:I,2,0)</f>
        <v>İstanbul</v>
      </c>
      <c r="F50" s="115" t="str">
        <f>VLOOKUP(D50,Data!H:J,3,0)</f>
        <v>Filamingo</v>
      </c>
      <c r="G50" s="116" t="b">
        <v>0</v>
      </c>
      <c r="H50" s="116" t="b">
        <v>0</v>
      </c>
      <c r="I50" s="116" t="b">
        <v>0</v>
      </c>
      <c r="J50" s="116" t="b">
        <v>0</v>
      </c>
      <c r="K50" s="116" t="b">
        <v>0</v>
      </c>
      <c r="L50" s="117">
        <f t="shared" si="1"/>
        <v>0</v>
      </c>
      <c r="M50" s="117">
        <f t="shared" si="2"/>
        <v>0</v>
      </c>
      <c r="N50" s="124"/>
      <c r="O50" s="112"/>
    </row>
    <row r="51" ht="15.0" customHeight="1">
      <c r="A51" s="112"/>
      <c r="B51" s="112"/>
      <c r="C51" s="112"/>
      <c r="D51" s="129" t="s">
        <v>166</v>
      </c>
      <c r="E51" s="114" t="str">
        <f>VLOOKUP(D51,Data!H:I,2,0)</f>
        <v>İstanbul</v>
      </c>
      <c r="F51" s="115" t="str">
        <f>VLOOKUP(D51,Data!H:J,3,0)</f>
        <v>Filamingo</v>
      </c>
      <c r="G51" s="116" t="b">
        <v>0</v>
      </c>
      <c r="H51" s="116" t="b">
        <v>0</v>
      </c>
      <c r="I51" s="116" t="b">
        <v>1</v>
      </c>
      <c r="J51" s="116" t="b">
        <v>1</v>
      </c>
      <c r="K51" s="116" t="b">
        <v>0</v>
      </c>
      <c r="L51" s="117">
        <f t="shared" si="1"/>
        <v>2</v>
      </c>
      <c r="M51" s="117">
        <f t="shared" si="2"/>
        <v>8</v>
      </c>
      <c r="N51" s="124"/>
      <c r="O51" s="112"/>
    </row>
    <row r="52" ht="15.0" customHeight="1">
      <c r="A52" s="112"/>
      <c r="B52" s="112"/>
      <c r="C52" s="112"/>
      <c r="D52" s="129" t="s">
        <v>80</v>
      </c>
      <c r="E52" s="114" t="str">
        <f>VLOOKUP(D52,Data!H:I,2,0)</f>
        <v>İstanbul</v>
      </c>
      <c r="F52" s="115" t="str">
        <f>VLOOKUP(D52,Data!H:J,3,0)</f>
        <v>Freelance</v>
      </c>
      <c r="G52" s="116" t="b">
        <v>1</v>
      </c>
      <c r="H52" s="116" t="b">
        <v>1</v>
      </c>
      <c r="I52" s="116" t="b">
        <v>1</v>
      </c>
      <c r="J52" s="116" t="b">
        <v>1</v>
      </c>
      <c r="K52" s="116" t="b">
        <v>1</v>
      </c>
      <c r="L52" s="117">
        <f t="shared" si="1"/>
        <v>5</v>
      </c>
      <c r="M52" s="117">
        <f t="shared" si="2"/>
        <v>20</v>
      </c>
      <c r="N52" s="112"/>
      <c r="O52" s="112"/>
    </row>
    <row r="53" ht="15.0" customHeight="1">
      <c r="A53" s="112"/>
      <c r="B53" s="112"/>
      <c r="C53" s="112"/>
      <c r="D53" s="132" t="s">
        <v>119</v>
      </c>
      <c r="E53" s="114" t="str">
        <f>VLOOKUP(D53,Data!H:I,2,0)</f>
        <v>İstanbul</v>
      </c>
      <c r="F53" s="115" t="str">
        <f>VLOOKUP(D53,Data!H:J,3,0)</f>
        <v>Filamingo</v>
      </c>
      <c r="G53" s="116" t="b">
        <v>0</v>
      </c>
      <c r="H53" s="116" t="b">
        <v>1</v>
      </c>
      <c r="I53" s="116" t="b">
        <v>1</v>
      </c>
      <c r="J53" s="116" t="b">
        <v>1</v>
      </c>
      <c r="K53" s="116" t="b">
        <v>0</v>
      </c>
      <c r="L53" s="117">
        <f t="shared" si="1"/>
        <v>3</v>
      </c>
      <c r="M53" s="117">
        <f t="shared" si="2"/>
        <v>12</v>
      </c>
      <c r="N53" s="112"/>
      <c r="O53" s="112"/>
    </row>
    <row r="54" ht="15.0" customHeight="1">
      <c r="A54" s="112"/>
      <c r="B54" s="112"/>
      <c r="C54" s="112"/>
      <c r="D54" s="129" t="s">
        <v>81</v>
      </c>
      <c r="E54" s="114" t="str">
        <f>VLOOKUP(D54,Data!H:I,2,0)</f>
        <v>İstanbul</v>
      </c>
      <c r="F54" s="115" t="str">
        <f>VLOOKUP(D54,Data!H:J,3,0)</f>
        <v>Freelance</v>
      </c>
      <c r="G54" s="116" t="b">
        <v>1</v>
      </c>
      <c r="H54" s="116" t="b">
        <v>1</v>
      </c>
      <c r="I54" s="116" t="b">
        <v>1</v>
      </c>
      <c r="J54" s="116" t="b">
        <v>1</v>
      </c>
      <c r="K54" s="116" t="b">
        <v>1</v>
      </c>
      <c r="L54" s="117">
        <f t="shared" si="1"/>
        <v>5</v>
      </c>
      <c r="M54" s="117">
        <f t="shared" si="2"/>
        <v>20</v>
      </c>
      <c r="N54" s="125"/>
      <c r="O54" s="112"/>
    </row>
    <row r="55" ht="15.0" customHeight="1">
      <c r="A55" s="112"/>
      <c r="B55" s="112"/>
      <c r="C55" s="112"/>
      <c r="D55" s="132" t="s">
        <v>83</v>
      </c>
      <c r="E55" s="114" t="str">
        <f>VLOOKUP(D55,Data!H:I,2,0)</f>
        <v>İstanbul</v>
      </c>
      <c r="F55" s="115" t="str">
        <f>VLOOKUP(D55,Data!H:J,3,0)</f>
        <v>Nazım Öztel</v>
      </c>
      <c r="G55" s="116" t="b">
        <v>1</v>
      </c>
      <c r="H55" s="116" t="b">
        <v>1</v>
      </c>
      <c r="I55" s="116" t="b">
        <v>1</v>
      </c>
      <c r="J55" s="116" t="b">
        <v>1</v>
      </c>
      <c r="K55" s="116" t="b">
        <v>1</v>
      </c>
      <c r="L55" s="117">
        <f t="shared" si="1"/>
        <v>5</v>
      </c>
      <c r="M55" s="117">
        <f t="shared" si="2"/>
        <v>20</v>
      </c>
      <c r="N55" s="112"/>
      <c r="O55" s="112"/>
    </row>
    <row r="56" ht="15.0" customHeight="1">
      <c r="A56" s="125"/>
      <c r="B56" s="125"/>
      <c r="C56" s="125"/>
      <c r="D56" s="132" t="s">
        <v>85</v>
      </c>
      <c r="E56" s="114" t="str">
        <f>VLOOKUP(D56,Data!H:I,2,0)</f>
        <v>İstanbul</v>
      </c>
      <c r="F56" s="115" t="str">
        <f>VLOOKUP(D56,Data!H:J,3,0)</f>
        <v>Filamingo</v>
      </c>
      <c r="G56" s="116" t="b">
        <v>0</v>
      </c>
      <c r="H56" s="116" t="b">
        <v>0</v>
      </c>
      <c r="I56" s="116" t="b">
        <v>0</v>
      </c>
      <c r="J56" s="116" t="b">
        <v>0</v>
      </c>
      <c r="K56" s="116" t="b">
        <v>0</v>
      </c>
      <c r="L56" s="117">
        <f t="shared" si="1"/>
        <v>0</v>
      </c>
      <c r="M56" s="117">
        <f t="shared" si="2"/>
        <v>0</v>
      </c>
      <c r="N56" s="112"/>
      <c r="O56" s="125"/>
    </row>
    <row r="57" ht="15.0" customHeight="1">
      <c r="A57" s="125"/>
      <c r="B57" s="125"/>
      <c r="C57" s="125"/>
      <c r="D57" s="129" t="s">
        <v>145</v>
      </c>
      <c r="E57" s="114" t="str">
        <f>VLOOKUP(D57,Data!H:I,2,0)</f>
        <v>İstanbul</v>
      </c>
      <c r="F57" s="115" t="str">
        <f>VLOOKUP(D57,Data!H:J,3,0)</f>
        <v>Filamingo</v>
      </c>
      <c r="G57" s="116" t="b">
        <v>1</v>
      </c>
      <c r="H57" s="116" t="b">
        <v>1</v>
      </c>
      <c r="I57" s="116" t="b">
        <v>1</v>
      </c>
      <c r="J57" s="116" t="b">
        <v>1</v>
      </c>
      <c r="K57" s="116" t="b">
        <v>1</v>
      </c>
      <c r="L57" s="117">
        <f t="shared" si="1"/>
        <v>5</v>
      </c>
      <c r="M57" s="117">
        <f t="shared" si="2"/>
        <v>20</v>
      </c>
      <c r="N57" s="112"/>
      <c r="O57" s="125"/>
    </row>
    <row r="58" ht="15.0" customHeight="1">
      <c r="A58" s="125"/>
      <c r="B58" s="125"/>
      <c r="C58" s="125"/>
      <c r="D58" s="129" t="s">
        <v>146</v>
      </c>
      <c r="E58" s="114" t="str">
        <f>VLOOKUP(D58,Data!H:I,2,0)</f>
        <v>İstanbul</v>
      </c>
      <c r="F58" s="115" t="str">
        <f>VLOOKUP(D58,Data!H:J,3,0)</f>
        <v>Filamingo</v>
      </c>
      <c r="G58" s="116" t="b">
        <v>0</v>
      </c>
      <c r="H58" s="116" t="b">
        <v>0</v>
      </c>
      <c r="I58" s="116" t="b">
        <v>0</v>
      </c>
      <c r="J58" s="116" t="b">
        <v>0</v>
      </c>
      <c r="K58" s="116" t="b">
        <v>0</v>
      </c>
      <c r="L58" s="117">
        <f t="shared" si="1"/>
        <v>0</v>
      </c>
      <c r="M58" s="117">
        <f t="shared" si="2"/>
        <v>0</v>
      </c>
      <c r="N58" s="112"/>
      <c r="O58" s="125"/>
    </row>
    <row r="59" ht="15.0" customHeight="1">
      <c r="A59" s="122"/>
      <c r="B59" s="122"/>
      <c r="C59" s="122"/>
      <c r="D59" s="129" t="s">
        <v>87</v>
      </c>
      <c r="E59" s="114" t="str">
        <f>VLOOKUP(D59,Data!H:I,2,0)</f>
        <v>İstanbul</v>
      </c>
      <c r="F59" s="115" t="str">
        <f>VLOOKUP(D59,Data!H:J,3,0)</f>
        <v>Freelance</v>
      </c>
      <c r="G59" s="116" t="b">
        <v>0</v>
      </c>
      <c r="H59" s="116" t="b">
        <v>1</v>
      </c>
      <c r="I59" s="116" t="b">
        <v>0</v>
      </c>
      <c r="J59" s="116" t="b">
        <v>0</v>
      </c>
      <c r="K59" s="116" t="b">
        <v>1</v>
      </c>
      <c r="L59" s="117">
        <f t="shared" si="1"/>
        <v>2</v>
      </c>
      <c r="M59" s="117">
        <f t="shared" si="2"/>
        <v>8</v>
      </c>
      <c r="N59" s="112"/>
      <c r="O59" s="122"/>
    </row>
    <row r="60" ht="15.0" customHeight="1">
      <c r="A60" s="112"/>
      <c r="B60" s="112"/>
      <c r="C60" s="112"/>
      <c r="D60" s="132" t="s">
        <v>88</v>
      </c>
      <c r="E60" s="114" t="str">
        <f>VLOOKUP(D60,Data!H:I,2,0)</f>
        <v>İstanbul</v>
      </c>
      <c r="F60" s="115" t="str">
        <f>VLOOKUP(D60,Data!H:J,3,0)</f>
        <v>Nazım Öztel</v>
      </c>
      <c r="G60" s="116" t="b">
        <v>1</v>
      </c>
      <c r="H60" s="116" t="b">
        <v>1</v>
      </c>
      <c r="I60" s="116" t="b">
        <v>1</v>
      </c>
      <c r="J60" s="116" t="b">
        <v>1</v>
      </c>
      <c r="K60" s="116" t="b">
        <v>1</v>
      </c>
      <c r="L60" s="117">
        <f t="shared" si="1"/>
        <v>5</v>
      </c>
      <c r="M60" s="117">
        <f t="shared" si="2"/>
        <v>20</v>
      </c>
      <c r="N60" s="112"/>
      <c r="O60" s="112"/>
    </row>
    <row r="61" ht="15.0" customHeight="1">
      <c r="A61" s="112"/>
      <c r="B61" s="112"/>
      <c r="C61" s="112"/>
      <c r="D61" s="129" t="s">
        <v>168</v>
      </c>
      <c r="E61" s="114" t="str">
        <f>VLOOKUP(D61,Data!H:I,2,0)</f>
        <v>İstanbul</v>
      </c>
      <c r="F61" s="115" t="str">
        <f>VLOOKUP(D61,Data!H:J,3,0)</f>
        <v>Nazım Öztel</v>
      </c>
      <c r="G61" s="116" t="b">
        <v>1</v>
      </c>
      <c r="H61" s="116" t="b">
        <v>1</v>
      </c>
      <c r="I61" s="116" t="b">
        <v>0</v>
      </c>
      <c r="J61" s="116" t="b">
        <v>0</v>
      </c>
      <c r="K61" s="116" t="b">
        <v>0</v>
      </c>
      <c r="L61" s="117">
        <f t="shared" si="1"/>
        <v>2</v>
      </c>
      <c r="M61" s="117">
        <f t="shared" si="2"/>
        <v>8</v>
      </c>
      <c r="N61" s="112"/>
      <c r="O61" s="112"/>
    </row>
    <row r="62" ht="15.0" customHeight="1">
      <c r="A62" s="112"/>
      <c r="B62" s="112"/>
      <c r="C62" s="112"/>
      <c r="D62" s="132" t="s">
        <v>89</v>
      </c>
      <c r="E62" s="114" t="str">
        <f>VLOOKUP(D62,Data!H:I,2,0)</f>
        <v>İstanbul</v>
      </c>
      <c r="F62" s="115" t="str">
        <f>VLOOKUP(D62,Data!H:J,3,0)</f>
        <v>Filamingo</v>
      </c>
      <c r="G62" s="116" t="b">
        <v>1</v>
      </c>
      <c r="H62" s="116" t="b">
        <v>0</v>
      </c>
      <c r="I62" s="116" t="b">
        <v>0</v>
      </c>
      <c r="J62" s="116" t="b">
        <v>0</v>
      </c>
      <c r="K62" s="116" t="b">
        <v>0</v>
      </c>
      <c r="L62" s="117">
        <f t="shared" si="1"/>
        <v>1</v>
      </c>
      <c r="M62" s="117">
        <f t="shared" si="2"/>
        <v>4</v>
      </c>
      <c r="N62" s="112"/>
      <c r="O62" s="112"/>
    </row>
    <row r="63" ht="15.0" customHeight="1">
      <c r="A63" s="112"/>
      <c r="B63" s="112"/>
      <c r="C63" s="112"/>
      <c r="D63" s="129" t="s">
        <v>138</v>
      </c>
      <c r="E63" s="114" t="str">
        <f>VLOOKUP(D63,Data!H:I,2,0)</f>
        <v>İstanbul</v>
      </c>
      <c r="F63" s="115" t="str">
        <f>VLOOKUP(D63,Data!H:J,3,0)</f>
        <v>Filamingo</v>
      </c>
      <c r="G63" s="116" t="b">
        <v>0</v>
      </c>
      <c r="H63" s="116" t="b">
        <v>0</v>
      </c>
      <c r="I63" s="116" t="b">
        <v>0</v>
      </c>
      <c r="J63" s="116" t="b">
        <v>0</v>
      </c>
      <c r="K63" s="116" t="b">
        <v>0</v>
      </c>
      <c r="L63" s="117">
        <f t="shared" si="1"/>
        <v>0</v>
      </c>
      <c r="M63" s="117">
        <f t="shared" si="2"/>
        <v>0</v>
      </c>
      <c r="N63" s="112"/>
      <c r="O63" s="112"/>
    </row>
    <row r="64" ht="15.0" customHeight="1">
      <c r="A64" s="112"/>
      <c r="B64" s="112"/>
      <c r="C64" s="112"/>
      <c r="D64" s="129" t="s">
        <v>127</v>
      </c>
      <c r="E64" s="114" t="str">
        <f>VLOOKUP(D64,Data!H:I,2,0)</f>
        <v>İstanbul</v>
      </c>
      <c r="F64" s="115" t="str">
        <f>VLOOKUP(D64,Data!H:J,3,0)</f>
        <v>Filamingo</v>
      </c>
      <c r="G64" s="116" t="b">
        <v>0</v>
      </c>
      <c r="H64" s="116" t="b">
        <v>0</v>
      </c>
      <c r="I64" s="116" t="b">
        <v>0</v>
      </c>
      <c r="J64" s="116" t="b">
        <v>0</v>
      </c>
      <c r="K64" s="116" t="b">
        <v>0</v>
      </c>
      <c r="L64" s="117">
        <f t="shared" si="1"/>
        <v>0</v>
      </c>
      <c r="M64" s="117">
        <f t="shared" si="2"/>
        <v>0</v>
      </c>
      <c r="N64" s="112"/>
      <c r="O64" s="112"/>
    </row>
    <row r="65" ht="15.0" customHeight="1">
      <c r="A65" s="112"/>
      <c r="B65" s="112"/>
      <c r="C65" s="112"/>
      <c r="D65" s="132" t="s">
        <v>92</v>
      </c>
      <c r="E65" s="114" t="str">
        <f>VLOOKUP(D65,Data!H:I,2,0)</f>
        <v>İzmir</v>
      </c>
      <c r="F65" s="115" t="str">
        <f>VLOOKUP(D65,Data!H:J,3,0)</f>
        <v>Nazım Öztel</v>
      </c>
      <c r="G65" s="116" t="b">
        <v>1</v>
      </c>
      <c r="H65" s="116" t="b">
        <v>1</v>
      </c>
      <c r="I65" s="116" t="b">
        <v>1</v>
      </c>
      <c r="J65" s="116" t="b">
        <v>1</v>
      </c>
      <c r="K65" s="116" t="b">
        <v>1</v>
      </c>
      <c r="L65" s="117">
        <f t="shared" si="1"/>
        <v>5</v>
      </c>
      <c r="M65" s="117">
        <f t="shared" si="2"/>
        <v>20</v>
      </c>
      <c r="N65" s="125"/>
      <c r="O65" s="112"/>
    </row>
    <row r="66" ht="15.0" customHeight="1">
      <c r="A66" s="112"/>
      <c r="B66" s="112"/>
      <c r="C66" s="112"/>
      <c r="D66" s="129" t="s">
        <v>139</v>
      </c>
      <c r="E66" s="114" t="s">
        <v>129</v>
      </c>
      <c r="F66" s="115" t="str">
        <f>VLOOKUP(D66,Data!H:J,3,0)</f>
        <v>Nazım Öztel</v>
      </c>
      <c r="G66" s="116" t="b">
        <v>0</v>
      </c>
      <c r="H66" s="116" t="b">
        <v>0</v>
      </c>
      <c r="I66" s="116" t="b">
        <v>1</v>
      </c>
      <c r="J66" s="116" t="b">
        <v>1</v>
      </c>
      <c r="K66" s="116" t="b">
        <v>1</v>
      </c>
      <c r="L66" s="117">
        <f t="shared" si="1"/>
        <v>3</v>
      </c>
      <c r="M66" s="117">
        <f t="shared" si="2"/>
        <v>12</v>
      </c>
      <c r="N66" s="125"/>
      <c r="O66" s="112"/>
    </row>
    <row r="67" ht="15.0" customHeight="1">
      <c r="A67" s="112"/>
      <c r="B67" s="112"/>
      <c r="C67" s="112"/>
      <c r="D67" s="129" t="s">
        <v>93</v>
      </c>
      <c r="E67" s="114" t="str">
        <f>VLOOKUP(D67,Data!H:I,2,0)</f>
        <v>İzmir</v>
      </c>
      <c r="F67" s="115" t="str">
        <f>VLOOKUP(D67,Data!H:J,3,0)</f>
        <v>Freelance</v>
      </c>
      <c r="G67" s="116" t="b">
        <v>0</v>
      </c>
      <c r="H67" s="116" t="b">
        <v>1</v>
      </c>
      <c r="I67" s="116" t="b">
        <v>1</v>
      </c>
      <c r="J67" s="116" t="b">
        <v>0</v>
      </c>
      <c r="K67" s="116" t="b">
        <v>0</v>
      </c>
      <c r="L67" s="117">
        <f t="shared" si="1"/>
        <v>2</v>
      </c>
      <c r="M67" s="117">
        <f t="shared" si="2"/>
        <v>8</v>
      </c>
      <c r="N67" s="112"/>
      <c r="O67" s="112"/>
    </row>
    <row r="68" ht="15.0" customHeight="1">
      <c r="A68" s="112"/>
      <c r="B68" s="112"/>
      <c r="C68" s="112"/>
      <c r="D68" s="129" t="s">
        <v>161</v>
      </c>
      <c r="E68" s="143" t="str">
        <f>VLOOKUP(D68,Data!H:I,2,0)</f>
        <v>Kahramanmaraş</v>
      </c>
      <c r="F68" s="115" t="str">
        <f>VLOOKUP(D68,Data!H:J,3,0)</f>
        <v>Nazım Öztel</v>
      </c>
      <c r="G68" s="116" t="b">
        <v>1</v>
      </c>
      <c r="H68" s="116" t="b">
        <v>1</v>
      </c>
      <c r="I68" s="116" t="b">
        <v>0</v>
      </c>
      <c r="J68" s="116" t="b">
        <v>0</v>
      </c>
      <c r="K68" s="116" t="b">
        <v>0</v>
      </c>
      <c r="L68" s="117">
        <f t="shared" si="1"/>
        <v>2</v>
      </c>
      <c r="M68" s="117">
        <f t="shared" si="2"/>
        <v>8</v>
      </c>
      <c r="N68" s="112"/>
      <c r="O68" s="112"/>
    </row>
    <row r="69" ht="15.0" customHeight="1">
      <c r="A69" s="112"/>
      <c r="B69" s="112"/>
      <c r="C69" s="112"/>
      <c r="D69" s="129" t="s">
        <v>176</v>
      </c>
      <c r="E69" s="114" t="str">
        <f>VLOOKUP(D69,Data!H:I,2,0)</f>
        <v>Karabük</v>
      </c>
      <c r="F69" s="115" t="str">
        <f>VLOOKUP(D69,Data!H:J,3,0)</f>
        <v>Nazım Öztel</v>
      </c>
      <c r="G69" s="116" t="b">
        <v>1</v>
      </c>
      <c r="H69" s="116" t="b">
        <v>1</v>
      </c>
      <c r="I69" s="116" t="b">
        <v>1</v>
      </c>
      <c r="J69" s="116" t="b">
        <v>1</v>
      </c>
      <c r="K69" s="116" t="b">
        <v>0</v>
      </c>
      <c r="L69" s="117">
        <f t="shared" si="1"/>
        <v>4</v>
      </c>
      <c r="M69" s="117">
        <f t="shared" si="2"/>
        <v>16</v>
      </c>
      <c r="N69" s="112"/>
      <c r="O69" s="112"/>
    </row>
    <row r="70" ht="15.0" customHeight="1">
      <c r="A70" s="112"/>
      <c r="B70" s="112"/>
      <c r="C70" s="112"/>
      <c r="D70" s="132" t="s">
        <v>96</v>
      </c>
      <c r="E70" s="114" t="str">
        <f>VLOOKUP(D70,Data!H:I,2,0)</f>
        <v>Kocaeli</v>
      </c>
      <c r="F70" s="115" t="str">
        <f>VLOOKUP(D70,Data!H:J,3,0)</f>
        <v>Nazım Öztel</v>
      </c>
      <c r="G70" s="116" t="b">
        <v>0</v>
      </c>
      <c r="H70" s="116" t="b">
        <v>0</v>
      </c>
      <c r="I70" s="116" t="b">
        <v>1</v>
      </c>
      <c r="J70" s="116" t="b">
        <v>1</v>
      </c>
      <c r="K70" s="116" t="b">
        <v>0</v>
      </c>
      <c r="L70" s="117">
        <f t="shared" si="1"/>
        <v>2</v>
      </c>
      <c r="M70" s="117">
        <f t="shared" si="2"/>
        <v>8</v>
      </c>
      <c r="N70" s="112"/>
      <c r="O70" s="112"/>
    </row>
    <row r="71" ht="15.0" customHeight="1">
      <c r="A71" s="112"/>
      <c r="B71" s="112"/>
      <c r="C71" s="112"/>
      <c r="D71" s="129" t="s">
        <v>147</v>
      </c>
      <c r="E71" s="114" t="str">
        <f>VLOOKUP(D71,Data!H:I,2,0)</f>
        <v>Kocaeli</v>
      </c>
      <c r="F71" s="115" t="str">
        <f>VLOOKUP(D71,Data!H:J,3,0)</f>
        <v>Nazım Öztel</v>
      </c>
      <c r="G71" s="116" t="b">
        <v>0</v>
      </c>
      <c r="H71" s="116" t="b">
        <v>0</v>
      </c>
      <c r="I71" s="116" t="b">
        <v>0</v>
      </c>
      <c r="J71" s="116" t="b">
        <v>0</v>
      </c>
      <c r="K71" s="116" t="b">
        <v>0</v>
      </c>
      <c r="L71" s="117">
        <f t="shared" si="1"/>
        <v>0</v>
      </c>
      <c r="M71" s="117">
        <f t="shared" si="2"/>
        <v>0</v>
      </c>
      <c r="N71" s="112"/>
      <c r="O71" s="112"/>
    </row>
    <row r="72" ht="15.0" customHeight="1">
      <c r="A72" s="112"/>
      <c r="B72" s="112"/>
      <c r="C72" s="112"/>
      <c r="D72" s="132" t="s">
        <v>98</v>
      </c>
      <c r="E72" s="114" t="str">
        <f>VLOOKUP(D72,Data!H:I,2,0)</f>
        <v>Manisa</v>
      </c>
      <c r="F72" s="115" t="str">
        <f>VLOOKUP(D72,Data!H:J,3,0)</f>
        <v>Nazım Öztel</v>
      </c>
      <c r="G72" s="116" t="b">
        <v>0</v>
      </c>
      <c r="H72" s="116" t="b">
        <v>0</v>
      </c>
      <c r="I72" s="116" t="b">
        <v>0</v>
      </c>
      <c r="J72" s="116" t="b">
        <v>0</v>
      </c>
      <c r="K72" s="116" t="b">
        <v>0</v>
      </c>
      <c r="L72" s="117">
        <f t="shared" si="1"/>
        <v>0</v>
      </c>
      <c r="M72" s="117">
        <f t="shared" si="2"/>
        <v>0</v>
      </c>
      <c r="N72" s="142"/>
      <c r="O72" s="112"/>
    </row>
    <row r="73" ht="15.0" customHeight="1">
      <c r="A73" s="112"/>
      <c r="B73" s="112"/>
      <c r="C73" s="112"/>
      <c r="D73" s="132" t="s">
        <v>99</v>
      </c>
      <c r="E73" s="114" t="str">
        <f>VLOOKUP(D73,Data!H:I,2,0)</f>
        <v>Mersin</v>
      </c>
      <c r="F73" s="115" t="str">
        <f>VLOOKUP(D73,Data!H:J,3,0)</f>
        <v>Nazım Öztel</v>
      </c>
      <c r="G73" s="116" t="b">
        <v>1</v>
      </c>
      <c r="H73" s="116" t="b">
        <v>0</v>
      </c>
      <c r="I73" s="116" t="b">
        <v>0</v>
      </c>
      <c r="J73" s="116" t="b">
        <v>1</v>
      </c>
      <c r="K73" s="116" t="b">
        <v>1</v>
      </c>
      <c r="L73" s="117">
        <f t="shared" si="1"/>
        <v>3</v>
      </c>
      <c r="M73" s="117">
        <f t="shared" si="2"/>
        <v>12</v>
      </c>
      <c r="N73" s="106"/>
      <c r="O73" s="112"/>
    </row>
    <row r="74" ht="15.0" customHeight="1">
      <c r="A74" s="112"/>
      <c r="B74" s="112"/>
      <c r="C74" s="112"/>
      <c r="D74" s="129" t="s">
        <v>169</v>
      </c>
      <c r="E74" s="114" t="str">
        <f>VLOOKUP(D74,Data!H:I,2,0)</f>
        <v>Mersin</v>
      </c>
      <c r="F74" s="115" t="str">
        <f>VLOOKUP(D74,Data!H:J,3,0)</f>
        <v>Nazım Öztel</v>
      </c>
      <c r="G74" s="116" t="b">
        <v>1</v>
      </c>
      <c r="H74" s="116" t="b">
        <v>1</v>
      </c>
      <c r="I74" s="116" t="b">
        <v>1</v>
      </c>
      <c r="J74" s="116" t="b">
        <v>1</v>
      </c>
      <c r="K74" s="116" t="b">
        <v>1</v>
      </c>
      <c r="L74" s="117">
        <f t="shared" si="1"/>
        <v>5</v>
      </c>
      <c r="M74" s="117">
        <f t="shared" si="2"/>
        <v>20</v>
      </c>
      <c r="N74" s="106"/>
      <c r="O74" s="112"/>
    </row>
    <row r="75" ht="15.0" customHeight="1">
      <c r="A75" s="112"/>
      <c r="B75" s="112"/>
      <c r="C75" s="112"/>
      <c r="D75" s="129" t="s">
        <v>104</v>
      </c>
      <c r="E75" s="114" t="str">
        <f>VLOOKUP(D75,Data!H:I,2,0)</f>
        <v>Tekirdağ</v>
      </c>
      <c r="F75" s="115" t="str">
        <f>VLOOKUP(D75,Data!H:J,3,0)</f>
        <v>Freelance</v>
      </c>
      <c r="G75" s="139" t="b">
        <v>0</v>
      </c>
      <c r="H75" s="139" t="b">
        <v>0</v>
      </c>
      <c r="I75" s="139" t="b">
        <v>1</v>
      </c>
      <c r="J75" s="139" t="b">
        <v>1</v>
      </c>
      <c r="K75" s="139" t="b">
        <v>1</v>
      </c>
      <c r="L75" s="117">
        <f t="shared" si="1"/>
        <v>3</v>
      </c>
      <c r="M75" s="117">
        <f t="shared" si="2"/>
        <v>12</v>
      </c>
      <c r="N75" s="112"/>
      <c r="O75" s="112"/>
    </row>
    <row r="76" ht="15.0" customHeight="1">
      <c r="A76" s="112"/>
      <c r="B76" s="112"/>
      <c r="C76" s="112"/>
      <c r="D76" s="129" t="s">
        <v>154</v>
      </c>
      <c r="E76" s="114" t="str">
        <f>VLOOKUP(D76,Data!H:I,2,0)</f>
        <v>Uşak</v>
      </c>
      <c r="F76" s="115" t="str">
        <f>VLOOKUP(D76,Data!H:J,3,0)</f>
        <v>Nazım Öztel</v>
      </c>
      <c r="G76" s="139" t="b">
        <v>0</v>
      </c>
      <c r="H76" s="139" t="b">
        <v>1</v>
      </c>
      <c r="I76" s="139" t="b">
        <v>0</v>
      </c>
      <c r="J76" s="139" t="b">
        <v>0</v>
      </c>
      <c r="K76" s="139" t="b">
        <v>0</v>
      </c>
      <c r="L76" s="117">
        <f t="shared" si="1"/>
        <v>1</v>
      </c>
      <c r="M76" s="117">
        <f>L76*2</f>
        <v>2</v>
      </c>
      <c r="N76" s="112"/>
      <c r="O76" s="112"/>
    </row>
    <row r="77" ht="15.0" customHeight="1">
      <c r="A77" s="112"/>
      <c r="B77" s="112"/>
      <c r="C77" s="112"/>
      <c r="D77" s="132"/>
      <c r="E77" s="132"/>
      <c r="F77" s="132"/>
      <c r="G77" s="117">
        <f t="shared" ref="G77:K77" si="3">4*(COUNTIF(G14:G76,"true"))</f>
        <v>116</v>
      </c>
      <c r="H77" s="117">
        <f t="shared" si="3"/>
        <v>140</v>
      </c>
      <c r="I77" s="117">
        <f t="shared" si="3"/>
        <v>120</v>
      </c>
      <c r="J77" s="117">
        <f t="shared" si="3"/>
        <v>136</v>
      </c>
      <c r="K77" s="117">
        <f t="shared" si="3"/>
        <v>104</v>
      </c>
      <c r="L77" s="135"/>
      <c r="M77" s="135">
        <f>SUM(M15:M76)</f>
        <v>614</v>
      </c>
      <c r="N77" s="112"/>
      <c r="O77" s="112"/>
    </row>
  </sheetData>
  <customSheetViews>
    <customSheetView guid="{90E1DF85-7252-44D2-BA7D-CC3767CD0E8B}" filter="1" showAutoFilter="1">
      <autoFilter ref="$A$14:$O$77">
        <filterColumn colId="4">
          <filters>
            <filter val="Karabük"/>
            <filter val="Aydın"/>
            <filter val="Burdur"/>
            <filter val="Edirne"/>
            <filter val="Düzce"/>
            <filter val="Eskişehir"/>
            <filter val="Kahramanmaraş"/>
            <filter val="Balıkesir"/>
            <filter val="Uşak"/>
          </filters>
        </filterColumn>
      </autoFilter>
    </customSheetView>
    <customSheetView guid="{70B995D3-3AEB-4DFE-A0CA-D6FFCCE596BC}" filter="1" showAutoFilter="1">
      <autoFilter ref="$D$14:$D$76"/>
    </customSheetView>
  </customSheetViews>
  <mergeCells count="4">
    <mergeCell ref="D6:K6"/>
    <mergeCell ref="D7:F7"/>
    <mergeCell ref="D9:D12"/>
    <mergeCell ref="F10:M11"/>
  </mergeCells>
  <conditionalFormatting sqref="G15:K76">
    <cfRule type="cellIs" dxfId="1" priority="1" operator="equal">
      <formula>"False"</formula>
    </cfRule>
  </conditionalFormatting>
  <conditionalFormatting sqref="G15:K76">
    <cfRule type="cellIs" dxfId="0" priority="2" operator="equal">
      <formula>"TRUE"</formula>
    </cfRule>
  </conditionalFormatting>
  <dataValidations>
    <dataValidation type="list" allowBlank="1" showErrorMessage="1" sqref="E15:E76">
      <formula1>Data!$A$2:$A$10</formula1>
    </dataValidation>
    <dataValidation type="list" allowBlank="1" showErrorMessage="1" sqref="F15:F76">
      <formula1>Data!$C$2:$C$8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3" width="2.63"/>
    <col customWidth="1" min="4" max="4" width="20.38"/>
    <col customWidth="1" min="5" max="5" width="11.38"/>
    <col customWidth="1" min="6" max="6" width="16.63"/>
    <col customWidth="1" min="7" max="11" width="8.63"/>
    <col customWidth="1" min="12" max="12" width="12.63"/>
    <col customWidth="1" min="13" max="13" width="15.13"/>
    <col customWidth="1" min="14" max="15" width="2.63"/>
  </cols>
  <sheetData>
    <row r="1" ht="7.5" customHeight="1">
      <c r="A1" s="140"/>
      <c r="B1" s="84"/>
      <c r="C1" s="84"/>
      <c r="D1" s="84"/>
      <c r="E1" s="84"/>
      <c r="F1" s="84"/>
      <c r="G1" s="84"/>
      <c r="H1" s="84"/>
      <c r="I1" s="84"/>
      <c r="J1" s="84"/>
      <c r="K1" s="84"/>
      <c r="L1" s="85"/>
      <c r="M1" s="86"/>
      <c r="N1" s="86"/>
      <c r="O1" s="86"/>
    </row>
    <row r="2" ht="15.0" customHeight="1">
      <c r="A2" s="87"/>
      <c r="B2" s="87"/>
      <c r="C2" s="87"/>
      <c r="D2" s="88"/>
      <c r="E2" s="88"/>
      <c r="F2" s="88"/>
      <c r="G2" s="88"/>
      <c r="H2" s="88"/>
      <c r="I2" s="88"/>
      <c r="J2" s="88"/>
      <c r="K2" s="88"/>
      <c r="L2" s="88"/>
      <c r="M2" s="87"/>
      <c r="N2" s="87"/>
      <c r="O2" s="87"/>
    </row>
    <row r="3" ht="3.75" customHeight="1">
      <c r="A3" s="87"/>
      <c r="B3" s="87"/>
      <c r="C3" s="87"/>
      <c r="D3" s="89"/>
      <c r="E3" s="90"/>
      <c r="F3" s="90"/>
      <c r="G3" s="90"/>
      <c r="H3" s="90"/>
      <c r="I3" s="90"/>
      <c r="J3" s="90"/>
      <c r="K3" s="90"/>
      <c r="L3" s="90"/>
      <c r="M3" s="87"/>
      <c r="N3" s="87"/>
      <c r="O3" s="87"/>
    </row>
    <row r="4" ht="15.0" customHeight="1">
      <c r="A4" s="87"/>
      <c r="B4" s="87"/>
      <c r="C4" s="87"/>
      <c r="D4" s="88"/>
      <c r="E4" s="88"/>
      <c r="F4" s="88"/>
      <c r="G4" s="91"/>
      <c r="H4" s="91"/>
      <c r="I4" s="91"/>
      <c r="J4" s="91"/>
      <c r="K4" s="91"/>
      <c r="L4" s="91"/>
      <c r="M4" s="87"/>
      <c r="N4" s="87"/>
      <c r="O4" s="87"/>
    </row>
    <row r="5" ht="15.0" customHeight="1">
      <c r="A5" s="92"/>
      <c r="B5" s="92"/>
      <c r="C5" s="92"/>
      <c r="D5" s="88"/>
      <c r="E5" s="88"/>
      <c r="F5" s="88"/>
      <c r="G5" s="93"/>
      <c r="H5" s="93"/>
      <c r="I5" s="93"/>
      <c r="J5" s="93"/>
      <c r="K5" s="93"/>
      <c r="L5" s="94"/>
      <c r="M5" s="88"/>
      <c r="N5" s="92"/>
      <c r="O5" s="92"/>
    </row>
    <row r="6" ht="15.0" customHeight="1">
      <c r="A6" s="92"/>
      <c r="B6" s="92"/>
      <c r="C6" s="92"/>
      <c r="D6" s="95" t="s">
        <v>177</v>
      </c>
      <c r="L6" s="94"/>
      <c r="M6" s="88"/>
      <c r="N6" s="92"/>
      <c r="O6" s="92"/>
    </row>
    <row r="7" ht="15.0" customHeight="1">
      <c r="A7" s="92"/>
      <c r="B7" s="92"/>
      <c r="C7" s="92"/>
      <c r="D7" s="96" t="s">
        <v>178</v>
      </c>
      <c r="G7" s="97"/>
      <c r="H7" s="97"/>
      <c r="I7" s="97"/>
      <c r="J7" s="97"/>
      <c r="K7" s="97"/>
      <c r="L7" s="92"/>
      <c r="M7" s="92"/>
      <c r="N7" s="92"/>
      <c r="O7" s="92"/>
    </row>
    <row r="8" ht="15.0" customHeight="1">
      <c r="A8" s="92"/>
      <c r="B8" s="92"/>
      <c r="C8" s="92"/>
      <c r="D8" s="97"/>
      <c r="E8" s="97"/>
      <c r="F8" s="97"/>
      <c r="G8" s="97"/>
      <c r="H8" s="97"/>
      <c r="I8" s="97"/>
      <c r="J8" s="97"/>
      <c r="K8" s="97"/>
      <c r="L8" s="92"/>
      <c r="M8" s="92"/>
      <c r="N8" s="92"/>
      <c r="O8" s="92"/>
    </row>
    <row r="9" ht="15.0" customHeight="1">
      <c r="A9" s="92"/>
      <c r="B9" s="92"/>
      <c r="C9" s="98"/>
      <c r="D9" s="99" t="s">
        <v>35</v>
      </c>
      <c r="E9" s="100"/>
      <c r="F9" s="101"/>
      <c r="G9" s="101"/>
      <c r="H9" s="101"/>
      <c r="I9" s="101"/>
      <c r="J9" s="101"/>
      <c r="K9" s="101"/>
      <c r="L9" s="101"/>
      <c r="M9" s="100"/>
      <c r="N9" s="102"/>
      <c r="O9" s="102"/>
    </row>
    <row r="10" ht="15.0" customHeight="1">
      <c r="A10" s="92"/>
      <c r="B10" s="92"/>
      <c r="C10" s="98"/>
      <c r="E10" s="100"/>
      <c r="F10" s="103" t="s">
        <v>36</v>
      </c>
      <c r="N10" s="102"/>
      <c r="O10" s="102"/>
    </row>
    <row r="11" ht="15.0" customHeight="1">
      <c r="A11" s="92"/>
      <c r="B11" s="92"/>
      <c r="C11" s="98"/>
      <c r="E11" s="100"/>
      <c r="N11" s="102"/>
      <c r="O11" s="102"/>
    </row>
    <row r="12" ht="15.0" customHeight="1">
      <c r="A12" s="88"/>
      <c r="B12" s="92"/>
      <c r="C12" s="92"/>
      <c r="E12" s="100"/>
      <c r="F12" s="100"/>
      <c r="G12" s="100"/>
      <c r="H12" s="100"/>
      <c r="I12" s="100"/>
      <c r="J12" s="100"/>
      <c r="K12" s="100"/>
      <c r="L12" s="100"/>
      <c r="M12" s="100"/>
      <c r="N12" s="102"/>
      <c r="O12" s="102"/>
    </row>
    <row r="13" ht="15.0" customHeight="1">
      <c r="A13" s="88"/>
      <c r="B13" s="104"/>
      <c r="C13" s="104"/>
      <c r="D13" s="104"/>
      <c r="E13" s="104"/>
      <c r="F13" s="105"/>
      <c r="G13" s="105"/>
      <c r="H13" s="105"/>
      <c r="I13" s="105"/>
      <c r="J13" s="105"/>
      <c r="K13" s="105"/>
      <c r="L13" s="104"/>
      <c r="M13" s="104"/>
      <c r="N13" s="104"/>
      <c r="O13" s="104"/>
    </row>
    <row r="14" ht="15.0" customHeight="1">
      <c r="A14" s="106"/>
      <c r="B14" s="106"/>
      <c r="C14" s="106"/>
      <c r="D14" s="107" t="s">
        <v>37</v>
      </c>
      <c r="E14" s="108" t="s">
        <v>38</v>
      </c>
      <c r="F14" s="109" t="s">
        <v>39</v>
      </c>
      <c r="G14" s="110">
        <v>44494.0</v>
      </c>
      <c r="H14" s="110">
        <v>44495.0</v>
      </c>
      <c r="I14" s="110">
        <v>44496.0</v>
      </c>
      <c r="J14" s="110">
        <v>44497.0</v>
      </c>
      <c r="K14" s="110">
        <v>44498.0</v>
      </c>
      <c r="L14" s="111" t="s">
        <v>40</v>
      </c>
      <c r="M14" s="111" t="s">
        <v>41</v>
      </c>
      <c r="N14" s="88"/>
      <c r="O14" s="88"/>
    </row>
    <row r="15" ht="15.0" customHeight="1">
      <c r="A15" s="112"/>
      <c r="B15" s="112"/>
      <c r="C15" s="112"/>
      <c r="D15" s="129" t="s">
        <v>42</v>
      </c>
      <c r="E15" s="114" t="str">
        <f>VLOOKUP(D15,Data!H:I,2,0)</f>
        <v>Adana</v>
      </c>
      <c r="F15" s="115" t="str">
        <f>VLOOKUP(D15,Data!H:J,3,0)</f>
        <v>Freelance</v>
      </c>
      <c r="G15" s="116" t="b">
        <v>1</v>
      </c>
      <c r="H15" s="116" t="b">
        <v>1</v>
      </c>
      <c r="I15" s="116" t="b">
        <v>1</v>
      </c>
      <c r="J15" s="116" t="b">
        <v>1</v>
      </c>
      <c r="K15" s="116" t="b">
        <v>0</v>
      </c>
      <c r="L15" s="117">
        <f t="shared" ref="L15:L78" si="1">COUNTIF(G15:K15,"TRUE")</f>
        <v>4</v>
      </c>
      <c r="M15" s="117">
        <f t="shared" ref="M15:M77" si="2">L15*4</f>
        <v>16</v>
      </c>
      <c r="N15" s="112"/>
      <c r="O15" s="88"/>
    </row>
    <row r="16" ht="15.0" customHeight="1">
      <c r="A16" s="112"/>
      <c r="B16" s="112"/>
      <c r="C16" s="112"/>
      <c r="D16" s="129" t="s">
        <v>43</v>
      </c>
      <c r="E16" s="114" t="str">
        <f>VLOOKUP(D16,Data!H:I,2,0)</f>
        <v>Adana</v>
      </c>
      <c r="F16" s="115" t="str">
        <f>VLOOKUP(D16,Data!H:J,3,0)</f>
        <v>Freelance</v>
      </c>
      <c r="G16" s="116" t="b">
        <v>0</v>
      </c>
      <c r="H16" s="116" t="b">
        <v>0</v>
      </c>
      <c r="I16" s="116" t="b">
        <v>0</v>
      </c>
      <c r="J16" s="116" t="b">
        <v>0</v>
      </c>
      <c r="K16" s="116" t="b">
        <v>0</v>
      </c>
      <c r="L16" s="117">
        <f t="shared" si="1"/>
        <v>0</v>
      </c>
      <c r="M16" s="117">
        <f t="shared" si="2"/>
        <v>0</v>
      </c>
      <c r="N16" s="112"/>
      <c r="O16" s="88"/>
    </row>
    <row r="17" ht="15.0" customHeight="1">
      <c r="A17" s="112"/>
      <c r="B17" s="112"/>
      <c r="C17" s="112"/>
      <c r="D17" s="119" t="s">
        <v>48</v>
      </c>
      <c r="E17" s="114" t="str">
        <f>VLOOKUP(D17,Data!H:I,2,0)</f>
        <v>Ankara</v>
      </c>
      <c r="F17" s="115" t="str">
        <f>VLOOKUP(D17,Data!H:J,3,0)</f>
        <v>Medya Özgür Deniz</v>
      </c>
      <c r="G17" s="116" t="b">
        <v>0</v>
      </c>
      <c r="H17" s="116" t="b">
        <v>0</v>
      </c>
      <c r="I17" s="116" t="b">
        <v>0</v>
      </c>
      <c r="J17" s="116" t="b">
        <v>0</v>
      </c>
      <c r="K17" s="116" t="b">
        <v>0</v>
      </c>
      <c r="L17" s="117">
        <f t="shared" si="1"/>
        <v>0</v>
      </c>
      <c r="M17" s="117">
        <f t="shared" si="2"/>
        <v>0</v>
      </c>
      <c r="N17" s="88"/>
      <c r="O17" s="88"/>
    </row>
    <row r="18" ht="15.0" customHeight="1">
      <c r="A18" s="112"/>
      <c r="B18" s="112"/>
      <c r="C18" s="112"/>
      <c r="D18" s="131" t="s">
        <v>44</v>
      </c>
      <c r="E18" s="114" t="str">
        <f>VLOOKUP(D18,Data!H:I,2,0)</f>
        <v>Ankara</v>
      </c>
      <c r="F18" s="115" t="str">
        <f>VLOOKUP(D18,Data!H:J,3,0)</f>
        <v>Medya Özgür Deniz</v>
      </c>
      <c r="G18" s="116" t="b">
        <v>0</v>
      </c>
      <c r="H18" s="116" t="b">
        <v>0</v>
      </c>
      <c r="I18" s="116" t="b">
        <v>0</v>
      </c>
      <c r="J18" s="116" t="b">
        <v>0</v>
      </c>
      <c r="K18" s="116" t="b">
        <v>0</v>
      </c>
      <c r="L18" s="117">
        <f t="shared" si="1"/>
        <v>0</v>
      </c>
      <c r="M18" s="117">
        <f t="shared" si="2"/>
        <v>0</v>
      </c>
      <c r="N18" s="112"/>
      <c r="O18" s="88"/>
    </row>
    <row r="19" ht="15.0" customHeight="1">
      <c r="A19" s="120"/>
      <c r="B19" s="120"/>
      <c r="C19" s="120"/>
      <c r="D19" s="131" t="s">
        <v>45</v>
      </c>
      <c r="E19" s="114" t="str">
        <f>VLOOKUP(D19,Data!H:I,2,0)</f>
        <v>Ankara</v>
      </c>
      <c r="F19" s="115" t="str">
        <f>VLOOKUP(D19,Data!H:J,3,0)</f>
        <v>Medya Özgür Deniz</v>
      </c>
      <c r="G19" s="116" t="b">
        <v>1</v>
      </c>
      <c r="H19" s="116" t="b">
        <v>0</v>
      </c>
      <c r="I19" s="116" t="b">
        <v>0</v>
      </c>
      <c r="J19" s="116" t="b">
        <v>0</v>
      </c>
      <c r="K19" s="116" t="b">
        <v>0</v>
      </c>
      <c r="L19" s="117">
        <f t="shared" si="1"/>
        <v>1</v>
      </c>
      <c r="M19" s="117">
        <f t="shared" si="2"/>
        <v>4</v>
      </c>
      <c r="N19" s="112"/>
      <c r="O19" s="120"/>
    </row>
    <row r="20" ht="15.0" customHeight="1">
      <c r="A20" s="121"/>
      <c r="B20" s="121"/>
      <c r="C20" s="121"/>
      <c r="D20" s="131" t="s">
        <v>46</v>
      </c>
      <c r="E20" s="114" t="str">
        <f>VLOOKUP(D20,Data!H:I,2,0)</f>
        <v>Ankara</v>
      </c>
      <c r="F20" s="115" t="str">
        <f>VLOOKUP(D20,Data!H:J,3,0)</f>
        <v>Medya Özgür Deniz</v>
      </c>
      <c r="G20" s="116" t="b">
        <v>0</v>
      </c>
      <c r="H20" s="116" t="b">
        <v>0</v>
      </c>
      <c r="I20" s="116" t="b">
        <v>0</v>
      </c>
      <c r="J20" s="116" t="b">
        <v>0</v>
      </c>
      <c r="K20" s="116" t="b">
        <v>0</v>
      </c>
      <c r="L20" s="117">
        <f t="shared" si="1"/>
        <v>0</v>
      </c>
      <c r="M20" s="117">
        <f t="shared" si="2"/>
        <v>0</v>
      </c>
      <c r="N20" s="112"/>
      <c r="O20" s="121"/>
    </row>
    <row r="21" ht="15.0" customHeight="1">
      <c r="A21" s="121"/>
      <c r="B21" s="121"/>
      <c r="C21" s="121"/>
      <c r="D21" s="131" t="s">
        <v>47</v>
      </c>
      <c r="E21" s="114" t="str">
        <f>VLOOKUP(D21,Data!H:I,2,0)</f>
        <v>Ankara</v>
      </c>
      <c r="F21" s="115" t="str">
        <f>VLOOKUP(D21,Data!H:J,3,0)</f>
        <v>Medya Özgür Deniz</v>
      </c>
      <c r="G21" s="116" t="b">
        <v>1</v>
      </c>
      <c r="H21" s="116" t="b">
        <v>0</v>
      </c>
      <c r="I21" s="116" t="b">
        <v>0</v>
      </c>
      <c r="J21" s="116" t="b">
        <v>0</v>
      </c>
      <c r="K21" s="116" t="b">
        <v>0</v>
      </c>
      <c r="L21" s="117">
        <f t="shared" si="1"/>
        <v>1</v>
      </c>
      <c r="M21" s="117">
        <f t="shared" si="2"/>
        <v>4</v>
      </c>
      <c r="N21" s="112"/>
      <c r="O21" s="121"/>
    </row>
    <row r="22" ht="15.0" customHeight="1">
      <c r="A22" s="106"/>
      <c r="B22" s="106"/>
      <c r="C22" s="106"/>
      <c r="D22" s="129" t="s">
        <v>164</v>
      </c>
      <c r="E22" s="114" t="str">
        <f>VLOOKUP(D22,Data!H:I,2,0)</f>
        <v>Antalya</v>
      </c>
      <c r="F22" s="115" t="str">
        <f>VLOOKUP(D22,Data!H:J,3,0)</f>
        <v>Nazım Öztel</v>
      </c>
      <c r="G22" s="116" t="b">
        <v>1</v>
      </c>
      <c r="H22" s="116" t="b">
        <v>1</v>
      </c>
      <c r="I22" s="116" t="b">
        <v>1</v>
      </c>
      <c r="J22" s="116" t="b">
        <v>1</v>
      </c>
      <c r="K22" s="116" t="b">
        <v>1</v>
      </c>
      <c r="L22" s="117">
        <f t="shared" si="1"/>
        <v>5</v>
      </c>
      <c r="M22" s="117">
        <f t="shared" si="2"/>
        <v>20</v>
      </c>
      <c r="N22" s="112"/>
      <c r="O22" s="106"/>
    </row>
    <row r="23" ht="15.0" customHeight="1">
      <c r="A23" s="106"/>
      <c r="B23" s="106"/>
      <c r="C23" s="106"/>
      <c r="D23" s="129" t="s">
        <v>152</v>
      </c>
      <c r="E23" s="114" t="str">
        <f>VLOOKUP(D23,Data!H:I,2,0)</f>
        <v>Antalya</v>
      </c>
      <c r="F23" s="115" t="str">
        <f>VLOOKUP(D23,Data!H:J,3,0)</f>
        <v>Nazım Öztel</v>
      </c>
      <c r="G23" s="116" t="b">
        <v>1</v>
      </c>
      <c r="H23" s="116" t="b">
        <v>0</v>
      </c>
      <c r="I23" s="116" t="b">
        <v>0</v>
      </c>
      <c r="J23" s="116" t="b">
        <v>1</v>
      </c>
      <c r="K23" s="116" t="b">
        <v>1</v>
      </c>
      <c r="L23" s="117">
        <f t="shared" si="1"/>
        <v>3</v>
      </c>
      <c r="M23" s="117">
        <f t="shared" si="2"/>
        <v>12</v>
      </c>
      <c r="N23" s="112"/>
      <c r="O23" s="106"/>
    </row>
    <row r="24" ht="15.0" customHeight="1">
      <c r="A24" s="112"/>
      <c r="B24" s="112"/>
      <c r="C24" s="112"/>
      <c r="D24" s="129" t="s">
        <v>50</v>
      </c>
      <c r="E24" s="114" t="str">
        <f>VLOOKUP(D24,Data!H:I,2,0)</f>
        <v>Antalya</v>
      </c>
      <c r="F24" s="115" t="str">
        <f>VLOOKUP(D24,Data!H:J,3,0)</f>
        <v>Freelance</v>
      </c>
      <c r="G24" s="116" t="b">
        <v>1</v>
      </c>
      <c r="H24" s="116" t="b">
        <v>1</v>
      </c>
      <c r="I24" s="116" t="b">
        <v>1</v>
      </c>
      <c r="J24" s="116" t="b">
        <v>1</v>
      </c>
      <c r="K24" s="116" t="b">
        <v>1</v>
      </c>
      <c r="L24" s="117">
        <f t="shared" si="1"/>
        <v>5</v>
      </c>
      <c r="M24" s="117">
        <f t="shared" si="2"/>
        <v>20</v>
      </c>
      <c r="N24" s="112"/>
      <c r="O24" s="112"/>
    </row>
    <row r="25" ht="15.0" customHeight="1">
      <c r="A25" s="112"/>
      <c r="B25" s="112"/>
      <c r="C25" s="112"/>
      <c r="D25" s="129" t="s">
        <v>159</v>
      </c>
      <c r="E25" s="114" t="str">
        <f>VLOOKUP(D25,Data!H:I,2,0)</f>
        <v>Aydın</v>
      </c>
      <c r="F25" s="115" t="str">
        <f>VLOOKUP(D25,Data!H:J,3,0)</f>
        <v>Nazım Öztel</v>
      </c>
      <c r="G25" s="116" t="b">
        <v>1</v>
      </c>
      <c r="H25" s="116" t="b">
        <v>1</v>
      </c>
      <c r="I25" s="116" t="b">
        <v>1</v>
      </c>
      <c r="J25" s="116" t="b">
        <v>1</v>
      </c>
      <c r="K25" s="116" t="b">
        <v>1</v>
      </c>
      <c r="L25" s="117">
        <f t="shared" si="1"/>
        <v>5</v>
      </c>
      <c r="M25" s="117">
        <f t="shared" si="2"/>
        <v>20</v>
      </c>
      <c r="N25" s="112"/>
      <c r="O25" s="112"/>
    </row>
    <row r="26" ht="15.0" customHeight="1">
      <c r="A26" s="112"/>
      <c r="B26" s="112"/>
      <c r="C26" s="112"/>
      <c r="D26" s="129" t="s">
        <v>160</v>
      </c>
      <c r="E26" s="114" t="str">
        <f>VLOOKUP(D26,Data!H:I,2,0)</f>
        <v>Burdur</v>
      </c>
      <c r="F26" s="115" t="str">
        <f>VLOOKUP(D26,Data!H:J,3,0)</f>
        <v>Nazım Öztel</v>
      </c>
      <c r="G26" s="116" t="b">
        <v>0</v>
      </c>
      <c r="H26" s="116" t="b">
        <v>0</v>
      </c>
      <c r="I26" s="116" t="b">
        <v>0</v>
      </c>
      <c r="J26" s="116" t="b">
        <v>1</v>
      </c>
      <c r="K26" s="116" t="b">
        <v>0</v>
      </c>
      <c r="L26" s="117">
        <f t="shared" si="1"/>
        <v>1</v>
      </c>
      <c r="M26" s="117">
        <f t="shared" si="2"/>
        <v>4</v>
      </c>
      <c r="N26" s="112"/>
      <c r="O26" s="112"/>
    </row>
    <row r="27" ht="15.0" customHeight="1">
      <c r="A27" s="112"/>
      <c r="B27" s="112"/>
      <c r="C27" s="112"/>
      <c r="D27" s="132" t="s">
        <v>52</v>
      </c>
      <c r="E27" s="114" t="str">
        <f>VLOOKUP(D27,Data!H:I,2,0)</f>
        <v>Bursa</v>
      </c>
      <c r="F27" s="115" t="str">
        <f>VLOOKUP(D27,Data!H:J,3,0)</f>
        <v>Nazım Öztel</v>
      </c>
      <c r="G27" s="116" t="b">
        <v>1</v>
      </c>
      <c r="H27" s="116" t="b">
        <v>1</v>
      </c>
      <c r="I27" s="116" t="b">
        <v>1</v>
      </c>
      <c r="J27" s="116" t="b">
        <v>0</v>
      </c>
      <c r="K27" s="116" t="b">
        <v>1</v>
      </c>
      <c r="L27" s="117">
        <f t="shared" si="1"/>
        <v>4</v>
      </c>
      <c r="M27" s="117">
        <f t="shared" si="2"/>
        <v>16</v>
      </c>
      <c r="N27" s="122"/>
      <c r="O27" s="112"/>
    </row>
    <row r="28" ht="15.0" customHeight="1">
      <c r="A28" s="112"/>
      <c r="B28" s="112"/>
      <c r="C28" s="112"/>
      <c r="D28" s="129" t="s">
        <v>53</v>
      </c>
      <c r="E28" s="114" t="str">
        <f>VLOOKUP(D28,Data!H:I,2,0)</f>
        <v>Bursa</v>
      </c>
      <c r="F28" s="115" t="str">
        <f>VLOOKUP(D28,Data!H:J,3,0)</f>
        <v>Freelance</v>
      </c>
      <c r="G28" s="116" t="b">
        <v>1</v>
      </c>
      <c r="H28" s="116" t="b">
        <v>1</v>
      </c>
      <c r="I28" s="116" t="b">
        <v>1</v>
      </c>
      <c r="J28" s="116" t="b">
        <v>0</v>
      </c>
      <c r="K28" s="116" t="b">
        <v>1</v>
      </c>
      <c r="L28" s="117">
        <f t="shared" si="1"/>
        <v>4</v>
      </c>
      <c r="M28" s="117">
        <f t="shared" si="2"/>
        <v>16</v>
      </c>
      <c r="N28" s="112"/>
      <c r="O28" s="112"/>
    </row>
    <row r="29" ht="15.0" customHeight="1">
      <c r="A29" s="112"/>
      <c r="B29" s="112"/>
      <c r="C29" s="112"/>
      <c r="D29" s="132" t="s">
        <v>54</v>
      </c>
      <c r="E29" s="114" t="str">
        <f>VLOOKUP(D29,Data!H:I,2,0)</f>
        <v>Diyarbakır</v>
      </c>
      <c r="F29" s="115" t="str">
        <f>VLOOKUP(D29,Data!H:J,3,0)</f>
        <v>Nazım Öztel</v>
      </c>
      <c r="G29" s="116" t="b">
        <v>0</v>
      </c>
      <c r="H29" s="116" t="b">
        <v>0</v>
      </c>
      <c r="I29" s="116" t="b">
        <v>0</v>
      </c>
      <c r="J29" s="116" t="b">
        <v>1</v>
      </c>
      <c r="K29" s="116" t="b">
        <v>0</v>
      </c>
      <c r="L29" s="117">
        <f t="shared" si="1"/>
        <v>1</v>
      </c>
      <c r="M29" s="117">
        <f t="shared" si="2"/>
        <v>4</v>
      </c>
      <c r="N29" s="112"/>
      <c r="O29" s="112"/>
    </row>
    <row r="30" ht="15.0" customHeight="1">
      <c r="A30" s="112"/>
      <c r="B30" s="112"/>
      <c r="C30" s="112"/>
      <c r="D30" s="129" t="s">
        <v>173</v>
      </c>
      <c r="E30" s="114" t="str">
        <f>VLOOKUP(D30,Data!H:I,2,0)</f>
        <v>Düzce</v>
      </c>
      <c r="F30" s="115" t="str">
        <f>VLOOKUP(D30,Data!H:J,3,0)</f>
        <v>Nazım Öztel</v>
      </c>
      <c r="G30" s="116" t="b">
        <v>1</v>
      </c>
      <c r="H30" s="116" t="b">
        <v>1</v>
      </c>
      <c r="I30" s="116" t="b">
        <v>0</v>
      </c>
      <c r="J30" s="116" t="b">
        <v>0</v>
      </c>
      <c r="K30" s="116" t="b">
        <v>0</v>
      </c>
      <c r="L30" s="117">
        <f t="shared" si="1"/>
        <v>2</v>
      </c>
      <c r="M30" s="117">
        <f t="shared" si="2"/>
        <v>8</v>
      </c>
      <c r="N30" s="112"/>
      <c r="O30" s="112"/>
    </row>
    <row r="31" ht="15.0" customHeight="1">
      <c r="A31" s="112"/>
      <c r="B31" s="112"/>
      <c r="C31" s="112"/>
      <c r="D31" s="129" t="s">
        <v>153</v>
      </c>
      <c r="E31" s="114" t="str">
        <f>VLOOKUP(D31,Data!H:I,2,0)</f>
        <v>Edirne</v>
      </c>
      <c r="F31" s="115" t="str">
        <f>VLOOKUP(D31,Data!H:J,3,0)</f>
        <v>Nazım Öztel</v>
      </c>
      <c r="G31" s="116" t="b">
        <v>0</v>
      </c>
      <c r="H31" s="116" t="b">
        <v>0</v>
      </c>
      <c r="I31" s="116" t="b">
        <v>1</v>
      </c>
      <c r="J31" s="116" t="b">
        <v>1</v>
      </c>
      <c r="K31" s="116" t="b">
        <v>0</v>
      </c>
      <c r="L31" s="117">
        <f t="shared" si="1"/>
        <v>2</v>
      </c>
      <c r="M31" s="117">
        <f t="shared" si="2"/>
        <v>8</v>
      </c>
      <c r="N31" s="112"/>
      <c r="O31" s="112"/>
    </row>
    <row r="32" ht="15.0" customHeight="1">
      <c r="A32" s="112"/>
      <c r="B32" s="112"/>
      <c r="C32" s="112"/>
      <c r="D32" s="132" t="s">
        <v>55</v>
      </c>
      <c r="E32" s="114" t="str">
        <f>VLOOKUP(D32,Data!H:I,2,0)</f>
        <v>Erzurum</v>
      </c>
      <c r="F32" s="115" t="str">
        <f>VLOOKUP(D32,Data!H:J,3,0)</f>
        <v>Nazım Öztel</v>
      </c>
      <c r="G32" s="116" t="b">
        <v>0</v>
      </c>
      <c r="H32" s="116" t="b">
        <v>0</v>
      </c>
      <c r="I32" s="116" t="b">
        <v>0</v>
      </c>
      <c r="J32" s="116" t="b">
        <v>0</v>
      </c>
      <c r="K32" s="116" t="b">
        <v>0</v>
      </c>
      <c r="L32" s="117">
        <f t="shared" si="1"/>
        <v>0</v>
      </c>
      <c r="M32" s="117">
        <f t="shared" si="2"/>
        <v>0</v>
      </c>
      <c r="N32" s="112"/>
      <c r="O32" s="112"/>
    </row>
    <row r="33" ht="15.0" customHeight="1">
      <c r="A33" s="112"/>
      <c r="B33" s="112"/>
      <c r="C33" s="112"/>
      <c r="D33" s="129" t="s">
        <v>165</v>
      </c>
      <c r="E33" s="114" t="str">
        <f>VLOOKUP(D33,Data!H:I,2,0)</f>
        <v>Eskişehir</v>
      </c>
      <c r="F33" s="115" t="str">
        <f>VLOOKUP(D33,Data!H:J,3,0)</f>
        <v>Nazım Öztel</v>
      </c>
      <c r="G33" s="116" t="b">
        <v>0</v>
      </c>
      <c r="H33" s="116" t="b">
        <v>0</v>
      </c>
      <c r="I33" s="116" t="b">
        <v>1</v>
      </c>
      <c r="J33" s="116" t="b">
        <v>1</v>
      </c>
      <c r="K33" s="116" t="b">
        <v>1</v>
      </c>
      <c r="L33" s="117">
        <f t="shared" si="1"/>
        <v>3</v>
      </c>
      <c r="M33" s="117">
        <f t="shared" si="2"/>
        <v>12</v>
      </c>
      <c r="N33" s="112"/>
      <c r="O33" s="112"/>
    </row>
    <row r="34" ht="15.0" customHeight="1">
      <c r="A34" s="112"/>
      <c r="B34" s="112"/>
      <c r="C34" s="112"/>
      <c r="D34" s="129" t="s">
        <v>58</v>
      </c>
      <c r="E34" s="114" t="str">
        <f>VLOOKUP(D34,Data!H:I,2,0)</f>
        <v>İstanbul</v>
      </c>
      <c r="F34" s="115" t="str">
        <f>VLOOKUP(D34,Data!H:J,3,0)</f>
        <v>Freelance</v>
      </c>
      <c r="G34" s="116" t="b">
        <v>1</v>
      </c>
      <c r="H34" s="116" t="b">
        <v>1</v>
      </c>
      <c r="I34" s="116" t="b">
        <v>1</v>
      </c>
      <c r="J34" s="116" t="b">
        <v>1</v>
      </c>
      <c r="K34" s="116" t="b">
        <v>1</v>
      </c>
      <c r="L34" s="117">
        <f t="shared" si="1"/>
        <v>5</v>
      </c>
      <c r="M34" s="117">
        <f t="shared" si="2"/>
        <v>20</v>
      </c>
      <c r="N34" s="88"/>
      <c r="O34" s="112"/>
    </row>
    <row r="35" ht="15.0" customHeight="1">
      <c r="A35" s="112"/>
      <c r="B35" s="112"/>
      <c r="C35" s="112"/>
      <c r="D35" s="129" t="s">
        <v>133</v>
      </c>
      <c r="E35" s="114" t="str">
        <f>VLOOKUP(D35,Data!H:I,2,0)</f>
        <v>İstanbul</v>
      </c>
      <c r="F35" s="115" t="str">
        <f>VLOOKUP(D35,Data!H:J,3,0)</f>
        <v>Freelance</v>
      </c>
      <c r="G35" s="116" t="b">
        <v>0</v>
      </c>
      <c r="H35" s="116" t="b">
        <v>1</v>
      </c>
      <c r="I35" s="116" t="b">
        <v>0</v>
      </c>
      <c r="J35" s="116" t="b">
        <v>1</v>
      </c>
      <c r="K35" s="116" t="b">
        <v>0</v>
      </c>
      <c r="L35" s="117">
        <f t="shared" si="1"/>
        <v>2</v>
      </c>
      <c r="M35" s="117">
        <f t="shared" si="2"/>
        <v>8</v>
      </c>
      <c r="N35" s="88"/>
      <c r="O35" s="112"/>
    </row>
    <row r="36" ht="15.0" customHeight="1">
      <c r="A36" s="120"/>
      <c r="B36" s="120"/>
      <c r="C36" s="120"/>
      <c r="D36" s="129" t="s">
        <v>66</v>
      </c>
      <c r="E36" s="114" t="str">
        <f>VLOOKUP(D36,Data!H:I,2,0)</f>
        <v>İstanbul</v>
      </c>
      <c r="F36" s="115" t="str">
        <f>VLOOKUP(D36,Data!H:J,3,0)</f>
        <v>Freelance</v>
      </c>
      <c r="G36" s="116" t="b">
        <v>0</v>
      </c>
      <c r="H36" s="116" t="b">
        <v>0</v>
      </c>
      <c r="I36" s="116" t="b">
        <v>0</v>
      </c>
      <c r="J36" s="116" t="b">
        <v>0</v>
      </c>
      <c r="K36" s="116" t="b">
        <v>0</v>
      </c>
      <c r="L36" s="117">
        <f t="shared" si="1"/>
        <v>0</v>
      </c>
      <c r="M36" s="117">
        <f t="shared" si="2"/>
        <v>0</v>
      </c>
      <c r="N36" s="120"/>
      <c r="O36" s="120"/>
    </row>
    <row r="37" ht="15.0" customHeight="1">
      <c r="A37" s="121"/>
      <c r="B37" s="121"/>
      <c r="C37" s="121"/>
      <c r="D37" s="129" t="s">
        <v>134</v>
      </c>
      <c r="E37" s="114" t="str">
        <f>VLOOKUP(D37,Data!H:I,2,0)</f>
        <v>İstanbul</v>
      </c>
      <c r="F37" s="115" t="str">
        <f>VLOOKUP(D37,Data!H:J,3,0)</f>
        <v>Filamingo</v>
      </c>
      <c r="G37" s="116" t="b">
        <v>1</v>
      </c>
      <c r="H37" s="116" t="b">
        <v>1</v>
      </c>
      <c r="I37" s="116" t="b">
        <v>0</v>
      </c>
      <c r="J37" s="116" t="b">
        <v>0</v>
      </c>
      <c r="K37" s="116" t="b">
        <v>0</v>
      </c>
      <c r="L37" s="117">
        <f t="shared" si="1"/>
        <v>2</v>
      </c>
      <c r="M37" s="117">
        <f t="shared" si="2"/>
        <v>8</v>
      </c>
      <c r="N37" s="121"/>
      <c r="O37" s="121"/>
    </row>
    <row r="38" ht="15.0" customHeight="1">
      <c r="A38" s="121"/>
      <c r="B38" s="121"/>
      <c r="C38" s="121"/>
      <c r="D38" s="132" t="s">
        <v>71</v>
      </c>
      <c r="E38" s="114" t="str">
        <f>VLOOKUP(D38,Data!H:I,2,0)</f>
        <v>İstanbul</v>
      </c>
      <c r="F38" s="115" t="str">
        <f>VLOOKUP(D38,Data!H:J,3,0)</f>
        <v>Filamingo</v>
      </c>
      <c r="G38" s="116" t="b">
        <v>0</v>
      </c>
      <c r="H38" s="116" t="b">
        <v>0</v>
      </c>
      <c r="I38" s="116" t="b">
        <v>0</v>
      </c>
      <c r="J38" s="116" t="b">
        <v>0</v>
      </c>
      <c r="K38" s="116" t="b">
        <v>0</v>
      </c>
      <c r="L38" s="117">
        <f t="shared" si="1"/>
        <v>0</v>
      </c>
      <c r="M38" s="117">
        <f t="shared" si="2"/>
        <v>0</v>
      </c>
      <c r="N38" s="121"/>
      <c r="O38" s="121"/>
    </row>
    <row r="39" ht="15.0" customHeight="1">
      <c r="A39" s="112"/>
      <c r="B39" s="112"/>
      <c r="C39" s="112"/>
      <c r="D39" s="132" t="s">
        <v>117</v>
      </c>
      <c r="E39" s="114" t="str">
        <f>VLOOKUP(D39,Data!H:I,2,0)</f>
        <v>İstanbul</v>
      </c>
      <c r="F39" s="115" t="str">
        <f>VLOOKUP(D39,Data!H:J,3,0)</f>
        <v>Freelance</v>
      </c>
      <c r="G39" s="116" t="b">
        <v>0</v>
      </c>
      <c r="H39" s="116" t="b">
        <v>0</v>
      </c>
      <c r="I39" s="116" t="b">
        <v>1</v>
      </c>
      <c r="J39" s="116" t="b">
        <v>1</v>
      </c>
      <c r="K39" s="116" t="b">
        <v>0</v>
      </c>
      <c r="L39" s="117">
        <f t="shared" si="1"/>
        <v>2</v>
      </c>
      <c r="M39" s="117">
        <f t="shared" si="2"/>
        <v>8</v>
      </c>
      <c r="N39" s="112"/>
      <c r="O39" s="112"/>
    </row>
    <row r="40" ht="15.0" customHeight="1">
      <c r="A40" s="112"/>
      <c r="B40" s="112"/>
      <c r="C40" s="112"/>
      <c r="D40" s="129" t="s">
        <v>135</v>
      </c>
      <c r="E40" s="114" t="str">
        <f>VLOOKUP(D40,Data!H:I,2,0)</f>
        <v>İstanbul</v>
      </c>
      <c r="F40" s="115" t="str">
        <f>VLOOKUP(D40,Data!H:J,3,0)</f>
        <v>Freelance</v>
      </c>
      <c r="G40" s="116" t="b">
        <v>0</v>
      </c>
      <c r="H40" s="116" t="b">
        <v>1</v>
      </c>
      <c r="I40" s="116" t="b">
        <v>1</v>
      </c>
      <c r="J40" s="116" t="b">
        <v>0</v>
      </c>
      <c r="K40" s="116" t="b">
        <v>0</v>
      </c>
      <c r="L40" s="117">
        <f t="shared" si="1"/>
        <v>2</v>
      </c>
      <c r="M40" s="117">
        <f t="shared" si="2"/>
        <v>8</v>
      </c>
      <c r="N40" s="112"/>
      <c r="O40" s="112"/>
    </row>
    <row r="41" ht="15.0" customHeight="1">
      <c r="A41" s="112"/>
      <c r="B41" s="112"/>
      <c r="C41" s="112"/>
      <c r="D41" s="129" t="s">
        <v>123</v>
      </c>
      <c r="E41" s="114" t="str">
        <f>VLOOKUP(D41,Data!H:I,2,0)</f>
        <v>İstanbul</v>
      </c>
      <c r="F41" s="115" t="str">
        <f>VLOOKUP(D41,Data!H:J,3,0)</f>
        <v>Freelance</v>
      </c>
      <c r="G41" s="116" t="b">
        <v>0</v>
      </c>
      <c r="H41" s="116" t="b">
        <v>1</v>
      </c>
      <c r="I41" s="116" t="b">
        <v>1</v>
      </c>
      <c r="J41" s="116" t="b">
        <v>1</v>
      </c>
      <c r="K41" s="116" t="b">
        <v>1</v>
      </c>
      <c r="L41" s="117">
        <f t="shared" si="1"/>
        <v>4</v>
      </c>
      <c r="M41" s="117">
        <f t="shared" si="2"/>
        <v>16</v>
      </c>
      <c r="N41" s="112"/>
      <c r="O41" s="112"/>
    </row>
    <row r="42" ht="15.0" customHeight="1">
      <c r="A42" s="112"/>
      <c r="B42" s="112"/>
      <c r="C42" s="112"/>
      <c r="D42" s="129" t="s">
        <v>70</v>
      </c>
      <c r="E42" s="114" t="str">
        <f>VLOOKUP(D42,Data!H:I,2,0)</f>
        <v>İstanbul</v>
      </c>
      <c r="F42" s="115" t="str">
        <f>VLOOKUP(D42,Data!H:J,3,0)</f>
        <v>Freelance</v>
      </c>
      <c r="G42" s="116" t="b">
        <v>0</v>
      </c>
      <c r="H42" s="116" t="b">
        <v>1</v>
      </c>
      <c r="I42" s="116" t="b">
        <v>0</v>
      </c>
      <c r="J42" s="116" t="b">
        <v>0</v>
      </c>
      <c r="K42" s="116" t="b">
        <v>0</v>
      </c>
      <c r="L42" s="117">
        <f t="shared" si="1"/>
        <v>1</v>
      </c>
      <c r="M42" s="117">
        <f t="shared" si="2"/>
        <v>4</v>
      </c>
      <c r="N42" s="112"/>
      <c r="O42" s="112"/>
    </row>
    <row r="43" ht="15.0" customHeight="1">
      <c r="A43" s="112"/>
      <c r="B43" s="112"/>
      <c r="C43" s="112"/>
      <c r="D43" s="129" t="s">
        <v>174</v>
      </c>
      <c r="E43" s="114" t="str">
        <f>VLOOKUP(D43,Data!H:I,2,0)</f>
        <v>İstanbul</v>
      </c>
      <c r="F43" s="115" t="str">
        <f>VLOOKUP(D43,Data!H:J,3,0)</f>
        <v>Freelance</v>
      </c>
      <c r="G43" s="116" t="b">
        <v>1</v>
      </c>
      <c r="H43" s="116" t="b">
        <v>1</v>
      </c>
      <c r="I43" s="116" t="b">
        <v>1</v>
      </c>
      <c r="J43" s="116" t="b">
        <v>0</v>
      </c>
      <c r="K43" s="116" t="b">
        <v>0</v>
      </c>
      <c r="L43" s="117">
        <f t="shared" si="1"/>
        <v>3</v>
      </c>
      <c r="M43" s="117">
        <f t="shared" si="2"/>
        <v>12</v>
      </c>
      <c r="N43" s="112"/>
      <c r="O43" s="112"/>
    </row>
    <row r="44" ht="15.0" customHeight="1">
      <c r="A44" s="112"/>
      <c r="B44" s="112"/>
      <c r="C44" s="112"/>
      <c r="D44" s="132" t="s">
        <v>72</v>
      </c>
      <c r="E44" s="114" t="str">
        <f>VLOOKUP(D44,Data!H:I,2,0)</f>
        <v>İstanbul</v>
      </c>
      <c r="F44" s="115" t="str">
        <f>VLOOKUP(D44,Data!H:J,3,0)</f>
        <v>Filamingo</v>
      </c>
      <c r="G44" s="116" t="b">
        <v>0</v>
      </c>
      <c r="H44" s="116" t="b">
        <v>0</v>
      </c>
      <c r="I44" s="116" t="b">
        <v>0</v>
      </c>
      <c r="J44" s="116" t="b">
        <v>0</v>
      </c>
      <c r="K44" s="116" t="b">
        <v>0</v>
      </c>
      <c r="L44" s="117">
        <f t="shared" si="1"/>
        <v>0</v>
      </c>
      <c r="M44" s="117">
        <f t="shared" si="2"/>
        <v>0</v>
      </c>
      <c r="N44" s="112"/>
      <c r="O44" s="112"/>
    </row>
    <row r="45" ht="15.0" customHeight="1">
      <c r="A45" s="112"/>
      <c r="B45" s="112"/>
      <c r="C45" s="112"/>
      <c r="D45" s="129" t="s">
        <v>136</v>
      </c>
      <c r="E45" s="114" t="str">
        <f>VLOOKUP(D45,Data!H:I,2,0)</f>
        <v>İstanbul</v>
      </c>
      <c r="F45" s="115" t="str">
        <f>VLOOKUP(D45,Data!H:J,3,0)</f>
        <v>Filamingo</v>
      </c>
      <c r="G45" s="116" t="b">
        <v>0</v>
      </c>
      <c r="H45" s="116" t="b">
        <v>0</v>
      </c>
      <c r="I45" s="116" t="b">
        <v>0</v>
      </c>
      <c r="J45" s="116" t="b">
        <v>0</v>
      </c>
      <c r="K45" s="116" t="b">
        <v>0</v>
      </c>
      <c r="L45" s="117">
        <f t="shared" si="1"/>
        <v>0</v>
      </c>
      <c r="M45" s="117">
        <f t="shared" si="2"/>
        <v>0</v>
      </c>
      <c r="N45" s="112"/>
      <c r="O45" s="112"/>
    </row>
    <row r="46" ht="15.0" customHeight="1">
      <c r="A46" s="112"/>
      <c r="B46" s="112"/>
      <c r="C46" s="112"/>
      <c r="D46" s="141" t="s">
        <v>125</v>
      </c>
      <c r="E46" s="114" t="str">
        <f>VLOOKUP(D46,Data!H:I,2,0)</f>
        <v>İstanbul</v>
      </c>
      <c r="F46" s="115" t="str">
        <f>VLOOKUP(D46,Data!H:J,3,0)</f>
        <v>Filamingo</v>
      </c>
      <c r="G46" s="116" t="b">
        <v>0</v>
      </c>
      <c r="H46" s="116" t="b">
        <v>0</v>
      </c>
      <c r="I46" s="116" t="b">
        <v>0</v>
      </c>
      <c r="J46" s="116" t="b">
        <v>0</v>
      </c>
      <c r="K46" s="116" t="b">
        <v>0</v>
      </c>
      <c r="L46" s="117">
        <f t="shared" si="1"/>
        <v>0</v>
      </c>
      <c r="M46" s="117">
        <f t="shared" si="2"/>
        <v>0</v>
      </c>
      <c r="N46" s="120"/>
      <c r="O46" s="112"/>
    </row>
    <row r="47" ht="15.0" customHeight="1">
      <c r="A47" s="125"/>
      <c r="B47" s="125"/>
      <c r="C47" s="125"/>
      <c r="D47" s="129" t="s">
        <v>77</v>
      </c>
      <c r="E47" s="114" t="str">
        <f>VLOOKUP(D47,Data!H:I,2,0)</f>
        <v>İstanbul</v>
      </c>
      <c r="F47" s="115" t="str">
        <f>VLOOKUP(D47,Data!H:J,3,0)</f>
        <v>Freelance</v>
      </c>
      <c r="G47" s="116" t="b">
        <v>0</v>
      </c>
      <c r="H47" s="116" t="b">
        <v>0</v>
      </c>
      <c r="I47" s="116" t="b">
        <v>0</v>
      </c>
      <c r="J47" s="116" t="b">
        <v>0</v>
      </c>
      <c r="K47" s="116" t="b">
        <v>0</v>
      </c>
      <c r="L47" s="117">
        <f t="shared" si="1"/>
        <v>0</v>
      </c>
      <c r="M47" s="117">
        <f t="shared" si="2"/>
        <v>0</v>
      </c>
      <c r="N47" s="124"/>
      <c r="O47" s="125"/>
    </row>
    <row r="48" ht="15.0" customHeight="1">
      <c r="A48" s="122"/>
      <c r="B48" s="122"/>
      <c r="C48" s="122"/>
      <c r="D48" s="129" t="s">
        <v>78</v>
      </c>
      <c r="E48" s="114" t="str">
        <f>VLOOKUP(D48,Data!H:I,2,0)</f>
        <v>İstanbul</v>
      </c>
      <c r="F48" s="115" t="str">
        <f>VLOOKUP(D48,Data!H:J,3,0)</f>
        <v>Freelance</v>
      </c>
      <c r="G48" s="116" t="b">
        <v>1</v>
      </c>
      <c r="H48" s="116" t="b">
        <v>1</v>
      </c>
      <c r="I48" s="116" t="b">
        <v>1</v>
      </c>
      <c r="J48" s="116" t="b">
        <v>1</v>
      </c>
      <c r="K48" s="116" t="b">
        <v>1</v>
      </c>
      <c r="L48" s="117">
        <f t="shared" si="1"/>
        <v>5</v>
      </c>
      <c r="M48" s="117">
        <f t="shared" si="2"/>
        <v>20</v>
      </c>
      <c r="N48" s="112"/>
      <c r="O48" s="122"/>
    </row>
    <row r="49" ht="15.0" customHeight="1">
      <c r="A49" s="124"/>
      <c r="B49" s="124"/>
      <c r="C49" s="124"/>
      <c r="D49" s="129" t="s">
        <v>79</v>
      </c>
      <c r="E49" s="114" t="str">
        <f>VLOOKUP(D49,Data!H:I,2,0)</f>
        <v>İstanbul</v>
      </c>
      <c r="F49" s="115" t="str">
        <f>VLOOKUP(D49,Data!H:J,3,0)</f>
        <v>Freelance</v>
      </c>
      <c r="G49" s="116" t="b">
        <v>1</v>
      </c>
      <c r="H49" s="116" t="b">
        <v>1</v>
      </c>
      <c r="I49" s="116" t="b">
        <v>1</v>
      </c>
      <c r="J49" s="116" t="b">
        <v>1</v>
      </c>
      <c r="K49" s="116" t="b">
        <v>0</v>
      </c>
      <c r="L49" s="117">
        <f t="shared" si="1"/>
        <v>4</v>
      </c>
      <c r="M49" s="117">
        <f t="shared" si="2"/>
        <v>16</v>
      </c>
      <c r="N49" s="112"/>
      <c r="O49" s="124"/>
    </row>
    <row r="50" ht="15.0" customHeight="1">
      <c r="A50" s="124"/>
      <c r="B50" s="124"/>
      <c r="C50" s="124"/>
      <c r="D50" s="129" t="s">
        <v>175</v>
      </c>
      <c r="E50" s="114" t="str">
        <f>VLOOKUP(D50,Data!H:I,2,0)</f>
        <v>İstanbul</v>
      </c>
      <c r="F50" s="115" t="str">
        <f>VLOOKUP(D50,Data!H:J,3,0)</f>
        <v>Freelance</v>
      </c>
      <c r="G50" s="116" t="b">
        <v>1</v>
      </c>
      <c r="H50" s="116" t="b">
        <v>1</v>
      </c>
      <c r="I50" s="116" t="b">
        <v>1</v>
      </c>
      <c r="J50" s="116" t="b">
        <v>1</v>
      </c>
      <c r="K50" s="116" t="b">
        <v>0</v>
      </c>
      <c r="L50" s="117">
        <f t="shared" si="1"/>
        <v>4</v>
      </c>
      <c r="M50" s="117">
        <f t="shared" si="2"/>
        <v>16</v>
      </c>
      <c r="N50" s="112"/>
      <c r="O50" s="124"/>
    </row>
    <row r="51" ht="15.0" customHeight="1">
      <c r="A51" s="112"/>
      <c r="B51" s="112"/>
      <c r="C51" s="112"/>
      <c r="D51" s="129" t="s">
        <v>166</v>
      </c>
      <c r="E51" s="114" t="str">
        <f>VLOOKUP(D51,Data!H:I,2,0)</f>
        <v>İstanbul</v>
      </c>
      <c r="F51" s="115" t="str">
        <f>VLOOKUP(D51,Data!H:J,3,0)</f>
        <v>Filamingo</v>
      </c>
      <c r="G51" s="116" t="b">
        <v>0</v>
      </c>
      <c r="H51" s="116" t="b">
        <v>0</v>
      </c>
      <c r="I51" s="116" t="b">
        <v>0</v>
      </c>
      <c r="J51" s="116" t="b">
        <v>0</v>
      </c>
      <c r="K51" s="116" t="b">
        <v>0</v>
      </c>
      <c r="L51" s="117">
        <f t="shared" si="1"/>
        <v>0</v>
      </c>
      <c r="M51" s="117">
        <f t="shared" si="2"/>
        <v>0</v>
      </c>
      <c r="N51" s="124"/>
      <c r="O51" s="112"/>
    </row>
    <row r="52" ht="15.0" customHeight="1">
      <c r="A52" s="112"/>
      <c r="B52" s="112"/>
      <c r="C52" s="112"/>
      <c r="D52" s="129" t="s">
        <v>80</v>
      </c>
      <c r="E52" s="114" t="str">
        <f>VLOOKUP(D52,Data!H:I,2,0)</f>
        <v>İstanbul</v>
      </c>
      <c r="F52" s="115" t="str">
        <f>VLOOKUP(D52,Data!H:J,3,0)</f>
        <v>Freelance</v>
      </c>
      <c r="G52" s="116" t="b">
        <v>1</v>
      </c>
      <c r="H52" s="116" t="b">
        <v>1</v>
      </c>
      <c r="I52" s="116" t="b">
        <v>1</v>
      </c>
      <c r="J52" s="116" t="b">
        <v>1</v>
      </c>
      <c r="K52" s="116" t="b">
        <v>1</v>
      </c>
      <c r="L52" s="117">
        <f t="shared" si="1"/>
        <v>5</v>
      </c>
      <c r="M52" s="117">
        <f t="shared" si="2"/>
        <v>20</v>
      </c>
      <c r="N52" s="112"/>
      <c r="O52" s="112"/>
    </row>
    <row r="53" ht="15.0" customHeight="1">
      <c r="A53" s="112"/>
      <c r="B53" s="112"/>
      <c r="C53" s="112"/>
      <c r="D53" s="132" t="s">
        <v>119</v>
      </c>
      <c r="E53" s="114" t="str">
        <f>VLOOKUP(D53,Data!H:I,2,0)</f>
        <v>İstanbul</v>
      </c>
      <c r="F53" s="115" t="str">
        <f>VLOOKUP(D53,Data!H:J,3,0)</f>
        <v>Filamingo</v>
      </c>
      <c r="G53" s="116" t="b">
        <v>0</v>
      </c>
      <c r="H53" s="116" t="b">
        <v>0</v>
      </c>
      <c r="I53" s="116" t="b">
        <v>0</v>
      </c>
      <c r="J53" s="116" t="b">
        <v>0</v>
      </c>
      <c r="K53" s="116" t="b">
        <v>0</v>
      </c>
      <c r="L53" s="117">
        <f t="shared" si="1"/>
        <v>0</v>
      </c>
      <c r="M53" s="117">
        <f t="shared" si="2"/>
        <v>0</v>
      </c>
      <c r="N53" s="112"/>
      <c r="O53" s="112"/>
    </row>
    <row r="54" ht="15.0" customHeight="1">
      <c r="A54" s="112"/>
      <c r="B54" s="112"/>
      <c r="C54" s="112"/>
      <c r="D54" s="129" t="s">
        <v>81</v>
      </c>
      <c r="E54" s="114" t="str">
        <f>VLOOKUP(D54,Data!H:I,2,0)</f>
        <v>İstanbul</v>
      </c>
      <c r="F54" s="115" t="str">
        <f>VLOOKUP(D54,Data!H:J,3,0)</f>
        <v>Freelance</v>
      </c>
      <c r="G54" s="116" t="b">
        <v>0</v>
      </c>
      <c r="H54" s="116" t="b">
        <v>0</v>
      </c>
      <c r="I54" s="116" t="b">
        <v>0</v>
      </c>
      <c r="J54" s="116" t="b">
        <v>0</v>
      </c>
      <c r="K54" s="116" t="b">
        <v>0</v>
      </c>
      <c r="L54" s="117">
        <f t="shared" si="1"/>
        <v>0</v>
      </c>
      <c r="M54" s="117">
        <f t="shared" si="2"/>
        <v>0</v>
      </c>
      <c r="N54" s="125"/>
      <c r="O54" s="112"/>
    </row>
    <row r="55" ht="15.0" customHeight="1">
      <c r="A55" s="112"/>
      <c r="B55" s="112"/>
      <c r="C55" s="112"/>
      <c r="D55" s="132" t="s">
        <v>83</v>
      </c>
      <c r="E55" s="114" t="str">
        <f>VLOOKUP(D55,Data!H:I,2,0)</f>
        <v>İstanbul</v>
      </c>
      <c r="F55" s="115" t="str">
        <f>VLOOKUP(D55,Data!H:J,3,0)</f>
        <v>Nazım Öztel</v>
      </c>
      <c r="G55" s="116" t="b">
        <v>1</v>
      </c>
      <c r="H55" s="116" t="b">
        <v>1</v>
      </c>
      <c r="I55" s="116" t="b">
        <v>1</v>
      </c>
      <c r="J55" s="116" t="b">
        <v>1</v>
      </c>
      <c r="K55" s="116" t="b">
        <v>1</v>
      </c>
      <c r="L55" s="117">
        <f t="shared" si="1"/>
        <v>5</v>
      </c>
      <c r="M55" s="117">
        <f t="shared" si="2"/>
        <v>20</v>
      </c>
      <c r="N55" s="112"/>
      <c r="O55" s="112"/>
    </row>
    <row r="56" ht="15.0" customHeight="1">
      <c r="A56" s="125"/>
      <c r="B56" s="125"/>
      <c r="C56" s="125"/>
      <c r="D56" s="132" t="s">
        <v>85</v>
      </c>
      <c r="E56" s="114" t="str">
        <f>VLOOKUP(D56,Data!H:I,2,0)</f>
        <v>İstanbul</v>
      </c>
      <c r="F56" s="115" t="str">
        <f>VLOOKUP(D56,Data!H:J,3,0)</f>
        <v>Filamingo</v>
      </c>
      <c r="G56" s="116" t="b">
        <v>0</v>
      </c>
      <c r="H56" s="116" t="b">
        <v>0</v>
      </c>
      <c r="I56" s="116" t="b">
        <v>0</v>
      </c>
      <c r="J56" s="116" t="b">
        <v>0</v>
      </c>
      <c r="K56" s="116" t="b">
        <v>0</v>
      </c>
      <c r="L56" s="117">
        <f t="shared" si="1"/>
        <v>0</v>
      </c>
      <c r="M56" s="117">
        <f t="shared" si="2"/>
        <v>0</v>
      </c>
      <c r="N56" s="112"/>
      <c r="O56" s="125"/>
    </row>
    <row r="57" ht="15.0" customHeight="1">
      <c r="A57" s="125"/>
      <c r="B57" s="125"/>
      <c r="C57" s="125"/>
      <c r="D57" s="129" t="s">
        <v>145</v>
      </c>
      <c r="E57" s="114" t="str">
        <f>VLOOKUP(D57,Data!H:I,2,0)</f>
        <v>İstanbul</v>
      </c>
      <c r="F57" s="115" t="str">
        <f>VLOOKUP(D57,Data!H:J,3,0)</f>
        <v>Filamingo</v>
      </c>
      <c r="G57" s="116" t="b">
        <v>1</v>
      </c>
      <c r="H57" s="116" t="b">
        <v>1</v>
      </c>
      <c r="I57" s="116" t="b">
        <v>1</v>
      </c>
      <c r="J57" s="116" t="b">
        <v>1</v>
      </c>
      <c r="K57" s="116" t="b">
        <v>1</v>
      </c>
      <c r="L57" s="117">
        <f t="shared" si="1"/>
        <v>5</v>
      </c>
      <c r="M57" s="117">
        <f t="shared" si="2"/>
        <v>20</v>
      </c>
      <c r="N57" s="112"/>
      <c r="O57" s="125"/>
    </row>
    <row r="58" ht="15.0" customHeight="1">
      <c r="A58" s="125"/>
      <c r="B58" s="125"/>
      <c r="C58" s="125"/>
      <c r="D58" s="129" t="s">
        <v>146</v>
      </c>
      <c r="E58" s="114" t="str">
        <f>VLOOKUP(D58,Data!H:I,2,0)</f>
        <v>İstanbul</v>
      </c>
      <c r="F58" s="115" t="str">
        <f>VLOOKUP(D58,Data!H:J,3,0)</f>
        <v>Filamingo</v>
      </c>
      <c r="G58" s="116" t="b">
        <v>0</v>
      </c>
      <c r="H58" s="116" t="b">
        <v>0</v>
      </c>
      <c r="I58" s="116" t="b">
        <v>0</v>
      </c>
      <c r="J58" s="116" t="b">
        <v>0</v>
      </c>
      <c r="K58" s="116" t="b">
        <v>0</v>
      </c>
      <c r="L58" s="117">
        <f t="shared" si="1"/>
        <v>0</v>
      </c>
      <c r="M58" s="117">
        <f t="shared" si="2"/>
        <v>0</v>
      </c>
      <c r="N58" s="112"/>
      <c r="O58" s="125"/>
    </row>
    <row r="59" ht="15.0" customHeight="1">
      <c r="A59" s="126"/>
      <c r="B59" s="126"/>
      <c r="C59" s="126"/>
      <c r="D59" s="129" t="s">
        <v>86</v>
      </c>
      <c r="E59" s="114" t="str">
        <f>VLOOKUP(D59,Data!H:I,2,0)</f>
        <v>İstanbul</v>
      </c>
      <c r="F59" s="115" t="str">
        <f>VLOOKUP(D59,Data!H:J,3,0)</f>
        <v>Freelance</v>
      </c>
      <c r="G59" s="116" t="b">
        <v>0</v>
      </c>
      <c r="H59" s="116" t="b">
        <v>0</v>
      </c>
      <c r="I59" s="116" t="b">
        <v>0</v>
      </c>
      <c r="J59" s="116" t="b">
        <v>0</v>
      </c>
      <c r="K59" s="116" t="b">
        <v>0</v>
      </c>
      <c r="L59" s="117">
        <f t="shared" si="1"/>
        <v>0</v>
      </c>
      <c r="M59" s="117">
        <f t="shared" si="2"/>
        <v>0</v>
      </c>
      <c r="N59" s="112"/>
      <c r="O59" s="126"/>
    </row>
    <row r="60" ht="15.0" customHeight="1">
      <c r="A60" s="122"/>
      <c r="B60" s="122"/>
      <c r="C60" s="122"/>
      <c r="D60" s="129" t="s">
        <v>87</v>
      </c>
      <c r="E60" s="114" t="str">
        <f>VLOOKUP(D60,Data!H:I,2,0)</f>
        <v>İstanbul</v>
      </c>
      <c r="F60" s="115" t="str">
        <f>VLOOKUP(D60,Data!H:J,3,0)</f>
        <v>Freelance</v>
      </c>
      <c r="G60" s="116" t="b">
        <v>0</v>
      </c>
      <c r="H60" s="116" t="b">
        <v>1</v>
      </c>
      <c r="I60" s="116" t="b">
        <v>0</v>
      </c>
      <c r="J60" s="116" t="b">
        <v>1</v>
      </c>
      <c r="K60" s="116" t="b">
        <v>1</v>
      </c>
      <c r="L60" s="117">
        <f t="shared" si="1"/>
        <v>3</v>
      </c>
      <c r="M60" s="117">
        <f t="shared" si="2"/>
        <v>12</v>
      </c>
      <c r="N60" s="112"/>
      <c r="O60" s="122"/>
    </row>
    <row r="61" ht="15.0" customHeight="1">
      <c r="A61" s="112"/>
      <c r="B61" s="112"/>
      <c r="C61" s="112"/>
      <c r="D61" s="132" t="s">
        <v>88</v>
      </c>
      <c r="E61" s="114" t="str">
        <f>VLOOKUP(D61,Data!H:I,2,0)</f>
        <v>İstanbul</v>
      </c>
      <c r="F61" s="115" t="str">
        <f>VLOOKUP(D61,Data!H:J,3,0)</f>
        <v>Nazım Öztel</v>
      </c>
      <c r="G61" s="116" t="b">
        <v>1</v>
      </c>
      <c r="H61" s="116" t="b">
        <v>1</v>
      </c>
      <c r="I61" s="116" t="b">
        <v>1</v>
      </c>
      <c r="J61" s="116" t="b">
        <v>1</v>
      </c>
      <c r="K61" s="116" t="b">
        <v>1</v>
      </c>
      <c r="L61" s="117">
        <f t="shared" si="1"/>
        <v>5</v>
      </c>
      <c r="M61" s="117">
        <f t="shared" si="2"/>
        <v>20</v>
      </c>
      <c r="N61" s="112"/>
      <c r="O61" s="112"/>
    </row>
    <row r="62" ht="15.0" customHeight="1">
      <c r="A62" s="112"/>
      <c r="B62" s="112"/>
      <c r="C62" s="112"/>
      <c r="D62" s="129" t="s">
        <v>168</v>
      </c>
      <c r="E62" s="114" t="str">
        <f>VLOOKUP(D62,Data!H:I,2,0)</f>
        <v>İstanbul</v>
      </c>
      <c r="F62" s="115" t="str">
        <f>VLOOKUP(D62,Data!H:J,3,0)</f>
        <v>Nazım Öztel</v>
      </c>
      <c r="G62" s="116" t="b">
        <v>1</v>
      </c>
      <c r="H62" s="116" t="b">
        <v>0</v>
      </c>
      <c r="I62" s="116" t="b">
        <v>0</v>
      </c>
      <c r="J62" s="116" t="b">
        <v>0</v>
      </c>
      <c r="K62" s="116" t="b">
        <v>0</v>
      </c>
      <c r="L62" s="117">
        <f t="shared" si="1"/>
        <v>1</v>
      </c>
      <c r="M62" s="117">
        <f t="shared" si="2"/>
        <v>4</v>
      </c>
      <c r="N62" s="112"/>
      <c r="O62" s="112"/>
    </row>
    <row r="63" ht="15.0" customHeight="1">
      <c r="A63" s="112"/>
      <c r="B63" s="112"/>
      <c r="C63" s="112"/>
      <c r="D63" s="132" t="s">
        <v>89</v>
      </c>
      <c r="E63" s="114" t="str">
        <f>VLOOKUP(D63,Data!H:I,2,0)</f>
        <v>İstanbul</v>
      </c>
      <c r="F63" s="115" t="str">
        <f>VLOOKUP(D63,Data!H:J,3,0)</f>
        <v>Filamingo</v>
      </c>
      <c r="G63" s="116" t="b">
        <v>0</v>
      </c>
      <c r="H63" s="116" t="b">
        <v>0</v>
      </c>
      <c r="I63" s="116" t="b">
        <v>0</v>
      </c>
      <c r="J63" s="116" t="b">
        <v>0</v>
      </c>
      <c r="K63" s="116" t="b">
        <v>0</v>
      </c>
      <c r="L63" s="117">
        <f t="shared" si="1"/>
        <v>0</v>
      </c>
      <c r="M63" s="117">
        <f t="shared" si="2"/>
        <v>0</v>
      </c>
      <c r="N63" s="112"/>
      <c r="O63" s="112"/>
    </row>
    <row r="64" ht="15.0" customHeight="1">
      <c r="A64" s="112"/>
      <c r="B64" s="112"/>
      <c r="C64" s="112"/>
      <c r="D64" s="129" t="s">
        <v>138</v>
      </c>
      <c r="E64" s="114" t="str">
        <f>VLOOKUP(D64,Data!H:I,2,0)</f>
        <v>İstanbul</v>
      </c>
      <c r="F64" s="115" t="str">
        <f>VLOOKUP(D64,Data!H:J,3,0)</f>
        <v>Filamingo</v>
      </c>
      <c r="G64" s="116" t="b">
        <v>0</v>
      </c>
      <c r="H64" s="116" t="b">
        <v>0</v>
      </c>
      <c r="I64" s="116" t="b">
        <v>0</v>
      </c>
      <c r="J64" s="116" t="b">
        <v>0</v>
      </c>
      <c r="K64" s="116" t="b">
        <v>0</v>
      </c>
      <c r="L64" s="117">
        <f t="shared" si="1"/>
        <v>0</v>
      </c>
      <c r="M64" s="117">
        <f t="shared" si="2"/>
        <v>0</v>
      </c>
      <c r="N64" s="112"/>
      <c r="O64" s="112"/>
    </row>
    <row r="65" ht="15.0" customHeight="1">
      <c r="A65" s="112"/>
      <c r="B65" s="112"/>
      <c r="C65" s="112"/>
      <c r="D65" s="129" t="s">
        <v>127</v>
      </c>
      <c r="E65" s="114" t="str">
        <f>VLOOKUP(D65,Data!H:I,2,0)</f>
        <v>İstanbul</v>
      </c>
      <c r="F65" s="115" t="str">
        <f>VLOOKUP(D65,Data!H:J,3,0)</f>
        <v>Filamingo</v>
      </c>
      <c r="G65" s="116" t="b">
        <v>0</v>
      </c>
      <c r="H65" s="116" t="b">
        <v>0</v>
      </c>
      <c r="I65" s="116" t="b">
        <v>0</v>
      </c>
      <c r="J65" s="116" t="b">
        <v>0</v>
      </c>
      <c r="K65" s="116" t="b">
        <v>0</v>
      </c>
      <c r="L65" s="117">
        <f t="shared" si="1"/>
        <v>0</v>
      </c>
      <c r="M65" s="117">
        <f t="shared" si="2"/>
        <v>0</v>
      </c>
      <c r="N65" s="112"/>
      <c r="O65" s="112"/>
    </row>
    <row r="66" ht="15.0" customHeight="1">
      <c r="A66" s="112"/>
      <c r="B66" s="112"/>
      <c r="C66" s="112"/>
      <c r="D66" s="132" t="s">
        <v>92</v>
      </c>
      <c r="E66" s="114" t="str">
        <f>VLOOKUP(D66,Data!H:I,2,0)</f>
        <v>İzmir</v>
      </c>
      <c r="F66" s="115" t="str">
        <f>VLOOKUP(D66,Data!H:J,3,0)</f>
        <v>Nazım Öztel</v>
      </c>
      <c r="G66" s="116" t="b">
        <v>1</v>
      </c>
      <c r="H66" s="116" t="b">
        <v>1</v>
      </c>
      <c r="I66" s="116" t="b">
        <v>1</v>
      </c>
      <c r="J66" s="116" t="b">
        <v>1</v>
      </c>
      <c r="K66" s="116" t="b">
        <v>1</v>
      </c>
      <c r="L66" s="117">
        <f t="shared" si="1"/>
        <v>5</v>
      </c>
      <c r="M66" s="117">
        <f t="shared" si="2"/>
        <v>20</v>
      </c>
      <c r="N66" s="125"/>
      <c r="O66" s="112"/>
    </row>
    <row r="67" ht="15.0" customHeight="1">
      <c r="A67" s="112"/>
      <c r="B67" s="112"/>
      <c r="C67" s="112"/>
      <c r="D67" s="129" t="s">
        <v>139</v>
      </c>
      <c r="E67" s="114" t="s">
        <v>129</v>
      </c>
      <c r="F67" s="115" t="str">
        <f>VLOOKUP(D67,Data!H:J,3,0)</f>
        <v>Nazım Öztel</v>
      </c>
      <c r="G67" s="116" t="b">
        <v>1</v>
      </c>
      <c r="H67" s="116" t="b">
        <v>1</v>
      </c>
      <c r="I67" s="116" t="b">
        <v>1</v>
      </c>
      <c r="J67" s="116" t="b">
        <v>1</v>
      </c>
      <c r="K67" s="116" t="b">
        <v>0</v>
      </c>
      <c r="L67" s="117">
        <f t="shared" si="1"/>
        <v>4</v>
      </c>
      <c r="M67" s="117">
        <f t="shared" si="2"/>
        <v>16</v>
      </c>
      <c r="N67" s="125"/>
      <c r="O67" s="112"/>
    </row>
    <row r="68" ht="15.0" customHeight="1">
      <c r="A68" s="112"/>
      <c r="B68" s="112"/>
      <c r="C68" s="112"/>
      <c r="D68" s="129" t="s">
        <v>93</v>
      </c>
      <c r="E68" s="114" t="str">
        <f>VLOOKUP(D68,Data!H:I,2,0)</f>
        <v>İzmir</v>
      </c>
      <c r="F68" s="115" t="str">
        <f>VLOOKUP(D68,Data!H:J,3,0)</f>
        <v>Freelance</v>
      </c>
      <c r="G68" s="116" t="b">
        <v>1</v>
      </c>
      <c r="H68" s="116" t="b">
        <v>1</v>
      </c>
      <c r="I68" s="116" t="b">
        <v>0</v>
      </c>
      <c r="J68" s="116" t="b">
        <v>0</v>
      </c>
      <c r="K68" s="116" t="b">
        <v>0</v>
      </c>
      <c r="L68" s="117">
        <f t="shared" si="1"/>
        <v>2</v>
      </c>
      <c r="M68" s="117">
        <f t="shared" si="2"/>
        <v>8</v>
      </c>
      <c r="N68" s="112"/>
      <c r="O68" s="112"/>
    </row>
    <row r="69" ht="15.0" customHeight="1">
      <c r="A69" s="112"/>
      <c r="B69" s="112"/>
      <c r="C69" s="112"/>
      <c r="D69" s="129" t="s">
        <v>161</v>
      </c>
      <c r="E69" s="143" t="str">
        <f>VLOOKUP(D69,Data!H:I,2,0)</f>
        <v>Kahramanmaraş</v>
      </c>
      <c r="F69" s="115" t="str">
        <f>VLOOKUP(D69,Data!H:J,3,0)</f>
        <v>Nazım Öztel</v>
      </c>
      <c r="G69" s="116" t="b">
        <v>1</v>
      </c>
      <c r="H69" s="116" t="b">
        <v>1</v>
      </c>
      <c r="I69" s="116" t="b">
        <v>0</v>
      </c>
      <c r="J69" s="116" t="b">
        <v>0</v>
      </c>
      <c r="K69" s="116" t="b">
        <v>0</v>
      </c>
      <c r="L69" s="117">
        <f t="shared" si="1"/>
        <v>2</v>
      </c>
      <c r="M69" s="117">
        <f t="shared" si="2"/>
        <v>8</v>
      </c>
      <c r="N69" s="112"/>
      <c r="O69" s="112"/>
    </row>
    <row r="70" ht="15.0" customHeight="1">
      <c r="A70" s="112"/>
      <c r="B70" s="112"/>
      <c r="C70" s="112"/>
      <c r="D70" s="129" t="s">
        <v>176</v>
      </c>
      <c r="E70" s="114" t="str">
        <f>VLOOKUP(D70,Data!H:I,2,0)</f>
        <v>Karabük</v>
      </c>
      <c r="F70" s="115" t="str">
        <f>VLOOKUP(D70,Data!H:J,3,0)</f>
        <v>Nazım Öztel</v>
      </c>
      <c r="G70" s="116" t="b">
        <v>1</v>
      </c>
      <c r="H70" s="116" t="b">
        <v>1</v>
      </c>
      <c r="I70" s="116" t="b">
        <v>1</v>
      </c>
      <c r="J70" s="116" t="b">
        <v>1</v>
      </c>
      <c r="K70" s="116" t="b">
        <v>1</v>
      </c>
      <c r="L70" s="117">
        <f t="shared" si="1"/>
        <v>5</v>
      </c>
      <c r="M70" s="117">
        <f t="shared" si="2"/>
        <v>20</v>
      </c>
      <c r="N70" s="112"/>
      <c r="O70" s="112"/>
    </row>
    <row r="71" ht="15.0" customHeight="1">
      <c r="A71" s="112"/>
      <c r="B71" s="112"/>
      <c r="C71" s="112"/>
      <c r="D71" s="132" t="s">
        <v>96</v>
      </c>
      <c r="E71" s="114" t="str">
        <f>VLOOKUP(D71,Data!H:I,2,0)</f>
        <v>Kocaeli</v>
      </c>
      <c r="F71" s="115" t="str">
        <f>VLOOKUP(D71,Data!H:J,3,0)</f>
        <v>Nazım Öztel</v>
      </c>
      <c r="G71" s="116" t="b">
        <v>0</v>
      </c>
      <c r="H71" s="116" t="b">
        <v>0</v>
      </c>
      <c r="I71" s="116" t="b">
        <v>1</v>
      </c>
      <c r="J71" s="116" t="b">
        <v>0</v>
      </c>
      <c r="K71" s="116" t="b">
        <v>0</v>
      </c>
      <c r="L71" s="117">
        <f t="shared" si="1"/>
        <v>1</v>
      </c>
      <c r="M71" s="117">
        <f t="shared" si="2"/>
        <v>4</v>
      </c>
      <c r="N71" s="112"/>
      <c r="O71" s="112"/>
    </row>
    <row r="72" ht="15.0" customHeight="1">
      <c r="A72" s="112"/>
      <c r="B72" s="112"/>
      <c r="C72" s="112"/>
      <c r="D72" s="129" t="s">
        <v>147</v>
      </c>
      <c r="E72" s="114" t="str">
        <f>VLOOKUP(D72,Data!H:I,2,0)</f>
        <v>Kocaeli</v>
      </c>
      <c r="F72" s="115" t="str">
        <f>VLOOKUP(D72,Data!H:J,3,0)</f>
        <v>Nazım Öztel</v>
      </c>
      <c r="G72" s="116" t="b">
        <v>0</v>
      </c>
      <c r="H72" s="116" t="b">
        <v>0</v>
      </c>
      <c r="I72" s="116" t="b">
        <v>0</v>
      </c>
      <c r="J72" s="116" t="b">
        <v>0</v>
      </c>
      <c r="K72" s="116" t="b">
        <v>0</v>
      </c>
      <c r="L72" s="117">
        <f t="shared" si="1"/>
        <v>0</v>
      </c>
      <c r="M72" s="117">
        <f t="shared" si="2"/>
        <v>0</v>
      </c>
      <c r="N72" s="112"/>
      <c r="O72" s="112"/>
    </row>
    <row r="73" ht="15.0" customHeight="1">
      <c r="A73" s="112"/>
      <c r="B73" s="112"/>
      <c r="C73" s="112"/>
      <c r="D73" s="132" t="s">
        <v>98</v>
      </c>
      <c r="E73" s="114" t="str">
        <f>VLOOKUP(D73,Data!H:I,2,0)</f>
        <v>Manisa</v>
      </c>
      <c r="F73" s="115" t="str">
        <f>VLOOKUP(D73,Data!H:J,3,0)</f>
        <v>Nazım Öztel</v>
      </c>
      <c r="G73" s="116" t="b">
        <v>0</v>
      </c>
      <c r="H73" s="116" t="b">
        <v>0</v>
      </c>
      <c r="I73" s="116" t="b">
        <v>0</v>
      </c>
      <c r="J73" s="116" t="b">
        <v>0</v>
      </c>
      <c r="K73" s="116" t="b">
        <v>0</v>
      </c>
      <c r="L73" s="117">
        <f t="shared" si="1"/>
        <v>0</v>
      </c>
      <c r="M73" s="117">
        <f t="shared" si="2"/>
        <v>0</v>
      </c>
      <c r="N73" s="142"/>
      <c r="O73" s="112"/>
    </row>
    <row r="74" ht="15.0" customHeight="1">
      <c r="A74" s="112"/>
      <c r="B74" s="112"/>
      <c r="C74" s="112"/>
      <c r="D74" s="132" t="s">
        <v>99</v>
      </c>
      <c r="E74" s="114" t="str">
        <f>VLOOKUP(D74,Data!H:I,2,0)</f>
        <v>Mersin</v>
      </c>
      <c r="F74" s="115" t="str">
        <f>VLOOKUP(D74,Data!H:J,3,0)</f>
        <v>Nazım Öztel</v>
      </c>
      <c r="G74" s="116" t="b">
        <v>1</v>
      </c>
      <c r="H74" s="116" t="b">
        <v>1</v>
      </c>
      <c r="I74" s="116" t="b">
        <v>1</v>
      </c>
      <c r="J74" s="116" t="b">
        <v>1</v>
      </c>
      <c r="K74" s="116" t="b">
        <v>0</v>
      </c>
      <c r="L74" s="117">
        <f t="shared" si="1"/>
        <v>4</v>
      </c>
      <c r="M74" s="117">
        <f t="shared" si="2"/>
        <v>16</v>
      </c>
      <c r="N74" s="106"/>
      <c r="O74" s="112"/>
    </row>
    <row r="75" ht="15.0" customHeight="1">
      <c r="A75" s="112"/>
      <c r="B75" s="112"/>
      <c r="C75" s="112"/>
      <c r="D75" s="129" t="s">
        <v>169</v>
      </c>
      <c r="E75" s="114" t="str">
        <f>VLOOKUP(D75,Data!H:I,2,0)</f>
        <v>Mersin</v>
      </c>
      <c r="F75" s="115" t="str">
        <f>VLOOKUP(D75,Data!H:J,3,0)</f>
        <v>Nazım Öztel</v>
      </c>
      <c r="G75" s="116" t="b">
        <v>1</v>
      </c>
      <c r="H75" s="116" t="b">
        <v>1</v>
      </c>
      <c r="I75" s="116" t="b">
        <v>1</v>
      </c>
      <c r="J75" s="116" t="b">
        <v>0</v>
      </c>
      <c r="K75" s="116" t="b">
        <v>1</v>
      </c>
      <c r="L75" s="117">
        <f t="shared" si="1"/>
        <v>4</v>
      </c>
      <c r="M75" s="117">
        <f t="shared" si="2"/>
        <v>16</v>
      </c>
      <c r="N75" s="106"/>
      <c r="O75" s="112"/>
    </row>
    <row r="76" ht="15.0" customHeight="1">
      <c r="A76" s="112"/>
      <c r="B76" s="112"/>
      <c r="C76" s="112"/>
      <c r="D76" s="129" t="s">
        <v>148</v>
      </c>
      <c r="E76" s="114" t="str">
        <f>VLOOKUP(D76,Data!H:I,2,0)</f>
        <v>Muğla</v>
      </c>
      <c r="F76" s="115" t="str">
        <f>VLOOKUP(D76,Data!H:J,3,0)</f>
        <v>Nazım Öztel</v>
      </c>
      <c r="G76" s="116" t="b">
        <v>0</v>
      </c>
      <c r="H76" s="116" t="b">
        <v>0</v>
      </c>
      <c r="I76" s="116" t="b">
        <v>0</v>
      </c>
      <c r="J76" s="116" t="b">
        <v>0</v>
      </c>
      <c r="K76" s="116" t="b">
        <v>0</v>
      </c>
      <c r="L76" s="117">
        <f t="shared" si="1"/>
        <v>0</v>
      </c>
      <c r="M76" s="117">
        <f t="shared" si="2"/>
        <v>0</v>
      </c>
      <c r="N76" s="106"/>
      <c r="O76" s="112"/>
    </row>
    <row r="77" ht="15.0" customHeight="1">
      <c r="A77" s="112"/>
      <c r="B77" s="112"/>
      <c r="C77" s="112"/>
      <c r="D77" s="129" t="s">
        <v>104</v>
      </c>
      <c r="E77" s="114" t="str">
        <f>VLOOKUP(D77,Data!H:I,2,0)</f>
        <v>Tekirdağ</v>
      </c>
      <c r="F77" s="115" t="str">
        <f>VLOOKUP(D77,Data!H:J,3,0)</f>
        <v>Freelance</v>
      </c>
      <c r="G77" s="139" t="b">
        <v>0</v>
      </c>
      <c r="H77" s="139" t="b">
        <v>0</v>
      </c>
      <c r="I77" s="139" t="b">
        <v>0</v>
      </c>
      <c r="J77" s="139" t="b">
        <v>0</v>
      </c>
      <c r="K77" s="139" t="b">
        <v>0</v>
      </c>
      <c r="L77" s="117">
        <f t="shared" si="1"/>
        <v>0</v>
      </c>
      <c r="M77" s="117">
        <f t="shared" si="2"/>
        <v>0</v>
      </c>
      <c r="N77" s="112"/>
      <c r="O77" s="112"/>
    </row>
    <row r="78" ht="15.0" customHeight="1">
      <c r="A78" s="112"/>
      <c r="B78" s="112"/>
      <c r="C78" s="112"/>
      <c r="D78" s="129" t="s">
        <v>154</v>
      </c>
      <c r="E78" s="114" t="str">
        <f>VLOOKUP(D78,Data!H:I,2,0)</f>
        <v>Uşak</v>
      </c>
      <c r="F78" s="115" t="str">
        <f>VLOOKUP(D78,Data!H:J,3,0)</f>
        <v>Nazım Öztel</v>
      </c>
      <c r="G78" s="139" t="b">
        <v>0</v>
      </c>
      <c r="H78" s="139" t="b">
        <v>1</v>
      </c>
      <c r="I78" s="139" t="b">
        <v>0</v>
      </c>
      <c r="J78" s="139" t="b">
        <v>0</v>
      </c>
      <c r="K78" s="139" t="b">
        <v>0</v>
      </c>
      <c r="L78" s="117">
        <f t="shared" si="1"/>
        <v>1</v>
      </c>
      <c r="M78" s="117">
        <f>L78*2</f>
        <v>2</v>
      </c>
      <c r="N78" s="112"/>
      <c r="O78" s="112"/>
    </row>
    <row r="79" ht="15.0" customHeight="1">
      <c r="A79" s="112"/>
      <c r="B79" s="112"/>
      <c r="C79" s="112"/>
      <c r="D79" s="132"/>
      <c r="E79" s="132"/>
      <c r="F79" s="132"/>
      <c r="G79" s="117">
        <f t="shared" ref="G79:K79" si="3">4*(COUNTIF(G14:G78,"true"))</f>
        <v>112</v>
      </c>
      <c r="H79" s="117">
        <f t="shared" si="3"/>
        <v>120</v>
      </c>
      <c r="I79" s="117">
        <f t="shared" si="3"/>
        <v>104</v>
      </c>
      <c r="J79" s="117">
        <f t="shared" si="3"/>
        <v>100</v>
      </c>
      <c r="K79" s="117">
        <f t="shared" si="3"/>
        <v>72</v>
      </c>
      <c r="L79" s="135"/>
      <c r="M79" s="135">
        <f>SUM(G79:K79)</f>
        <v>508</v>
      </c>
      <c r="N79" s="112"/>
      <c r="O79" s="112"/>
    </row>
  </sheetData>
  <customSheetViews>
    <customSheetView guid="{70B995D3-3AEB-4DFE-A0CA-D6FFCCE596BC}" filter="1" showAutoFilter="1">
      <autoFilter ref="$D$14:$D$78"/>
    </customSheetView>
    <customSheetView guid="{90E1DF85-7252-44D2-BA7D-CC3767CD0E8B}" filter="1" showAutoFilter="1">
      <autoFilter ref="$A$14:$O$79">
        <filterColumn colId="4">
          <filters>
            <filter val="Karabük"/>
            <filter val="Aydın"/>
            <filter val="Burdur"/>
            <filter val="Edirne"/>
            <filter val="Düzce"/>
            <filter val="Muğla"/>
            <filter val="Eskişehir"/>
            <filter val="Kahramanmaraş"/>
            <filter val="Uşak"/>
          </filters>
        </filterColumn>
      </autoFilter>
    </customSheetView>
  </customSheetViews>
  <mergeCells count="4">
    <mergeCell ref="D6:K6"/>
    <mergeCell ref="D7:F7"/>
    <mergeCell ref="D9:D12"/>
    <mergeCell ref="F10:M11"/>
  </mergeCells>
  <conditionalFormatting sqref="G15:K78">
    <cfRule type="cellIs" dxfId="1" priority="1" operator="equal">
      <formula>"False"</formula>
    </cfRule>
  </conditionalFormatting>
  <conditionalFormatting sqref="G15:K78">
    <cfRule type="cellIs" dxfId="0" priority="2" operator="equal">
      <formula>"TRUE"</formula>
    </cfRule>
  </conditionalFormatting>
  <dataValidations>
    <dataValidation type="list" allowBlank="1" showErrorMessage="1" sqref="E15:E78">
      <formula1>Data!$A$2:$A$10</formula1>
    </dataValidation>
    <dataValidation type="list" allowBlank="1" showErrorMessage="1" sqref="F15:F78">
      <formula1>Data!$C$2:$C$8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3" width="2.63"/>
    <col customWidth="1" min="4" max="4" width="20.38"/>
    <col customWidth="1" min="5" max="5" width="11.38"/>
    <col customWidth="1" min="6" max="6" width="16.63"/>
    <col customWidth="1" min="7" max="11" width="8.63"/>
    <col customWidth="1" min="12" max="12" width="12.63"/>
    <col customWidth="1" min="13" max="13" width="15.13"/>
    <col customWidth="1" min="14" max="15" width="2.63"/>
  </cols>
  <sheetData>
    <row r="1" ht="7.5" customHeight="1">
      <c r="A1" s="140"/>
      <c r="B1" s="84"/>
      <c r="C1" s="84"/>
      <c r="D1" s="84"/>
      <c r="E1" s="84"/>
      <c r="F1" s="84"/>
      <c r="G1" s="84"/>
      <c r="H1" s="84"/>
      <c r="I1" s="84"/>
      <c r="J1" s="84"/>
      <c r="K1" s="84"/>
      <c r="L1" s="85"/>
      <c r="M1" s="86"/>
      <c r="N1" s="86"/>
      <c r="O1" s="86"/>
    </row>
    <row r="2" ht="15.0" customHeight="1">
      <c r="A2" s="87"/>
      <c r="B2" s="87"/>
      <c r="C2" s="87"/>
      <c r="D2" s="88"/>
      <c r="E2" s="88"/>
      <c r="F2" s="88"/>
      <c r="G2" s="88"/>
      <c r="H2" s="88"/>
      <c r="I2" s="88"/>
      <c r="J2" s="88"/>
      <c r="K2" s="88"/>
      <c r="L2" s="88"/>
      <c r="M2" s="87"/>
      <c r="N2" s="87"/>
      <c r="O2" s="87"/>
    </row>
    <row r="3" ht="3.75" customHeight="1">
      <c r="A3" s="87"/>
      <c r="B3" s="87"/>
      <c r="C3" s="87"/>
      <c r="D3" s="89"/>
      <c r="E3" s="90"/>
      <c r="F3" s="90"/>
      <c r="G3" s="90"/>
      <c r="H3" s="90"/>
      <c r="I3" s="90"/>
      <c r="J3" s="90"/>
      <c r="K3" s="90"/>
      <c r="L3" s="90"/>
      <c r="M3" s="87"/>
      <c r="N3" s="87"/>
      <c r="O3" s="87"/>
    </row>
    <row r="4" ht="15.0" customHeight="1">
      <c r="A4" s="87"/>
      <c r="B4" s="87"/>
      <c r="C4" s="87"/>
      <c r="D4" s="88"/>
      <c r="E4" s="88"/>
      <c r="F4" s="88"/>
      <c r="G4" s="91"/>
      <c r="H4" s="91"/>
      <c r="I4" s="91"/>
      <c r="J4" s="91"/>
      <c r="K4" s="91"/>
      <c r="L4" s="91"/>
      <c r="M4" s="87"/>
      <c r="N4" s="87"/>
      <c r="O4" s="87"/>
    </row>
    <row r="5" ht="15.0" customHeight="1">
      <c r="A5" s="92"/>
      <c r="B5" s="92"/>
      <c r="C5" s="92"/>
      <c r="D5" s="88"/>
      <c r="E5" s="88"/>
      <c r="F5" s="88"/>
      <c r="G5" s="93"/>
      <c r="H5" s="93"/>
      <c r="I5" s="93"/>
      <c r="J5" s="93"/>
      <c r="K5" s="93"/>
      <c r="L5" s="94"/>
      <c r="M5" s="88"/>
      <c r="N5" s="92"/>
      <c r="O5" s="92"/>
    </row>
    <row r="6" ht="15.0" customHeight="1">
      <c r="A6" s="92"/>
      <c r="B6" s="92"/>
      <c r="C6" s="92"/>
      <c r="D6" s="95" t="s">
        <v>179</v>
      </c>
      <c r="L6" s="94"/>
      <c r="M6" s="88"/>
      <c r="N6" s="92"/>
      <c r="O6" s="92"/>
    </row>
    <row r="7" ht="15.0" customHeight="1">
      <c r="A7" s="92"/>
      <c r="B7" s="92"/>
      <c r="C7" s="92"/>
      <c r="D7" s="96" t="s">
        <v>180</v>
      </c>
      <c r="G7" s="97"/>
      <c r="H7" s="97"/>
      <c r="I7" s="97"/>
      <c r="J7" s="97"/>
      <c r="K7" s="97"/>
      <c r="L7" s="92"/>
      <c r="M7" s="92"/>
      <c r="N7" s="92"/>
      <c r="O7" s="92"/>
    </row>
    <row r="8" ht="15.0" customHeight="1">
      <c r="A8" s="92"/>
      <c r="B8" s="92"/>
      <c r="C8" s="92"/>
      <c r="D8" s="97"/>
      <c r="E8" s="97"/>
      <c r="F8" s="97"/>
      <c r="G8" s="97"/>
      <c r="H8" s="97"/>
      <c r="I8" s="97"/>
      <c r="J8" s="97"/>
      <c r="K8" s="97"/>
      <c r="L8" s="92"/>
      <c r="M8" s="92"/>
      <c r="N8" s="92"/>
      <c r="O8" s="92"/>
    </row>
    <row r="9" ht="15.0" customHeight="1">
      <c r="A9" s="92"/>
      <c r="B9" s="92"/>
      <c r="C9" s="98"/>
      <c r="D9" s="99" t="s">
        <v>35</v>
      </c>
      <c r="E9" s="100"/>
      <c r="F9" s="101"/>
      <c r="G9" s="101"/>
      <c r="H9" s="101"/>
      <c r="I9" s="101"/>
      <c r="J9" s="101"/>
      <c r="K9" s="101"/>
      <c r="L9" s="101"/>
      <c r="M9" s="100"/>
      <c r="N9" s="102"/>
      <c r="O9" s="102"/>
    </row>
    <row r="10" ht="15.0" customHeight="1">
      <c r="A10" s="92"/>
      <c r="B10" s="92"/>
      <c r="C10" s="98"/>
      <c r="E10" s="100"/>
      <c r="F10" s="103" t="s">
        <v>36</v>
      </c>
      <c r="N10" s="102"/>
      <c r="O10" s="102"/>
    </row>
    <row r="11" ht="15.0" customHeight="1">
      <c r="A11" s="92"/>
      <c r="B11" s="92"/>
      <c r="C11" s="98"/>
      <c r="E11" s="100"/>
      <c r="N11" s="102"/>
      <c r="O11" s="102"/>
    </row>
    <row r="12" ht="15.0" customHeight="1">
      <c r="A12" s="88"/>
      <c r="B12" s="92"/>
      <c r="C12" s="92"/>
      <c r="E12" s="100"/>
      <c r="F12" s="100"/>
      <c r="G12" s="100"/>
      <c r="H12" s="100"/>
      <c r="I12" s="100"/>
      <c r="J12" s="100"/>
      <c r="K12" s="100"/>
      <c r="L12" s="100"/>
      <c r="M12" s="100"/>
      <c r="N12" s="102"/>
      <c r="O12" s="102"/>
    </row>
    <row r="13" ht="15.0" customHeight="1">
      <c r="A13" s="88"/>
      <c r="B13" s="104"/>
      <c r="C13" s="104"/>
      <c r="D13" s="104"/>
      <c r="E13" s="104"/>
      <c r="F13" s="105"/>
      <c r="G13" s="105"/>
      <c r="H13" s="105"/>
      <c r="I13" s="105"/>
      <c r="J13" s="105"/>
      <c r="K13" s="105"/>
      <c r="L13" s="104"/>
      <c r="M13" s="104"/>
      <c r="N13" s="104"/>
      <c r="O13" s="104"/>
    </row>
    <row r="14" ht="15.0" customHeight="1">
      <c r="A14" s="106"/>
      <c r="B14" s="106"/>
      <c r="C14" s="106"/>
      <c r="D14" s="107" t="s">
        <v>37</v>
      </c>
      <c r="E14" s="108" t="s">
        <v>38</v>
      </c>
      <c r="F14" s="109" t="s">
        <v>39</v>
      </c>
      <c r="G14" s="110">
        <v>44501.0</v>
      </c>
      <c r="H14" s="110">
        <v>44502.0</v>
      </c>
      <c r="I14" s="110">
        <v>44503.0</v>
      </c>
      <c r="J14" s="110">
        <v>44504.0</v>
      </c>
      <c r="K14" s="110">
        <v>44505.0</v>
      </c>
      <c r="L14" s="111" t="s">
        <v>40</v>
      </c>
      <c r="M14" s="111" t="s">
        <v>41</v>
      </c>
      <c r="N14" s="88"/>
      <c r="O14" s="88"/>
    </row>
    <row r="15" ht="15.0" customHeight="1">
      <c r="A15" s="112"/>
      <c r="B15" s="112"/>
      <c r="C15" s="112"/>
      <c r="D15" s="129" t="s">
        <v>42</v>
      </c>
      <c r="E15" s="114" t="str">
        <f>VLOOKUP(D15,Data!H:I,2,0)</f>
        <v>Adana</v>
      </c>
      <c r="F15" s="115" t="str">
        <f>VLOOKUP(D15,Data!H:J,3,0)</f>
        <v>Freelance</v>
      </c>
      <c r="G15" s="116" t="b">
        <v>1</v>
      </c>
      <c r="H15" s="116" t="b">
        <v>1</v>
      </c>
      <c r="I15" s="116" t="b">
        <v>1</v>
      </c>
      <c r="J15" s="116" t="b">
        <v>1</v>
      </c>
      <c r="K15" s="116" t="b">
        <v>1</v>
      </c>
      <c r="L15" s="117">
        <f t="shared" ref="L15:L77" si="1">COUNTIF(G15:K15,"TRUE")</f>
        <v>5</v>
      </c>
      <c r="M15" s="117">
        <f t="shared" ref="M15:M76" si="2">L15*4</f>
        <v>20</v>
      </c>
      <c r="N15" s="112"/>
      <c r="O15" s="88"/>
    </row>
    <row r="16" ht="15.0" customHeight="1">
      <c r="A16" s="112"/>
      <c r="B16" s="112"/>
      <c r="C16" s="112"/>
      <c r="D16" s="129" t="s">
        <v>43</v>
      </c>
      <c r="E16" s="114" t="str">
        <f>VLOOKUP(D16,Data!H:I,2,0)</f>
        <v>Adana</v>
      </c>
      <c r="F16" s="115" t="str">
        <f>VLOOKUP(D16,Data!H:J,3,0)</f>
        <v>Freelance</v>
      </c>
      <c r="G16" s="116" t="b">
        <v>0</v>
      </c>
      <c r="H16" s="116" t="b">
        <v>0</v>
      </c>
      <c r="I16" s="116" t="b">
        <v>0</v>
      </c>
      <c r="J16" s="116" t="b">
        <v>0</v>
      </c>
      <c r="K16" s="116" t="b">
        <v>0</v>
      </c>
      <c r="L16" s="117">
        <f t="shared" si="1"/>
        <v>0</v>
      </c>
      <c r="M16" s="117">
        <f t="shared" si="2"/>
        <v>0</v>
      </c>
      <c r="N16" s="112"/>
      <c r="O16" s="88"/>
    </row>
    <row r="17" ht="15.0" customHeight="1">
      <c r="A17" s="112"/>
      <c r="B17" s="112"/>
      <c r="C17" s="112"/>
      <c r="D17" s="119" t="s">
        <v>48</v>
      </c>
      <c r="E17" s="114" t="str">
        <f>VLOOKUP(D17,Data!H:I,2,0)</f>
        <v>Ankara</v>
      </c>
      <c r="F17" s="115" t="str">
        <f>VLOOKUP(D17,Data!H:J,3,0)</f>
        <v>Medya Özgür Deniz</v>
      </c>
      <c r="G17" s="116" t="b">
        <v>0</v>
      </c>
      <c r="H17" s="116" t="b">
        <v>0</v>
      </c>
      <c r="I17" s="116" t="b">
        <v>0</v>
      </c>
      <c r="J17" s="116" t="b">
        <v>0</v>
      </c>
      <c r="K17" s="116" t="b">
        <v>0</v>
      </c>
      <c r="L17" s="117">
        <f t="shared" si="1"/>
        <v>0</v>
      </c>
      <c r="M17" s="117">
        <f t="shared" si="2"/>
        <v>0</v>
      </c>
      <c r="N17" s="88"/>
      <c r="O17" s="88"/>
    </row>
    <row r="18" ht="15.0" customHeight="1">
      <c r="A18" s="112"/>
      <c r="B18" s="112"/>
      <c r="C18" s="112"/>
      <c r="D18" s="131" t="s">
        <v>44</v>
      </c>
      <c r="E18" s="114" t="str">
        <f>VLOOKUP(D18,Data!H:I,2,0)</f>
        <v>Ankara</v>
      </c>
      <c r="F18" s="115" t="str">
        <f>VLOOKUP(D18,Data!H:J,3,0)</f>
        <v>Medya Özgür Deniz</v>
      </c>
      <c r="G18" s="116" t="b">
        <v>0</v>
      </c>
      <c r="H18" s="116" t="b">
        <v>0</v>
      </c>
      <c r="I18" s="116" t="b">
        <v>0</v>
      </c>
      <c r="J18" s="116" t="b">
        <v>0</v>
      </c>
      <c r="K18" s="116" t="b">
        <v>0</v>
      </c>
      <c r="L18" s="117">
        <f t="shared" si="1"/>
        <v>0</v>
      </c>
      <c r="M18" s="117">
        <f t="shared" si="2"/>
        <v>0</v>
      </c>
      <c r="N18" s="112"/>
      <c r="O18" s="88"/>
    </row>
    <row r="19" ht="15.0" customHeight="1">
      <c r="A19" s="120"/>
      <c r="B19" s="120"/>
      <c r="C19" s="120"/>
      <c r="D19" s="131" t="s">
        <v>45</v>
      </c>
      <c r="E19" s="114" t="str">
        <f>VLOOKUP(D19,Data!H:I,2,0)</f>
        <v>Ankara</v>
      </c>
      <c r="F19" s="115" t="str">
        <f>VLOOKUP(D19,Data!H:J,3,0)</f>
        <v>Medya Özgür Deniz</v>
      </c>
      <c r="G19" s="116" t="b">
        <v>0</v>
      </c>
      <c r="H19" s="116" t="b">
        <v>0</v>
      </c>
      <c r="I19" s="116" t="b">
        <v>0</v>
      </c>
      <c r="J19" s="116" t="b">
        <v>0</v>
      </c>
      <c r="K19" s="116" t="b">
        <v>0</v>
      </c>
      <c r="L19" s="117">
        <f t="shared" si="1"/>
        <v>0</v>
      </c>
      <c r="M19" s="117">
        <f t="shared" si="2"/>
        <v>0</v>
      </c>
      <c r="N19" s="112"/>
      <c r="O19" s="120"/>
    </row>
    <row r="20" ht="15.0" customHeight="1">
      <c r="A20" s="121"/>
      <c r="B20" s="121"/>
      <c r="C20" s="121"/>
      <c r="D20" s="131" t="s">
        <v>46</v>
      </c>
      <c r="E20" s="114" t="str">
        <f>VLOOKUP(D20,Data!H:I,2,0)</f>
        <v>Ankara</v>
      </c>
      <c r="F20" s="115" t="str">
        <f>VLOOKUP(D20,Data!H:J,3,0)</f>
        <v>Medya Özgür Deniz</v>
      </c>
      <c r="G20" s="116" t="b">
        <v>0</v>
      </c>
      <c r="H20" s="116" t="b">
        <v>0</v>
      </c>
      <c r="I20" s="116" t="b">
        <v>0</v>
      </c>
      <c r="J20" s="116" t="b">
        <v>0</v>
      </c>
      <c r="K20" s="116" t="b">
        <v>0</v>
      </c>
      <c r="L20" s="117">
        <f t="shared" si="1"/>
        <v>0</v>
      </c>
      <c r="M20" s="117">
        <f t="shared" si="2"/>
        <v>0</v>
      </c>
      <c r="N20" s="112"/>
      <c r="O20" s="121"/>
    </row>
    <row r="21" ht="15.0" customHeight="1">
      <c r="A21" s="121"/>
      <c r="B21" s="121"/>
      <c r="C21" s="121"/>
      <c r="D21" s="131" t="s">
        <v>47</v>
      </c>
      <c r="E21" s="114" t="str">
        <f>VLOOKUP(D21,Data!H:I,2,0)</f>
        <v>Ankara</v>
      </c>
      <c r="F21" s="115" t="str">
        <f>VLOOKUP(D21,Data!H:J,3,0)</f>
        <v>Medya Özgür Deniz</v>
      </c>
      <c r="G21" s="116" t="b">
        <v>0</v>
      </c>
      <c r="H21" s="116" t="b">
        <v>0</v>
      </c>
      <c r="I21" s="116" t="b">
        <v>0</v>
      </c>
      <c r="J21" s="116" t="b">
        <v>0</v>
      </c>
      <c r="K21" s="116" t="b">
        <v>0</v>
      </c>
      <c r="L21" s="117">
        <f t="shared" si="1"/>
        <v>0</v>
      </c>
      <c r="M21" s="117">
        <f t="shared" si="2"/>
        <v>0</v>
      </c>
      <c r="N21" s="112"/>
      <c r="O21" s="121"/>
    </row>
    <row r="22" ht="15.0" customHeight="1">
      <c r="A22" s="106"/>
      <c r="B22" s="106"/>
      <c r="C22" s="106"/>
      <c r="D22" s="129" t="s">
        <v>164</v>
      </c>
      <c r="E22" s="114" t="str">
        <f>VLOOKUP(D22,Data!H:I,2,0)</f>
        <v>Antalya</v>
      </c>
      <c r="F22" s="115" t="str">
        <f>VLOOKUP(D22,Data!H:J,3,0)</f>
        <v>Nazım Öztel</v>
      </c>
      <c r="G22" s="116" t="b">
        <v>1</v>
      </c>
      <c r="H22" s="116" t="b">
        <v>1</v>
      </c>
      <c r="I22" s="116" t="b">
        <v>1</v>
      </c>
      <c r="J22" s="116" t="b">
        <v>1</v>
      </c>
      <c r="K22" s="116" t="b">
        <v>1</v>
      </c>
      <c r="L22" s="117">
        <f t="shared" si="1"/>
        <v>5</v>
      </c>
      <c r="M22" s="117">
        <f t="shared" si="2"/>
        <v>20</v>
      </c>
      <c r="N22" s="112"/>
      <c r="O22" s="106"/>
    </row>
    <row r="23" ht="15.0" customHeight="1">
      <c r="A23" s="106"/>
      <c r="B23" s="106"/>
      <c r="C23" s="106"/>
      <c r="D23" s="129" t="s">
        <v>152</v>
      </c>
      <c r="E23" s="114" t="str">
        <f>VLOOKUP(D23,Data!H:I,2,0)</f>
        <v>Antalya</v>
      </c>
      <c r="F23" s="115" t="str">
        <f>VLOOKUP(D23,Data!H:J,3,0)</f>
        <v>Nazım Öztel</v>
      </c>
      <c r="G23" s="116" t="b">
        <v>1</v>
      </c>
      <c r="H23" s="116" t="b">
        <v>1</v>
      </c>
      <c r="I23" s="116" t="b">
        <v>1</v>
      </c>
      <c r="J23" s="116" t="b">
        <v>1</v>
      </c>
      <c r="K23" s="116" t="b">
        <v>1</v>
      </c>
      <c r="L23" s="117">
        <f t="shared" si="1"/>
        <v>5</v>
      </c>
      <c r="M23" s="117">
        <f t="shared" si="2"/>
        <v>20</v>
      </c>
      <c r="N23" s="112"/>
      <c r="O23" s="106"/>
    </row>
    <row r="24" ht="15.0" customHeight="1">
      <c r="A24" s="112"/>
      <c r="B24" s="112"/>
      <c r="C24" s="112"/>
      <c r="D24" s="129" t="s">
        <v>50</v>
      </c>
      <c r="E24" s="114" t="str">
        <f>VLOOKUP(D24,Data!H:I,2,0)</f>
        <v>Antalya</v>
      </c>
      <c r="F24" s="115" t="str">
        <f>VLOOKUP(D24,Data!H:J,3,0)</f>
        <v>Freelance</v>
      </c>
      <c r="G24" s="116" t="b">
        <v>1</v>
      </c>
      <c r="H24" s="116" t="b">
        <v>1</v>
      </c>
      <c r="I24" s="116" t="b">
        <v>1</v>
      </c>
      <c r="J24" s="116" t="b">
        <v>0</v>
      </c>
      <c r="K24" s="116" t="b">
        <v>0</v>
      </c>
      <c r="L24" s="117">
        <f t="shared" si="1"/>
        <v>3</v>
      </c>
      <c r="M24" s="117">
        <f t="shared" si="2"/>
        <v>12</v>
      </c>
      <c r="N24" s="112"/>
      <c r="O24" s="112"/>
    </row>
    <row r="25" ht="15.0" customHeight="1">
      <c r="A25" s="112"/>
      <c r="B25" s="112"/>
      <c r="C25" s="112"/>
      <c r="D25" s="129" t="s">
        <v>159</v>
      </c>
      <c r="E25" s="114" t="str">
        <f>VLOOKUP(D25,Data!H:I,2,0)</f>
        <v>Aydın</v>
      </c>
      <c r="F25" s="115" t="str">
        <f>VLOOKUP(D25,Data!H:J,3,0)</f>
        <v>Nazım Öztel</v>
      </c>
      <c r="G25" s="116" t="b">
        <v>1</v>
      </c>
      <c r="H25" s="116" t="b">
        <v>1</v>
      </c>
      <c r="I25" s="116" t="b">
        <v>1</v>
      </c>
      <c r="J25" s="116" t="b">
        <v>1</v>
      </c>
      <c r="K25" s="116" t="b">
        <v>0</v>
      </c>
      <c r="L25" s="117">
        <f t="shared" si="1"/>
        <v>4</v>
      </c>
      <c r="M25" s="117">
        <f t="shared" si="2"/>
        <v>16</v>
      </c>
      <c r="N25" s="112"/>
      <c r="O25" s="112"/>
    </row>
    <row r="26" ht="15.0" customHeight="1">
      <c r="A26" s="112"/>
      <c r="B26" s="112"/>
      <c r="C26" s="112"/>
      <c r="D26" s="129" t="s">
        <v>52</v>
      </c>
      <c r="E26" s="114" t="s">
        <v>181</v>
      </c>
      <c r="F26" s="115" t="s">
        <v>61</v>
      </c>
      <c r="G26" s="116" t="b">
        <v>0</v>
      </c>
      <c r="H26" s="116" t="b">
        <v>0</v>
      </c>
      <c r="I26" s="116" t="b">
        <v>0</v>
      </c>
      <c r="J26" s="116" t="b">
        <v>1</v>
      </c>
      <c r="K26" s="116" t="b">
        <v>0</v>
      </c>
      <c r="L26" s="117">
        <f t="shared" si="1"/>
        <v>1</v>
      </c>
      <c r="M26" s="117">
        <f t="shared" si="2"/>
        <v>4</v>
      </c>
      <c r="N26" s="112"/>
      <c r="O26" s="112"/>
    </row>
    <row r="27" ht="15.0" customHeight="1">
      <c r="A27" s="112"/>
      <c r="B27" s="112"/>
      <c r="C27" s="112"/>
      <c r="D27" s="129" t="s">
        <v>160</v>
      </c>
      <c r="E27" s="114" t="str">
        <f>VLOOKUP(D27,Data!H:I,2,0)</f>
        <v>Burdur</v>
      </c>
      <c r="F27" s="115" t="str">
        <f>VLOOKUP(D27,Data!H:J,3,0)</f>
        <v>Nazım Öztel</v>
      </c>
      <c r="G27" s="116" t="b">
        <v>1</v>
      </c>
      <c r="H27" s="116" t="b">
        <v>0</v>
      </c>
      <c r="I27" s="116" t="b">
        <v>0</v>
      </c>
      <c r="J27" s="116" t="b">
        <v>0</v>
      </c>
      <c r="K27" s="116" t="b">
        <v>0</v>
      </c>
      <c r="L27" s="117">
        <f t="shared" si="1"/>
        <v>1</v>
      </c>
      <c r="M27" s="117">
        <f t="shared" si="2"/>
        <v>4</v>
      </c>
      <c r="N27" s="112"/>
      <c r="O27" s="112"/>
    </row>
    <row r="28" ht="15.0" customHeight="1">
      <c r="A28" s="112"/>
      <c r="B28" s="112"/>
      <c r="C28" s="112"/>
      <c r="D28" s="132" t="s">
        <v>52</v>
      </c>
      <c r="E28" s="114" t="str">
        <f>VLOOKUP(D28,Data!H:I,2,0)</f>
        <v>Bursa</v>
      </c>
      <c r="F28" s="115" t="str">
        <f>VLOOKUP(D28,Data!H:J,3,0)</f>
        <v>Nazım Öztel</v>
      </c>
      <c r="G28" s="116" t="b">
        <v>0</v>
      </c>
      <c r="H28" s="116" t="b">
        <v>0</v>
      </c>
      <c r="I28" s="116" t="b">
        <v>0</v>
      </c>
      <c r="J28" s="116" t="b">
        <v>0</v>
      </c>
      <c r="K28" s="116" t="b">
        <v>1</v>
      </c>
      <c r="L28" s="117">
        <f t="shared" si="1"/>
        <v>1</v>
      </c>
      <c r="M28" s="117">
        <f t="shared" si="2"/>
        <v>4</v>
      </c>
      <c r="N28" s="122"/>
      <c r="O28" s="112"/>
    </row>
    <row r="29" ht="15.0" customHeight="1">
      <c r="A29" s="112"/>
      <c r="B29" s="112"/>
      <c r="C29" s="112"/>
      <c r="D29" s="129" t="s">
        <v>53</v>
      </c>
      <c r="E29" s="114" t="str">
        <f>VLOOKUP(D29,Data!H:I,2,0)</f>
        <v>Bursa</v>
      </c>
      <c r="F29" s="115" t="str">
        <f>VLOOKUP(D29,Data!H:J,3,0)</f>
        <v>Freelance</v>
      </c>
      <c r="G29" s="116" t="b">
        <v>0</v>
      </c>
      <c r="H29" s="116" t="b">
        <v>1</v>
      </c>
      <c r="I29" s="116" t="b">
        <v>1</v>
      </c>
      <c r="J29" s="116" t="b">
        <v>0</v>
      </c>
      <c r="K29" s="116" t="b">
        <v>0</v>
      </c>
      <c r="L29" s="117">
        <f t="shared" si="1"/>
        <v>2</v>
      </c>
      <c r="M29" s="117">
        <f t="shared" si="2"/>
        <v>8</v>
      </c>
      <c r="N29" s="112"/>
      <c r="O29" s="112"/>
    </row>
    <row r="30" ht="15.0" customHeight="1">
      <c r="A30" s="112"/>
      <c r="B30" s="112"/>
      <c r="C30" s="112"/>
      <c r="D30" s="132" t="s">
        <v>54</v>
      </c>
      <c r="E30" s="114" t="str">
        <f>VLOOKUP(D30,Data!H:I,2,0)</f>
        <v>Diyarbakır</v>
      </c>
      <c r="F30" s="115" t="str">
        <f>VLOOKUP(D30,Data!H:J,3,0)</f>
        <v>Nazım Öztel</v>
      </c>
      <c r="G30" s="116" t="b">
        <v>0</v>
      </c>
      <c r="H30" s="116" t="b">
        <v>1</v>
      </c>
      <c r="I30" s="116" t="b">
        <v>0</v>
      </c>
      <c r="J30" s="116" t="b">
        <v>1</v>
      </c>
      <c r="K30" s="116" t="b">
        <v>0</v>
      </c>
      <c r="L30" s="117">
        <f t="shared" si="1"/>
        <v>2</v>
      </c>
      <c r="M30" s="117">
        <f t="shared" si="2"/>
        <v>8</v>
      </c>
      <c r="N30" s="112"/>
      <c r="O30" s="112"/>
    </row>
    <row r="31" ht="15.0" customHeight="1">
      <c r="A31" s="112"/>
      <c r="B31" s="112"/>
      <c r="C31" s="112"/>
      <c r="D31" s="129" t="s">
        <v>173</v>
      </c>
      <c r="E31" s="114" t="str">
        <f>VLOOKUP(D31,Data!H:I,2,0)</f>
        <v>Düzce</v>
      </c>
      <c r="F31" s="115" t="str">
        <f>VLOOKUP(D31,Data!H:J,3,0)</f>
        <v>Nazım Öztel</v>
      </c>
      <c r="G31" s="116" t="b">
        <v>0</v>
      </c>
      <c r="H31" s="116" t="b">
        <v>1</v>
      </c>
      <c r="I31" s="116" t="b">
        <v>0</v>
      </c>
      <c r="J31" s="116" t="b">
        <v>1</v>
      </c>
      <c r="K31" s="116" t="b">
        <v>0</v>
      </c>
      <c r="L31" s="117">
        <f t="shared" si="1"/>
        <v>2</v>
      </c>
      <c r="M31" s="117">
        <f t="shared" si="2"/>
        <v>8</v>
      </c>
      <c r="N31" s="112"/>
      <c r="O31" s="112"/>
    </row>
    <row r="32" ht="15.0" customHeight="1">
      <c r="A32" s="112"/>
      <c r="B32" s="112"/>
      <c r="C32" s="112"/>
      <c r="D32" s="129" t="s">
        <v>153</v>
      </c>
      <c r="E32" s="114" t="str">
        <f>VLOOKUP(D32,Data!H:I,2,0)</f>
        <v>Edirne</v>
      </c>
      <c r="F32" s="115" t="str">
        <f>VLOOKUP(D32,Data!H:J,3,0)</f>
        <v>Nazım Öztel</v>
      </c>
      <c r="G32" s="116" t="b">
        <v>0</v>
      </c>
      <c r="H32" s="116" t="b">
        <v>0</v>
      </c>
      <c r="I32" s="116" t="b">
        <v>1</v>
      </c>
      <c r="J32" s="116" t="b">
        <v>0</v>
      </c>
      <c r="K32" s="116" t="b">
        <v>1</v>
      </c>
      <c r="L32" s="117">
        <f t="shared" si="1"/>
        <v>2</v>
      </c>
      <c r="M32" s="117">
        <f t="shared" si="2"/>
        <v>8</v>
      </c>
      <c r="N32" s="112"/>
      <c r="O32" s="112"/>
    </row>
    <row r="33" ht="15.0" customHeight="1">
      <c r="A33" s="112"/>
      <c r="B33" s="112"/>
      <c r="C33" s="112"/>
      <c r="D33" s="132" t="s">
        <v>55</v>
      </c>
      <c r="E33" s="114" t="str">
        <f>VLOOKUP(D33,Data!H:I,2,0)</f>
        <v>Erzurum</v>
      </c>
      <c r="F33" s="115" t="str">
        <f>VLOOKUP(D33,Data!H:J,3,0)</f>
        <v>Nazım Öztel</v>
      </c>
      <c r="G33" s="116" t="b">
        <v>0</v>
      </c>
      <c r="H33" s="116" t="b">
        <v>0</v>
      </c>
      <c r="I33" s="116" t="b">
        <v>0</v>
      </c>
      <c r="J33" s="116" t="b">
        <v>0</v>
      </c>
      <c r="K33" s="116" t="b">
        <v>0</v>
      </c>
      <c r="L33" s="117">
        <f t="shared" si="1"/>
        <v>0</v>
      </c>
      <c r="M33" s="117">
        <f t="shared" si="2"/>
        <v>0</v>
      </c>
      <c r="N33" s="112"/>
      <c r="O33" s="112"/>
    </row>
    <row r="34" ht="15.0" customHeight="1">
      <c r="A34" s="112"/>
      <c r="B34" s="112"/>
      <c r="C34" s="112"/>
      <c r="D34" s="129" t="s">
        <v>165</v>
      </c>
      <c r="E34" s="114" t="str">
        <f>VLOOKUP(D34,Data!H:I,2,0)</f>
        <v>Eskişehir</v>
      </c>
      <c r="F34" s="115" t="str">
        <f>VLOOKUP(D34,Data!H:J,3,0)</f>
        <v>Nazım Öztel</v>
      </c>
      <c r="G34" s="116" t="b">
        <v>1</v>
      </c>
      <c r="H34" s="116" t="b">
        <v>1</v>
      </c>
      <c r="I34" s="116" t="b">
        <v>1</v>
      </c>
      <c r="J34" s="116" t="b">
        <v>1</v>
      </c>
      <c r="K34" s="116" t="b">
        <v>1</v>
      </c>
      <c r="L34" s="117">
        <f t="shared" si="1"/>
        <v>5</v>
      </c>
      <c r="M34" s="117">
        <f t="shared" si="2"/>
        <v>20</v>
      </c>
      <c r="N34" s="112"/>
      <c r="O34" s="112"/>
    </row>
    <row r="35" ht="15.0" customHeight="1">
      <c r="A35" s="112"/>
      <c r="B35" s="112"/>
      <c r="C35" s="112"/>
      <c r="D35" s="129" t="s">
        <v>58</v>
      </c>
      <c r="E35" s="114" t="str">
        <f>VLOOKUP(D35,Data!H:I,2,0)</f>
        <v>İstanbul</v>
      </c>
      <c r="F35" s="115" t="str">
        <f>VLOOKUP(D35,Data!H:J,3,0)</f>
        <v>Freelance</v>
      </c>
      <c r="G35" s="116" t="b">
        <v>1</v>
      </c>
      <c r="H35" s="116" t="b">
        <v>1</v>
      </c>
      <c r="I35" s="116" t="b">
        <v>1</v>
      </c>
      <c r="J35" s="116" t="b">
        <v>1</v>
      </c>
      <c r="K35" s="116" t="b">
        <v>1</v>
      </c>
      <c r="L35" s="117">
        <f t="shared" si="1"/>
        <v>5</v>
      </c>
      <c r="M35" s="117">
        <f t="shared" si="2"/>
        <v>20</v>
      </c>
      <c r="N35" s="88"/>
      <c r="O35" s="112"/>
    </row>
    <row r="36" ht="15.0" customHeight="1">
      <c r="A36" s="112"/>
      <c r="B36" s="112"/>
      <c r="C36" s="112"/>
      <c r="D36" s="129" t="s">
        <v>133</v>
      </c>
      <c r="E36" s="114" t="str">
        <f>VLOOKUP(D36,Data!H:I,2,0)</f>
        <v>İstanbul</v>
      </c>
      <c r="F36" s="115" t="str">
        <f>VLOOKUP(D36,Data!H:J,3,0)</f>
        <v>Freelance</v>
      </c>
      <c r="G36" s="116" t="b">
        <v>1</v>
      </c>
      <c r="H36" s="116" t="b">
        <v>1</v>
      </c>
      <c r="I36" s="116" t="b">
        <v>1</v>
      </c>
      <c r="J36" s="116" t="b">
        <v>0</v>
      </c>
      <c r="K36" s="116" t="b">
        <v>0</v>
      </c>
      <c r="L36" s="117">
        <f t="shared" si="1"/>
        <v>3</v>
      </c>
      <c r="M36" s="117">
        <f t="shared" si="2"/>
        <v>12</v>
      </c>
      <c r="N36" s="88"/>
      <c r="O36" s="112"/>
    </row>
    <row r="37" ht="15.0" customHeight="1">
      <c r="A37" s="121"/>
      <c r="B37" s="121"/>
      <c r="C37" s="121"/>
      <c r="D37" s="129" t="s">
        <v>134</v>
      </c>
      <c r="E37" s="114" t="str">
        <f>VLOOKUP(D37,Data!H:I,2,0)</f>
        <v>İstanbul</v>
      </c>
      <c r="F37" s="115" t="str">
        <f>VLOOKUP(D37,Data!H:J,3,0)</f>
        <v>Filamingo</v>
      </c>
      <c r="G37" s="116" t="b">
        <v>1</v>
      </c>
      <c r="H37" s="116" t="b">
        <v>0</v>
      </c>
      <c r="I37" s="116" t="b">
        <v>0</v>
      </c>
      <c r="J37" s="116" t="b">
        <v>0</v>
      </c>
      <c r="K37" s="116" t="b">
        <v>1</v>
      </c>
      <c r="L37" s="117">
        <f t="shared" si="1"/>
        <v>2</v>
      </c>
      <c r="M37" s="117">
        <f t="shared" si="2"/>
        <v>8</v>
      </c>
      <c r="N37" s="121"/>
      <c r="O37" s="121"/>
    </row>
    <row r="38" ht="15.0" customHeight="1">
      <c r="A38" s="121"/>
      <c r="B38" s="121"/>
      <c r="C38" s="121"/>
      <c r="D38" s="132" t="s">
        <v>71</v>
      </c>
      <c r="E38" s="114" t="str">
        <f>VLOOKUP(D38,Data!H:I,2,0)</f>
        <v>İstanbul</v>
      </c>
      <c r="F38" s="115" t="str">
        <f>VLOOKUP(D38,Data!H:J,3,0)</f>
        <v>Filamingo</v>
      </c>
      <c r="G38" s="116" t="b">
        <v>0</v>
      </c>
      <c r="H38" s="116" t="b">
        <v>0</v>
      </c>
      <c r="I38" s="116" t="b">
        <v>0</v>
      </c>
      <c r="J38" s="116" t="b">
        <v>0</v>
      </c>
      <c r="K38" s="116" t="b">
        <v>0</v>
      </c>
      <c r="L38" s="117">
        <f t="shared" si="1"/>
        <v>0</v>
      </c>
      <c r="M38" s="117">
        <f t="shared" si="2"/>
        <v>0</v>
      </c>
      <c r="N38" s="121"/>
      <c r="O38" s="121"/>
    </row>
    <row r="39" ht="15.0" customHeight="1">
      <c r="A39" s="112"/>
      <c r="B39" s="112"/>
      <c r="C39" s="112"/>
      <c r="D39" s="132" t="s">
        <v>117</v>
      </c>
      <c r="E39" s="114" t="str">
        <f>VLOOKUP(D39,Data!H:I,2,0)</f>
        <v>İstanbul</v>
      </c>
      <c r="F39" s="115" t="str">
        <f>VLOOKUP(D39,Data!H:J,3,0)</f>
        <v>Freelance</v>
      </c>
      <c r="G39" s="116" t="b">
        <v>0</v>
      </c>
      <c r="H39" s="116" t="b">
        <v>1</v>
      </c>
      <c r="I39" s="116" t="b">
        <v>0</v>
      </c>
      <c r="J39" s="116" t="b">
        <v>1</v>
      </c>
      <c r="K39" s="116" t="b">
        <v>1</v>
      </c>
      <c r="L39" s="117">
        <f t="shared" si="1"/>
        <v>3</v>
      </c>
      <c r="M39" s="117">
        <f t="shared" si="2"/>
        <v>12</v>
      </c>
      <c r="N39" s="112"/>
      <c r="O39" s="112"/>
    </row>
    <row r="40" ht="15.0" customHeight="1">
      <c r="A40" s="112"/>
      <c r="B40" s="112"/>
      <c r="C40" s="112"/>
      <c r="D40" s="129" t="s">
        <v>135</v>
      </c>
      <c r="E40" s="114" t="str">
        <f>VLOOKUP(D40,Data!H:I,2,0)</f>
        <v>İstanbul</v>
      </c>
      <c r="F40" s="115" t="str">
        <f>VLOOKUP(D40,Data!H:J,3,0)</f>
        <v>Freelance</v>
      </c>
      <c r="G40" s="116" t="b">
        <v>0</v>
      </c>
      <c r="H40" s="116" t="b">
        <v>0</v>
      </c>
      <c r="I40" s="116" t="b">
        <v>0</v>
      </c>
      <c r="J40" s="116" t="b">
        <v>0</v>
      </c>
      <c r="K40" s="116" t="b">
        <v>1</v>
      </c>
      <c r="L40" s="117">
        <f t="shared" si="1"/>
        <v>1</v>
      </c>
      <c r="M40" s="117">
        <f t="shared" si="2"/>
        <v>4</v>
      </c>
      <c r="N40" s="112"/>
      <c r="O40" s="112"/>
    </row>
    <row r="41" ht="15.0" customHeight="1">
      <c r="A41" s="112"/>
      <c r="B41" s="112"/>
      <c r="C41" s="112"/>
      <c r="D41" s="129" t="s">
        <v>123</v>
      </c>
      <c r="E41" s="114" t="str">
        <f>VLOOKUP(D41,Data!H:I,2,0)</f>
        <v>İstanbul</v>
      </c>
      <c r="F41" s="115" t="str">
        <f>VLOOKUP(D41,Data!H:J,3,0)</f>
        <v>Freelance</v>
      </c>
      <c r="G41" s="116" t="b">
        <v>1</v>
      </c>
      <c r="H41" s="116" t="b">
        <v>1</v>
      </c>
      <c r="I41" s="116" t="b">
        <v>1</v>
      </c>
      <c r="J41" s="116" t="b">
        <v>0</v>
      </c>
      <c r="K41" s="116" t="b">
        <v>0</v>
      </c>
      <c r="L41" s="117">
        <f t="shared" si="1"/>
        <v>3</v>
      </c>
      <c r="M41" s="117">
        <f t="shared" si="2"/>
        <v>12</v>
      </c>
      <c r="N41" s="112"/>
      <c r="O41" s="112"/>
    </row>
    <row r="42" ht="15.0" customHeight="1">
      <c r="A42" s="112"/>
      <c r="B42" s="112"/>
      <c r="C42" s="112"/>
      <c r="D42" s="129" t="s">
        <v>70</v>
      </c>
      <c r="E42" s="114" t="str">
        <f>VLOOKUP(D42,Data!H:I,2,0)</f>
        <v>İstanbul</v>
      </c>
      <c r="F42" s="115" t="str">
        <f>VLOOKUP(D42,Data!H:J,3,0)</f>
        <v>Freelance</v>
      </c>
      <c r="G42" s="116" t="b">
        <v>0</v>
      </c>
      <c r="H42" s="116" t="b">
        <v>1</v>
      </c>
      <c r="I42" s="116" t="b">
        <v>0</v>
      </c>
      <c r="J42" s="116" t="b">
        <v>0</v>
      </c>
      <c r="K42" s="116" t="b">
        <v>0</v>
      </c>
      <c r="L42" s="117">
        <f t="shared" si="1"/>
        <v>1</v>
      </c>
      <c r="M42" s="117">
        <f t="shared" si="2"/>
        <v>4</v>
      </c>
      <c r="N42" s="112"/>
      <c r="O42" s="112"/>
    </row>
    <row r="43" ht="15.0" customHeight="1">
      <c r="A43" s="112"/>
      <c r="B43" s="112"/>
      <c r="C43" s="112"/>
      <c r="D43" s="129" t="s">
        <v>174</v>
      </c>
      <c r="E43" s="114" t="str">
        <f>VLOOKUP(D43,Data!H:I,2,0)</f>
        <v>İstanbul</v>
      </c>
      <c r="F43" s="115" t="str">
        <f>VLOOKUP(D43,Data!H:J,3,0)</f>
        <v>Freelance</v>
      </c>
      <c r="G43" s="116" t="b">
        <v>0</v>
      </c>
      <c r="H43" s="116" t="b">
        <v>1</v>
      </c>
      <c r="I43" s="116" t="b">
        <v>0</v>
      </c>
      <c r="J43" s="116" t="b">
        <v>0</v>
      </c>
      <c r="K43" s="116" t="b">
        <v>0</v>
      </c>
      <c r="L43" s="117">
        <f t="shared" si="1"/>
        <v>1</v>
      </c>
      <c r="M43" s="117">
        <f t="shared" si="2"/>
        <v>4</v>
      </c>
      <c r="N43" s="112"/>
      <c r="O43" s="112"/>
    </row>
    <row r="44" ht="15.0" customHeight="1">
      <c r="A44" s="112"/>
      <c r="B44" s="112"/>
      <c r="C44" s="112"/>
      <c r="D44" s="132" t="s">
        <v>72</v>
      </c>
      <c r="E44" s="114" t="str">
        <f>VLOOKUP(D44,Data!H:I,2,0)</f>
        <v>İstanbul</v>
      </c>
      <c r="F44" s="115" t="str">
        <f>VLOOKUP(D44,Data!H:J,3,0)</f>
        <v>Filamingo</v>
      </c>
      <c r="G44" s="116" t="b">
        <v>0</v>
      </c>
      <c r="H44" s="116" t="b">
        <v>0</v>
      </c>
      <c r="I44" s="116" t="b">
        <v>0</v>
      </c>
      <c r="J44" s="116" t="b">
        <v>0</v>
      </c>
      <c r="K44" s="116" t="b">
        <v>0</v>
      </c>
      <c r="L44" s="117">
        <f t="shared" si="1"/>
        <v>0</v>
      </c>
      <c r="M44" s="117">
        <f t="shared" si="2"/>
        <v>0</v>
      </c>
      <c r="N44" s="112"/>
      <c r="O44" s="112"/>
    </row>
    <row r="45" ht="15.0" customHeight="1">
      <c r="A45" s="112"/>
      <c r="B45" s="112"/>
      <c r="C45" s="112"/>
      <c r="D45" s="129" t="s">
        <v>136</v>
      </c>
      <c r="E45" s="114" t="str">
        <f>VLOOKUP(D45,Data!H:I,2,0)</f>
        <v>İstanbul</v>
      </c>
      <c r="F45" s="115" t="str">
        <f>VLOOKUP(D45,Data!H:J,3,0)</f>
        <v>Filamingo</v>
      </c>
      <c r="G45" s="116" t="b">
        <v>0</v>
      </c>
      <c r="H45" s="116" t="b">
        <v>0</v>
      </c>
      <c r="I45" s="116" t="b">
        <v>0</v>
      </c>
      <c r="J45" s="116" t="b">
        <v>0</v>
      </c>
      <c r="K45" s="116" t="b">
        <v>0</v>
      </c>
      <c r="L45" s="117">
        <f t="shared" si="1"/>
        <v>0</v>
      </c>
      <c r="M45" s="117">
        <f t="shared" si="2"/>
        <v>0</v>
      </c>
      <c r="N45" s="112"/>
      <c r="O45" s="112"/>
    </row>
    <row r="46" ht="15.0" customHeight="1">
      <c r="A46" s="112"/>
      <c r="B46" s="112"/>
      <c r="C46" s="112"/>
      <c r="D46" s="141" t="s">
        <v>125</v>
      </c>
      <c r="E46" s="114" t="str">
        <f>VLOOKUP(D46,Data!H:I,2,0)</f>
        <v>İstanbul</v>
      </c>
      <c r="F46" s="115" t="str">
        <f>VLOOKUP(D46,Data!H:J,3,0)</f>
        <v>Filamingo</v>
      </c>
      <c r="G46" s="116" t="b">
        <v>0</v>
      </c>
      <c r="H46" s="116" t="b">
        <v>0</v>
      </c>
      <c r="I46" s="116" t="b">
        <v>0</v>
      </c>
      <c r="J46" s="116" t="b">
        <v>0</v>
      </c>
      <c r="K46" s="116" t="b">
        <v>0</v>
      </c>
      <c r="L46" s="117">
        <f t="shared" si="1"/>
        <v>0</v>
      </c>
      <c r="M46" s="117">
        <f t="shared" si="2"/>
        <v>0</v>
      </c>
      <c r="N46" s="120"/>
      <c r="O46" s="112"/>
    </row>
    <row r="47" ht="15.0" customHeight="1">
      <c r="A47" s="125"/>
      <c r="B47" s="125"/>
      <c r="C47" s="125"/>
      <c r="D47" s="129" t="s">
        <v>77</v>
      </c>
      <c r="E47" s="114" t="str">
        <f>VLOOKUP(D47,Data!H:I,2,0)</f>
        <v>İstanbul</v>
      </c>
      <c r="F47" s="115" t="str">
        <f>VLOOKUP(D47,Data!H:J,3,0)</f>
        <v>Freelance</v>
      </c>
      <c r="G47" s="116" t="b">
        <v>0</v>
      </c>
      <c r="H47" s="116" t="b">
        <v>0</v>
      </c>
      <c r="I47" s="116" t="b">
        <v>0</v>
      </c>
      <c r="J47" s="116" t="b">
        <v>0</v>
      </c>
      <c r="K47" s="116" t="b">
        <v>0</v>
      </c>
      <c r="L47" s="117">
        <f t="shared" si="1"/>
        <v>0</v>
      </c>
      <c r="M47" s="117">
        <f t="shared" si="2"/>
        <v>0</v>
      </c>
      <c r="N47" s="124"/>
      <c r="O47" s="125"/>
    </row>
    <row r="48" ht="15.0" customHeight="1">
      <c r="A48" s="122"/>
      <c r="B48" s="122"/>
      <c r="C48" s="122"/>
      <c r="D48" s="129" t="s">
        <v>78</v>
      </c>
      <c r="E48" s="114" t="str">
        <f>VLOOKUP(D48,Data!H:I,2,0)</f>
        <v>İstanbul</v>
      </c>
      <c r="F48" s="115" t="str">
        <f>VLOOKUP(D48,Data!H:J,3,0)</f>
        <v>Freelance</v>
      </c>
      <c r="G48" s="116" t="b">
        <v>1</v>
      </c>
      <c r="H48" s="116" t="b">
        <v>1</v>
      </c>
      <c r="I48" s="116" t="b">
        <v>1</v>
      </c>
      <c r="J48" s="116" t="b">
        <v>1</v>
      </c>
      <c r="K48" s="116" t="b">
        <v>1</v>
      </c>
      <c r="L48" s="117">
        <f t="shared" si="1"/>
        <v>5</v>
      </c>
      <c r="M48" s="117">
        <f t="shared" si="2"/>
        <v>20</v>
      </c>
      <c r="N48" s="112"/>
      <c r="O48" s="122"/>
    </row>
    <row r="49" ht="15.0" customHeight="1">
      <c r="A49" s="124"/>
      <c r="B49" s="124"/>
      <c r="C49" s="124"/>
      <c r="D49" s="129" t="s">
        <v>79</v>
      </c>
      <c r="E49" s="114" t="str">
        <f>VLOOKUP(D49,Data!H:I,2,0)</f>
        <v>İstanbul</v>
      </c>
      <c r="F49" s="115" t="str">
        <f>VLOOKUP(D49,Data!H:J,3,0)</f>
        <v>Freelance</v>
      </c>
      <c r="G49" s="116" t="b">
        <v>1</v>
      </c>
      <c r="H49" s="116" t="b">
        <v>1</v>
      </c>
      <c r="I49" s="116" t="b">
        <v>1</v>
      </c>
      <c r="J49" s="116" t="b">
        <v>1</v>
      </c>
      <c r="K49" s="116" t="b">
        <v>0</v>
      </c>
      <c r="L49" s="117">
        <f t="shared" si="1"/>
        <v>4</v>
      </c>
      <c r="M49" s="117">
        <f t="shared" si="2"/>
        <v>16</v>
      </c>
      <c r="N49" s="112"/>
      <c r="O49" s="124"/>
    </row>
    <row r="50" ht="15.0" customHeight="1">
      <c r="A50" s="124"/>
      <c r="B50" s="124"/>
      <c r="C50" s="124"/>
      <c r="D50" s="129" t="s">
        <v>175</v>
      </c>
      <c r="E50" s="114" t="str">
        <f>VLOOKUP(D50,Data!H:I,2,0)</f>
        <v>İstanbul</v>
      </c>
      <c r="F50" s="115" t="str">
        <f>VLOOKUP(D50,Data!H:J,3,0)</f>
        <v>Freelance</v>
      </c>
      <c r="G50" s="116" t="b">
        <v>1</v>
      </c>
      <c r="H50" s="116" t="b">
        <v>1</v>
      </c>
      <c r="I50" s="116" t="b">
        <v>0</v>
      </c>
      <c r="J50" s="116" t="b">
        <v>1</v>
      </c>
      <c r="K50" s="116" t="b">
        <v>0</v>
      </c>
      <c r="L50" s="117">
        <f t="shared" si="1"/>
        <v>3</v>
      </c>
      <c r="M50" s="117">
        <f t="shared" si="2"/>
        <v>12</v>
      </c>
      <c r="N50" s="112"/>
      <c r="O50" s="124"/>
    </row>
    <row r="51" ht="15.0" customHeight="1">
      <c r="A51" s="112"/>
      <c r="B51" s="112"/>
      <c r="C51" s="112"/>
      <c r="D51" s="129" t="s">
        <v>166</v>
      </c>
      <c r="E51" s="114" t="str">
        <f>VLOOKUP(D51,Data!H:I,2,0)</f>
        <v>İstanbul</v>
      </c>
      <c r="F51" s="115" t="str">
        <f>VLOOKUP(D51,Data!H:J,3,0)</f>
        <v>Filamingo</v>
      </c>
      <c r="G51" s="116" t="b">
        <v>0</v>
      </c>
      <c r="H51" s="116" t="b">
        <v>0</v>
      </c>
      <c r="I51" s="116" t="b">
        <v>0</v>
      </c>
      <c r="J51" s="116" t="b">
        <v>0</v>
      </c>
      <c r="K51" s="116" t="b">
        <v>0</v>
      </c>
      <c r="L51" s="117">
        <f t="shared" si="1"/>
        <v>0</v>
      </c>
      <c r="M51" s="117">
        <f t="shared" si="2"/>
        <v>0</v>
      </c>
      <c r="N51" s="124"/>
      <c r="O51" s="112"/>
    </row>
    <row r="52" ht="15.0" customHeight="1">
      <c r="A52" s="112"/>
      <c r="B52" s="112"/>
      <c r="C52" s="112"/>
      <c r="D52" s="129" t="s">
        <v>80</v>
      </c>
      <c r="E52" s="114" t="str">
        <f>VLOOKUP(D52,Data!H:I,2,0)</f>
        <v>İstanbul</v>
      </c>
      <c r="F52" s="115" t="str">
        <f>VLOOKUP(D52,Data!H:J,3,0)</f>
        <v>Freelance</v>
      </c>
      <c r="G52" s="116" t="b">
        <v>1</v>
      </c>
      <c r="H52" s="116" t="b">
        <v>1</v>
      </c>
      <c r="I52" s="116" t="b">
        <v>1</v>
      </c>
      <c r="J52" s="116" t="b">
        <v>0</v>
      </c>
      <c r="K52" s="116" t="b">
        <v>1</v>
      </c>
      <c r="L52" s="117">
        <f t="shared" si="1"/>
        <v>4</v>
      </c>
      <c r="M52" s="117">
        <f t="shared" si="2"/>
        <v>16</v>
      </c>
      <c r="N52" s="112"/>
      <c r="O52" s="112"/>
    </row>
    <row r="53" ht="15.0" customHeight="1">
      <c r="A53" s="112"/>
      <c r="B53" s="112"/>
      <c r="C53" s="112"/>
      <c r="D53" s="132" t="s">
        <v>119</v>
      </c>
      <c r="E53" s="114" t="str">
        <f>VLOOKUP(D53,Data!H:I,2,0)</f>
        <v>İstanbul</v>
      </c>
      <c r="F53" s="115" t="str">
        <f>VLOOKUP(D53,Data!H:J,3,0)</f>
        <v>Filamingo</v>
      </c>
      <c r="G53" s="116" t="b">
        <v>0</v>
      </c>
      <c r="H53" s="116" t="b">
        <v>1</v>
      </c>
      <c r="I53" s="116" t="b">
        <v>1</v>
      </c>
      <c r="J53" s="116" t="b">
        <v>1</v>
      </c>
      <c r="K53" s="116" t="b">
        <v>0</v>
      </c>
      <c r="L53" s="117">
        <f t="shared" si="1"/>
        <v>3</v>
      </c>
      <c r="M53" s="117">
        <f t="shared" si="2"/>
        <v>12</v>
      </c>
      <c r="N53" s="112"/>
      <c r="O53" s="112"/>
    </row>
    <row r="54" ht="15.0" customHeight="1">
      <c r="A54" s="112"/>
      <c r="B54" s="112"/>
      <c r="C54" s="112"/>
      <c r="D54" s="129" t="s">
        <v>81</v>
      </c>
      <c r="E54" s="114" t="str">
        <f>VLOOKUP(D54,Data!H:I,2,0)</f>
        <v>İstanbul</v>
      </c>
      <c r="F54" s="115" t="str">
        <f>VLOOKUP(D54,Data!H:J,3,0)</f>
        <v>Freelance</v>
      </c>
      <c r="G54" s="116" t="b">
        <v>0</v>
      </c>
      <c r="H54" s="116" t="b">
        <v>1</v>
      </c>
      <c r="I54" s="116" t="b">
        <v>0</v>
      </c>
      <c r="J54" s="116" t="b">
        <v>1</v>
      </c>
      <c r="K54" s="116" t="b">
        <v>0</v>
      </c>
      <c r="L54" s="117">
        <f t="shared" si="1"/>
        <v>2</v>
      </c>
      <c r="M54" s="117">
        <f t="shared" si="2"/>
        <v>8</v>
      </c>
      <c r="N54" s="125"/>
      <c r="O54" s="112"/>
    </row>
    <row r="55" ht="15.0" customHeight="1">
      <c r="A55" s="112"/>
      <c r="B55" s="112"/>
      <c r="C55" s="112"/>
      <c r="D55" s="132" t="s">
        <v>83</v>
      </c>
      <c r="E55" s="114" t="str">
        <f>VLOOKUP(D55,Data!H:I,2,0)</f>
        <v>İstanbul</v>
      </c>
      <c r="F55" s="115" t="str">
        <f>VLOOKUP(D55,Data!H:J,3,0)</f>
        <v>Nazım Öztel</v>
      </c>
      <c r="G55" s="116" t="b">
        <v>1</v>
      </c>
      <c r="H55" s="116" t="b">
        <v>1</v>
      </c>
      <c r="I55" s="116" t="b">
        <v>1</v>
      </c>
      <c r="J55" s="116" t="b">
        <v>1</v>
      </c>
      <c r="K55" s="116" t="b">
        <v>1</v>
      </c>
      <c r="L55" s="117">
        <f t="shared" si="1"/>
        <v>5</v>
      </c>
      <c r="M55" s="117">
        <f t="shared" si="2"/>
        <v>20</v>
      </c>
      <c r="N55" s="112"/>
      <c r="O55" s="112"/>
    </row>
    <row r="56" ht="15.0" customHeight="1">
      <c r="A56" s="125"/>
      <c r="B56" s="125"/>
      <c r="C56" s="125"/>
      <c r="D56" s="132" t="s">
        <v>85</v>
      </c>
      <c r="E56" s="114" t="str">
        <f>VLOOKUP(D56,Data!H:I,2,0)</f>
        <v>İstanbul</v>
      </c>
      <c r="F56" s="115" t="str">
        <f>VLOOKUP(D56,Data!H:J,3,0)</f>
        <v>Filamingo</v>
      </c>
      <c r="G56" s="116" t="b">
        <v>0</v>
      </c>
      <c r="H56" s="116" t="b">
        <v>0</v>
      </c>
      <c r="I56" s="116" t="b">
        <v>0</v>
      </c>
      <c r="J56" s="116" t="b">
        <v>0</v>
      </c>
      <c r="K56" s="116" t="b">
        <v>0</v>
      </c>
      <c r="L56" s="117">
        <f t="shared" si="1"/>
        <v>0</v>
      </c>
      <c r="M56" s="117">
        <f t="shared" si="2"/>
        <v>0</v>
      </c>
      <c r="N56" s="112"/>
      <c r="O56" s="125"/>
    </row>
    <row r="57" ht="15.0" customHeight="1">
      <c r="A57" s="125"/>
      <c r="B57" s="125"/>
      <c r="C57" s="125"/>
      <c r="D57" s="129" t="s">
        <v>145</v>
      </c>
      <c r="E57" s="114" t="str">
        <f>VLOOKUP(D57,Data!H:I,2,0)</f>
        <v>İstanbul</v>
      </c>
      <c r="F57" s="115" t="str">
        <f>VLOOKUP(D57,Data!H:J,3,0)</f>
        <v>Filamingo</v>
      </c>
      <c r="G57" s="116" t="b">
        <v>1</v>
      </c>
      <c r="H57" s="116" t="b">
        <v>1</v>
      </c>
      <c r="I57" s="116" t="b">
        <v>1</v>
      </c>
      <c r="J57" s="116" t="b">
        <v>1</v>
      </c>
      <c r="K57" s="116" t="b">
        <v>1</v>
      </c>
      <c r="L57" s="117">
        <f t="shared" si="1"/>
        <v>5</v>
      </c>
      <c r="M57" s="117">
        <f t="shared" si="2"/>
        <v>20</v>
      </c>
      <c r="N57" s="112"/>
      <c r="O57" s="125"/>
    </row>
    <row r="58" ht="15.0" customHeight="1">
      <c r="A58" s="125"/>
      <c r="B58" s="125"/>
      <c r="C58" s="125"/>
      <c r="D58" s="129" t="s">
        <v>146</v>
      </c>
      <c r="E58" s="114" t="str">
        <f>VLOOKUP(D58,Data!H:I,2,0)</f>
        <v>İstanbul</v>
      </c>
      <c r="F58" s="115" t="str">
        <f>VLOOKUP(D58,Data!H:J,3,0)</f>
        <v>Filamingo</v>
      </c>
      <c r="G58" s="116" t="b">
        <v>0</v>
      </c>
      <c r="H58" s="116" t="b">
        <v>0</v>
      </c>
      <c r="I58" s="116" t="b">
        <v>0</v>
      </c>
      <c r="J58" s="116" t="b">
        <v>0</v>
      </c>
      <c r="K58" s="116" t="b">
        <v>0</v>
      </c>
      <c r="L58" s="117">
        <f t="shared" si="1"/>
        <v>0</v>
      </c>
      <c r="M58" s="117">
        <f t="shared" si="2"/>
        <v>0</v>
      </c>
      <c r="N58" s="112"/>
      <c r="O58" s="125"/>
    </row>
    <row r="59" ht="15.0" customHeight="1">
      <c r="A59" s="126"/>
      <c r="B59" s="126"/>
      <c r="C59" s="126"/>
      <c r="D59" s="129" t="s">
        <v>86</v>
      </c>
      <c r="E59" s="114" t="str">
        <f>VLOOKUP(D59,Data!H:I,2,0)</f>
        <v>İstanbul</v>
      </c>
      <c r="F59" s="115" t="str">
        <f>VLOOKUP(D59,Data!H:J,3,0)</f>
        <v>Freelance</v>
      </c>
      <c r="G59" s="116" t="b">
        <v>0</v>
      </c>
      <c r="H59" s="116" t="b">
        <v>0</v>
      </c>
      <c r="I59" s="116" t="b">
        <v>0</v>
      </c>
      <c r="J59" s="116" t="b">
        <v>0</v>
      </c>
      <c r="K59" s="116" t="b">
        <v>0</v>
      </c>
      <c r="L59" s="117">
        <f t="shared" si="1"/>
        <v>0</v>
      </c>
      <c r="M59" s="117">
        <f t="shared" si="2"/>
        <v>0</v>
      </c>
      <c r="N59" s="112"/>
      <c r="O59" s="126"/>
    </row>
    <row r="60" ht="15.0" customHeight="1">
      <c r="A60" s="122"/>
      <c r="B60" s="122"/>
      <c r="C60" s="122"/>
      <c r="D60" s="129" t="s">
        <v>87</v>
      </c>
      <c r="E60" s="114" t="str">
        <f>VLOOKUP(D60,Data!H:I,2,0)</f>
        <v>İstanbul</v>
      </c>
      <c r="F60" s="115" t="str">
        <f>VLOOKUP(D60,Data!H:J,3,0)</f>
        <v>Freelance</v>
      </c>
      <c r="G60" s="116" t="b">
        <v>0</v>
      </c>
      <c r="H60" s="116" t="b">
        <v>1</v>
      </c>
      <c r="I60" s="116" t="b">
        <v>0</v>
      </c>
      <c r="J60" s="116" t="b">
        <v>1</v>
      </c>
      <c r="K60" s="116" t="b">
        <v>1</v>
      </c>
      <c r="L60" s="117">
        <f t="shared" si="1"/>
        <v>3</v>
      </c>
      <c r="M60" s="117">
        <f t="shared" si="2"/>
        <v>12</v>
      </c>
      <c r="N60" s="112"/>
      <c r="O60" s="122"/>
    </row>
    <row r="61" ht="15.0" customHeight="1">
      <c r="A61" s="112"/>
      <c r="B61" s="112"/>
      <c r="C61" s="112"/>
      <c r="D61" s="132" t="s">
        <v>88</v>
      </c>
      <c r="E61" s="114" t="str">
        <f>VLOOKUP(D61,Data!H:I,2,0)</f>
        <v>İstanbul</v>
      </c>
      <c r="F61" s="115" t="str">
        <f>VLOOKUP(D61,Data!H:J,3,0)</f>
        <v>Nazım Öztel</v>
      </c>
      <c r="G61" s="116" t="b">
        <v>1</v>
      </c>
      <c r="H61" s="116" t="b">
        <v>1</v>
      </c>
      <c r="I61" s="116" t="b">
        <v>1</v>
      </c>
      <c r="J61" s="116" t="b">
        <v>0</v>
      </c>
      <c r="K61" s="116" t="b">
        <v>1</v>
      </c>
      <c r="L61" s="117">
        <f t="shared" si="1"/>
        <v>4</v>
      </c>
      <c r="M61" s="117">
        <f t="shared" si="2"/>
        <v>16</v>
      </c>
      <c r="N61" s="112"/>
      <c r="O61" s="112"/>
    </row>
    <row r="62" ht="15.0" customHeight="1">
      <c r="A62" s="112"/>
      <c r="B62" s="112"/>
      <c r="C62" s="112"/>
      <c r="D62" s="132" t="s">
        <v>89</v>
      </c>
      <c r="E62" s="114" t="str">
        <f>VLOOKUP(D62,Data!H:I,2,0)</f>
        <v>İstanbul</v>
      </c>
      <c r="F62" s="115" t="str">
        <f>VLOOKUP(D62,Data!H:J,3,0)</f>
        <v>Filamingo</v>
      </c>
      <c r="G62" s="116" t="b">
        <v>0</v>
      </c>
      <c r="H62" s="116" t="b">
        <v>0</v>
      </c>
      <c r="I62" s="116" t="b">
        <v>0</v>
      </c>
      <c r="J62" s="116" t="b">
        <v>0</v>
      </c>
      <c r="K62" s="116" t="b">
        <v>0</v>
      </c>
      <c r="L62" s="117">
        <f t="shared" si="1"/>
        <v>0</v>
      </c>
      <c r="M62" s="117">
        <f t="shared" si="2"/>
        <v>0</v>
      </c>
      <c r="N62" s="112"/>
      <c r="O62" s="112"/>
    </row>
    <row r="63" ht="15.0" customHeight="1">
      <c r="A63" s="112"/>
      <c r="B63" s="112"/>
      <c r="C63" s="112"/>
      <c r="D63" s="129" t="s">
        <v>138</v>
      </c>
      <c r="E63" s="114" t="str">
        <f>VLOOKUP(D63,Data!H:I,2,0)</f>
        <v>İstanbul</v>
      </c>
      <c r="F63" s="115" t="str">
        <f>VLOOKUP(D63,Data!H:J,3,0)</f>
        <v>Filamingo</v>
      </c>
      <c r="G63" s="116" t="b">
        <v>0</v>
      </c>
      <c r="H63" s="116" t="b">
        <v>0</v>
      </c>
      <c r="I63" s="116" t="b">
        <v>0</v>
      </c>
      <c r="J63" s="116" t="b">
        <v>0</v>
      </c>
      <c r="K63" s="116" t="b">
        <v>0</v>
      </c>
      <c r="L63" s="117">
        <f t="shared" si="1"/>
        <v>0</v>
      </c>
      <c r="M63" s="117">
        <f t="shared" si="2"/>
        <v>0</v>
      </c>
      <c r="N63" s="112"/>
      <c r="O63" s="112"/>
    </row>
    <row r="64" ht="15.0" customHeight="1">
      <c r="A64" s="112"/>
      <c r="B64" s="112"/>
      <c r="C64" s="112"/>
      <c r="D64" s="129" t="s">
        <v>127</v>
      </c>
      <c r="E64" s="114" t="str">
        <f>VLOOKUP(D64,Data!H:I,2,0)</f>
        <v>İstanbul</v>
      </c>
      <c r="F64" s="115" t="str">
        <f>VLOOKUP(D64,Data!H:J,3,0)</f>
        <v>Filamingo</v>
      </c>
      <c r="G64" s="116" t="b">
        <v>0</v>
      </c>
      <c r="H64" s="116" t="b">
        <v>0</v>
      </c>
      <c r="I64" s="116" t="b">
        <v>0</v>
      </c>
      <c r="J64" s="116" t="b">
        <v>0</v>
      </c>
      <c r="K64" s="116" t="b">
        <v>0</v>
      </c>
      <c r="L64" s="117">
        <f t="shared" si="1"/>
        <v>0</v>
      </c>
      <c r="M64" s="117">
        <f t="shared" si="2"/>
        <v>0</v>
      </c>
      <c r="N64" s="112"/>
      <c r="O64" s="112"/>
    </row>
    <row r="65" ht="15.0" customHeight="1">
      <c r="A65" s="112"/>
      <c r="B65" s="112"/>
      <c r="C65" s="112"/>
      <c r="D65" s="132" t="s">
        <v>92</v>
      </c>
      <c r="E65" s="114" t="str">
        <f>VLOOKUP(D65,Data!H:I,2,0)</f>
        <v>İzmir</v>
      </c>
      <c r="F65" s="115" t="str">
        <f>VLOOKUP(D65,Data!H:J,3,0)</f>
        <v>Nazım Öztel</v>
      </c>
      <c r="G65" s="116" t="b">
        <v>1</v>
      </c>
      <c r="H65" s="116" t="b">
        <v>1</v>
      </c>
      <c r="I65" s="116" t="b">
        <v>1</v>
      </c>
      <c r="J65" s="116" t="b">
        <v>1</v>
      </c>
      <c r="K65" s="116" t="b">
        <v>1</v>
      </c>
      <c r="L65" s="117">
        <f t="shared" si="1"/>
        <v>5</v>
      </c>
      <c r="M65" s="117">
        <f t="shared" si="2"/>
        <v>20</v>
      </c>
      <c r="N65" s="125"/>
      <c r="O65" s="112"/>
    </row>
    <row r="66" ht="15.0" customHeight="1">
      <c r="A66" s="112"/>
      <c r="B66" s="112"/>
      <c r="C66" s="112"/>
      <c r="D66" s="129" t="s">
        <v>139</v>
      </c>
      <c r="E66" s="114" t="s">
        <v>129</v>
      </c>
      <c r="F66" s="115" t="str">
        <f>VLOOKUP(D66,Data!H:J,3,0)</f>
        <v>Nazım Öztel</v>
      </c>
      <c r="G66" s="116" t="b">
        <v>0</v>
      </c>
      <c r="H66" s="116" t="b">
        <v>0</v>
      </c>
      <c r="I66" s="116" t="b">
        <v>0</v>
      </c>
      <c r="J66" s="116" t="b">
        <v>1</v>
      </c>
      <c r="K66" s="116" t="b">
        <v>0</v>
      </c>
      <c r="L66" s="117">
        <f t="shared" si="1"/>
        <v>1</v>
      </c>
      <c r="M66" s="117">
        <f t="shared" si="2"/>
        <v>4</v>
      </c>
      <c r="N66" s="125"/>
      <c r="O66" s="112"/>
    </row>
    <row r="67" ht="15.0" customHeight="1">
      <c r="A67" s="112"/>
      <c r="B67" s="112"/>
      <c r="C67" s="112"/>
      <c r="D67" s="129" t="s">
        <v>93</v>
      </c>
      <c r="E67" s="114" t="str">
        <f>VLOOKUP(D67,Data!H:I,2,0)</f>
        <v>İzmir</v>
      </c>
      <c r="F67" s="115" t="str">
        <f>VLOOKUP(D67,Data!H:J,3,0)</f>
        <v>Freelance</v>
      </c>
      <c r="G67" s="116" t="b">
        <v>1</v>
      </c>
      <c r="H67" s="116" t="b">
        <v>1</v>
      </c>
      <c r="I67" s="116" t="b">
        <v>0</v>
      </c>
      <c r="J67" s="116" t="b">
        <v>0</v>
      </c>
      <c r="K67" s="116" t="b">
        <v>0</v>
      </c>
      <c r="L67" s="117">
        <f t="shared" si="1"/>
        <v>2</v>
      </c>
      <c r="M67" s="117">
        <f t="shared" si="2"/>
        <v>8</v>
      </c>
      <c r="N67" s="112"/>
      <c r="O67" s="112"/>
    </row>
    <row r="68" ht="15.0" customHeight="1">
      <c r="A68" s="112"/>
      <c r="B68" s="112"/>
      <c r="C68" s="112"/>
      <c r="D68" s="129" t="s">
        <v>161</v>
      </c>
      <c r="E68" s="143" t="str">
        <f>VLOOKUP(D68,Data!H:I,2,0)</f>
        <v>Kahramanmaraş</v>
      </c>
      <c r="F68" s="115" t="str">
        <f>VLOOKUP(D68,Data!H:J,3,0)</f>
        <v>Nazım Öztel</v>
      </c>
      <c r="G68" s="116" t="b">
        <v>1</v>
      </c>
      <c r="H68" s="116" t="b">
        <v>1</v>
      </c>
      <c r="I68" s="116" t="b">
        <v>0</v>
      </c>
      <c r="J68" s="116" t="b">
        <v>0</v>
      </c>
      <c r="K68" s="116" t="b">
        <v>0</v>
      </c>
      <c r="L68" s="117">
        <f t="shared" si="1"/>
        <v>2</v>
      </c>
      <c r="M68" s="117">
        <f t="shared" si="2"/>
        <v>8</v>
      </c>
      <c r="N68" s="112"/>
      <c r="O68" s="112"/>
    </row>
    <row r="69" ht="15.0" customHeight="1">
      <c r="A69" s="112"/>
      <c r="B69" s="112"/>
      <c r="C69" s="112"/>
      <c r="D69" s="129" t="s">
        <v>176</v>
      </c>
      <c r="E69" s="114" t="str">
        <f>VLOOKUP(D69,Data!H:I,2,0)</f>
        <v>Karabük</v>
      </c>
      <c r="F69" s="115" t="str">
        <f>VLOOKUP(D69,Data!H:J,3,0)</f>
        <v>Nazım Öztel</v>
      </c>
      <c r="G69" s="116" t="b">
        <v>1</v>
      </c>
      <c r="H69" s="116" t="b">
        <v>1</v>
      </c>
      <c r="I69" s="116" t="b">
        <v>1</v>
      </c>
      <c r="J69" s="116" t="b">
        <v>1</v>
      </c>
      <c r="K69" s="116" t="b">
        <v>0</v>
      </c>
      <c r="L69" s="117">
        <f t="shared" si="1"/>
        <v>4</v>
      </c>
      <c r="M69" s="117">
        <f t="shared" si="2"/>
        <v>16</v>
      </c>
      <c r="N69" s="112"/>
      <c r="O69" s="112"/>
    </row>
    <row r="70" ht="15.0" customHeight="1">
      <c r="A70" s="112"/>
      <c r="B70" s="112"/>
      <c r="C70" s="112"/>
      <c r="D70" s="132" t="s">
        <v>96</v>
      </c>
      <c r="E70" s="114" t="str">
        <f>VLOOKUP(D70,Data!H:I,2,0)</f>
        <v>Kocaeli</v>
      </c>
      <c r="F70" s="115" t="str">
        <f>VLOOKUP(D70,Data!H:J,3,0)</f>
        <v>Nazım Öztel</v>
      </c>
      <c r="G70" s="116" t="b">
        <v>0</v>
      </c>
      <c r="H70" s="116" t="b">
        <v>0</v>
      </c>
      <c r="I70" s="116" t="b">
        <v>0</v>
      </c>
      <c r="J70" s="116" t="b">
        <v>0</v>
      </c>
      <c r="K70" s="116" t="b">
        <v>0</v>
      </c>
      <c r="L70" s="117">
        <f t="shared" si="1"/>
        <v>0</v>
      </c>
      <c r="M70" s="117">
        <f t="shared" si="2"/>
        <v>0</v>
      </c>
      <c r="N70" s="112"/>
      <c r="O70" s="112"/>
    </row>
    <row r="71" ht="15.0" customHeight="1">
      <c r="A71" s="112"/>
      <c r="B71" s="112"/>
      <c r="C71" s="112"/>
      <c r="D71" s="129" t="s">
        <v>147</v>
      </c>
      <c r="E71" s="114" t="str">
        <f>VLOOKUP(D71,Data!H:I,2,0)</f>
        <v>Kocaeli</v>
      </c>
      <c r="F71" s="115" t="str">
        <f>VLOOKUP(D71,Data!H:J,3,0)</f>
        <v>Nazım Öztel</v>
      </c>
      <c r="G71" s="116" t="b">
        <v>0</v>
      </c>
      <c r="H71" s="116" t="b">
        <v>0</v>
      </c>
      <c r="I71" s="116" t="b">
        <v>0</v>
      </c>
      <c r="J71" s="116" t="b">
        <v>1</v>
      </c>
      <c r="K71" s="116" t="b">
        <v>1</v>
      </c>
      <c r="L71" s="117">
        <f t="shared" si="1"/>
        <v>2</v>
      </c>
      <c r="M71" s="117">
        <f t="shared" si="2"/>
        <v>8</v>
      </c>
      <c r="N71" s="112"/>
      <c r="O71" s="112"/>
    </row>
    <row r="72" ht="15.0" customHeight="1">
      <c r="A72" s="112"/>
      <c r="B72" s="112"/>
      <c r="C72" s="112"/>
      <c r="D72" s="132" t="s">
        <v>98</v>
      </c>
      <c r="E72" s="114" t="str">
        <f>VLOOKUP(D72,Data!H:I,2,0)</f>
        <v>Manisa</v>
      </c>
      <c r="F72" s="115" t="str">
        <f>VLOOKUP(D72,Data!H:J,3,0)</f>
        <v>Nazım Öztel</v>
      </c>
      <c r="G72" s="116" t="b">
        <v>0</v>
      </c>
      <c r="H72" s="116" t="b">
        <v>0</v>
      </c>
      <c r="I72" s="116" t="b">
        <v>0</v>
      </c>
      <c r="J72" s="116" t="b">
        <v>0</v>
      </c>
      <c r="K72" s="116" t="b">
        <v>0</v>
      </c>
      <c r="L72" s="117">
        <f t="shared" si="1"/>
        <v>0</v>
      </c>
      <c r="M72" s="117">
        <f t="shared" si="2"/>
        <v>0</v>
      </c>
      <c r="N72" s="142"/>
      <c r="O72" s="112"/>
    </row>
    <row r="73" ht="15.0" customHeight="1">
      <c r="A73" s="112"/>
      <c r="B73" s="112"/>
      <c r="C73" s="112"/>
      <c r="D73" s="132" t="s">
        <v>99</v>
      </c>
      <c r="E73" s="114" t="str">
        <f>VLOOKUP(D73,Data!H:I,2,0)</f>
        <v>Mersin</v>
      </c>
      <c r="F73" s="115" t="str">
        <f>VLOOKUP(D73,Data!H:J,3,0)</f>
        <v>Nazım Öztel</v>
      </c>
      <c r="G73" s="116" t="b">
        <v>1</v>
      </c>
      <c r="H73" s="116" t="b">
        <v>0</v>
      </c>
      <c r="I73" s="116" t="b">
        <v>0</v>
      </c>
      <c r="J73" s="116" t="b">
        <v>1</v>
      </c>
      <c r="K73" s="116" t="b">
        <v>0</v>
      </c>
      <c r="L73" s="117">
        <f t="shared" si="1"/>
        <v>2</v>
      </c>
      <c r="M73" s="117">
        <f t="shared" si="2"/>
        <v>8</v>
      </c>
      <c r="N73" s="106"/>
      <c r="O73" s="112"/>
    </row>
    <row r="74" ht="15.0" customHeight="1">
      <c r="A74" s="112"/>
      <c r="B74" s="112"/>
      <c r="C74" s="112"/>
      <c r="D74" s="129" t="s">
        <v>169</v>
      </c>
      <c r="E74" s="114" t="str">
        <f>VLOOKUP(D74,Data!H:I,2,0)</f>
        <v>Mersin</v>
      </c>
      <c r="F74" s="115" t="str">
        <f>VLOOKUP(D74,Data!H:J,3,0)</f>
        <v>Nazım Öztel</v>
      </c>
      <c r="G74" s="116" t="b">
        <v>1</v>
      </c>
      <c r="H74" s="116" t="b">
        <v>0</v>
      </c>
      <c r="I74" s="116" t="b">
        <v>0</v>
      </c>
      <c r="J74" s="116" t="b">
        <v>1</v>
      </c>
      <c r="K74" s="116" t="b">
        <v>0</v>
      </c>
      <c r="L74" s="117">
        <f t="shared" si="1"/>
        <v>2</v>
      </c>
      <c r="M74" s="117">
        <f t="shared" si="2"/>
        <v>8</v>
      </c>
      <c r="N74" s="106"/>
      <c r="O74" s="112"/>
    </row>
    <row r="75" ht="15.0" customHeight="1">
      <c r="A75" s="112"/>
      <c r="B75" s="112"/>
      <c r="C75" s="112"/>
      <c r="D75" s="129" t="s">
        <v>148</v>
      </c>
      <c r="E75" s="114" t="str">
        <f>VLOOKUP(D75,Data!H:I,2,0)</f>
        <v>Muğla</v>
      </c>
      <c r="F75" s="115" t="str">
        <f>VLOOKUP(D75,Data!H:J,3,0)</f>
        <v>Nazım Öztel</v>
      </c>
      <c r="G75" s="116" t="b">
        <v>0</v>
      </c>
      <c r="H75" s="116" t="b">
        <v>0</v>
      </c>
      <c r="I75" s="116" t="b">
        <v>1</v>
      </c>
      <c r="J75" s="116" t="b">
        <v>1</v>
      </c>
      <c r="K75" s="116" t="b">
        <v>1</v>
      </c>
      <c r="L75" s="117">
        <f t="shared" si="1"/>
        <v>3</v>
      </c>
      <c r="M75" s="117">
        <f t="shared" si="2"/>
        <v>12</v>
      </c>
      <c r="N75" s="106"/>
      <c r="O75" s="112"/>
    </row>
    <row r="76" ht="15.0" customHeight="1">
      <c r="A76" s="112"/>
      <c r="B76" s="112"/>
      <c r="C76" s="112"/>
      <c r="D76" s="129" t="s">
        <v>104</v>
      </c>
      <c r="E76" s="114" t="str">
        <f>VLOOKUP(D76,Data!H:I,2,0)</f>
        <v>Tekirdağ</v>
      </c>
      <c r="F76" s="115" t="str">
        <f>VLOOKUP(D76,Data!H:J,3,0)</f>
        <v>Freelance</v>
      </c>
      <c r="G76" s="139" t="b">
        <v>0</v>
      </c>
      <c r="H76" s="139" t="b">
        <v>0</v>
      </c>
      <c r="I76" s="139" t="b">
        <v>1</v>
      </c>
      <c r="J76" s="139" t="b">
        <v>1</v>
      </c>
      <c r="K76" s="139" t="b">
        <v>0</v>
      </c>
      <c r="L76" s="117">
        <f t="shared" si="1"/>
        <v>2</v>
      </c>
      <c r="M76" s="117">
        <f t="shared" si="2"/>
        <v>8</v>
      </c>
      <c r="N76" s="112"/>
      <c r="O76" s="112"/>
    </row>
    <row r="77" ht="15.0" customHeight="1">
      <c r="A77" s="112"/>
      <c r="B77" s="112"/>
      <c r="C77" s="112"/>
      <c r="D77" s="129" t="s">
        <v>154</v>
      </c>
      <c r="E77" s="114" t="str">
        <f>VLOOKUP(D77,Data!H:I,2,0)</f>
        <v>Uşak</v>
      </c>
      <c r="F77" s="115" t="str">
        <f>VLOOKUP(D77,Data!H:J,3,0)</f>
        <v>Nazım Öztel</v>
      </c>
      <c r="G77" s="139" t="b">
        <v>0</v>
      </c>
      <c r="H77" s="139" t="b">
        <v>0</v>
      </c>
      <c r="I77" s="139" t="b">
        <v>1</v>
      </c>
      <c r="J77" s="139" t="b">
        <v>0</v>
      </c>
      <c r="K77" s="139" t="b">
        <v>0</v>
      </c>
      <c r="L77" s="117">
        <f t="shared" si="1"/>
        <v>1</v>
      </c>
      <c r="M77" s="117">
        <f>L77*2</f>
        <v>2</v>
      </c>
      <c r="N77" s="112"/>
      <c r="O77" s="112"/>
    </row>
    <row r="78" ht="15.0" customHeight="1">
      <c r="A78" s="112"/>
      <c r="B78" s="112"/>
      <c r="C78" s="112"/>
      <c r="D78" s="132"/>
      <c r="E78" s="132"/>
      <c r="F78" s="132"/>
      <c r="G78" s="117">
        <f t="shared" ref="G78:K78" si="3">4*(COUNTIF(G14:G77,"true"))</f>
        <v>96</v>
      </c>
      <c r="H78" s="117">
        <f t="shared" si="3"/>
        <v>116</v>
      </c>
      <c r="I78" s="117">
        <f t="shared" si="3"/>
        <v>92</v>
      </c>
      <c r="J78" s="117">
        <f t="shared" si="3"/>
        <v>104</v>
      </c>
      <c r="K78" s="117">
        <f t="shared" si="3"/>
        <v>76</v>
      </c>
      <c r="L78" s="135"/>
      <c r="M78" s="135">
        <f>SUM(G78:K78)</f>
        <v>484</v>
      </c>
      <c r="N78" s="112"/>
      <c r="O78" s="112"/>
    </row>
  </sheetData>
  <customSheetViews>
    <customSheetView guid="{90E1DF85-7252-44D2-BA7D-CC3767CD0E8B}" filter="1" showAutoFilter="1">
      <autoFilter ref="$A$14:$O$78">
        <filterColumn colId="4">
          <filters>
            <filter val="Karabük"/>
            <filter val="Aydın"/>
            <filter val="Burdur"/>
            <filter val="Bilecik"/>
            <filter val="Edirne"/>
            <filter val="Düzce"/>
            <filter val="Muğla"/>
            <filter val="Eskişehir"/>
            <filter val="Kahramanmaraş"/>
            <filter val="Uşak"/>
          </filters>
        </filterColumn>
      </autoFilter>
    </customSheetView>
    <customSheetView guid="{70B995D3-3AEB-4DFE-A0CA-D6FFCCE596BC}" filter="1" showAutoFilter="1">
      <autoFilter ref="$D$14:$D$77"/>
    </customSheetView>
  </customSheetViews>
  <mergeCells count="4">
    <mergeCell ref="D6:K6"/>
    <mergeCell ref="D7:F7"/>
    <mergeCell ref="D9:D12"/>
    <mergeCell ref="F10:M11"/>
  </mergeCells>
  <conditionalFormatting sqref="G15:K77">
    <cfRule type="cellIs" dxfId="1" priority="1" operator="equal">
      <formula>"False"</formula>
    </cfRule>
  </conditionalFormatting>
  <conditionalFormatting sqref="G15:K77">
    <cfRule type="cellIs" dxfId="0" priority="2" operator="equal">
      <formula>"TRUE"</formula>
    </cfRule>
  </conditionalFormatting>
  <dataValidations>
    <dataValidation type="list" allowBlank="1" showErrorMessage="1" sqref="E15:E77">
      <formula1>Data!$A$2:$A$10</formula1>
    </dataValidation>
    <dataValidation type="list" allowBlank="1" showErrorMessage="1" sqref="F15:F77">
      <formula1>Data!$C$2:$C$8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3" width="2.63"/>
    <col customWidth="1" min="4" max="4" width="20.38"/>
    <col customWidth="1" min="5" max="5" width="11.38"/>
    <col customWidth="1" min="6" max="6" width="16.63"/>
    <col customWidth="1" min="7" max="11" width="8.63"/>
    <col customWidth="1" min="12" max="12" width="12.63"/>
    <col customWidth="1" min="13" max="13" width="15.13"/>
    <col customWidth="1" min="14" max="15" width="2.63"/>
  </cols>
  <sheetData>
    <row r="1" ht="7.5" customHeight="1">
      <c r="A1" s="140"/>
      <c r="B1" s="84"/>
      <c r="C1" s="84"/>
      <c r="D1" s="84"/>
      <c r="E1" s="84"/>
      <c r="F1" s="84"/>
      <c r="G1" s="84"/>
      <c r="H1" s="84"/>
      <c r="I1" s="84"/>
      <c r="J1" s="84"/>
      <c r="K1" s="84"/>
      <c r="L1" s="85"/>
      <c r="M1" s="86"/>
      <c r="N1" s="86"/>
      <c r="O1" s="86"/>
    </row>
    <row r="2" ht="15.0" customHeight="1">
      <c r="A2" s="87"/>
      <c r="B2" s="87"/>
      <c r="C2" s="87"/>
      <c r="D2" s="88"/>
      <c r="E2" s="88"/>
      <c r="F2" s="88"/>
      <c r="G2" s="88"/>
      <c r="H2" s="88"/>
      <c r="I2" s="88"/>
      <c r="J2" s="88"/>
      <c r="K2" s="88"/>
      <c r="L2" s="88"/>
      <c r="M2" s="87"/>
      <c r="N2" s="87"/>
      <c r="O2" s="87"/>
    </row>
    <row r="3" ht="3.75" customHeight="1">
      <c r="A3" s="87"/>
      <c r="B3" s="87"/>
      <c r="C3" s="87"/>
      <c r="D3" s="89"/>
      <c r="E3" s="90"/>
      <c r="F3" s="90"/>
      <c r="G3" s="90"/>
      <c r="H3" s="90"/>
      <c r="I3" s="90"/>
      <c r="J3" s="90"/>
      <c r="K3" s="90"/>
      <c r="L3" s="90"/>
      <c r="M3" s="87"/>
      <c r="N3" s="87"/>
      <c r="O3" s="87"/>
    </row>
    <row r="4" ht="15.0" customHeight="1">
      <c r="A4" s="87"/>
      <c r="B4" s="87"/>
      <c r="C4" s="87"/>
      <c r="D4" s="88"/>
      <c r="E4" s="88"/>
      <c r="F4" s="88"/>
      <c r="G4" s="91"/>
      <c r="H4" s="91"/>
      <c r="I4" s="91"/>
      <c r="J4" s="91"/>
      <c r="K4" s="91"/>
      <c r="L4" s="91"/>
      <c r="M4" s="87"/>
      <c r="N4" s="87"/>
      <c r="O4" s="87"/>
    </row>
    <row r="5" ht="15.0" customHeight="1">
      <c r="A5" s="92"/>
      <c r="B5" s="92"/>
      <c r="C5" s="92"/>
      <c r="D5" s="88"/>
      <c r="E5" s="88"/>
      <c r="F5" s="88"/>
      <c r="G5" s="93"/>
      <c r="H5" s="93"/>
      <c r="I5" s="93"/>
      <c r="J5" s="93"/>
      <c r="K5" s="93"/>
      <c r="L5" s="94"/>
      <c r="M5" s="88"/>
      <c r="N5" s="92"/>
      <c r="O5" s="92"/>
    </row>
    <row r="6" ht="15.0" customHeight="1">
      <c r="A6" s="92"/>
      <c r="B6" s="92"/>
      <c r="C6" s="92"/>
      <c r="D6" s="95" t="s">
        <v>182</v>
      </c>
      <c r="L6" s="94"/>
      <c r="M6" s="88"/>
      <c r="N6" s="92"/>
      <c r="O6" s="92"/>
    </row>
    <row r="7" ht="15.0" customHeight="1">
      <c r="A7" s="92"/>
      <c r="B7" s="92"/>
      <c r="C7" s="92"/>
      <c r="D7" s="96" t="s">
        <v>183</v>
      </c>
      <c r="G7" s="97"/>
      <c r="H7" s="97"/>
      <c r="I7" s="97"/>
      <c r="J7" s="97"/>
      <c r="K7" s="97"/>
      <c r="L7" s="92"/>
      <c r="M7" s="92"/>
      <c r="N7" s="92"/>
      <c r="O7" s="92"/>
    </row>
    <row r="8" ht="15.0" customHeight="1">
      <c r="A8" s="92"/>
      <c r="B8" s="92"/>
      <c r="C8" s="92"/>
      <c r="D8" s="97"/>
      <c r="E8" s="97"/>
      <c r="F8" s="97"/>
      <c r="G8" s="97"/>
      <c r="H8" s="97"/>
      <c r="I8" s="97"/>
      <c r="J8" s="97"/>
      <c r="K8" s="97"/>
      <c r="L8" s="92"/>
      <c r="M8" s="92"/>
      <c r="N8" s="92"/>
      <c r="O8" s="92"/>
    </row>
    <row r="9" ht="15.0" customHeight="1">
      <c r="A9" s="92"/>
      <c r="B9" s="92"/>
      <c r="C9" s="98"/>
      <c r="D9" s="99" t="s">
        <v>35</v>
      </c>
      <c r="E9" s="100"/>
      <c r="F9" s="101"/>
      <c r="G9" s="101"/>
      <c r="H9" s="101"/>
      <c r="I9" s="101"/>
      <c r="J9" s="101"/>
      <c r="K9" s="101"/>
      <c r="L9" s="101"/>
      <c r="M9" s="100"/>
      <c r="N9" s="102"/>
      <c r="O9" s="102"/>
    </row>
    <row r="10" ht="15.0" customHeight="1">
      <c r="A10" s="92"/>
      <c r="B10" s="92"/>
      <c r="C10" s="98"/>
      <c r="E10" s="100"/>
      <c r="F10" s="103" t="s">
        <v>36</v>
      </c>
      <c r="N10" s="102"/>
      <c r="O10" s="102"/>
    </row>
    <row r="11" ht="15.0" customHeight="1">
      <c r="A11" s="92"/>
      <c r="B11" s="92"/>
      <c r="C11" s="98"/>
      <c r="E11" s="100"/>
      <c r="N11" s="102"/>
      <c r="O11" s="102"/>
    </row>
    <row r="12" ht="15.0" customHeight="1">
      <c r="A12" s="88"/>
      <c r="B12" s="92"/>
      <c r="C12" s="92"/>
      <c r="E12" s="100"/>
      <c r="F12" s="100"/>
      <c r="G12" s="100"/>
      <c r="H12" s="100"/>
      <c r="I12" s="100"/>
      <c r="J12" s="100"/>
      <c r="K12" s="100"/>
      <c r="L12" s="100"/>
      <c r="M12" s="100"/>
      <c r="N12" s="102"/>
      <c r="O12" s="102"/>
    </row>
    <row r="13" ht="15.0" customHeight="1">
      <c r="A13" s="88"/>
      <c r="B13" s="104"/>
      <c r="C13" s="104"/>
      <c r="D13" s="104"/>
      <c r="E13" s="104"/>
      <c r="F13" s="105"/>
      <c r="G13" s="105"/>
      <c r="H13" s="105"/>
      <c r="I13" s="105"/>
      <c r="J13" s="105"/>
      <c r="K13" s="105"/>
      <c r="L13" s="104"/>
      <c r="M13" s="104"/>
      <c r="N13" s="104"/>
      <c r="O13" s="104"/>
    </row>
    <row r="14" ht="15.0" customHeight="1">
      <c r="A14" s="106"/>
      <c r="B14" s="106"/>
      <c r="C14" s="106"/>
      <c r="D14" s="107" t="s">
        <v>37</v>
      </c>
      <c r="E14" s="108" t="s">
        <v>38</v>
      </c>
      <c r="F14" s="109" t="s">
        <v>39</v>
      </c>
      <c r="G14" s="110">
        <v>44508.0</v>
      </c>
      <c r="H14" s="110">
        <v>44509.0</v>
      </c>
      <c r="I14" s="110">
        <v>44510.0</v>
      </c>
      <c r="J14" s="110">
        <v>44511.0</v>
      </c>
      <c r="K14" s="110">
        <v>44512.0</v>
      </c>
      <c r="L14" s="111" t="s">
        <v>40</v>
      </c>
      <c r="M14" s="111" t="s">
        <v>41</v>
      </c>
      <c r="N14" s="88"/>
      <c r="O14" s="88"/>
    </row>
    <row r="15" ht="15.0" customHeight="1">
      <c r="A15" s="112"/>
      <c r="B15" s="112"/>
      <c r="C15" s="112"/>
      <c r="D15" s="129" t="s">
        <v>42</v>
      </c>
      <c r="E15" s="114" t="str">
        <f>VLOOKUP(D15,Data!H:I,2,0)</f>
        <v>Adana</v>
      </c>
      <c r="F15" s="115" t="str">
        <f>VLOOKUP(D15,Data!H:J,3,0)</f>
        <v>Freelance</v>
      </c>
      <c r="G15" s="116" t="b">
        <v>1</v>
      </c>
      <c r="H15" s="116" t="b">
        <v>1</v>
      </c>
      <c r="I15" s="116" t="b">
        <v>1</v>
      </c>
      <c r="J15" s="116" t="b">
        <v>1</v>
      </c>
      <c r="K15" s="116" t="b">
        <v>1</v>
      </c>
      <c r="L15" s="117">
        <f t="shared" ref="L15:L67" si="1">COUNTIF(G15:K15,"TRUE")</f>
        <v>5</v>
      </c>
      <c r="M15" s="117">
        <f t="shared" ref="M15:M66" si="2">L15*4</f>
        <v>20</v>
      </c>
      <c r="N15" s="112"/>
      <c r="O15" s="88"/>
    </row>
    <row r="16" ht="15.0" customHeight="1">
      <c r="A16" s="112"/>
      <c r="B16" s="112"/>
      <c r="C16" s="112"/>
      <c r="D16" s="129" t="s">
        <v>43</v>
      </c>
      <c r="E16" s="114" t="str">
        <f>VLOOKUP(D16,Data!H:I,2,0)</f>
        <v>Adana</v>
      </c>
      <c r="F16" s="115" t="str">
        <f>VLOOKUP(D16,Data!H:J,3,0)</f>
        <v>Freelance</v>
      </c>
      <c r="G16" s="116" t="b">
        <v>0</v>
      </c>
      <c r="H16" s="116" t="b">
        <v>0</v>
      </c>
      <c r="I16" s="116" t="b">
        <v>0</v>
      </c>
      <c r="J16" s="116" t="b">
        <v>0</v>
      </c>
      <c r="K16" s="116" t="b">
        <v>0</v>
      </c>
      <c r="L16" s="117">
        <f t="shared" si="1"/>
        <v>0</v>
      </c>
      <c r="M16" s="117">
        <f t="shared" si="2"/>
        <v>0</v>
      </c>
      <c r="N16" s="112"/>
      <c r="O16" s="88"/>
    </row>
    <row r="17" ht="15.0" customHeight="1">
      <c r="A17" s="106"/>
      <c r="B17" s="106"/>
      <c r="C17" s="106"/>
      <c r="D17" s="129" t="s">
        <v>164</v>
      </c>
      <c r="E17" s="114" t="str">
        <f>VLOOKUP(D17,Data!H:I,2,0)</f>
        <v>Antalya</v>
      </c>
      <c r="F17" s="115" t="str">
        <f>VLOOKUP(D17,Data!H:J,3,0)</f>
        <v>Nazım Öztel</v>
      </c>
      <c r="G17" s="116" t="b">
        <v>1</v>
      </c>
      <c r="H17" s="116" t="b">
        <v>1</v>
      </c>
      <c r="I17" s="116" t="b">
        <v>0</v>
      </c>
      <c r="J17" s="116" t="b">
        <v>1</v>
      </c>
      <c r="K17" s="116" t="b">
        <v>1</v>
      </c>
      <c r="L17" s="117">
        <f t="shared" si="1"/>
        <v>4</v>
      </c>
      <c r="M17" s="117">
        <f t="shared" si="2"/>
        <v>16</v>
      </c>
      <c r="N17" s="112"/>
      <c r="O17" s="106"/>
    </row>
    <row r="18" ht="15.0" customHeight="1">
      <c r="A18" s="106"/>
      <c r="B18" s="106"/>
      <c r="C18" s="106"/>
      <c r="D18" s="129" t="s">
        <v>152</v>
      </c>
      <c r="E18" s="114" t="str">
        <f>VLOOKUP(D18,Data!H:I,2,0)</f>
        <v>Antalya</v>
      </c>
      <c r="F18" s="115" t="str">
        <f>VLOOKUP(D18,Data!H:J,3,0)</f>
        <v>Nazım Öztel</v>
      </c>
      <c r="G18" s="116" t="b">
        <v>0</v>
      </c>
      <c r="H18" s="116" t="b">
        <v>0</v>
      </c>
      <c r="I18" s="116" t="b">
        <v>0</v>
      </c>
      <c r="J18" s="116" t="b">
        <v>0</v>
      </c>
      <c r="K18" s="116" t="b">
        <v>0</v>
      </c>
      <c r="L18" s="117">
        <f t="shared" si="1"/>
        <v>0</v>
      </c>
      <c r="M18" s="117">
        <f t="shared" si="2"/>
        <v>0</v>
      </c>
      <c r="N18" s="112"/>
      <c r="O18" s="106"/>
    </row>
    <row r="19" ht="15.0" customHeight="1">
      <c r="A19" s="112"/>
      <c r="B19" s="112"/>
      <c r="C19" s="112"/>
      <c r="D19" s="129" t="s">
        <v>50</v>
      </c>
      <c r="E19" s="114" t="str">
        <f>VLOOKUP(D19,Data!H:I,2,0)</f>
        <v>Antalya</v>
      </c>
      <c r="F19" s="115" t="str">
        <f>VLOOKUP(D19,Data!H:J,3,0)</f>
        <v>Freelance</v>
      </c>
      <c r="G19" s="116" t="b">
        <v>1</v>
      </c>
      <c r="H19" s="116" t="b">
        <v>1</v>
      </c>
      <c r="I19" s="116" t="b">
        <v>1</v>
      </c>
      <c r="J19" s="116" t="b">
        <v>1</v>
      </c>
      <c r="K19" s="116" t="b">
        <v>1</v>
      </c>
      <c r="L19" s="117">
        <f t="shared" si="1"/>
        <v>5</v>
      </c>
      <c r="M19" s="117">
        <f t="shared" si="2"/>
        <v>20</v>
      </c>
      <c r="N19" s="112"/>
      <c r="O19" s="112"/>
    </row>
    <row r="20" ht="15.0" customHeight="1">
      <c r="A20" s="112"/>
      <c r="B20" s="112"/>
      <c r="C20" s="112"/>
      <c r="D20" s="129" t="s">
        <v>159</v>
      </c>
      <c r="E20" s="114" t="str">
        <f>VLOOKUP(D20,Data!H:I,2,0)</f>
        <v>Aydın</v>
      </c>
      <c r="F20" s="115" t="str">
        <f>VLOOKUP(D20,Data!H:J,3,0)</f>
        <v>Nazım Öztel</v>
      </c>
      <c r="G20" s="116" t="b">
        <v>1</v>
      </c>
      <c r="H20" s="116" t="b">
        <v>0</v>
      </c>
      <c r="I20" s="116" t="b">
        <v>0</v>
      </c>
      <c r="J20" s="116" t="b">
        <v>0</v>
      </c>
      <c r="K20" s="116" t="b">
        <v>0</v>
      </c>
      <c r="L20" s="117">
        <f t="shared" si="1"/>
        <v>1</v>
      </c>
      <c r="M20" s="117">
        <f t="shared" si="2"/>
        <v>4</v>
      </c>
      <c r="N20" s="112"/>
      <c r="O20" s="112"/>
    </row>
    <row r="21" ht="15.0" customHeight="1">
      <c r="A21" s="112"/>
      <c r="B21" s="112"/>
      <c r="C21" s="112"/>
      <c r="D21" s="129" t="s">
        <v>52</v>
      </c>
      <c r="E21" s="114" t="s">
        <v>184</v>
      </c>
      <c r="F21" s="115" t="s">
        <v>61</v>
      </c>
      <c r="G21" s="116" t="b">
        <v>0</v>
      </c>
      <c r="H21" s="116" t="b">
        <v>0</v>
      </c>
      <c r="I21" s="116" t="b">
        <v>0</v>
      </c>
      <c r="J21" s="116" t="b">
        <v>1</v>
      </c>
      <c r="K21" s="116" t="b">
        <v>0</v>
      </c>
      <c r="L21" s="117">
        <f t="shared" si="1"/>
        <v>1</v>
      </c>
      <c r="M21" s="117">
        <f t="shared" si="2"/>
        <v>4</v>
      </c>
      <c r="N21" s="112"/>
      <c r="O21" s="112"/>
    </row>
    <row r="22" ht="15.0" customHeight="1">
      <c r="A22" s="112"/>
      <c r="B22" s="112"/>
      <c r="C22" s="112"/>
      <c r="D22" s="129" t="s">
        <v>52</v>
      </c>
      <c r="E22" s="114" t="s">
        <v>181</v>
      </c>
      <c r="F22" s="115" t="s">
        <v>61</v>
      </c>
      <c r="G22" s="116" t="b">
        <v>1</v>
      </c>
      <c r="H22" s="116" t="b">
        <v>0</v>
      </c>
      <c r="I22" s="116" t="b">
        <v>0</v>
      </c>
      <c r="J22" s="116" t="b">
        <v>0</v>
      </c>
      <c r="K22" s="116" t="b">
        <v>0</v>
      </c>
      <c r="L22" s="117">
        <f t="shared" si="1"/>
        <v>1</v>
      </c>
      <c r="M22" s="117">
        <f t="shared" si="2"/>
        <v>4</v>
      </c>
      <c r="N22" s="112"/>
      <c r="O22" s="112"/>
    </row>
    <row r="23" ht="15.0" customHeight="1">
      <c r="A23" s="112"/>
      <c r="B23" s="112"/>
      <c r="C23" s="112"/>
      <c r="D23" s="129" t="s">
        <v>160</v>
      </c>
      <c r="E23" s="114" t="str">
        <f>VLOOKUP(D23,Data!H:I,2,0)</f>
        <v>Burdur</v>
      </c>
      <c r="F23" s="115" t="str">
        <f>VLOOKUP(D23,Data!H:J,3,0)</f>
        <v>Nazım Öztel</v>
      </c>
      <c r="G23" s="116" t="b">
        <v>1</v>
      </c>
      <c r="H23" s="116" t="b">
        <v>1</v>
      </c>
      <c r="I23" s="116" t="b">
        <v>0</v>
      </c>
      <c r="J23" s="116" t="b">
        <v>1</v>
      </c>
      <c r="K23" s="116" t="b">
        <v>0</v>
      </c>
      <c r="L23" s="117">
        <f t="shared" si="1"/>
        <v>3</v>
      </c>
      <c r="M23" s="117">
        <f t="shared" si="2"/>
        <v>12</v>
      </c>
      <c r="N23" s="112"/>
      <c r="O23" s="112"/>
    </row>
    <row r="24" ht="15.0" customHeight="1">
      <c r="A24" s="112"/>
      <c r="B24" s="112"/>
      <c r="C24" s="112"/>
      <c r="D24" s="132" t="s">
        <v>52</v>
      </c>
      <c r="E24" s="114" t="str">
        <f>VLOOKUP(D24,Data!H:I,2,0)</f>
        <v>Bursa</v>
      </c>
      <c r="F24" s="115" t="str">
        <f>VLOOKUP(D24,Data!H:J,3,0)</f>
        <v>Nazım Öztel</v>
      </c>
      <c r="G24" s="116" t="b">
        <v>0</v>
      </c>
      <c r="H24" s="116" t="b">
        <v>0</v>
      </c>
      <c r="I24" s="116" t="b">
        <v>0</v>
      </c>
      <c r="J24" s="116" t="b">
        <v>0</v>
      </c>
      <c r="K24" s="116" t="b">
        <v>0</v>
      </c>
      <c r="L24" s="117">
        <f t="shared" si="1"/>
        <v>0</v>
      </c>
      <c r="M24" s="117">
        <f t="shared" si="2"/>
        <v>0</v>
      </c>
      <c r="N24" s="122"/>
      <c r="O24" s="112"/>
    </row>
    <row r="25" ht="15.0" customHeight="1">
      <c r="A25" s="112"/>
      <c r="B25" s="112"/>
      <c r="C25" s="112"/>
      <c r="D25" s="129" t="s">
        <v>53</v>
      </c>
      <c r="E25" s="114" t="str">
        <f>VLOOKUP(D25,Data!H:I,2,0)</f>
        <v>Bursa</v>
      </c>
      <c r="F25" s="115" t="str">
        <f>VLOOKUP(D25,Data!H:J,3,0)</f>
        <v>Freelance</v>
      </c>
      <c r="G25" s="116" t="b">
        <v>0</v>
      </c>
      <c r="H25" s="116" t="b">
        <v>1</v>
      </c>
      <c r="I25" s="116" t="b">
        <v>1</v>
      </c>
      <c r="J25" s="116" t="b">
        <v>0</v>
      </c>
      <c r="K25" s="116" t="b">
        <v>0</v>
      </c>
      <c r="L25" s="117">
        <f t="shared" si="1"/>
        <v>2</v>
      </c>
      <c r="M25" s="117">
        <f t="shared" si="2"/>
        <v>8</v>
      </c>
      <c r="N25" s="112"/>
      <c r="O25" s="112"/>
    </row>
    <row r="26" ht="15.0" customHeight="1">
      <c r="A26" s="112"/>
      <c r="B26" s="112"/>
      <c r="C26" s="112"/>
      <c r="D26" s="132" t="s">
        <v>54</v>
      </c>
      <c r="E26" s="114" t="str">
        <f>VLOOKUP(D26,Data!H:I,2,0)</f>
        <v>Diyarbakır</v>
      </c>
      <c r="F26" s="115" t="str">
        <f>VLOOKUP(D26,Data!H:J,3,0)</f>
        <v>Nazım Öztel</v>
      </c>
      <c r="G26" s="116" t="b">
        <v>0</v>
      </c>
      <c r="H26" s="116" t="b">
        <v>1</v>
      </c>
      <c r="I26" s="116" t="b">
        <v>1</v>
      </c>
      <c r="J26" s="116" t="b">
        <v>0</v>
      </c>
      <c r="K26" s="116" t="b">
        <v>0</v>
      </c>
      <c r="L26" s="117">
        <f t="shared" si="1"/>
        <v>2</v>
      </c>
      <c r="M26" s="117">
        <f t="shared" si="2"/>
        <v>8</v>
      </c>
      <c r="N26" s="112"/>
      <c r="O26" s="112"/>
    </row>
    <row r="27" ht="15.0" customHeight="1">
      <c r="A27" s="112"/>
      <c r="B27" s="112"/>
      <c r="C27" s="112"/>
      <c r="D27" s="129" t="s">
        <v>173</v>
      </c>
      <c r="E27" s="114" t="str">
        <f>VLOOKUP(D27,Data!H:I,2,0)</f>
        <v>Düzce</v>
      </c>
      <c r="F27" s="115" t="str">
        <f>VLOOKUP(D27,Data!H:J,3,0)</f>
        <v>Nazım Öztel</v>
      </c>
      <c r="G27" s="116" t="b">
        <v>1</v>
      </c>
      <c r="H27" s="116" t="b">
        <v>1</v>
      </c>
      <c r="I27" s="116" t="b">
        <v>0</v>
      </c>
      <c r="J27" s="116" t="b">
        <v>1</v>
      </c>
      <c r="K27" s="116" t="b">
        <v>0</v>
      </c>
      <c r="L27" s="117">
        <f t="shared" si="1"/>
        <v>3</v>
      </c>
      <c r="M27" s="117">
        <f t="shared" si="2"/>
        <v>12</v>
      </c>
      <c r="N27" s="112"/>
      <c r="O27" s="112"/>
    </row>
    <row r="28" ht="15.0" customHeight="1">
      <c r="A28" s="112"/>
      <c r="B28" s="112"/>
      <c r="C28" s="112"/>
      <c r="D28" s="129" t="s">
        <v>153</v>
      </c>
      <c r="E28" s="114" t="str">
        <f>VLOOKUP(D28,Data!H:I,2,0)</f>
        <v>Edirne</v>
      </c>
      <c r="F28" s="115" t="str">
        <f>VLOOKUP(D28,Data!H:J,3,0)</f>
        <v>Nazım Öztel</v>
      </c>
      <c r="G28" s="116" t="b">
        <v>0</v>
      </c>
      <c r="H28" s="116" t="b">
        <v>0</v>
      </c>
      <c r="I28" s="116" t="b">
        <v>1</v>
      </c>
      <c r="J28" s="116" t="b">
        <v>0</v>
      </c>
      <c r="K28" s="116" t="b">
        <v>1</v>
      </c>
      <c r="L28" s="117">
        <f t="shared" si="1"/>
        <v>2</v>
      </c>
      <c r="M28" s="117">
        <f t="shared" si="2"/>
        <v>8</v>
      </c>
      <c r="N28" s="112"/>
      <c r="O28" s="112"/>
    </row>
    <row r="29" ht="15.0" customHeight="1">
      <c r="A29" s="112"/>
      <c r="B29" s="112"/>
      <c r="C29" s="112"/>
      <c r="D29" s="132" t="s">
        <v>55</v>
      </c>
      <c r="E29" s="114" t="str">
        <f>VLOOKUP(D29,Data!H:I,2,0)</f>
        <v>Erzurum</v>
      </c>
      <c r="F29" s="115" t="str">
        <f>VLOOKUP(D29,Data!H:J,3,0)</f>
        <v>Nazım Öztel</v>
      </c>
      <c r="G29" s="116" t="b">
        <v>0</v>
      </c>
      <c r="H29" s="116" t="b">
        <v>0</v>
      </c>
      <c r="I29" s="116" t="b">
        <v>0</v>
      </c>
      <c r="J29" s="116" t="b">
        <v>0</v>
      </c>
      <c r="K29" s="116" t="b">
        <v>0</v>
      </c>
      <c r="L29" s="117">
        <f t="shared" si="1"/>
        <v>0</v>
      </c>
      <c r="M29" s="117">
        <f t="shared" si="2"/>
        <v>0</v>
      </c>
      <c r="N29" s="112"/>
      <c r="O29" s="112"/>
    </row>
    <row r="30" ht="15.0" customHeight="1">
      <c r="A30" s="112"/>
      <c r="B30" s="112"/>
      <c r="C30" s="112"/>
      <c r="D30" s="129" t="s">
        <v>165</v>
      </c>
      <c r="E30" s="114" t="str">
        <f>VLOOKUP(D30,Data!H:I,2,0)</f>
        <v>Eskişehir</v>
      </c>
      <c r="F30" s="115" t="str">
        <f>VLOOKUP(D30,Data!H:J,3,0)</f>
        <v>Nazım Öztel</v>
      </c>
      <c r="G30" s="116" t="b">
        <v>1</v>
      </c>
      <c r="H30" s="116" t="b">
        <v>0</v>
      </c>
      <c r="I30" s="116" t="b">
        <v>1</v>
      </c>
      <c r="J30" s="116" t="b">
        <v>1</v>
      </c>
      <c r="K30" s="116" t="b">
        <v>1</v>
      </c>
      <c r="L30" s="117">
        <f t="shared" si="1"/>
        <v>4</v>
      </c>
      <c r="M30" s="117">
        <f t="shared" si="2"/>
        <v>16</v>
      </c>
      <c r="N30" s="112"/>
      <c r="O30" s="112"/>
    </row>
    <row r="31" ht="15.0" customHeight="1">
      <c r="A31" s="112"/>
      <c r="B31" s="112"/>
      <c r="C31" s="112"/>
      <c r="D31" s="129" t="s">
        <v>58</v>
      </c>
      <c r="E31" s="114" t="str">
        <f>VLOOKUP(D31,Data!H:I,2,0)</f>
        <v>İstanbul</v>
      </c>
      <c r="F31" s="115" t="str">
        <f>VLOOKUP(D31,Data!H:J,3,0)</f>
        <v>Freelance</v>
      </c>
      <c r="G31" s="116" t="b">
        <v>1</v>
      </c>
      <c r="H31" s="116" t="b">
        <v>1</v>
      </c>
      <c r="I31" s="116" t="b">
        <v>1</v>
      </c>
      <c r="J31" s="116" t="b">
        <v>1</v>
      </c>
      <c r="K31" s="116" t="b">
        <v>1</v>
      </c>
      <c r="L31" s="117">
        <f t="shared" si="1"/>
        <v>5</v>
      </c>
      <c r="M31" s="117">
        <f t="shared" si="2"/>
        <v>20</v>
      </c>
      <c r="N31" s="88"/>
      <c r="O31" s="112"/>
    </row>
    <row r="32" ht="15.0" customHeight="1">
      <c r="A32" s="112"/>
      <c r="B32" s="112"/>
      <c r="C32" s="112"/>
      <c r="D32" s="129" t="s">
        <v>133</v>
      </c>
      <c r="E32" s="114" t="str">
        <f>VLOOKUP(D32,Data!H:I,2,0)</f>
        <v>İstanbul</v>
      </c>
      <c r="F32" s="115" t="str">
        <f>VLOOKUP(D32,Data!H:J,3,0)</f>
        <v>Freelance</v>
      </c>
      <c r="G32" s="116" t="b">
        <v>0</v>
      </c>
      <c r="H32" s="116" t="b">
        <v>0</v>
      </c>
      <c r="I32" s="116" t="b">
        <v>0</v>
      </c>
      <c r="J32" s="116" t="b">
        <v>0</v>
      </c>
      <c r="K32" s="116" t="b">
        <v>0</v>
      </c>
      <c r="L32" s="117">
        <f t="shared" si="1"/>
        <v>0</v>
      </c>
      <c r="M32" s="117">
        <f t="shared" si="2"/>
        <v>0</v>
      </c>
      <c r="N32" s="88"/>
      <c r="O32" s="112"/>
    </row>
    <row r="33" ht="15.0" customHeight="1">
      <c r="A33" s="121"/>
      <c r="B33" s="121"/>
      <c r="C33" s="121"/>
      <c r="D33" s="129" t="s">
        <v>134</v>
      </c>
      <c r="E33" s="114" t="str">
        <f>VLOOKUP(D33,Data!H:I,2,0)</f>
        <v>İstanbul</v>
      </c>
      <c r="F33" s="115" t="str">
        <f>VLOOKUP(D33,Data!H:J,3,0)</f>
        <v>Filamingo</v>
      </c>
      <c r="G33" s="116" t="b">
        <v>1</v>
      </c>
      <c r="H33" s="116" t="b">
        <v>0</v>
      </c>
      <c r="I33" s="116" t="b">
        <v>1</v>
      </c>
      <c r="J33" s="116" t="b">
        <v>0</v>
      </c>
      <c r="K33" s="116" t="b">
        <v>0</v>
      </c>
      <c r="L33" s="117">
        <f t="shared" si="1"/>
        <v>2</v>
      </c>
      <c r="M33" s="117">
        <f t="shared" si="2"/>
        <v>8</v>
      </c>
      <c r="N33" s="121"/>
      <c r="O33" s="121"/>
    </row>
    <row r="34" ht="15.0" customHeight="1">
      <c r="A34" s="112"/>
      <c r="B34" s="112"/>
      <c r="C34" s="112"/>
      <c r="D34" s="132" t="s">
        <v>117</v>
      </c>
      <c r="E34" s="114" t="str">
        <f>VLOOKUP(D34,Data!H:I,2,0)</f>
        <v>İstanbul</v>
      </c>
      <c r="F34" s="115" t="str">
        <f>VLOOKUP(D34,Data!H:J,3,0)</f>
        <v>Freelance</v>
      </c>
      <c r="G34" s="116" t="b">
        <v>0</v>
      </c>
      <c r="H34" s="116" t="b">
        <v>0</v>
      </c>
      <c r="I34" s="116" t="b">
        <v>1</v>
      </c>
      <c r="J34" s="116" t="b">
        <v>1</v>
      </c>
      <c r="K34" s="116" t="b">
        <v>1</v>
      </c>
      <c r="L34" s="117">
        <f t="shared" si="1"/>
        <v>3</v>
      </c>
      <c r="M34" s="117">
        <f t="shared" si="2"/>
        <v>12</v>
      </c>
      <c r="N34" s="112"/>
      <c r="O34" s="112"/>
    </row>
    <row r="35" ht="15.0" customHeight="1">
      <c r="A35" s="112"/>
      <c r="B35" s="112"/>
      <c r="C35" s="112"/>
      <c r="D35" s="129" t="s">
        <v>135</v>
      </c>
      <c r="E35" s="114" t="str">
        <f>VLOOKUP(D35,Data!H:I,2,0)</f>
        <v>İstanbul</v>
      </c>
      <c r="F35" s="115" t="str">
        <f>VLOOKUP(D35,Data!H:J,3,0)</f>
        <v>Freelance</v>
      </c>
      <c r="G35" s="116" t="b">
        <v>1</v>
      </c>
      <c r="H35" s="116" t="b">
        <v>0</v>
      </c>
      <c r="I35" s="116" t="b">
        <v>0</v>
      </c>
      <c r="J35" s="116" t="b">
        <v>0</v>
      </c>
      <c r="K35" s="116" t="b">
        <v>0</v>
      </c>
      <c r="L35" s="117">
        <f t="shared" si="1"/>
        <v>1</v>
      </c>
      <c r="M35" s="117">
        <f t="shared" si="2"/>
        <v>4</v>
      </c>
      <c r="N35" s="112"/>
      <c r="O35" s="112"/>
    </row>
    <row r="36" ht="15.0" customHeight="1">
      <c r="A36" s="112"/>
      <c r="B36" s="112"/>
      <c r="C36" s="112"/>
      <c r="D36" s="129" t="s">
        <v>123</v>
      </c>
      <c r="E36" s="114" t="str">
        <f>VLOOKUP(D36,Data!H:I,2,0)</f>
        <v>İstanbul</v>
      </c>
      <c r="F36" s="115" t="str">
        <f>VLOOKUP(D36,Data!H:J,3,0)</f>
        <v>Freelance</v>
      </c>
      <c r="G36" s="116" t="b">
        <v>0</v>
      </c>
      <c r="H36" s="116" t="b">
        <v>0</v>
      </c>
      <c r="I36" s="116" t="b">
        <v>0</v>
      </c>
      <c r="J36" s="116" t="b">
        <v>0</v>
      </c>
      <c r="K36" s="116" t="b">
        <v>0</v>
      </c>
      <c r="L36" s="117">
        <f t="shared" si="1"/>
        <v>0</v>
      </c>
      <c r="M36" s="117">
        <f t="shared" si="2"/>
        <v>0</v>
      </c>
      <c r="N36" s="112"/>
      <c r="O36" s="112"/>
    </row>
    <row r="37" ht="15.0" customHeight="1">
      <c r="A37" s="112"/>
      <c r="B37" s="112"/>
      <c r="C37" s="112"/>
      <c r="D37" s="129" t="s">
        <v>70</v>
      </c>
      <c r="E37" s="114" t="str">
        <f>VLOOKUP(D37,Data!H:I,2,0)</f>
        <v>İstanbul</v>
      </c>
      <c r="F37" s="115" t="str">
        <f>VLOOKUP(D37,Data!H:J,3,0)</f>
        <v>Freelance</v>
      </c>
      <c r="G37" s="116" t="b">
        <v>0</v>
      </c>
      <c r="H37" s="116" t="b">
        <v>1</v>
      </c>
      <c r="I37" s="116" t="b">
        <v>0</v>
      </c>
      <c r="J37" s="116" t="b">
        <v>0</v>
      </c>
      <c r="K37" s="116" t="b">
        <v>0</v>
      </c>
      <c r="L37" s="117">
        <f t="shared" si="1"/>
        <v>1</v>
      </c>
      <c r="M37" s="117">
        <f t="shared" si="2"/>
        <v>4</v>
      </c>
      <c r="N37" s="112"/>
      <c r="O37" s="112"/>
    </row>
    <row r="38" ht="15.0" customHeight="1">
      <c r="A38" s="112"/>
      <c r="B38" s="112"/>
      <c r="C38" s="112"/>
      <c r="D38" s="129" t="s">
        <v>174</v>
      </c>
      <c r="E38" s="114" t="str">
        <f>VLOOKUP(D38,Data!H:I,2,0)</f>
        <v>İstanbul</v>
      </c>
      <c r="F38" s="115" t="str">
        <f>VLOOKUP(D38,Data!H:J,3,0)</f>
        <v>Freelance</v>
      </c>
      <c r="G38" s="116" t="b">
        <v>1</v>
      </c>
      <c r="H38" s="116" t="b">
        <v>1</v>
      </c>
      <c r="I38" s="116" t="b">
        <v>0</v>
      </c>
      <c r="J38" s="116" t="b">
        <v>1</v>
      </c>
      <c r="K38" s="116" t="b">
        <v>0</v>
      </c>
      <c r="L38" s="117">
        <f t="shared" si="1"/>
        <v>3</v>
      </c>
      <c r="M38" s="117">
        <f t="shared" si="2"/>
        <v>12</v>
      </c>
      <c r="N38" s="112"/>
      <c r="O38" s="112"/>
    </row>
    <row r="39" ht="15.0" customHeight="1">
      <c r="A39" s="112"/>
      <c r="B39" s="112"/>
      <c r="C39" s="112"/>
      <c r="D39" s="132" t="s">
        <v>72</v>
      </c>
      <c r="E39" s="114" t="str">
        <f>VLOOKUP(D39,Data!H:I,2,0)</f>
        <v>İstanbul</v>
      </c>
      <c r="F39" s="115" t="str">
        <f>VLOOKUP(D39,Data!H:J,3,0)</f>
        <v>Filamingo</v>
      </c>
      <c r="G39" s="116" t="b">
        <v>0</v>
      </c>
      <c r="H39" s="116" t="b">
        <v>0</v>
      </c>
      <c r="I39" s="116" t="b">
        <v>0</v>
      </c>
      <c r="J39" s="116" t="b">
        <v>0</v>
      </c>
      <c r="K39" s="116" t="b">
        <v>0</v>
      </c>
      <c r="L39" s="117">
        <f t="shared" si="1"/>
        <v>0</v>
      </c>
      <c r="M39" s="117">
        <f t="shared" si="2"/>
        <v>0</v>
      </c>
      <c r="N39" s="112"/>
      <c r="O39" s="112"/>
    </row>
    <row r="40" ht="15.0" customHeight="1">
      <c r="A40" s="112"/>
      <c r="B40" s="112"/>
      <c r="C40" s="112"/>
      <c r="D40" s="141" t="s">
        <v>125</v>
      </c>
      <c r="E40" s="114" t="str">
        <f>VLOOKUP(D40,Data!H:I,2,0)</f>
        <v>İstanbul</v>
      </c>
      <c r="F40" s="115" t="str">
        <f>VLOOKUP(D40,Data!H:J,3,0)</f>
        <v>Filamingo</v>
      </c>
      <c r="G40" s="116" t="b">
        <v>0</v>
      </c>
      <c r="H40" s="116" t="b">
        <v>0</v>
      </c>
      <c r="I40" s="116" t="b">
        <v>0</v>
      </c>
      <c r="J40" s="116" t="b">
        <v>0</v>
      </c>
      <c r="K40" s="116" t="b">
        <v>0</v>
      </c>
      <c r="L40" s="117">
        <f t="shared" si="1"/>
        <v>0</v>
      </c>
      <c r="M40" s="117">
        <f t="shared" si="2"/>
        <v>0</v>
      </c>
      <c r="N40" s="120"/>
      <c r="O40" s="112"/>
    </row>
    <row r="41" ht="15.0" customHeight="1">
      <c r="A41" s="122"/>
      <c r="B41" s="122"/>
      <c r="C41" s="122"/>
      <c r="D41" s="129" t="s">
        <v>78</v>
      </c>
      <c r="E41" s="114" t="str">
        <f>VLOOKUP(D41,Data!H:I,2,0)</f>
        <v>İstanbul</v>
      </c>
      <c r="F41" s="115" t="str">
        <f>VLOOKUP(D41,Data!H:J,3,0)</f>
        <v>Freelance</v>
      </c>
      <c r="G41" s="116" t="b">
        <v>1</v>
      </c>
      <c r="H41" s="116" t="b">
        <v>1</v>
      </c>
      <c r="I41" s="116" t="b">
        <v>1</v>
      </c>
      <c r="J41" s="116" t="b">
        <v>1</v>
      </c>
      <c r="K41" s="116" t="b">
        <v>0</v>
      </c>
      <c r="L41" s="117">
        <f t="shared" si="1"/>
        <v>4</v>
      </c>
      <c r="M41" s="117">
        <f t="shared" si="2"/>
        <v>16</v>
      </c>
      <c r="N41" s="112"/>
      <c r="O41" s="122"/>
    </row>
    <row r="42" ht="15.0" customHeight="1">
      <c r="A42" s="124"/>
      <c r="B42" s="124"/>
      <c r="C42" s="124"/>
      <c r="D42" s="129" t="s">
        <v>79</v>
      </c>
      <c r="E42" s="114" t="str">
        <f>VLOOKUP(D42,Data!H:I,2,0)</f>
        <v>İstanbul</v>
      </c>
      <c r="F42" s="115" t="str">
        <f>VLOOKUP(D42,Data!H:J,3,0)</f>
        <v>Freelance</v>
      </c>
      <c r="G42" s="116" t="b">
        <v>0</v>
      </c>
      <c r="H42" s="116" t="b">
        <v>0</v>
      </c>
      <c r="I42" s="116" t="b">
        <v>1</v>
      </c>
      <c r="J42" s="116" t="b">
        <v>1</v>
      </c>
      <c r="K42" s="116" t="b">
        <v>0</v>
      </c>
      <c r="L42" s="117">
        <f t="shared" si="1"/>
        <v>2</v>
      </c>
      <c r="M42" s="117">
        <f t="shared" si="2"/>
        <v>8</v>
      </c>
      <c r="N42" s="112"/>
      <c r="O42" s="124"/>
    </row>
    <row r="43" ht="15.0" customHeight="1">
      <c r="A43" s="124"/>
      <c r="B43" s="124"/>
      <c r="C43" s="124"/>
      <c r="D43" s="129" t="s">
        <v>175</v>
      </c>
      <c r="E43" s="114" t="str">
        <f>VLOOKUP(D43,Data!H:I,2,0)</f>
        <v>İstanbul</v>
      </c>
      <c r="F43" s="115" t="str">
        <f>VLOOKUP(D43,Data!H:J,3,0)</f>
        <v>Freelance</v>
      </c>
      <c r="G43" s="116" t="b">
        <v>1</v>
      </c>
      <c r="H43" s="116" t="b">
        <v>0</v>
      </c>
      <c r="I43" s="116" t="b">
        <v>0</v>
      </c>
      <c r="J43" s="116" t="b">
        <v>0</v>
      </c>
      <c r="K43" s="116" t="b">
        <v>0</v>
      </c>
      <c r="L43" s="117">
        <f t="shared" si="1"/>
        <v>1</v>
      </c>
      <c r="M43" s="117">
        <f t="shared" si="2"/>
        <v>4</v>
      </c>
      <c r="N43" s="112"/>
      <c r="O43" s="124"/>
    </row>
    <row r="44" ht="15.0" customHeight="1">
      <c r="A44" s="112"/>
      <c r="B44" s="112"/>
      <c r="C44" s="112"/>
      <c r="D44" s="129" t="s">
        <v>166</v>
      </c>
      <c r="E44" s="114" t="str">
        <f>VLOOKUP(D44,Data!H:I,2,0)</f>
        <v>İstanbul</v>
      </c>
      <c r="F44" s="115" t="str">
        <f>VLOOKUP(D44,Data!H:J,3,0)</f>
        <v>Filamingo</v>
      </c>
      <c r="G44" s="116" t="b">
        <v>0</v>
      </c>
      <c r="H44" s="116" t="b">
        <v>0</v>
      </c>
      <c r="I44" s="116" t="b">
        <v>0</v>
      </c>
      <c r="J44" s="116" t="b">
        <v>0</v>
      </c>
      <c r="K44" s="116" t="b">
        <v>0</v>
      </c>
      <c r="L44" s="117">
        <f t="shared" si="1"/>
        <v>0</v>
      </c>
      <c r="M44" s="117">
        <f t="shared" si="2"/>
        <v>0</v>
      </c>
      <c r="N44" s="124"/>
      <c r="O44" s="112"/>
    </row>
    <row r="45" ht="15.0" customHeight="1">
      <c r="A45" s="112"/>
      <c r="B45" s="112"/>
      <c r="C45" s="112"/>
      <c r="D45" s="129" t="s">
        <v>80</v>
      </c>
      <c r="E45" s="114" t="str">
        <f>VLOOKUP(D45,Data!H:I,2,0)</f>
        <v>İstanbul</v>
      </c>
      <c r="F45" s="115" t="str">
        <f>VLOOKUP(D45,Data!H:J,3,0)</f>
        <v>Freelance</v>
      </c>
      <c r="G45" s="116" t="b">
        <v>1</v>
      </c>
      <c r="H45" s="116" t="b">
        <v>1</v>
      </c>
      <c r="I45" s="116" t="b">
        <v>1</v>
      </c>
      <c r="J45" s="116" t="b">
        <v>1</v>
      </c>
      <c r="K45" s="116" t="b">
        <v>0</v>
      </c>
      <c r="L45" s="117">
        <f t="shared" si="1"/>
        <v>4</v>
      </c>
      <c r="M45" s="117">
        <f t="shared" si="2"/>
        <v>16</v>
      </c>
      <c r="N45" s="112"/>
      <c r="O45" s="112"/>
    </row>
    <row r="46" ht="15.0" customHeight="1">
      <c r="A46" s="112"/>
      <c r="B46" s="112"/>
      <c r="C46" s="112"/>
      <c r="D46" s="132" t="s">
        <v>119</v>
      </c>
      <c r="E46" s="114" t="str">
        <f>VLOOKUP(D46,Data!H:I,2,0)</f>
        <v>İstanbul</v>
      </c>
      <c r="F46" s="115" t="str">
        <f>VLOOKUP(D46,Data!H:J,3,0)</f>
        <v>Filamingo</v>
      </c>
      <c r="G46" s="116" t="b">
        <v>1</v>
      </c>
      <c r="H46" s="116" t="b">
        <v>1</v>
      </c>
      <c r="I46" s="116" t="b">
        <v>0</v>
      </c>
      <c r="J46" s="116" t="b">
        <v>0</v>
      </c>
      <c r="K46" s="116" t="b">
        <v>0</v>
      </c>
      <c r="L46" s="117">
        <f t="shared" si="1"/>
        <v>2</v>
      </c>
      <c r="M46" s="117">
        <f t="shared" si="2"/>
        <v>8</v>
      </c>
      <c r="N46" s="112"/>
      <c r="O46" s="112"/>
    </row>
    <row r="47" ht="15.0" customHeight="1">
      <c r="A47" s="112"/>
      <c r="B47" s="112"/>
      <c r="C47" s="112"/>
      <c r="D47" s="129" t="s">
        <v>185</v>
      </c>
      <c r="E47" s="114" t="str">
        <f>VLOOKUP(D47,Data!H:I,2,0)</f>
        <v>İstanbul</v>
      </c>
      <c r="F47" s="115" t="str">
        <f>VLOOKUP(D47,Data!H:J,3,0)</f>
        <v>Filamingo</v>
      </c>
      <c r="G47" s="116" t="b">
        <v>0</v>
      </c>
      <c r="H47" s="116" t="b">
        <v>1</v>
      </c>
      <c r="I47" s="116" t="b">
        <v>1</v>
      </c>
      <c r="J47" s="116" t="b">
        <v>1</v>
      </c>
      <c r="K47" s="116" t="b">
        <v>0</v>
      </c>
      <c r="L47" s="117">
        <f t="shared" si="1"/>
        <v>3</v>
      </c>
      <c r="M47" s="117">
        <f t="shared" si="2"/>
        <v>12</v>
      </c>
      <c r="N47" s="112"/>
      <c r="O47" s="112"/>
    </row>
    <row r="48" ht="15.0" customHeight="1">
      <c r="A48" s="112"/>
      <c r="B48" s="112"/>
      <c r="C48" s="112"/>
      <c r="D48" s="129" t="s">
        <v>81</v>
      </c>
      <c r="E48" s="114" t="str">
        <f>VLOOKUP(D48,Data!H:I,2,0)</f>
        <v>İstanbul</v>
      </c>
      <c r="F48" s="115" t="str">
        <f>VLOOKUP(D48,Data!H:J,3,0)</f>
        <v>Freelance</v>
      </c>
      <c r="G48" s="116" t="b">
        <v>1</v>
      </c>
      <c r="H48" s="116" t="b">
        <v>1</v>
      </c>
      <c r="I48" s="116" t="b">
        <v>0</v>
      </c>
      <c r="J48" s="116" t="b">
        <v>1</v>
      </c>
      <c r="K48" s="116" t="b">
        <v>0</v>
      </c>
      <c r="L48" s="117">
        <f t="shared" si="1"/>
        <v>3</v>
      </c>
      <c r="M48" s="117">
        <f t="shared" si="2"/>
        <v>12</v>
      </c>
      <c r="N48" s="125"/>
      <c r="O48" s="112"/>
    </row>
    <row r="49" ht="15.0" customHeight="1">
      <c r="A49" s="112"/>
      <c r="B49" s="112"/>
      <c r="C49" s="112"/>
      <c r="D49" s="132" t="s">
        <v>83</v>
      </c>
      <c r="E49" s="114" t="str">
        <f>VLOOKUP(D49,Data!H:I,2,0)</f>
        <v>İstanbul</v>
      </c>
      <c r="F49" s="115" t="str">
        <f>VLOOKUP(D49,Data!H:J,3,0)</f>
        <v>Nazım Öztel</v>
      </c>
      <c r="G49" s="116" t="b">
        <v>1</v>
      </c>
      <c r="H49" s="116" t="b">
        <v>1</v>
      </c>
      <c r="I49" s="116" t="b">
        <v>1</v>
      </c>
      <c r="J49" s="116" t="b">
        <v>1</v>
      </c>
      <c r="K49" s="116" t="b">
        <v>1</v>
      </c>
      <c r="L49" s="117">
        <f t="shared" si="1"/>
        <v>5</v>
      </c>
      <c r="M49" s="117">
        <f t="shared" si="2"/>
        <v>20</v>
      </c>
      <c r="N49" s="112"/>
      <c r="O49" s="112"/>
    </row>
    <row r="50" ht="15.0" customHeight="1">
      <c r="A50" s="125"/>
      <c r="B50" s="125"/>
      <c r="C50" s="125"/>
      <c r="D50" s="129" t="s">
        <v>145</v>
      </c>
      <c r="E50" s="114" t="str">
        <f>VLOOKUP(D50,Data!H:I,2,0)</f>
        <v>İstanbul</v>
      </c>
      <c r="F50" s="115" t="str">
        <f>VLOOKUP(D50,Data!H:J,3,0)</f>
        <v>Filamingo</v>
      </c>
      <c r="G50" s="116" t="b">
        <v>1</v>
      </c>
      <c r="H50" s="116" t="b">
        <v>1</v>
      </c>
      <c r="I50" s="116" t="b">
        <v>1</v>
      </c>
      <c r="J50" s="116" t="b">
        <v>0</v>
      </c>
      <c r="K50" s="116" t="b">
        <v>0</v>
      </c>
      <c r="L50" s="117">
        <f t="shared" si="1"/>
        <v>3</v>
      </c>
      <c r="M50" s="117">
        <f t="shared" si="2"/>
        <v>12</v>
      </c>
      <c r="N50" s="112"/>
      <c r="O50" s="125"/>
    </row>
    <row r="51" ht="15.0" customHeight="1">
      <c r="A51" s="125"/>
      <c r="B51" s="125"/>
      <c r="C51" s="125"/>
      <c r="D51" s="129" t="s">
        <v>186</v>
      </c>
      <c r="E51" s="114" t="str">
        <f>VLOOKUP(D51,Data!H:I,2,0)</f>
        <v>İstanbul</v>
      </c>
      <c r="F51" s="115" t="str">
        <f>VLOOKUP(D51,Data!H:J,3,0)</f>
        <v>Filamingo</v>
      </c>
      <c r="G51" s="116" t="b">
        <v>0</v>
      </c>
      <c r="H51" s="116" t="b">
        <v>1</v>
      </c>
      <c r="I51" s="116" t="b">
        <v>1</v>
      </c>
      <c r="J51" s="116" t="b">
        <v>1</v>
      </c>
      <c r="K51" s="116" t="b">
        <v>0</v>
      </c>
      <c r="L51" s="117">
        <f t="shared" si="1"/>
        <v>3</v>
      </c>
      <c r="M51" s="117">
        <f t="shared" si="2"/>
        <v>12</v>
      </c>
      <c r="N51" s="112"/>
      <c r="O51" s="125"/>
    </row>
    <row r="52" ht="15.0" customHeight="1">
      <c r="A52" s="122"/>
      <c r="B52" s="122"/>
      <c r="C52" s="122"/>
      <c r="D52" s="129" t="s">
        <v>87</v>
      </c>
      <c r="E52" s="114" t="str">
        <f>VLOOKUP(D52,Data!H:I,2,0)</f>
        <v>İstanbul</v>
      </c>
      <c r="F52" s="115" t="str">
        <f>VLOOKUP(D52,Data!H:J,3,0)</f>
        <v>Freelance</v>
      </c>
      <c r="G52" s="116" t="b">
        <v>0</v>
      </c>
      <c r="H52" s="116" t="b">
        <v>1</v>
      </c>
      <c r="I52" s="116" t="b">
        <v>0</v>
      </c>
      <c r="J52" s="116" t="b">
        <v>1</v>
      </c>
      <c r="K52" s="116" t="b">
        <v>1</v>
      </c>
      <c r="L52" s="117">
        <f t="shared" si="1"/>
        <v>3</v>
      </c>
      <c r="M52" s="117">
        <f t="shared" si="2"/>
        <v>12</v>
      </c>
      <c r="N52" s="112"/>
      <c r="O52" s="122"/>
    </row>
    <row r="53" ht="15.0" customHeight="1">
      <c r="A53" s="112"/>
      <c r="B53" s="112"/>
      <c r="C53" s="112"/>
      <c r="D53" s="132" t="s">
        <v>88</v>
      </c>
      <c r="E53" s="114" t="str">
        <f>VLOOKUP(D53,Data!H:I,2,0)</f>
        <v>İstanbul</v>
      </c>
      <c r="F53" s="115" t="str">
        <f>VLOOKUP(D53,Data!H:J,3,0)</f>
        <v>Nazım Öztel</v>
      </c>
      <c r="G53" s="116" t="b">
        <v>1</v>
      </c>
      <c r="H53" s="116" t="b">
        <v>0</v>
      </c>
      <c r="I53" s="116" t="b">
        <v>0</v>
      </c>
      <c r="J53" s="116" t="b">
        <v>0</v>
      </c>
      <c r="K53" s="116" t="b">
        <v>0</v>
      </c>
      <c r="L53" s="117">
        <f t="shared" si="1"/>
        <v>1</v>
      </c>
      <c r="M53" s="117">
        <f t="shared" si="2"/>
        <v>4</v>
      </c>
      <c r="N53" s="112"/>
      <c r="O53" s="112"/>
    </row>
    <row r="54" ht="15.0" customHeight="1">
      <c r="A54" s="112"/>
      <c r="B54" s="112"/>
      <c r="C54" s="112"/>
      <c r="D54" s="132" t="s">
        <v>89</v>
      </c>
      <c r="E54" s="114" t="str">
        <f>VLOOKUP(D54,Data!H:I,2,0)</f>
        <v>İstanbul</v>
      </c>
      <c r="F54" s="115" t="str">
        <f>VLOOKUP(D54,Data!H:J,3,0)</f>
        <v>Filamingo</v>
      </c>
      <c r="G54" s="116" t="b">
        <v>0</v>
      </c>
      <c r="H54" s="116" t="b">
        <v>0</v>
      </c>
      <c r="I54" s="116" t="b">
        <v>0</v>
      </c>
      <c r="J54" s="116" t="b">
        <v>0</v>
      </c>
      <c r="K54" s="116" t="b">
        <v>0</v>
      </c>
      <c r="L54" s="117">
        <f t="shared" si="1"/>
        <v>0</v>
      </c>
      <c r="M54" s="117">
        <f t="shared" si="2"/>
        <v>0</v>
      </c>
      <c r="N54" s="112"/>
      <c r="O54" s="112"/>
    </row>
    <row r="55" ht="15.0" customHeight="1">
      <c r="A55" s="112"/>
      <c r="B55" s="112"/>
      <c r="C55" s="112"/>
      <c r="D55" s="132" t="s">
        <v>92</v>
      </c>
      <c r="E55" s="114" t="str">
        <f>VLOOKUP(D55,Data!H:I,2,0)</f>
        <v>İzmir</v>
      </c>
      <c r="F55" s="115" t="str">
        <f>VLOOKUP(D55,Data!H:J,3,0)</f>
        <v>Nazım Öztel</v>
      </c>
      <c r="G55" s="116" t="b">
        <v>1</v>
      </c>
      <c r="H55" s="116" t="b">
        <v>0</v>
      </c>
      <c r="I55" s="116" t="b">
        <v>1</v>
      </c>
      <c r="J55" s="116" t="b">
        <v>0</v>
      </c>
      <c r="K55" s="116" t="b">
        <v>1</v>
      </c>
      <c r="L55" s="117">
        <f t="shared" si="1"/>
        <v>3</v>
      </c>
      <c r="M55" s="117">
        <f t="shared" si="2"/>
        <v>12</v>
      </c>
      <c r="N55" s="125"/>
      <c r="O55" s="112"/>
    </row>
    <row r="56" ht="15.0" customHeight="1">
      <c r="A56" s="112"/>
      <c r="B56" s="112"/>
      <c r="C56" s="112"/>
      <c r="D56" s="129" t="s">
        <v>139</v>
      </c>
      <c r="E56" s="114" t="s">
        <v>129</v>
      </c>
      <c r="F56" s="115" t="str">
        <f>VLOOKUP(D56,Data!H:J,3,0)</f>
        <v>Nazım Öztel</v>
      </c>
      <c r="G56" s="116" t="b">
        <v>1</v>
      </c>
      <c r="H56" s="116" t="b">
        <v>0</v>
      </c>
      <c r="I56" s="116" t="b">
        <v>1</v>
      </c>
      <c r="J56" s="116" t="b">
        <v>1</v>
      </c>
      <c r="K56" s="116" t="b">
        <v>1</v>
      </c>
      <c r="L56" s="117">
        <f t="shared" si="1"/>
        <v>4</v>
      </c>
      <c r="M56" s="117">
        <f t="shared" si="2"/>
        <v>16</v>
      </c>
      <c r="N56" s="125"/>
      <c r="O56" s="112"/>
    </row>
    <row r="57" ht="15.0" customHeight="1">
      <c r="A57" s="112"/>
      <c r="B57" s="112"/>
      <c r="C57" s="112"/>
      <c r="D57" s="129" t="s">
        <v>93</v>
      </c>
      <c r="E57" s="114" t="str">
        <f>VLOOKUP(D57,Data!H:I,2,0)</f>
        <v>İzmir</v>
      </c>
      <c r="F57" s="115" t="str">
        <f>VLOOKUP(D57,Data!H:J,3,0)</f>
        <v>Freelance</v>
      </c>
      <c r="G57" s="116" t="b">
        <v>1</v>
      </c>
      <c r="H57" s="116" t="b">
        <v>1</v>
      </c>
      <c r="I57" s="116" t="b">
        <v>1</v>
      </c>
      <c r="J57" s="116" t="b">
        <v>1</v>
      </c>
      <c r="K57" s="116" t="b">
        <v>1</v>
      </c>
      <c r="L57" s="117">
        <f t="shared" si="1"/>
        <v>5</v>
      </c>
      <c r="M57" s="117">
        <f t="shared" si="2"/>
        <v>20</v>
      </c>
      <c r="N57" s="112"/>
      <c r="O57" s="112"/>
    </row>
    <row r="58" ht="15.0" customHeight="1">
      <c r="A58" s="112"/>
      <c r="B58" s="112"/>
      <c r="C58" s="112"/>
      <c r="D58" s="129" t="s">
        <v>161</v>
      </c>
      <c r="E58" s="143" t="str">
        <f>VLOOKUP(D58,Data!H:I,2,0)</f>
        <v>Kahramanmaraş</v>
      </c>
      <c r="F58" s="115" t="str">
        <f>VLOOKUP(D58,Data!H:J,3,0)</f>
        <v>Nazım Öztel</v>
      </c>
      <c r="G58" s="116" t="b">
        <v>1</v>
      </c>
      <c r="H58" s="116" t="b">
        <v>1</v>
      </c>
      <c r="I58" s="116" t="b">
        <v>0</v>
      </c>
      <c r="J58" s="116" t="b">
        <v>0</v>
      </c>
      <c r="K58" s="116" t="b">
        <v>0</v>
      </c>
      <c r="L58" s="117">
        <f t="shared" si="1"/>
        <v>2</v>
      </c>
      <c r="M58" s="117">
        <f t="shared" si="2"/>
        <v>8</v>
      </c>
      <c r="N58" s="112"/>
      <c r="O58" s="112"/>
    </row>
    <row r="59" ht="15.0" customHeight="1">
      <c r="A59" s="112"/>
      <c r="B59" s="112"/>
      <c r="C59" s="112"/>
      <c r="D59" s="129" t="s">
        <v>176</v>
      </c>
      <c r="E59" s="114" t="str">
        <f>VLOOKUP(D59,Data!H:I,2,0)</f>
        <v>Karabük</v>
      </c>
      <c r="F59" s="115" t="str">
        <f>VLOOKUP(D59,Data!H:J,3,0)</f>
        <v>Nazım Öztel</v>
      </c>
      <c r="G59" s="116" t="b">
        <v>1</v>
      </c>
      <c r="H59" s="116" t="b">
        <v>0</v>
      </c>
      <c r="I59" s="116" t="b">
        <v>0</v>
      </c>
      <c r="J59" s="116" t="b">
        <v>0</v>
      </c>
      <c r="K59" s="116" t="b">
        <v>0</v>
      </c>
      <c r="L59" s="117">
        <f t="shared" si="1"/>
        <v>1</v>
      </c>
      <c r="M59" s="117">
        <f t="shared" si="2"/>
        <v>4</v>
      </c>
      <c r="N59" s="112"/>
      <c r="O59" s="112"/>
    </row>
    <row r="60" ht="15.0" customHeight="1">
      <c r="A60" s="112"/>
      <c r="B60" s="112"/>
      <c r="C60" s="112"/>
      <c r="D60" s="132" t="s">
        <v>96</v>
      </c>
      <c r="E60" s="114" t="str">
        <f>VLOOKUP(D60,Data!H:I,2,0)</f>
        <v>Kocaeli</v>
      </c>
      <c r="F60" s="115" t="str">
        <f>VLOOKUP(D60,Data!H:J,3,0)</f>
        <v>Nazım Öztel</v>
      </c>
      <c r="G60" s="116" t="b">
        <v>0</v>
      </c>
      <c r="H60" s="116" t="b">
        <v>0</v>
      </c>
      <c r="I60" s="116" t="b">
        <v>0</v>
      </c>
      <c r="J60" s="116" t="b">
        <v>0</v>
      </c>
      <c r="K60" s="116" t="b">
        <v>0</v>
      </c>
      <c r="L60" s="117">
        <f t="shared" si="1"/>
        <v>0</v>
      </c>
      <c r="M60" s="117">
        <f t="shared" si="2"/>
        <v>0</v>
      </c>
      <c r="N60" s="112"/>
      <c r="O60" s="112"/>
    </row>
    <row r="61" ht="15.0" customHeight="1">
      <c r="A61" s="112"/>
      <c r="B61" s="112"/>
      <c r="C61" s="112"/>
      <c r="D61" s="129" t="s">
        <v>147</v>
      </c>
      <c r="E61" s="114" t="str">
        <f>VLOOKUP(D61,Data!H:I,2,0)</f>
        <v>Kocaeli</v>
      </c>
      <c r="F61" s="115" t="str">
        <f>VLOOKUP(D61,Data!H:J,3,0)</f>
        <v>Nazım Öztel</v>
      </c>
      <c r="G61" s="116" t="b">
        <v>0</v>
      </c>
      <c r="H61" s="116" t="b">
        <v>0</v>
      </c>
      <c r="I61" s="116" t="b">
        <v>1</v>
      </c>
      <c r="J61" s="116" t="b">
        <v>1</v>
      </c>
      <c r="K61" s="116" t="b">
        <v>0</v>
      </c>
      <c r="L61" s="117">
        <f t="shared" si="1"/>
        <v>2</v>
      </c>
      <c r="M61" s="117">
        <f t="shared" si="2"/>
        <v>8</v>
      </c>
      <c r="N61" s="112"/>
      <c r="O61" s="112"/>
    </row>
    <row r="62" ht="15.0" customHeight="1">
      <c r="A62" s="112"/>
      <c r="B62" s="112"/>
      <c r="C62" s="112"/>
      <c r="D62" s="132" t="s">
        <v>98</v>
      </c>
      <c r="E62" s="114" t="str">
        <f>VLOOKUP(D62,Data!H:I,2,0)</f>
        <v>Manisa</v>
      </c>
      <c r="F62" s="115" t="str">
        <f>VLOOKUP(D62,Data!H:J,3,0)</f>
        <v>Nazım Öztel</v>
      </c>
      <c r="G62" s="116" t="b">
        <v>0</v>
      </c>
      <c r="H62" s="116" t="b">
        <v>0</v>
      </c>
      <c r="I62" s="116" t="b">
        <v>0</v>
      </c>
      <c r="J62" s="116" t="b">
        <v>0</v>
      </c>
      <c r="K62" s="116" t="b">
        <v>0</v>
      </c>
      <c r="L62" s="117">
        <f t="shared" si="1"/>
        <v>0</v>
      </c>
      <c r="M62" s="117">
        <f t="shared" si="2"/>
        <v>0</v>
      </c>
      <c r="N62" s="142"/>
      <c r="O62" s="112"/>
    </row>
    <row r="63" ht="15.0" customHeight="1">
      <c r="A63" s="112"/>
      <c r="B63" s="112"/>
      <c r="C63" s="112"/>
      <c r="D63" s="132" t="s">
        <v>99</v>
      </c>
      <c r="E63" s="114" t="str">
        <f>VLOOKUP(D63,Data!H:I,2,0)</f>
        <v>Mersin</v>
      </c>
      <c r="F63" s="115" t="str">
        <f>VLOOKUP(D63,Data!H:J,3,0)</f>
        <v>Nazım Öztel</v>
      </c>
      <c r="G63" s="116" t="b">
        <v>1</v>
      </c>
      <c r="H63" s="116" t="b">
        <v>1</v>
      </c>
      <c r="I63" s="116" t="b">
        <v>1</v>
      </c>
      <c r="J63" s="116" t="b">
        <v>0</v>
      </c>
      <c r="K63" s="116" t="b">
        <v>0</v>
      </c>
      <c r="L63" s="117">
        <f t="shared" si="1"/>
        <v>3</v>
      </c>
      <c r="M63" s="117">
        <f t="shared" si="2"/>
        <v>12</v>
      </c>
      <c r="N63" s="106"/>
      <c r="O63" s="112"/>
    </row>
    <row r="64" ht="15.0" customHeight="1">
      <c r="A64" s="112"/>
      <c r="B64" s="112"/>
      <c r="C64" s="112"/>
      <c r="D64" s="129" t="s">
        <v>169</v>
      </c>
      <c r="E64" s="114" t="str">
        <f>VLOOKUP(D64,Data!H:I,2,0)</f>
        <v>Mersin</v>
      </c>
      <c r="F64" s="115" t="str">
        <f>VLOOKUP(D64,Data!H:J,3,0)</f>
        <v>Nazım Öztel</v>
      </c>
      <c r="G64" s="116" t="b">
        <v>1</v>
      </c>
      <c r="H64" s="116" t="b">
        <v>1</v>
      </c>
      <c r="I64" s="116" t="b">
        <v>0</v>
      </c>
      <c r="J64" s="116" t="b">
        <v>1</v>
      </c>
      <c r="K64" s="116" t="b">
        <v>0</v>
      </c>
      <c r="L64" s="117">
        <f t="shared" si="1"/>
        <v>3</v>
      </c>
      <c r="M64" s="117">
        <f t="shared" si="2"/>
        <v>12</v>
      </c>
      <c r="N64" s="106"/>
      <c r="O64" s="112"/>
    </row>
    <row r="65" ht="15.0" customHeight="1">
      <c r="A65" s="112"/>
      <c r="B65" s="112"/>
      <c r="C65" s="112"/>
      <c r="D65" s="129" t="s">
        <v>148</v>
      </c>
      <c r="E65" s="114" t="str">
        <f>VLOOKUP(D65,Data!H:I,2,0)</f>
        <v>Muğla</v>
      </c>
      <c r="F65" s="115" t="str">
        <f>VLOOKUP(D65,Data!H:J,3,0)</f>
        <v>Nazım Öztel</v>
      </c>
      <c r="G65" s="116" t="b">
        <v>1</v>
      </c>
      <c r="H65" s="116" t="b">
        <v>1</v>
      </c>
      <c r="I65" s="116" t="b">
        <v>1</v>
      </c>
      <c r="J65" s="116" t="b">
        <v>1</v>
      </c>
      <c r="K65" s="116" t="b">
        <v>1</v>
      </c>
      <c r="L65" s="117">
        <f t="shared" si="1"/>
        <v>5</v>
      </c>
      <c r="M65" s="117">
        <f t="shared" si="2"/>
        <v>20</v>
      </c>
      <c r="N65" s="106"/>
      <c r="O65" s="112"/>
    </row>
    <row r="66" ht="15.0" customHeight="1">
      <c r="A66" s="112"/>
      <c r="B66" s="112"/>
      <c r="C66" s="112"/>
      <c r="D66" s="129" t="s">
        <v>104</v>
      </c>
      <c r="E66" s="114" t="str">
        <f>VLOOKUP(D66,Data!H:I,2,0)</f>
        <v>Tekirdağ</v>
      </c>
      <c r="F66" s="115" t="str">
        <f>VLOOKUP(D66,Data!H:J,3,0)</f>
        <v>Freelance</v>
      </c>
      <c r="G66" s="139" t="b">
        <v>0</v>
      </c>
      <c r="H66" s="139" t="b">
        <v>0</v>
      </c>
      <c r="I66" s="139" t="b">
        <v>1</v>
      </c>
      <c r="J66" s="139" t="b">
        <v>0</v>
      </c>
      <c r="K66" s="139" t="b">
        <v>1</v>
      </c>
      <c r="L66" s="117">
        <f t="shared" si="1"/>
        <v>2</v>
      </c>
      <c r="M66" s="117">
        <f t="shared" si="2"/>
        <v>8</v>
      </c>
      <c r="N66" s="112"/>
      <c r="O66" s="112"/>
    </row>
    <row r="67" ht="15.0" customHeight="1">
      <c r="A67" s="112"/>
      <c r="B67" s="112"/>
      <c r="C67" s="112"/>
      <c r="D67" s="129" t="s">
        <v>154</v>
      </c>
      <c r="E67" s="114" t="str">
        <f>VLOOKUP(D67,Data!H:I,2,0)</f>
        <v>Uşak</v>
      </c>
      <c r="F67" s="115" t="str">
        <f>VLOOKUP(D67,Data!H:J,3,0)</f>
        <v>Nazım Öztel</v>
      </c>
      <c r="G67" s="139" t="b">
        <v>0</v>
      </c>
      <c r="H67" s="139" t="b">
        <v>1</v>
      </c>
      <c r="I67" s="139" t="b">
        <v>0</v>
      </c>
      <c r="J67" s="139" t="b">
        <v>0</v>
      </c>
      <c r="K67" s="139" t="b">
        <v>0</v>
      </c>
      <c r="L67" s="117">
        <f t="shared" si="1"/>
        <v>1</v>
      </c>
      <c r="M67" s="117">
        <f>L67*2</f>
        <v>2</v>
      </c>
      <c r="N67" s="112"/>
      <c r="O67" s="112"/>
    </row>
    <row r="68" ht="15.0" customHeight="1">
      <c r="A68" s="112"/>
      <c r="B68" s="112"/>
      <c r="C68" s="112"/>
      <c r="D68" s="132"/>
      <c r="E68" s="132"/>
      <c r="F68" s="132"/>
      <c r="G68" s="117">
        <f t="shared" ref="G68:K68" si="3">4*(COUNTIF(G15:G67,"true"))</f>
        <v>112</v>
      </c>
      <c r="H68" s="117">
        <f t="shared" si="3"/>
        <v>100</v>
      </c>
      <c r="I68" s="117">
        <f t="shared" si="3"/>
        <v>92</v>
      </c>
      <c r="J68" s="117">
        <f t="shared" si="3"/>
        <v>92</v>
      </c>
      <c r="K68" s="117">
        <f t="shared" si="3"/>
        <v>56</v>
      </c>
      <c r="L68" s="135"/>
      <c r="M68" s="135">
        <f>SUM(G68:K68)</f>
        <v>452</v>
      </c>
      <c r="N68" s="112"/>
      <c r="O68" s="112"/>
    </row>
  </sheetData>
  <customSheetViews>
    <customSheetView guid="{70B995D3-3AEB-4DFE-A0CA-D6FFCCE596BC}" filter="1" showAutoFilter="1">
      <autoFilter ref="$D$14:$D$67"/>
    </customSheetView>
    <customSheetView guid="{90E1DF85-7252-44D2-BA7D-CC3767CD0E8B}" filter="1" showAutoFilter="1">
      <autoFilter ref="$A$14:$O$68">
        <filterColumn colId="4">
          <filters>
            <filter val="Karabük"/>
            <filter val="Aydın"/>
            <filter val="Burdur"/>
            <filter val="Bilecik"/>
            <filter val="Edirne"/>
            <filter val="Düzce"/>
            <filter val="Muğla"/>
            <filter val="Eskişehir"/>
            <filter val="Kahramanmaraş"/>
            <filter val="Balıkesir"/>
            <filter val="Uşak"/>
          </filters>
        </filterColumn>
      </autoFilter>
    </customSheetView>
  </customSheetViews>
  <mergeCells count="4">
    <mergeCell ref="D6:K6"/>
    <mergeCell ref="D7:F7"/>
    <mergeCell ref="D9:D12"/>
    <mergeCell ref="F10:M11"/>
  </mergeCells>
  <conditionalFormatting sqref="G15:K67">
    <cfRule type="cellIs" dxfId="1" priority="1" operator="equal">
      <formula>"False"</formula>
    </cfRule>
  </conditionalFormatting>
  <conditionalFormatting sqref="G15:K67">
    <cfRule type="cellIs" dxfId="0" priority="2" operator="equal">
      <formula>"TRUE"</formula>
    </cfRule>
  </conditionalFormatting>
  <dataValidations>
    <dataValidation type="list" allowBlank="1" showErrorMessage="1" sqref="E15:E67">
      <formula1>Data!$A$2:$A$10</formula1>
    </dataValidation>
    <dataValidation type="list" allowBlank="1" showErrorMessage="1" sqref="F15:F67">
      <formula1>Data!$C$2:$C$8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3" width="2.63"/>
    <col customWidth="1" min="4" max="4" width="20.38"/>
    <col customWidth="1" min="5" max="5" width="11.38"/>
    <col customWidth="1" min="6" max="6" width="16.63"/>
    <col customWidth="1" min="7" max="11" width="8.63"/>
    <col customWidth="1" min="12" max="12" width="12.63"/>
    <col customWidth="1" min="13" max="13" width="15.13"/>
    <col customWidth="1" min="14" max="15" width="2.63"/>
  </cols>
  <sheetData>
    <row r="1" ht="7.5" customHeight="1">
      <c r="A1" s="140"/>
      <c r="B1" s="84"/>
      <c r="C1" s="84"/>
      <c r="D1" s="84"/>
      <c r="E1" s="84"/>
      <c r="F1" s="84"/>
      <c r="G1" s="84"/>
      <c r="H1" s="84"/>
      <c r="I1" s="84"/>
      <c r="J1" s="84"/>
      <c r="K1" s="84"/>
      <c r="L1" s="85"/>
      <c r="M1" s="86"/>
      <c r="N1" s="86"/>
      <c r="O1" s="86"/>
    </row>
    <row r="2" ht="15.0" customHeight="1">
      <c r="A2" s="87"/>
      <c r="B2" s="87"/>
      <c r="C2" s="87"/>
      <c r="D2" s="88"/>
      <c r="E2" s="88"/>
      <c r="F2" s="88"/>
      <c r="G2" s="88"/>
      <c r="H2" s="88"/>
      <c r="I2" s="88"/>
      <c r="J2" s="88"/>
      <c r="K2" s="88"/>
      <c r="L2" s="88"/>
      <c r="M2" s="87"/>
      <c r="N2" s="87"/>
      <c r="O2" s="87"/>
    </row>
    <row r="3" ht="3.75" customHeight="1">
      <c r="A3" s="87"/>
      <c r="B3" s="87"/>
      <c r="C3" s="87"/>
      <c r="D3" s="89"/>
      <c r="E3" s="90"/>
      <c r="F3" s="90"/>
      <c r="G3" s="90"/>
      <c r="H3" s="90"/>
      <c r="I3" s="90"/>
      <c r="J3" s="90"/>
      <c r="K3" s="90"/>
      <c r="L3" s="90"/>
      <c r="M3" s="87"/>
      <c r="N3" s="87"/>
      <c r="O3" s="87"/>
    </row>
    <row r="4" ht="15.0" customHeight="1">
      <c r="A4" s="87"/>
      <c r="B4" s="87"/>
      <c r="C4" s="87"/>
      <c r="D4" s="88"/>
      <c r="E4" s="88"/>
      <c r="F4" s="88"/>
      <c r="G4" s="91"/>
      <c r="H4" s="91"/>
      <c r="I4" s="91"/>
      <c r="J4" s="91"/>
      <c r="K4" s="91"/>
      <c r="L4" s="91"/>
      <c r="M4" s="87"/>
      <c r="N4" s="87"/>
      <c r="O4" s="87"/>
    </row>
    <row r="5" ht="15.0" customHeight="1">
      <c r="A5" s="92"/>
      <c r="B5" s="92"/>
      <c r="C5" s="92"/>
      <c r="D5" s="88"/>
      <c r="E5" s="88"/>
      <c r="F5" s="88"/>
      <c r="G5" s="93"/>
      <c r="H5" s="93"/>
      <c r="I5" s="93"/>
      <c r="J5" s="93"/>
      <c r="K5" s="93"/>
      <c r="L5" s="94"/>
      <c r="M5" s="88"/>
      <c r="N5" s="92"/>
      <c r="O5" s="92"/>
    </row>
    <row r="6" ht="15.0" customHeight="1">
      <c r="A6" s="92"/>
      <c r="B6" s="92"/>
      <c r="C6" s="92"/>
      <c r="D6" s="95" t="s">
        <v>187</v>
      </c>
      <c r="L6" s="94"/>
      <c r="M6" s="88"/>
      <c r="N6" s="92"/>
      <c r="O6" s="92"/>
    </row>
    <row r="7" ht="15.0" customHeight="1">
      <c r="A7" s="92"/>
      <c r="B7" s="92"/>
      <c r="C7" s="92"/>
      <c r="D7" s="96" t="s">
        <v>188</v>
      </c>
      <c r="G7" s="97"/>
      <c r="H7" s="97"/>
      <c r="I7" s="97"/>
      <c r="J7" s="97"/>
      <c r="K7" s="97"/>
      <c r="L7" s="92"/>
      <c r="M7" s="92"/>
      <c r="N7" s="92"/>
      <c r="O7" s="92"/>
    </row>
    <row r="8" ht="15.0" customHeight="1">
      <c r="A8" s="92"/>
      <c r="B8" s="92"/>
      <c r="C8" s="92"/>
      <c r="D8" s="97"/>
      <c r="E8" s="97"/>
      <c r="F8" s="97"/>
      <c r="G8" s="97"/>
      <c r="H8" s="97"/>
      <c r="I8" s="97"/>
      <c r="J8" s="97"/>
      <c r="K8" s="97"/>
      <c r="L8" s="92"/>
      <c r="M8" s="92"/>
      <c r="N8" s="92"/>
      <c r="O8" s="92"/>
    </row>
    <row r="9" ht="15.0" customHeight="1">
      <c r="A9" s="92"/>
      <c r="B9" s="92"/>
      <c r="C9" s="98"/>
      <c r="D9" s="99" t="s">
        <v>35</v>
      </c>
      <c r="E9" s="100"/>
      <c r="F9" s="101"/>
      <c r="G9" s="101"/>
      <c r="H9" s="101"/>
      <c r="I9" s="101"/>
      <c r="J9" s="101"/>
      <c r="K9" s="101"/>
      <c r="L9" s="101"/>
      <c r="M9" s="100"/>
      <c r="N9" s="102"/>
      <c r="O9" s="102"/>
    </row>
    <row r="10" ht="15.0" customHeight="1">
      <c r="A10" s="92"/>
      <c r="B10" s="92"/>
      <c r="C10" s="98"/>
      <c r="E10" s="100"/>
      <c r="F10" s="103" t="s">
        <v>36</v>
      </c>
      <c r="N10" s="102"/>
      <c r="O10" s="102"/>
    </row>
    <row r="11" ht="15.0" customHeight="1">
      <c r="A11" s="92"/>
      <c r="B11" s="92"/>
      <c r="C11" s="98"/>
      <c r="E11" s="100"/>
      <c r="N11" s="102"/>
      <c r="O11" s="102"/>
    </row>
    <row r="12" ht="15.0" customHeight="1">
      <c r="A12" s="88"/>
      <c r="B12" s="92"/>
      <c r="C12" s="92"/>
      <c r="E12" s="100"/>
      <c r="F12" s="100"/>
      <c r="G12" s="100"/>
      <c r="H12" s="100"/>
      <c r="I12" s="100"/>
      <c r="J12" s="100"/>
      <c r="K12" s="100"/>
      <c r="L12" s="100"/>
      <c r="M12" s="100"/>
      <c r="N12" s="102"/>
      <c r="O12" s="102"/>
    </row>
    <row r="13" ht="15.0" customHeight="1">
      <c r="A13" s="88"/>
      <c r="B13" s="104"/>
      <c r="C13" s="104"/>
      <c r="D13" s="104"/>
      <c r="E13" s="104"/>
      <c r="F13" s="105"/>
      <c r="G13" s="105"/>
      <c r="H13" s="105"/>
      <c r="I13" s="105"/>
      <c r="J13" s="105"/>
      <c r="K13" s="105"/>
      <c r="L13" s="104"/>
      <c r="M13" s="104"/>
      <c r="N13" s="104"/>
      <c r="O13" s="104"/>
    </row>
    <row r="14" ht="15.0" customHeight="1">
      <c r="A14" s="106"/>
      <c r="B14" s="106"/>
      <c r="C14" s="106"/>
      <c r="D14" s="107" t="s">
        <v>37</v>
      </c>
      <c r="E14" s="108" t="s">
        <v>38</v>
      </c>
      <c r="F14" s="109" t="s">
        <v>39</v>
      </c>
      <c r="G14" s="110">
        <v>44515.0</v>
      </c>
      <c r="H14" s="110">
        <v>44516.0</v>
      </c>
      <c r="I14" s="110">
        <v>44517.0</v>
      </c>
      <c r="J14" s="110">
        <v>44518.0</v>
      </c>
      <c r="K14" s="110">
        <v>44519.0</v>
      </c>
      <c r="L14" s="111" t="s">
        <v>40</v>
      </c>
      <c r="M14" s="111" t="s">
        <v>41</v>
      </c>
      <c r="N14" s="88"/>
      <c r="O14" s="88"/>
    </row>
    <row r="15" ht="15.0" customHeight="1">
      <c r="A15" s="112"/>
      <c r="B15" s="112"/>
      <c r="C15" s="112"/>
      <c r="D15" s="129" t="s">
        <v>42</v>
      </c>
      <c r="E15" s="114" t="str">
        <f>VLOOKUP(D15,Data!H:I,2,0)</f>
        <v>Adana</v>
      </c>
      <c r="F15" s="115" t="str">
        <f>VLOOKUP(D15,Data!H:J,3,0)</f>
        <v>Freelance</v>
      </c>
      <c r="G15" s="116" t="b">
        <v>0</v>
      </c>
      <c r="H15" s="116" t="b">
        <v>0</v>
      </c>
      <c r="I15" s="116" t="b">
        <v>1</v>
      </c>
      <c r="J15" s="116" t="b">
        <v>1</v>
      </c>
      <c r="K15" s="116" t="b">
        <v>0</v>
      </c>
      <c r="L15" s="117">
        <f t="shared" ref="L15:L71" si="1">COUNTIF(G15:K15,"TRUE")</f>
        <v>2</v>
      </c>
      <c r="M15" s="117">
        <f t="shared" ref="M15:M70" si="2">L15*4</f>
        <v>8</v>
      </c>
      <c r="N15" s="112"/>
      <c r="O15" s="88"/>
    </row>
    <row r="16" ht="15.0" customHeight="1">
      <c r="A16" s="112"/>
      <c r="B16" s="112"/>
      <c r="C16" s="112"/>
      <c r="D16" s="129" t="s">
        <v>189</v>
      </c>
      <c r="E16" s="114" t="str">
        <f>VLOOKUP(D16,Data!H:I,2,0)</f>
        <v>Ankara</v>
      </c>
      <c r="F16" s="115" t="str">
        <f>VLOOKUP(D16,Data!H:J,3,0)</f>
        <v>Nazım Öztel</v>
      </c>
      <c r="G16" s="116" t="b">
        <v>0</v>
      </c>
      <c r="H16" s="116" t="b">
        <v>0</v>
      </c>
      <c r="I16" s="116" t="b">
        <v>1</v>
      </c>
      <c r="J16" s="116" t="b">
        <v>1</v>
      </c>
      <c r="K16" s="116" t="b">
        <v>1</v>
      </c>
      <c r="L16" s="117">
        <f t="shared" si="1"/>
        <v>3</v>
      </c>
      <c r="M16" s="117">
        <f t="shared" si="2"/>
        <v>12</v>
      </c>
      <c r="N16" s="112"/>
      <c r="O16" s="88"/>
    </row>
    <row r="17" ht="15.0" customHeight="1">
      <c r="A17" s="106"/>
      <c r="B17" s="106"/>
      <c r="C17" s="106"/>
      <c r="D17" s="129" t="s">
        <v>164</v>
      </c>
      <c r="E17" s="114" t="str">
        <f>VLOOKUP(D17,Data!H:I,2,0)</f>
        <v>Antalya</v>
      </c>
      <c r="F17" s="115" t="str">
        <f>VLOOKUP(D17,Data!H:J,3,0)</f>
        <v>Nazım Öztel</v>
      </c>
      <c r="G17" s="116" t="b">
        <v>1</v>
      </c>
      <c r="H17" s="116" t="b">
        <v>0</v>
      </c>
      <c r="I17" s="116" t="b">
        <v>1</v>
      </c>
      <c r="J17" s="116" t="b">
        <v>0</v>
      </c>
      <c r="K17" s="116" t="b">
        <v>0</v>
      </c>
      <c r="L17" s="117">
        <f t="shared" si="1"/>
        <v>2</v>
      </c>
      <c r="M17" s="117">
        <f t="shared" si="2"/>
        <v>8</v>
      </c>
      <c r="N17" s="112"/>
      <c r="O17" s="106"/>
    </row>
    <row r="18" ht="15.0" customHeight="1">
      <c r="A18" s="106"/>
      <c r="B18" s="106"/>
      <c r="C18" s="106"/>
      <c r="D18" s="129" t="s">
        <v>152</v>
      </c>
      <c r="E18" s="114" t="str">
        <f>VLOOKUP(D18,Data!H:I,2,0)</f>
        <v>Antalya</v>
      </c>
      <c r="F18" s="115" t="str">
        <f>VLOOKUP(D18,Data!H:J,3,0)</f>
        <v>Nazım Öztel</v>
      </c>
      <c r="G18" s="116" t="b">
        <v>0</v>
      </c>
      <c r="H18" s="116" t="b">
        <v>0</v>
      </c>
      <c r="I18" s="116" t="b">
        <v>0</v>
      </c>
      <c r="J18" s="116" t="b">
        <v>0</v>
      </c>
      <c r="K18" s="116" t="b">
        <v>0</v>
      </c>
      <c r="L18" s="117">
        <f t="shared" si="1"/>
        <v>0</v>
      </c>
      <c r="M18" s="117">
        <f t="shared" si="2"/>
        <v>0</v>
      </c>
      <c r="N18" s="112"/>
      <c r="O18" s="106"/>
    </row>
    <row r="19" ht="15.0" customHeight="1">
      <c r="A19" s="112"/>
      <c r="B19" s="112"/>
      <c r="C19" s="112"/>
      <c r="D19" s="129" t="s">
        <v>50</v>
      </c>
      <c r="E19" s="114" t="str">
        <f>VLOOKUP(D19,Data!H:I,2,0)</f>
        <v>Antalya</v>
      </c>
      <c r="F19" s="115" t="str">
        <f>VLOOKUP(D19,Data!H:J,3,0)</f>
        <v>Freelance</v>
      </c>
      <c r="G19" s="116" t="b">
        <v>1</v>
      </c>
      <c r="H19" s="116" t="b">
        <v>1</v>
      </c>
      <c r="I19" s="116" t="b">
        <v>1</v>
      </c>
      <c r="J19" s="116" t="b">
        <v>1</v>
      </c>
      <c r="K19" s="116" t="b">
        <v>1</v>
      </c>
      <c r="L19" s="117">
        <f t="shared" si="1"/>
        <v>5</v>
      </c>
      <c r="M19" s="117">
        <f t="shared" si="2"/>
        <v>20</v>
      </c>
      <c r="N19" s="112"/>
      <c r="O19" s="112"/>
    </row>
    <row r="20" ht="15.0" customHeight="1">
      <c r="A20" s="112"/>
      <c r="B20" s="112"/>
      <c r="C20" s="112"/>
      <c r="D20" s="129" t="s">
        <v>159</v>
      </c>
      <c r="E20" s="114" t="str">
        <f>VLOOKUP(D20,Data!H:I,2,0)</f>
        <v>Aydın</v>
      </c>
      <c r="F20" s="115" t="str">
        <f>VLOOKUP(D20,Data!H:J,3,0)</f>
        <v>Nazım Öztel</v>
      </c>
      <c r="G20" s="116" t="b">
        <v>0</v>
      </c>
      <c r="H20" s="116" t="b">
        <v>0</v>
      </c>
      <c r="I20" s="116" t="b">
        <v>0</v>
      </c>
      <c r="J20" s="116" t="b">
        <v>0</v>
      </c>
      <c r="K20" s="116" t="b">
        <v>0</v>
      </c>
      <c r="L20" s="117">
        <f t="shared" si="1"/>
        <v>0</v>
      </c>
      <c r="M20" s="117">
        <f t="shared" si="2"/>
        <v>0</v>
      </c>
      <c r="N20" s="112"/>
      <c r="O20" s="112"/>
    </row>
    <row r="21" ht="15.0" customHeight="1">
      <c r="A21" s="112"/>
      <c r="B21" s="112"/>
      <c r="C21" s="112"/>
      <c r="D21" s="129" t="s">
        <v>52</v>
      </c>
      <c r="E21" s="114" t="s">
        <v>184</v>
      </c>
      <c r="F21" s="115" t="s">
        <v>61</v>
      </c>
      <c r="G21" s="116" t="b">
        <v>0</v>
      </c>
      <c r="H21" s="116" t="b">
        <v>1</v>
      </c>
      <c r="I21" s="116" t="b">
        <v>0</v>
      </c>
      <c r="J21" s="116" t="b">
        <v>1</v>
      </c>
      <c r="K21" s="116" t="b">
        <v>0</v>
      </c>
      <c r="L21" s="117">
        <f t="shared" si="1"/>
        <v>2</v>
      </c>
      <c r="M21" s="117">
        <f t="shared" si="2"/>
        <v>8</v>
      </c>
      <c r="N21" s="112"/>
      <c r="O21" s="112"/>
    </row>
    <row r="22" ht="15.0" customHeight="1">
      <c r="A22" s="112"/>
      <c r="B22" s="112"/>
      <c r="C22" s="112"/>
      <c r="D22" s="129" t="s">
        <v>52</v>
      </c>
      <c r="E22" s="114" t="s">
        <v>181</v>
      </c>
      <c r="F22" s="115" t="s">
        <v>61</v>
      </c>
      <c r="G22" s="116" t="b">
        <v>0</v>
      </c>
      <c r="H22" s="116" t="b">
        <v>0</v>
      </c>
      <c r="I22" s="116" t="b">
        <v>0</v>
      </c>
      <c r="J22" s="116" t="b">
        <v>0</v>
      </c>
      <c r="K22" s="116" t="b">
        <v>0</v>
      </c>
      <c r="L22" s="117">
        <f t="shared" si="1"/>
        <v>0</v>
      </c>
      <c r="M22" s="117">
        <f t="shared" si="2"/>
        <v>0</v>
      </c>
      <c r="N22" s="112"/>
      <c r="O22" s="112"/>
    </row>
    <row r="23" ht="15.0" customHeight="1">
      <c r="A23" s="112"/>
      <c r="B23" s="112"/>
      <c r="C23" s="112"/>
      <c r="D23" s="129" t="s">
        <v>160</v>
      </c>
      <c r="E23" s="114" t="str">
        <f>VLOOKUP(D23,Data!H:I,2,0)</f>
        <v>Burdur</v>
      </c>
      <c r="F23" s="115" t="str">
        <f>VLOOKUP(D23,Data!H:J,3,0)</f>
        <v>Nazım Öztel</v>
      </c>
      <c r="G23" s="116" t="b">
        <v>1</v>
      </c>
      <c r="H23" s="116" t="b">
        <v>1</v>
      </c>
      <c r="I23" s="116" t="b">
        <v>0</v>
      </c>
      <c r="J23" s="116" t="b">
        <v>1</v>
      </c>
      <c r="K23" s="116" t="b">
        <v>1</v>
      </c>
      <c r="L23" s="117">
        <f t="shared" si="1"/>
        <v>4</v>
      </c>
      <c r="M23" s="117">
        <f t="shared" si="2"/>
        <v>16</v>
      </c>
      <c r="N23" s="112"/>
      <c r="O23" s="112"/>
    </row>
    <row r="24" ht="15.0" customHeight="1">
      <c r="A24" s="112"/>
      <c r="B24" s="112"/>
      <c r="C24" s="112"/>
      <c r="D24" s="132" t="s">
        <v>52</v>
      </c>
      <c r="E24" s="114" t="str">
        <f>VLOOKUP(D24,Data!H:I,2,0)</f>
        <v>Bursa</v>
      </c>
      <c r="F24" s="115" t="str">
        <f>VLOOKUP(D24,Data!H:J,3,0)</f>
        <v>Nazım Öztel</v>
      </c>
      <c r="G24" s="116" t="b">
        <v>0</v>
      </c>
      <c r="H24" s="116" t="b">
        <v>0</v>
      </c>
      <c r="I24" s="116" t="b">
        <v>0</v>
      </c>
      <c r="J24" s="116" t="b">
        <v>0</v>
      </c>
      <c r="K24" s="116" t="b">
        <v>0</v>
      </c>
      <c r="L24" s="117">
        <f t="shared" si="1"/>
        <v>0</v>
      </c>
      <c r="M24" s="117">
        <f t="shared" si="2"/>
        <v>0</v>
      </c>
      <c r="N24" s="122"/>
      <c r="O24" s="112"/>
    </row>
    <row r="25" ht="15.0" customHeight="1">
      <c r="A25" s="112"/>
      <c r="B25" s="112"/>
      <c r="C25" s="112"/>
      <c r="D25" s="129" t="s">
        <v>53</v>
      </c>
      <c r="E25" s="114" t="str">
        <f>VLOOKUP(D25,Data!H:I,2,0)</f>
        <v>Bursa</v>
      </c>
      <c r="F25" s="115" t="str">
        <f>VLOOKUP(D25,Data!H:J,3,0)</f>
        <v>Freelance</v>
      </c>
      <c r="G25" s="116" t="b">
        <v>0</v>
      </c>
      <c r="H25" s="116" t="b">
        <v>1</v>
      </c>
      <c r="I25" s="116" t="b">
        <v>1</v>
      </c>
      <c r="J25" s="116" t="b">
        <v>1</v>
      </c>
      <c r="K25" s="116" t="b">
        <v>1</v>
      </c>
      <c r="L25" s="117">
        <f t="shared" si="1"/>
        <v>4</v>
      </c>
      <c r="M25" s="117">
        <f t="shared" si="2"/>
        <v>16</v>
      </c>
      <c r="N25" s="112"/>
      <c r="O25" s="112"/>
    </row>
    <row r="26" ht="15.0" customHeight="1">
      <c r="A26" s="112"/>
      <c r="B26" s="112"/>
      <c r="C26" s="112"/>
      <c r="D26" s="129" t="s">
        <v>190</v>
      </c>
      <c r="E26" s="114" t="str">
        <f>VLOOKUP(D26,Data!H:I,2,0)</f>
        <v>Çanakkale</v>
      </c>
      <c r="F26" s="115" t="str">
        <f>VLOOKUP(D26,Data!H:J,3,0)</f>
        <v>Nazım Öztel</v>
      </c>
      <c r="G26" s="116" t="b">
        <v>0</v>
      </c>
      <c r="H26" s="116" t="b">
        <v>0</v>
      </c>
      <c r="I26" s="116" t="b">
        <v>1</v>
      </c>
      <c r="J26" s="116" t="b">
        <v>1</v>
      </c>
      <c r="K26" s="116" t="b">
        <v>1</v>
      </c>
      <c r="L26" s="117">
        <f t="shared" si="1"/>
        <v>3</v>
      </c>
      <c r="M26" s="117">
        <f t="shared" si="2"/>
        <v>12</v>
      </c>
      <c r="N26" s="112"/>
      <c r="O26" s="112"/>
    </row>
    <row r="27" ht="15.0" customHeight="1">
      <c r="A27" s="112"/>
      <c r="B27" s="112"/>
      <c r="C27" s="112"/>
      <c r="D27" s="129" t="s">
        <v>191</v>
      </c>
      <c r="E27" s="114" t="str">
        <f>VLOOKUP(D27,Data!H:I,2,0)</f>
        <v>Denizli</v>
      </c>
      <c r="F27" s="115" t="str">
        <f>VLOOKUP(D27,Data!H:J,3,0)</f>
        <v>Nazım Öztel</v>
      </c>
      <c r="G27" s="116" t="b">
        <v>1</v>
      </c>
      <c r="H27" s="116" t="b">
        <v>1</v>
      </c>
      <c r="I27" s="116" t="b">
        <v>0</v>
      </c>
      <c r="J27" s="116" t="b">
        <v>0</v>
      </c>
      <c r="K27" s="116" t="b">
        <v>0</v>
      </c>
      <c r="L27" s="117">
        <f t="shared" si="1"/>
        <v>2</v>
      </c>
      <c r="M27" s="117">
        <f t="shared" si="2"/>
        <v>8</v>
      </c>
      <c r="N27" s="112"/>
      <c r="O27" s="112"/>
    </row>
    <row r="28" ht="15.0" customHeight="1">
      <c r="A28" s="112"/>
      <c r="B28" s="112"/>
      <c r="C28" s="112"/>
      <c r="D28" s="132" t="s">
        <v>54</v>
      </c>
      <c r="E28" s="114" t="str">
        <f>VLOOKUP(D28,Data!H:I,2,0)</f>
        <v>Diyarbakır</v>
      </c>
      <c r="F28" s="115" t="str">
        <f>VLOOKUP(D28,Data!H:J,3,0)</f>
        <v>Nazım Öztel</v>
      </c>
      <c r="G28" s="116" t="b">
        <v>0</v>
      </c>
      <c r="H28" s="116" t="b">
        <v>1</v>
      </c>
      <c r="I28" s="116" t="b">
        <v>0</v>
      </c>
      <c r="J28" s="116" t="b">
        <v>1</v>
      </c>
      <c r="K28" s="116" t="b">
        <v>0</v>
      </c>
      <c r="L28" s="117">
        <f t="shared" si="1"/>
        <v>2</v>
      </c>
      <c r="M28" s="117">
        <f t="shared" si="2"/>
        <v>8</v>
      </c>
      <c r="N28" s="112"/>
      <c r="O28" s="112"/>
    </row>
    <row r="29" ht="15.0" customHeight="1">
      <c r="A29" s="112"/>
      <c r="B29" s="112"/>
      <c r="C29" s="112"/>
      <c r="D29" s="129" t="s">
        <v>173</v>
      </c>
      <c r="E29" s="114" t="str">
        <f>VLOOKUP(D29,Data!H:I,2,0)</f>
        <v>Düzce</v>
      </c>
      <c r="F29" s="115" t="str">
        <f>VLOOKUP(D29,Data!H:J,3,0)</f>
        <v>Nazım Öztel</v>
      </c>
      <c r="G29" s="116" t="b">
        <v>0</v>
      </c>
      <c r="H29" s="116" t="b">
        <v>0</v>
      </c>
      <c r="I29" s="116" t="b">
        <v>0</v>
      </c>
      <c r="J29" s="116" t="b">
        <v>0</v>
      </c>
      <c r="K29" s="116" t="b">
        <v>0</v>
      </c>
      <c r="L29" s="117">
        <f t="shared" si="1"/>
        <v>0</v>
      </c>
      <c r="M29" s="117">
        <f t="shared" si="2"/>
        <v>0</v>
      </c>
      <c r="N29" s="112"/>
      <c r="O29" s="112"/>
    </row>
    <row r="30" ht="15.0" customHeight="1">
      <c r="A30" s="112"/>
      <c r="B30" s="112"/>
      <c r="C30" s="112"/>
      <c r="D30" s="129" t="s">
        <v>153</v>
      </c>
      <c r="E30" s="114" t="str">
        <f>VLOOKUP(D30,Data!H:I,2,0)</f>
        <v>Edirne</v>
      </c>
      <c r="F30" s="115" t="str">
        <f>VLOOKUP(D30,Data!H:J,3,0)</f>
        <v>Nazım Öztel</v>
      </c>
      <c r="G30" s="116" t="b">
        <v>0</v>
      </c>
      <c r="H30" s="116" t="b">
        <v>0</v>
      </c>
      <c r="I30" s="116" t="b">
        <v>0</v>
      </c>
      <c r="J30" s="116" t="b">
        <v>0</v>
      </c>
      <c r="K30" s="116" t="b">
        <v>0</v>
      </c>
      <c r="L30" s="117">
        <f t="shared" si="1"/>
        <v>0</v>
      </c>
      <c r="M30" s="117">
        <f t="shared" si="2"/>
        <v>0</v>
      </c>
      <c r="N30" s="112"/>
      <c r="O30" s="112"/>
    </row>
    <row r="31" ht="15.0" customHeight="1">
      <c r="A31" s="112"/>
      <c r="B31" s="112"/>
      <c r="C31" s="112"/>
      <c r="D31" s="132" t="s">
        <v>55</v>
      </c>
      <c r="E31" s="114" t="str">
        <f>VLOOKUP(D31,Data!H:I,2,0)</f>
        <v>Erzurum</v>
      </c>
      <c r="F31" s="115" t="str">
        <f>VLOOKUP(D31,Data!H:J,3,0)</f>
        <v>Nazım Öztel</v>
      </c>
      <c r="G31" s="116" t="b">
        <v>0</v>
      </c>
      <c r="H31" s="116" t="b">
        <v>0</v>
      </c>
      <c r="I31" s="116" t="b">
        <v>0</v>
      </c>
      <c r="J31" s="116" t="b">
        <v>0</v>
      </c>
      <c r="K31" s="116" t="b">
        <v>0</v>
      </c>
      <c r="L31" s="117">
        <f t="shared" si="1"/>
        <v>0</v>
      </c>
      <c r="M31" s="117">
        <f t="shared" si="2"/>
        <v>0</v>
      </c>
      <c r="N31" s="112"/>
      <c r="O31" s="112"/>
    </row>
    <row r="32" ht="15.0" customHeight="1">
      <c r="A32" s="112"/>
      <c r="B32" s="112"/>
      <c r="C32" s="112"/>
      <c r="D32" s="129" t="s">
        <v>165</v>
      </c>
      <c r="E32" s="114" t="str">
        <f>VLOOKUP(D32,Data!H:I,2,0)</f>
        <v>Eskişehir</v>
      </c>
      <c r="F32" s="115" t="str">
        <f>VLOOKUP(D32,Data!H:J,3,0)</f>
        <v>Nazım Öztel</v>
      </c>
      <c r="G32" s="116" t="b">
        <v>1</v>
      </c>
      <c r="H32" s="116" t="b">
        <v>1</v>
      </c>
      <c r="I32" s="116" t="b">
        <v>1</v>
      </c>
      <c r="J32" s="116" t="b">
        <v>1</v>
      </c>
      <c r="K32" s="116" t="b">
        <v>1</v>
      </c>
      <c r="L32" s="117">
        <f t="shared" si="1"/>
        <v>5</v>
      </c>
      <c r="M32" s="117">
        <f t="shared" si="2"/>
        <v>20</v>
      </c>
      <c r="N32" s="112"/>
      <c r="O32" s="112"/>
    </row>
    <row r="33" ht="15.0" customHeight="1">
      <c r="A33" s="112"/>
      <c r="B33" s="112"/>
      <c r="C33" s="112"/>
      <c r="D33" s="129" t="s">
        <v>58</v>
      </c>
      <c r="E33" s="114" t="str">
        <f>VLOOKUP(D33,Data!H:I,2,0)</f>
        <v>İstanbul</v>
      </c>
      <c r="F33" s="115" t="str">
        <f>VLOOKUP(D33,Data!H:J,3,0)</f>
        <v>Freelance</v>
      </c>
      <c r="G33" s="116" t="b">
        <v>0</v>
      </c>
      <c r="H33" s="116" t="b">
        <v>1</v>
      </c>
      <c r="I33" s="116" t="b">
        <v>1</v>
      </c>
      <c r="J33" s="116" t="b">
        <v>0</v>
      </c>
      <c r="K33" s="116" t="b">
        <v>0</v>
      </c>
      <c r="L33" s="117">
        <f t="shared" si="1"/>
        <v>2</v>
      </c>
      <c r="M33" s="117">
        <f t="shared" si="2"/>
        <v>8</v>
      </c>
      <c r="N33" s="88"/>
      <c r="O33" s="112"/>
    </row>
    <row r="34" ht="15.0" customHeight="1">
      <c r="A34" s="112"/>
      <c r="B34" s="112"/>
      <c r="C34" s="112"/>
      <c r="D34" s="129" t="s">
        <v>133</v>
      </c>
      <c r="E34" s="114" t="str">
        <f>VLOOKUP(D34,Data!H:I,2,0)</f>
        <v>İstanbul</v>
      </c>
      <c r="F34" s="115" t="str">
        <f>VLOOKUP(D34,Data!H:J,3,0)</f>
        <v>Freelance</v>
      </c>
      <c r="G34" s="116" t="b">
        <v>0</v>
      </c>
      <c r="H34" s="116" t="b">
        <v>0</v>
      </c>
      <c r="I34" s="116" t="b">
        <v>0</v>
      </c>
      <c r="J34" s="116" t="b">
        <v>0</v>
      </c>
      <c r="K34" s="116" t="b">
        <v>0</v>
      </c>
      <c r="L34" s="117">
        <f t="shared" si="1"/>
        <v>0</v>
      </c>
      <c r="M34" s="117">
        <f t="shared" si="2"/>
        <v>0</v>
      </c>
      <c r="N34" s="88"/>
      <c r="O34" s="112"/>
    </row>
    <row r="35" ht="15.0" customHeight="1">
      <c r="A35" s="121"/>
      <c r="B35" s="121"/>
      <c r="C35" s="121"/>
      <c r="D35" s="129" t="s">
        <v>134</v>
      </c>
      <c r="E35" s="114" t="str">
        <f>VLOOKUP(D35,Data!H:I,2,0)</f>
        <v>İstanbul</v>
      </c>
      <c r="F35" s="115" t="str">
        <f>VLOOKUP(D35,Data!H:J,3,0)</f>
        <v>Filamingo</v>
      </c>
      <c r="G35" s="116" t="b">
        <v>1</v>
      </c>
      <c r="H35" s="116" t="b">
        <v>1</v>
      </c>
      <c r="I35" s="116" t="b">
        <v>1</v>
      </c>
      <c r="J35" s="116" t="b">
        <v>0</v>
      </c>
      <c r="K35" s="116" t="b">
        <v>1</v>
      </c>
      <c r="L35" s="117">
        <f t="shared" si="1"/>
        <v>4</v>
      </c>
      <c r="M35" s="117">
        <f t="shared" si="2"/>
        <v>16</v>
      </c>
      <c r="N35" s="121"/>
      <c r="O35" s="121"/>
    </row>
    <row r="36" ht="15.0" customHeight="1">
      <c r="A36" s="112"/>
      <c r="B36" s="112"/>
      <c r="C36" s="112"/>
      <c r="D36" s="132" t="s">
        <v>117</v>
      </c>
      <c r="E36" s="114" t="str">
        <f>VLOOKUP(D36,Data!H:I,2,0)</f>
        <v>İstanbul</v>
      </c>
      <c r="F36" s="115" t="str">
        <f>VLOOKUP(D36,Data!H:J,3,0)</f>
        <v>Freelance</v>
      </c>
      <c r="G36" s="116" t="b">
        <v>0</v>
      </c>
      <c r="H36" s="116" t="b">
        <v>1</v>
      </c>
      <c r="I36" s="116" t="b">
        <v>1</v>
      </c>
      <c r="J36" s="116" t="b">
        <v>1</v>
      </c>
      <c r="K36" s="116" t="b">
        <v>0</v>
      </c>
      <c r="L36" s="117">
        <f t="shared" si="1"/>
        <v>3</v>
      </c>
      <c r="M36" s="117">
        <f t="shared" si="2"/>
        <v>12</v>
      </c>
      <c r="N36" s="112"/>
      <c r="O36" s="112"/>
    </row>
    <row r="37" ht="15.0" customHeight="1">
      <c r="A37" s="112"/>
      <c r="B37" s="112"/>
      <c r="C37" s="112"/>
      <c r="D37" s="129" t="s">
        <v>135</v>
      </c>
      <c r="E37" s="114" t="str">
        <f>VLOOKUP(D37,Data!H:I,2,0)</f>
        <v>İstanbul</v>
      </c>
      <c r="F37" s="115" t="str">
        <f>VLOOKUP(D37,Data!H:J,3,0)</f>
        <v>Freelance</v>
      </c>
      <c r="G37" s="116" t="b">
        <v>0</v>
      </c>
      <c r="H37" s="116" t="b">
        <v>0</v>
      </c>
      <c r="I37" s="116" t="b">
        <v>1</v>
      </c>
      <c r="J37" s="116" t="b">
        <v>0</v>
      </c>
      <c r="K37" s="116" t="b">
        <v>1</v>
      </c>
      <c r="L37" s="117">
        <f t="shared" si="1"/>
        <v>2</v>
      </c>
      <c r="M37" s="117">
        <f t="shared" si="2"/>
        <v>8</v>
      </c>
      <c r="N37" s="112"/>
      <c r="O37" s="112"/>
    </row>
    <row r="38" ht="15.0" customHeight="1">
      <c r="A38" s="112"/>
      <c r="B38" s="112"/>
      <c r="C38" s="112"/>
      <c r="D38" s="129" t="s">
        <v>123</v>
      </c>
      <c r="E38" s="114" t="str">
        <f>VLOOKUP(D38,Data!H:I,2,0)</f>
        <v>İstanbul</v>
      </c>
      <c r="F38" s="115" t="str">
        <f>VLOOKUP(D38,Data!H:J,3,0)</f>
        <v>Freelance</v>
      </c>
      <c r="G38" s="116" t="b">
        <v>0</v>
      </c>
      <c r="H38" s="116" t="b">
        <v>0</v>
      </c>
      <c r="I38" s="116" t="b">
        <v>0</v>
      </c>
      <c r="J38" s="116" t="b">
        <v>0</v>
      </c>
      <c r="K38" s="116" t="b">
        <v>0</v>
      </c>
      <c r="L38" s="117">
        <f t="shared" si="1"/>
        <v>0</v>
      </c>
      <c r="M38" s="117">
        <f t="shared" si="2"/>
        <v>0</v>
      </c>
      <c r="N38" s="112"/>
      <c r="O38" s="112"/>
    </row>
    <row r="39" ht="15.0" customHeight="1">
      <c r="A39" s="112"/>
      <c r="B39" s="112"/>
      <c r="C39" s="112"/>
      <c r="D39" s="129" t="s">
        <v>70</v>
      </c>
      <c r="E39" s="114" t="str">
        <f>VLOOKUP(D39,Data!H:I,2,0)</f>
        <v>İstanbul</v>
      </c>
      <c r="F39" s="115" t="str">
        <f>VLOOKUP(D39,Data!H:J,3,0)</f>
        <v>Freelance</v>
      </c>
      <c r="G39" s="116" t="b">
        <v>0</v>
      </c>
      <c r="H39" s="116" t="b">
        <v>1</v>
      </c>
      <c r="I39" s="116" t="b">
        <v>0</v>
      </c>
      <c r="J39" s="116" t="b">
        <v>0</v>
      </c>
      <c r="K39" s="116" t="b">
        <v>0</v>
      </c>
      <c r="L39" s="117">
        <f t="shared" si="1"/>
        <v>1</v>
      </c>
      <c r="M39" s="117">
        <f t="shared" si="2"/>
        <v>4</v>
      </c>
      <c r="N39" s="112"/>
      <c r="O39" s="112"/>
    </row>
    <row r="40" ht="15.0" customHeight="1">
      <c r="A40" s="112"/>
      <c r="B40" s="112"/>
      <c r="C40" s="112"/>
      <c r="D40" s="129" t="s">
        <v>174</v>
      </c>
      <c r="E40" s="114" t="str">
        <f>VLOOKUP(D40,Data!H:I,2,0)</f>
        <v>İstanbul</v>
      </c>
      <c r="F40" s="115" t="str">
        <f>VLOOKUP(D40,Data!H:J,3,0)</f>
        <v>Freelance</v>
      </c>
      <c r="G40" s="116" t="b">
        <v>0</v>
      </c>
      <c r="H40" s="116" t="b">
        <v>1</v>
      </c>
      <c r="I40" s="116" t="b">
        <v>0</v>
      </c>
      <c r="J40" s="116" t="b">
        <v>1</v>
      </c>
      <c r="K40" s="116" t="b">
        <v>0</v>
      </c>
      <c r="L40" s="117">
        <f t="shared" si="1"/>
        <v>2</v>
      </c>
      <c r="M40" s="117">
        <f t="shared" si="2"/>
        <v>8</v>
      </c>
      <c r="N40" s="112"/>
      <c r="O40" s="112"/>
    </row>
    <row r="41" ht="15.0" customHeight="1">
      <c r="A41" s="112"/>
      <c r="B41" s="112"/>
      <c r="C41" s="112"/>
      <c r="D41" s="132" t="s">
        <v>72</v>
      </c>
      <c r="E41" s="114" t="str">
        <f>VLOOKUP(D41,Data!H:I,2,0)</f>
        <v>İstanbul</v>
      </c>
      <c r="F41" s="115" t="str">
        <f>VLOOKUP(D41,Data!H:J,3,0)</f>
        <v>Filamingo</v>
      </c>
      <c r="G41" s="116" t="b">
        <v>0</v>
      </c>
      <c r="H41" s="116" t="b">
        <v>0</v>
      </c>
      <c r="I41" s="116" t="b">
        <v>0</v>
      </c>
      <c r="J41" s="116" t="b">
        <v>0</v>
      </c>
      <c r="K41" s="116" t="b">
        <v>0</v>
      </c>
      <c r="L41" s="117">
        <f t="shared" si="1"/>
        <v>0</v>
      </c>
      <c r="M41" s="117">
        <f t="shared" si="2"/>
        <v>0</v>
      </c>
      <c r="N41" s="112"/>
      <c r="O41" s="112"/>
    </row>
    <row r="42" ht="15.0" customHeight="1">
      <c r="A42" s="112"/>
      <c r="B42" s="112"/>
      <c r="C42" s="112"/>
      <c r="D42" s="141" t="s">
        <v>125</v>
      </c>
      <c r="E42" s="114" t="str">
        <f>VLOOKUP(D42,Data!H:I,2,0)</f>
        <v>İstanbul</v>
      </c>
      <c r="F42" s="115" t="str">
        <f>VLOOKUP(D42,Data!H:J,3,0)</f>
        <v>Filamingo</v>
      </c>
      <c r="G42" s="116" t="b">
        <v>0</v>
      </c>
      <c r="H42" s="116" t="b">
        <v>0</v>
      </c>
      <c r="I42" s="116" t="b">
        <v>0</v>
      </c>
      <c r="J42" s="116" t="b">
        <v>0</v>
      </c>
      <c r="K42" s="116" t="b">
        <v>0</v>
      </c>
      <c r="L42" s="117">
        <f t="shared" si="1"/>
        <v>0</v>
      </c>
      <c r="M42" s="117">
        <f t="shared" si="2"/>
        <v>0</v>
      </c>
      <c r="N42" s="120"/>
      <c r="O42" s="112"/>
    </row>
    <row r="43" ht="15.0" customHeight="1">
      <c r="A43" s="112"/>
      <c r="B43" s="112"/>
      <c r="C43" s="112"/>
      <c r="D43" s="129" t="s">
        <v>192</v>
      </c>
      <c r="E43" s="114" t="str">
        <f>VLOOKUP(D43,Data!H:I,2,0)</f>
        <v>İstanbul</v>
      </c>
      <c r="F43" s="115" t="str">
        <f>VLOOKUP(D43,Data!H:J,3,0)</f>
        <v>Filamingo</v>
      </c>
      <c r="G43" s="116" t="b">
        <v>1</v>
      </c>
      <c r="H43" s="116" t="b">
        <v>1</v>
      </c>
      <c r="I43" s="116" t="b">
        <v>1</v>
      </c>
      <c r="J43" s="116" t="b">
        <v>1</v>
      </c>
      <c r="K43" s="116" t="b">
        <v>1</v>
      </c>
      <c r="L43" s="117">
        <f t="shared" si="1"/>
        <v>5</v>
      </c>
      <c r="M43" s="117">
        <f t="shared" si="2"/>
        <v>20</v>
      </c>
      <c r="N43" s="120"/>
      <c r="O43" s="112"/>
    </row>
    <row r="44" ht="15.0" customHeight="1">
      <c r="A44" s="122"/>
      <c r="B44" s="122"/>
      <c r="C44" s="122"/>
      <c r="D44" s="129" t="s">
        <v>78</v>
      </c>
      <c r="E44" s="114" t="str">
        <f>VLOOKUP(D44,Data!H:I,2,0)</f>
        <v>İstanbul</v>
      </c>
      <c r="F44" s="115" t="str">
        <f>VLOOKUP(D44,Data!H:J,3,0)</f>
        <v>Freelance</v>
      </c>
      <c r="G44" s="116" t="b">
        <v>1</v>
      </c>
      <c r="H44" s="116" t="b">
        <v>1</v>
      </c>
      <c r="I44" s="116" t="b">
        <v>1</v>
      </c>
      <c r="J44" s="116" t="b">
        <v>1</v>
      </c>
      <c r="K44" s="116" t="b">
        <v>0</v>
      </c>
      <c r="L44" s="117">
        <f t="shared" si="1"/>
        <v>4</v>
      </c>
      <c r="M44" s="117">
        <f t="shared" si="2"/>
        <v>16</v>
      </c>
      <c r="N44" s="112"/>
      <c r="O44" s="122"/>
    </row>
    <row r="45" ht="15.0" customHeight="1">
      <c r="A45" s="124"/>
      <c r="B45" s="124"/>
      <c r="C45" s="124"/>
      <c r="D45" s="129" t="s">
        <v>79</v>
      </c>
      <c r="E45" s="114" t="str">
        <f>VLOOKUP(D45,Data!H:I,2,0)</f>
        <v>İstanbul</v>
      </c>
      <c r="F45" s="115" t="str">
        <f>VLOOKUP(D45,Data!H:J,3,0)</f>
        <v>Freelance</v>
      </c>
      <c r="G45" s="116" t="b">
        <v>0</v>
      </c>
      <c r="H45" s="116" t="b">
        <v>1</v>
      </c>
      <c r="I45" s="116" t="b">
        <v>1</v>
      </c>
      <c r="J45" s="116" t="b">
        <v>0</v>
      </c>
      <c r="K45" s="116" t="b">
        <v>0</v>
      </c>
      <c r="L45" s="117">
        <f t="shared" si="1"/>
        <v>2</v>
      </c>
      <c r="M45" s="117">
        <f t="shared" si="2"/>
        <v>8</v>
      </c>
      <c r="N45" s="112"/>
      <c r="O45" s="124"/>
    </row>
    <row r="46" ht="15.0" customHeight="1">
      <c r="A46" s="124"/>
      <c r="B46" s="124"/>
      <c r="C46" s="124"/>
      <c r="D46" s="129" t="s">
        <v>175</v>
      </c>
      <c r="E46" s="114" t="str">
        <f>VLOOKUP(D46,Data!H:I,2,0)</f>
        <v>İstanbul</v>
      </c>
      <c r="F46" s="115" t="str">
        <f>VLOOKUP(D46,Data!H:J,3,0)</f>
        <v>Freelance</v>
      </c>
      <c r="G46" s="116" t="b">
        <v>0</v>
      </c>
      <c r="H46" s="116" t="b">
        <v>0</v>
      </c>
      <c r="I46" s="116" t="b">
        <v>0</v>
      </c>
      <c r="J46" s="116" t="b">
        <v>0</v>
      </c>
      <c r="K46" s="116" t="b">
        <v>0</v>
      </c>
      <c r="L46" s="117">
        <f t="shared" si="1"/>
        <v>0</v>
      </c>
      <c r="M46" s="117">
        <f t="shared" si="2"/>
        <v>0</v>
      </c>
      <c r="N46" s="112"/>
      <c r="O46" s="124"/>
    </row>
    <row r="47" ht="15.0" customHeight="1">
      <c r="A47" s="112"/>
      <c r="B47" s="112"/>
      <c r="C47" s="112"/>
      <c r="D47" s="129" t="s">
        <v>166</v>
      </c>
      <c r="E47" s="114" t="str">
        <f>VLOOKUP(D47,Data!H:I,2,0)</f>
        <v>İstanbul</v>
      </c>
      <c r="F47" s="115" t="str">
        <f>VLOOKUP(D47,Data!H:J,3,0)</f>
        <v>Filamingo</v>
      </c>
      <c r="G47" s="116" t="b">
        <v>0</v>
      </c>
      <c r="H47" s="116" t="b">
        <v>0</v>
      </c>
      <c r="I47" s="116" t="b">
        <v>0</v>
      </c>
      <c r="J47" s="116" t="b">
        <v>0</v>
      </c>
      <c r="K47" s="116" t="b">
        <v>0</v>
      </c>
      <c r="L47" s="117">
        <f t="shared" si="1"/>
        <v>0</v>
      </c>
      <c r="M47" s="117">
        <f t="shared" si="2"/>
        <v>0</v>
      </c>
      <c r="N47" s="124"/>
      <c r="O47" s="112"/>
    </row>
    <row r="48" ht="15.0" customHeight="1">
      <c r="A48" s="112"/>
      <c r="B48" s="112"/>
      <c r="C48" s="112"/>
      <c r="D48" s="129" t="s">
        <v>80</v>
      </c>
      <c r="E48" s="114" t="str">
        <f>VLOOKUP(D48,Data!H:I,2,0)</f>
        <v>İstanbul</v>
      </c>
      <c r="F48" s="115" t="str">
        <f>VLOOKUP(D48,Data!H:J,3,0)</f>
        <v>Freelance</v>
      </c>
      <c r="G48" s="116" t="b">
        <v>0</v>
      </c>
      <c r="H48" s="116" t="b">
        <v>1</v>
      </c>
      <c r="I48" s="116" t="b">
        <v>1</v>
      </c>
      <c r="J48" s="116" t="b">
        <v>1</v>
      </c>
      <c r="K48" s="116" t="b">
        <v>0</v>
      </c>
      <c r="L48" s="117">
        <f t="shared" si="1"/>
        <v>3</v>
      </c>
      <c r="M48" s="117">
        <f t="shared" si="2"/>
        <v>12</v>
      </c>
      <c r="N48" s="112"/>
      <c r="O48" s="112"/>
    </row>
    <row r="49" ht="15.0" customHeight="1">
      <c r="A49" s="112"/>
      <c r="B49" s="112"/>
      <c r="C49" s="112"/>
      <c r="D49" s="132" t="s">
        <v>119</v>
      </c>
      <c r="E49" s="114" t="str">
        <f>VLOOKUP(D49,Data!H:I,2,0)</f>
        <v>İstanbul</v>
      </c>
      <c r="F49" s="115" t="str">
        <f>VLOOKUP(D49,Data!H:J,3,0)</f>
        <v>Filamingo</v>
      </c>
      <c r="G49" s="116" t="b">
        <v>0</v>
      </c>
      <c r="H49" s="116" t="b">
        <v>0</v>
      </c>
      <c r="I49" s="116" t="b">
        <v>0</v>
      </c>
      <c r="J49" s="116" t="b">
        <v>0</v>
      </c>
      <c r="K49" s="116" t="b">
        <v>0</v>
      </c>
      <c r="L49" s="117">
        <f t="shared" si="1"/>
        <v>0</v>
      </c>
      <c r="M49" s="117">
        <f t="shared" si="2"/>
        <v>0</v>
      </c>
      <c r="N49" s="112"/>
      <c r="O49" s="112"/>
    </row>
    <row r="50" ht="15.0" customHeight="1">
      <c r="A50" s="112"/>
      <c r="B50" s="112"/>
      <c r="C50" s="112"/>
      <c r="D50" s="129" t="s">
        <v>185</v>
      </c>
      <c r="E50" s="114" t="str">
        <f>VLOOKUP(D50,Data!H:I,2,0)</f>
        <v>İstanbul</v>
      </c>
      <c r="F50" s="115" t="str">
        <f>VLOOKUP(D50,Data!H:J,3,0)</f>
        <v>Filamingo</v>
      </c>
      <c r="G50" s="116" t="b">
        <v>1</v>
      </c>
      <c r="H50" s="116" t="b">
        <v>1</v>
      </c>
      <c r="I50" s="116" t="b">
        <v>1</v>
      </c>
      <c r="J50" s="116" t="b">
        <v>1</v>
      </c>
      <c r="K50" s="116" t="b">
        <v>1</v>
      </c>
      <c r="L50" s="117">
        <f t="shared" si="1"/>
        <v>5</v>
      </c>
      <c r="M50" s="117">
        <f t="shared" si="2"/>
        <v>20</v>
      </c>
      <c r="N50" s="112"/>
      <c r="O50" s="112"/>
    </row>
    <row r="51" ht="15.0" customHeight="1">
      <c r="A51" s="112"/>
      <c r="B51" s="112"/>
      <c r="C51" s="112"/>
      <c r="D51" s="129" t="s">
        <v>81</v>
      </c>
      <c r="E51" s="114" t="str">
        <f>VLOOKUP(D51,Data!H:I,2,0)</f>
        <v>İstanbul</v>
      </c>
      <c r="F51" s="115" t="str">
        <f>VLOOKUP(D51,Data!H:J,3,0)</f>
        <v>Freelance</v>
      </c>
      <c r="G51" s="116" t="b">
        <v>0</v>
      </c>
      <c r="H51" s="116" t="b">
        <v>1</v>
      </c>
      <c r="I51" s="116" t="b">
        <v>0</v>
      </c>
      <c r="J51" s="116" t="b">
        <v>1</v>
      </c>
      <c r="K51" s="116" t="b">
        <v>0</v>
      </c>
      <c r="L51" s="117">
        <f t="shared" si="1"/>
        <v>2</v>
      </c>
      <c r="M51" s="117">
        <f t="shared" si="2"/>
        <v>8</v>
      </c>
      <c r="N51" s="125"/>
      <c r="O51" s="112"/>
    </row>
    <row r="52" ht="15.0" customHeight="1">
      <c r="A52" s="112"/>
      <c r="B52" s="112"/>
      <c r="C52" s="112"/>
      <c r="D52" s="132" t="s">
        <v>83</v>
      </c>
      <c r="E52" s="114" t="str">
        <f>VLOOKUP(D52,Data!H:I,2,0)</f>
        <v>İstanbul</v>
      </c>
      <c r="F52" s="115" t="str">
        <f>VLOOKUP(D52,Data!H:J,3,0)</f>
        <v>Nazım Öztel</v>
      </c>
      <c r="G52" s="116" t="b">
        <v>1</v>
      </c>
      <c r="H52" s="116" t="b">
        <v>1</v>
      </c>
      <c r="I52" s="116" t="b">
        <v>1</v>
      </c>
      <c r="J52" s="116" t="b">
        <v>1</v>
      </c>
      <c r="K52" s="116" t="b">
        <v>1</v>
      </c>
      <c r="L52" s="117">
        <f t="shared" si="1"/>
        <v>5</v>
      </c>
      <c r="M52" s="117">
        <f t="shared" si="2"/>
        <v>20</v>
      </c>
      <c r="N52" s="112"/>
      <c r="O52" s="112"/>
    </row>
    <row r="53" ht="15.0" customHeight="1">
      <c r="A53" s="125"/>
      <c r="B53" s="125"/>
      <c r="C53" s="125"/>
      <c r="D53" s="129" t="s">
        <v>145</v>
      </c>
      <c r="E53" s="114" t="str">
        <f>VLOOKUP(D53,Data!H:I,2,0)</f>
        <v>İstanbul</v>
      </c>
      <c r="F53" s="115" t="str">
        <f>VLOOKUP(D53,Data!H:J,3,0)</f>
        <v>Filamingo</v>
      </c>
      <c r="G53" s="116" t="b">
        <v>1</v>
      </c>
      <c r="H53" s="116" t="b">
        <v>1</v>
      </c>
      <c r="I53" s="116" t="b">
        <v>1</v>
      </c>
      <c r="J53" s="116" t="b">
        <v>1</v>
      </c>
      <c r="K53" s="116" t="b">
        <v>1</v>
      </c>
      <c r="L53" s="117">
        <f t="shared" si="1"/>
        <v>5</v>
      </c>
      <c r="M53" s="117">
        <f t="shared" si="2"/>
        <v>20</v>
      </c>
      <c r="N53" s="112"/>
      <c r="O53" s="125"/>
    </row>
    <row r="54" ht="15.0" customHeight="1">
      <c r="A54" s="125"/>
      <c r="B54" s="125"/>
      <c r="C54" s="125"/>
      <c r="D54" s="129" t="s">
        <v>186</v>
      </c>
      <c r="E54" s="114" t="str">
        <f>VLOOKUP(D54,Data!H:I,2,0)</f>
        <v>İstanbul</v>
      </c>
      <c r="F54" s="115" t="str">
        <f>VLOOKUP(D54,Data!H:J,3,0)</f>
        <v>Filamingo</v>
      </c>
      <c r="G54" s="116" t="b">
        <v>0</v>
      </c>
      <c r="H54" s="116" t="b">
        <v>1</v>
      </c>
      <c r="I54" s="116" t="b">
        <v>1</v>
      </c>
      <c r="J54" s="116" t="b">
        <v>1</v>
      </c>
      <c r="K54" s="116" t="b">
        <v>0</v>
      </c>
      <c r="L54" s="117">
        <f t="shared" si="1"/>
        <v>3</v>
      </c>
      <c r="M54" s="117">
        <f t="shared" si="2"/>
        <v>12</v>
      </c>
      <c r="N54" s="112"/>
      <c r="O54" s="125"/>
    </row>
    <row r="55" ht="15.0" customHeight="1">
      <c r="A55" s="122"/>
      <c r="B55" s="122"/>
      <c r="C55" s="122"/>
      <c r="D55" s="129" t="s">
        <v>87</v>
      </c>
      <c r="E55" s="114" t="str">
        <f>VLOOKUP(D55,Data!H:I,2,0)</f>
        <v>İstanbul</v>
      </c>
      <c r="F55" s="115" t="str">
        <f>VLOOKUP(D55,Data!H:J,3,0)</f>
        <v>Freelance</v>
      </c>
      <c r="G55" s="116" t="b">
        <v>0</v>
      </c>
      <c r="H55" s="116" t="b">
        <v>1</v>
      </c>
      <c r="I55" s="116" t="b">
        <v>0</v>
      </c>
      <c r="J55" s="116" t="b">
        <v>1</v>
      </c>
      <c r="K55" s="116" t="b">
        <v>1</v>
      </c>
      <c r="L55" s="117">
        <f t="shared" si="1"/>
        <v>3</v>
      </c>
      <c r="M55" s="117">
        <f t="shared" si="2"/>
        <v>12</v>
      </c>
      <c r="N55" s="112"/>
      <c r="O55" s="122"/>
    </row>
    <row r="56" ht="15.0" customHeight="1">
      <c r="A56" s="112"/>
      <c r="B56" s="112"/>
      <c r="C56" s="112"/>
      <c r="D56" s="132" t="s">
        <v>88</v>
      </c>
      <c r="E56" s="114" t="str">
        <f>VLOOKUP(D56,Data!H:I,2,0)</f>
        <v>İstanbul</v>
      </c>
      <c r="F56" s="115" t="str">
        <f>VLOOKUP(D56,Data!H:J,3,0)</f>
        <v>Nazım Öztel</v>
      </c>
      <c r="G56" s="116" t="b">
        <v>0</v>
      </c>
      <c r="H56" s="116" t="b">
        <v>0</v>
      </c>
      <c r="I56" s="116" t="b">
        <v>0</v>
      </c>
      <c r="J56" s="116" t="b">
        <v>0</v>
      </c>
      <c r="K56" s="116" t="b">
        <v>0</v>
      </c>
      <c r="L56" s="117">
        <f t="shared" si="1"/>
        <v>0</v>
      </c>
      <c r="M56" s="117">
        <f t="shared" si="2"/>
        <v>0</v>
      </c>
      <c r="N56" s="112"/>
      <c r="O56" s="112"/>
    </row>
    <row r="57" ht="15.0" customHeight="1">
      <c r="A57" s="112"/>
      <c r="B57" s="112"/>
      <c r="C57" s="112"/>
      <c r="D57" s="132" t="s">
        <v>89</v>
      </c>
      <c r="E57" s="114" t="str">
        <f>VLOOKUP(D57,Data!H:I,2,0)</f>
        <v>İstanbul</v>
      </c>
      <c r="F57" s="115" t="str">
        <f>VLOOKUP(D57,Data!H:J,3,0)</f>
        <v>Filamingo</v>
      </c>
      <c r="G57" s="116" t="b">
        <v>0</v>
      </c>
      <c r="H57" s="116" t="b">
        <v>0</v>
      </c>
      <c r="I57" s="116" t="b">
        <v>0</v>
      </c>
      <c r="J57" s="116" t="b">
        <v>0</v>
      </c>
      <c r="K57" s="116" t="b">
        <v>0</v>
      </c>
      <c r="L57" s="117">
        <f t="shared" si="1"/>
        <v>0</v>
      </c>
      <c r="M57" s="117">
        <f t="shared" si="2"/>
        <v>0</v>
      </c>
      <c r="N57" s="112"/>
      <c r="O57" s="112"/>
    </row>
    <row r="58" ht="15.0" customHeight="1">
      <c r="A58" s="112"/>
      <c r="B58" s="112"/>
      <c r="C58" s="112"/>
      <c r="D58" s="132" t="s">
        <v>92</v>
      </c>
      <c r="E58" s="114" t="str">
        <f>VLOOKUP(D58,Data!H:I,2,0)</f>
        <v>İzmir</v>
      </c>
      <c r="F58" s="115" t="str">
        <f>VLOOKUP(D58,Data!H:J,3,0)</f>
        <v>Nazım Öztel</v>
      </c>
      <c r="G58" s="116" t="b">
        <v>1</v>
      </c>
      <c r="H58" s="116" t="b">
        <v>1</v>
      </c>
      <c r="I58" s="116" t="b">
        <v>1</v>
      </c>
      <c r="J58" s="116" t="b">
        <v>1</v>
      </c>
      <c r="K58" s="116" t="b">
        <v>1</v>
      </c>
      <c r="L58" s="117">
        <f t="shared" si="1"/>
        <v>5</v>
      </c>
      <c r="M58" s="117">
        <f t="shared" si="2"/>
        <v>20</v>
      </c>
      <c r="N58" s="125"/>
      <c r="O58" s="112"/>
    </row>
    <row r="59" ht="15.0" customHeight="1">
      <c r="A59" s="112"/>
      <c r="B59" s="112"/>
      <c r="C59" s="112"/>
      <c r="D59" s="129" t="s">
        <v>139</v>
      </c>
      <c r="E59" s="114" t="s">
        <v>129</v>
      </c>
      <c r="F59" s="115" t="str">
        <f>VLOOKUP(D59,Data!H:J,3,0)</f>
        <v>Nazım Öztel</v>
      </c>
      <c r="G59" s="116" t="b">
        <v>1</v>
      </c>
      <c r="H59" s="116" t="b">
        <v>1</v>
      </c>
      <c r="I59" s="116" t="b">
        <v>1</v>
      </c>
      <c r="J59" s="116" t="b">
        <v>1</v>
      </c>
      <c r="K59" s="116" t="b">
        <v>1</v>
      </c>
      <c r="L59" s="117">
        <f t="shared" si="1"/>
        <v>5</v>
      </c>
      <c r="M59" s="117">
        <f t="shared" si="2"/>
        <v>20</v>
      </c>
      <c r="N59" s="125"/>
      <c r="O59" s="112"/>
    </row>
    <row r="60" ht="15.0" customHeight="1">
      <c r="A60" s="112"/>
      <c r="B60" s="112"/>
      <c r="C60" s="112"/>
      <c r="D60" s="129" t="s">
        <v>93</v>
      </c>
      <c r="E60" s="114" t="str">
        <f>VLOOKUP(D60,Data!H:I,2,0)</f>
        <v>İzmir</v>
      </c>
      <c r="F60" s="115" t="str">
        <f>VLOOKUP(D60,Data!H:J,3,0)</f>
        <v>Freelance</v>
      </c>
      <c r="G60" s="116" t="b">
        <v>1</v>
      </c>
      <c r="H60" s="116" t="b">
        <v>1</v>
      </c>
      <c r="I60" s="116" t="b">
        <v>1</v>
      </c>
      <c r="J60" s="116" t="b">
        <v>1</v>
      </c>
      <c r="K60" s="116" t="b">
        <v>0</v>
      </c>
      <c r="L60" s="117">
        <f t="shared" si="1"/>
        <v>4</v>
      </c>
      <c r="M60" s="117">
        <f t="shared" si="2"/>
        <v>16</v>
      </c>
      <c r="N60" s="112"/>
      <c r="O60" s="112"/>
    </row>
    <row r="61" ht="15.0" customHeight="1">
      <c r="A61" s="112"/>
      <c r="B61" s="112"/>
      <c r="C61" s="112"/>
      <c r="D61" s="129" t="s">
        <v>161</v>
      </c>
      <c r="E61" s="143" t="str">
        <f>VLOOKUP(D61,Data!H:I,2,0)</f>
        <v>Kahramanmaraş</v>
      </c>
      <c r="F61" s="115" t="str">
        <f>VLOOKUP(D61,Data!H:J,3,0)</f>
        <v>Nazım Öztel</v>
      </c>
      <c r="G61" s="116" t="b">
        <v>1</v>
      </c>
      <c r="H61" s="116" t="b">
        <v>1</v>
      </c>
      <c r="I61" s="116" t="b">
        <v>0</v>
      </c>
      <c r="J61" s="116" t="b">
        <v>0</v>
      </c>
      <c r="K61" s="116" t="b">
        <v>0</v>
      </c>
      <c r="L61" s="117">
        <f t="shared" si="1"/>
        <v>2</v>
      </c>
      <c r="M61" s="117">
        <f t="shared" si="2"/>
        <v>8</v>
      </c>
      <c r="N61" s="112"/>
      <c r="O61" s="112"/>
    </row>
    <row r="62" ht="15.0" customHeight="1">
      <c r="A62" s="112"/>
      <c r="B62" s="112"/>
      <c r="C62" s="112"/>
      <c r="D62" s="129" t="s">
        <v>176</v>
      </c>
      <c r="E62" s="114" t="str">
        <f>VLOOKUP(D62,Data!H:I,2,0)</f>
        <v>Karabük</v>
      </c>
      <c r="F62" s="115" t="str">
        <f>VLOOKUP(D62,Data!H:J,3,0)</f>
        <v>Nazım Öztel</v>
      </c>
      <c r="G62" s="116" t="b">
        <v>0</v>
      </c>
      <c r="H62" s="116" t="b">
        <v>0</v>
      </c>
      <c r="I62" s="116" t="b">
        <v>0</v>
      </c>
      <c r="J62" s="116" t="b">
        <v>0</v>
      </c>
      <c r="K62" s="116" t="b">
        <v>0</v>
      </c>
      <c r="L62" s="117">
        <f t="shared" si="1"/>
        <v>0</v>
      </c>
      <c r="M62" s="117">
        <f t="shared" si="2"/>
        <v>0</v>
      </c>
      <c r="N62" s="112"/>
      <c r="O62" s="112"/>
    </row>
    <row r="63" ht="15.0" customHeight="1">
      <c r="A63" s="112"/>
      <c r="B63" s="112"/>
      <c r="C63" s="112"/>
      <c r="D63" s="132" t="s">
        <v>96</v>
      </c>
      <c r="E63" s="114" t="str">
        <f>VLOOKUP(D63,Data!H:I,2,0)</f>
        <v>Kocaeli</v>
      </c>
      <c r="F63" s="115" t="str">
        <f>VLOOKUP(D63,Data!H:J,3,0)</f>
        <v>Nazım Öztel</v>
      </c>
      <c r="G63" s="116" t="b">
        <v>0</v>
      </c>
      <c r="H63" s="116" t="b">
        <v>0</v>
      </c>
      <c r="I63" s="116" t="b">
        <v>0</v>
      </c>
      <c r="J63" s="116" t="b">
        <v>0</v>
      </c>
      <c r="K63" s="116" t="b">
        <v>0</v>
      </c>
      <c r="L63" s="117">
        <f t="shared" si="1"/>
        <v>0</v>
      </c>
      <c r="M63" s="117">
        <f t="shared" si="2"/>
        <v>0</v>
      </c>
      <c r="N63" s="112"/>
      <c r="O63" s="112"/>
    </row>
    <row r="64" ht="15.0" customHeight="1">
      <c r="A64" s="112"/>
      <c r="B64" s="112"/>
      <c r="C64" s="112"/>
      <c r="D64" s="129" t="s">
        <v>147</v>
      </c>
      <c r="E64" s="114" t="str">
        <f>VLOOKUP(D64,Data!H:I,2,0)</f>
        <v>Kocaeli</v>
      </c>
      <c r="F64" s="115" t="str">
        <f>VLOOKUP(D64,Data!H:J,3,0)</f>
        <v>Nazım Öztel</v>
      </c>
      <c r="G64" s="116" t="b">
        <v>1</v>
      </c>
      <c r="H64" s="116" t="b">
        <v>0</v>
      </c>
      <c r="I64" s="116" t="b">
        <v>1</v>
      </c>
      <c r="J64" s="116" t="b">
        <v>1</v>
      </c>
      <c r="K64" s="116" t="b">
        <v>1</v>
      </c>
      <c r="L64" s="117">
        <f t="shared" si="1"/>
        <v>4</v>
      </c>
      <c r="M64" s="117">
        <f t="shared" si="2"/>
        <v>16</v>
      </c>
      <c r="N64" s="112"/>
      <c r="O64" s="112"/>
    </row>
    <row r="65" ht="15.0" customHeight="1">
      <c r="A65" s="112"/>
      <c r="B65" s="112"/>
      <c r="C65" s="112"/>
      <c r="D65" s="132" t="s">
        <v>98</v>
      </c>
      <c r="E65" s="114" t="str">
        <f>VLOOKUP(D65,Data!H:I,2,0)</f>
        <v>Manisa</v>
      </c>
      <c r="F65" s="115" t="str">
        <f>VLOOKUP(D65,Data!H:J,3,0)</f>
        <v>Nazım Öztel</v>
      </c>
      <c r="G65" s="116" t="b">
        <v>0</v>
      </c>
      <c r="H65" s="116" t="b">
        <v>0</v>
      </c>
      <c r="I65" s="116" t="b">
        <v>0</v>
      </c>
      <c r="J65" s="116" t="b">
        <v>0</v>
      </c>
      <c r="K65" s="116" t="b">
        <v>0</v>
      </c>
      <c r="L65" s="117">
        <f t="shared" si="1"/>
        <v>0</v>
      </c>
      <c r="M65" s="117">
        <f t="shared" si="2"/>
        <v>0</v>
      </c>
      <c r="N65" s="142"/>
      <c r="O65" s="112"/>
    </row>
    <row r="66" ht="15.0" customHeight="1">
      <c r="A66" s="112"/>
      <c r="B66" s="112"/>
      <c r="C66" s="112"/>
      <c r="D66" s="132" t="s">
        <v>99</v>
      </c>
      <c r="E66" s="114" t="str">
        <f>VLOOKUP(D66,Data!H:I,2,0)</f>
        <v>Mersin</v>
      </c>
      <c r="F66" s="115" t="str">
        <f>VLOOKUP(D66,Data!H:J,3,0)</f>
        <v>Nazım Öztel</v>
      </c>
      <c r="G66" s="116" t="b">
        <v>1</v>
      </c>
      <c r="H66" s="116" t="b">
        <v>1</v>
      </c>
      <c r="I66" s="116" t="b">
        <v>1</v>
      </c>
      <c r="J66" s="116" t="b">
        <v>0</v>
      </c>
      <c r="K66" s="116" t="b">
        <v>0</v>
      </c>
      <c r="L66" s="117">
        <f t="shared" si="1"/>
        <v>3</v>
      </c>
      <c r="M66" s="117">
        <f t="shared" si="2"/>
        <v>12</v>
      </c>
      <c r="N66" s="106"/>
      <c r="O66" s="112"/>
    </row>
    <row r="67" ht="15.0" customHeight="1">
      <c r="A67" s="112"/>
      <c r="B67" s="112"/>
      <c r="C67" s="112"/>
      <c r="D67" s="129" t="s">
        <v>169</v>
      </c>
      <c r="E67" s="114" t="str">
        <f>VLOOKUP(D67,Data!H:I,2,0)</f>
        <v>Mersin</v>
      </c>
      <c r="F67" s="115" t="str">
        <f>VLOOKUP(D67,Data!H:J,3,0)</f>
        <v>Nazım Öztel</v>
      </c>
      <c r="G67" s="116" t="b">
        <v>0</v>
      </c>
      <c r="H67" s="116" t="b">
        <v>1</v>
      </c>
      <c r="I67" s="116" t="b">
        <v>1</v>
      </c>
      <c r="J67" s="116" t="b">
        <v>1</v>
      </c>
      <c r="K67" s="116" t="b">
        <v>0</v>
      </c>
      <c r="L67" s="117">
        <f t="shared" si="1"/>
        <v>3</v>
      </c>
      <c r="M67" s="117">
        <f t="shared" si="2"/>
        <v>12</v>
      </c>
      <c r="N67" s="106"/>
      <c r="O67" s="112"/>
    </row>
    <row r="68" ht="15.0" customHeight="1">
      <c r="A68" s="112"/>
      <c r="B68" s="112"/>
      <c r="C68" s="112"/>
      <c r="D68" s="129" t="s">
        <v>148</v>
      </c>
      <c r="E68" s="114" t="str">
        <f>VLOOKUP(D68,Data!H:I,2,0)</f>
        <v>Muğla</v>
      </c>
      <c r="F68" s="115" t="str">
        <f>VLOOKUP(D68,Data!H:J,3,0)</f>
        <v>Nazım Öztel</v>
      </c>
      <c r="G68" s="116" t="b">
        <v>1</v>
      </c>
      <c r="H68" s="116" t="b">
        <v>1</v>
      </c>
      <c r="I68" s="116" t="b">
        <v>1</v>
      </c>
      <c r="J68" s="116" t="b">
        <v>1</v>
      </c>
      <c r="K68" s="116" t="b">
        <v>1</v>
      </c>
      <c r="L68" s="117">
        <f t="shared" si="1"/>
        <v>5</v>
      </c>
      <c r="M68" s="117">
        <f t="shared" si="2"/>
        <v>20</v>
      </c>
      <c r="N68" s="106"/>
      <c r="O68" s="112"/>
    </row>
    <row r="69" ht="15.0" customHeight="1">
      <c r="A69" s="112"/>
      <c r="B69" s="112"/>
      <c r="C69" s="112"/>
      <c r="D69" s="129" t="s">
        <v>193</v>
      </c>
      <c r="E69" s="114" t="str">
        <f>VLOOKUP(D69,Data!H:I,2,0)</f>
        <v>Samsun</v>
      </c>
      <c r="F69" s="115" t="str">
        <f>VLOOKUP(D69,Data!H:J,3,0)</f>
        <v>Nazım Öztel</v>
      </c>
      <c r="G69" s="116" t="b">
        <v>1</v>
      </c>
      <c r="H69" s="116" t="b">
        <v>1</v>
      </c>
      <c r="I69" s="116" t="b">
        <v>1</v>
      </c>
      <c r="J69" s="116" t="b">
        <v>1</v>
      </c>
      <c r="K69" s="116" t="b">
        <v>1</v>
      </c>
      <c r="L69" s="117">
        <f t="shared" si="1"/>
        <v>5</v>
      </c>
      <c r="M69" s="117">
        <f t="shared" si="2"/>
        <v>20</v>
      </c>
      <c r="N69" s="106"/>
      <c r="O69" s="112"/>
    </row>
    <row r="70" ht="15.0" customHeight="1">
      <c r="A70" s="112"/>
      <c r="B70" s="112"/>
      <c r="C70" s="112"/>
      <c r="D70" s="129" t="s">
        <v>104</v>
      </c>
      <c r="E70" s="114" t="str">
        <f>VLOOKUP(D70,Data!H:I,2,0)</f>
        <v>Tekirdağ</v>
      </c>
      <c r="F70" s="115" t="str">
        <f>VLOOKUP(D70,Data!H:J,3,0)</f>
        <v>Freelance</v>
      </c>
      <c r="G70" s="139" t="b">
        <v>0</v>
      </c>
      <c r="H70" s="139" t="b">
        <v>0</v>
      </c>
      <c r="I70" s="139" t="b">
        <v>1</v>
      </c>
      <c r="J70" s="139" t="b">
        <v>0</v>
      </c>
      <c r="K70" s="139" t="b">
        <v>1</v>
      </c>
      <c r="L70" s="117">
        <f t="shared" si="1"/>
        <v>2</v>
      </c>
      <c r="M70" s="117">
        <f t="shared" si="2"/>
        <v>8</v>
      </c>
      <c r="N70" s="112"/>
      <c r="O70" s="112"/>
    </row>
    <row r="71" ht="15.0" customHeight="1">
      <c r="A71" s="112"/>
      <c r="B71" s="112"/>
      <c r="C71" s="112"/>
      <c r="D71" s="129" t="s">
        <v>154</v>
      </c>
      <c r="E71" s="114" t="str">
        <f>VLOOKUP(D71,Data!H:I,2,0)</f>
        <v>Uşak</v>
      </c>
      <c r="F71" s="115" t="str">
        <f>VLOOKUP(D71,Data!H:J,3,0)</f>
        <v>Nazım Öztel</v>
      </c>
      <c r="G71" s="139" t="b">
        <v>0</v>
      </c>
      <c r="H71" s="139" t="b">
        <v>0</v>
      </c>
      <c r="I71" s="139" t="b">
        <v>0</v>
      </c>
      <c r="J71" s="139" t="b">
        <v>0</v>
      </c>
      <c r="K71" s="139" t="b">
        <v>0</v>
      </c>
      <c r="L71" s="117">
        <f t="shared" si="1"/>
        <v>0</v>
      </c>
      <c r="M71" s="117">
        <f>L71*2</f>
        <v>0</v>
      </c>
      <c r="N71" s="112"/>
      <c r="O71" s="112"/>
    </row>
    <row r="72" ht="15.0" customHeight="1">
      <c r="A72" s="112"/>
      <c r="B72" s="112"/>
      <c r="C72" s="112"/>
      <c r="D72" s="132"/>
      <c r="E72" s="132"/>
      <c r="F72" s="132"/>
      <c r="G72" s="117">
        <f t="shared" ref="G72:K72" si="3">4*(COUNTIF(G15:G71,"true"))</f>
        <v>76</v>
      </c>
      <c r="H72" s="117">
        <f t="shared" si="3"/>
        <v>120</v>
      </c>
      <c r="I72" s="117">
        <f t="shared" si="3"/>
        <v>112</v>
      </c>
      <c r="J72" s="117">
        <f t="shared" si="3"/>
        <v>108</v>
      </c>
      <c r="K72" s="117">
        <f t="shared" si="3"/>
        <v>76</v>
      </c>
      <c r="L72" s="135"/>
      <c r="M72" s="135">
        <f>SUM(G72:K72)</f>
        <v>492</v>
      </c>
      <c r="N72" s="112"/>
      <c r="O72" s="112"/>
    </row>
  </sheetData>
  <customSheetViews>
    <customSheetView guid="{90E1DF85-7252-44D2-BA7D-CC3767CD0E8B}" filter="1" showAutoFilter="1">
      <autoFilter ref="$A$14:$O$72">
        <filterColumn colId="4">
          <filters>
            <filter val="Samsun"/>
            <filter val="Burdur"/>
            <filter val="Bilecik"/>
            <filter val="Düzce"/>
            <filter val="Denizli"/>
            <filter val="Çanakkale"/>
            <filter val="Karabük"/>
            <filter val="Aydın"/>
            <filter val="Edirne"/>
            <filter val="Muğla"/>
            <filter val="Eskişehir"/>
            <filter val="Kahramanmaraş"/>
            <filter val="Balıkesir"/>
            <filter val="Uşak"/>
          </filters>
        </filterColumn>
      </autoFilter>
    </customSheetView>
    <customSheetView guid="{70B995D3-3AEB-4DFE-A0CA-D6FFCCE596BC}" filter="1" showAutoFilter="1">
      <autoFilter ref="$D$14:$D$71"/>
    </customSheetView>
  </customSheetViews>
  <mergeCells count="4">
    <mergeCell ref="D6:K6"/>
    <mergeCell ref="D7:F7"/>
    <mergeCell ref="D9:D12"/>
    <mergeCell ref="F10:M11"/>
  </mergeCells>
  <conditionalFormatting sqref="G15:K71">
    <cfRule type="cellIs" dxfId="1" priority="1" operator="equal">
      <formula>"False"</formula>
    </cfRule>
  </conditionalFormatting>
  <conditionalFormatting sqref="G15:K71">
    <cfRule type="cellIs" dxfId="0" priority="2" operator="equal">
      <formula>"TRUE"</formula>
    </cfRule>
  </conditionalFormatting>
  <dataValidations>
    <dataValidation type="list" allowBlank="1" showErrorMessage="1" sqref="E15:E71">
      <formula1>Data!$A$2:$A$10</formula1>
    </dataValidation>
    <dataValidation type="list" allowBlank="1" showErrorMessage="1" sqref="F15:F71">
      <formula1>Data!$C$2:$C$8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3" width="2.63"/>
    <col customWidth="1" min="4" max="4" width="20.38"/>
    <col customWidth="1" min="5" max="5" width="11.38"/>
    <col customWidth="1" min="6" max="6" width="16.63"/>
    <col customWidth="1" min="7" max="11" width="8.63"/>
    <col customWidth="1" min="12" max="12" width="12.63"/>
    <col customWidth="1" min="13" max="13" width="15.13"/>
    <col customWidth="1" min="14" max="15" width="2.63"/>
  </cols>
  <sheetData>
    <row r="1" ht="7.5" customHeight="1">
      <c r="A1" s="140"/>
      <c r="B1" s="84"/>
      <c r="C1" s="84"/>
      <c r="D1" s="84"/>
      <c r="E1" s="84"/>
      <c r="F1" s="84"/>
      <c r="G1" s="84"/>
      <c r="H1" s="84"/>
      <c r="I1" s="84"/>
      <c r="J1" s="84"/>
      <c r="K1" s="84"/>
      <c r="L1" s="85"/>
      <c r="M1" s="86"/>
      <c r="N1" s="86"/>
      <c r="O1" s="86"/>
    </row>
    <row r="2" ht="15.0" customHeight="1">
      <c r="A2" s="87"/>
      <c r="B2" s="87"/>
      <c r="C2" s="87"/>
      <c r="D2" s="88"/>
      <c r="E2" s="88"/>
      <c r="F2" s="88"/>
      <c r="G2" s="88"/>
      <c r="H2" s="88"/>
      <c r="I2" s="88"/>
      <c r="J2" s="88"/>
      <c r="K2" s="88"/>
      <c r="L2" s="88"/>
      <c r="M2" s="87"/>
      <c r="N2" s="87"/>
      <c r="O2" s="87"/>
    </row>
    <row r="3" ht="3.75" customHeight="1">
      <c r="A3" s="87"/>
      <c r="B3" s="87"/>
      <c r="C3" s="87"/>
      <c r="D3" s="89"/>
      <c r="E3" s="90"/>
      <c r="F3" s="90"/>
      <c r="G3" s="90"/>
      <c r="H3" s="90"/>
      <c r="I3" s="90"/>
      <c r="J3" s="90"/>
      <c r="K3" s="90"/>
      <c r="L3" s="90"/>
      <c r="M3" s="87"/>
      <c r="N3" s="87"/>
      <c r="O3" s="87"/>
    </row>
    <row r="4" ht="15.0" customHeight="1">
      <c r="A4" s="87"/>
      <c r="B4" s="87"/>
      <c r="C4" s="87"/>
      <c r="D4" s="88"/>
      <c r="E4" s="88"/>
      <c r="F4" s="88"/>
      <c r="G4" s="91"/>
      <c r="H4" s="91"/>
      <c r="I4" s="91"/>
      <c r="J4" s="91"/>
      <c r="K4" s="91"/>
      <c r="L4" s="91"/>
      <c r="M4" s="87"/>
      <c r="N4" s="87"/>
      <c r="O4" s="87"/>
    </row>
    <row r="5" ht="15.0" customHeight="1">
      <c r="A5" s="92"/>
      <c r="B5" s="92"/>
      <c r="C5" s="92"/>
      <c r="D5" s="88"/>
      <c r="E5" s="88"/>
      <c r="F5" s="88"/>
      <c r="G5" s="93"/>
      <c r="H5" s="93"/>
      <c r="I5" s="93"/>
      <c r="J5" s="93"/>
      <c r="K5" s="93"/>
      <c r="L5" s="94"/>
      <c r="M5" s="88"/>
      <c r="N5" s="92"/>
      <c r="O5" s="92"/>
    </row>
    <row r="6" ht="15.0" customHeight="1">
      <c r="A6" s="92"/>
      <c r="B6" s="92"/>
      <c r="C6" s="92"/>
      <c r="D6" s="95" t="s">
        <v>194</v>
      </c>
      <c r="L6" s="94"/>
      <c r="M6" s="88"/>
      <c r="N6" s="92"/>
      <c r="O6" s="92"/>
    </row>
    <row r="7" ht="15.0" customHeight="1">
      <c r="A7" s="92"/>
      <c r="B7" s="92"/>
      <c r="C7" s="92"/>
      <c r="D7" s="96" t="s">
        <v>195</v>
      </c>
      <c r="G7" s="97"/>
      <c r="H7" s="97"/>
      <c r="I7" s="97"/>
      <c r="J7" s="97"/>
      <c r="K7" s="97"/>
      <c r="L7" s="92"/>
      <c r="M7" s="92"/>
      <c r="N7" s="92"/>
      <c r="O7" s="92"/>
    </row>
    <row r="8" ht="15.0" customHeight="1">
      <c r="A8" s="92"/>
      <c r="B8" s="92"/>
      <c r="C8" s="92"/>
      <c r="D8" s="97"/>
      <c r="E8" s="97"/>
      <c r="F8" s="97"/>
      <c r="G8" s="97"/>
      <c r="H8" s="97"/>
      <c r="I8" s="97"/>
      <c r="J8" s="97"/>
      <c r="K8" s="97"/>
      <c r="L8" s="92"/>
      <c r="M8" s="92"/>
      <c r="N8" s="92"/>
      <c r="O8" s="92"/>
    </row>
    <row r="9" ht="15.0" customHeight="1">
      <c r="A9" s="92"/>
      <c r="B9" s="92"/>
      <c r="C9" s="98"/>
      <c r="D9" s="99" t="s">
        <v>35</v>
      </c>
      <c r="E9" s="100"/>
      <c r="F9" s="101"/>
      <c r="G9" s="101"/>
      <c r="H9" s="101"/>
      <c r="I9" s="101"/>
      <c r="J9" s="101"/>
      <c r="K9" s="101"/>
      <c r="L9" s="101"/>
      <c r="M9" s="100"/>
      <c r="N9" s="102"/>
      <c r="O9" s="102"/>
    </row>
    <row r="10" ht="15.0" customHeight="1">
      <c r="A10" s="92"/>
      <c r="B10" s="92"/>
      <c r="C10" s="98"/>
      <c r="E10" s="100"/>
      <c r="F10" s="103" t="s">
        <v>36</v>
      </c>
      <c r="N10" s="102"/>
      <c r="O10" s="102"/>
    </row>
    <row r="11" ht="15.0" customHeight="1">
      <c r="A11" s="92"/>
      <c r="B11" s="92"/>
      <c r="C11" s="98"/>
      <c r="E11" s="100"/>
      <c r="N11" s="102"/>
      <c r="O11" s="102"/>
    </row>
    <row r="12" ht="15.0" customHeight="1">
      <c r="A12" s="88"/>
      <c r="B12" s="92"/>
      <c r="C12" s="92"/>
      <c r="E12" s="100"/>
      <c r="F12" s="100"/>
      <c r="G12" s="100"/>
      <c r="H12" s="100"/>
      <c r="I12" s="100"/>
      <c r="J12" s="100"/>
      <c r="K12" s="100"/>
      <c r="L12" s="100"/>
      <c r="M12" s="100"/>
      <c r="N12" s="102"/>
      <c r="O12" s="102"/>
    </row>
    <row r="13" ht="15.0" customHeight="1">
      <c r="A13" s="88"/>
      <c r="B13" s="104"/>
      <c r="C13" s="104"/>
      <c r="D13" s="104"/>
      <c r="E13" s="104"/>
      <c r="F13" s="105"/>
      <c r="G13" s="105"/>
      <c r="H13" s="105"/>
      <c r="I13" s="105"/>
      <c r="J13" s="105"/>
      <c r="K13" s="105"/>
      <c r="L13" s="104"/>
      <c r="M13" s="104"/>
      <c r="N13" s="104"/>
      <c r="O13" s="104"/>
    </row>
    <row r="14" ht="15.0" customHeight="1">
      <c r="A14" s="106"/>
      <c r="B14" s="106"/>
      <c r="C14" s="106"/>
      <c r="D14" s="107" t="s">
        <v>37</v>
      </c>
      <c r="E14" s="108" t="s">
        <v>38</v>
      </c>
      <c r="F14" s="109" t="s">
        <v>39</v>
      </c>
      <c r="G14" s="110">
        <v>44522.0</v>
      </c>
      <c r="H14" s="110">
        <v>44523.0</v>
      </c>
      <c r="I14" s="110">
        <v>44524.0</v>
      </c>
      <c r="J14" s="110">
        <v>44525.0</v>
      </c>
      <c r="K14" s="110">
        <v>44526.0</v>
      </c>
      <c r="L14" s="111" t="s">
        <v>40</v>
      </c>
      <c r="M14" s="111" t="s">
        <v>41</v>
      </c>
      <c r="N14" s="88"/>
      <c r="O14" s="88"/>
    </row>
    <row r="15" ht="15.0" customHeight="1">
      <c r="A15" s="112"/>
      <c r="B15" s="112"/>
      <c r="C15" s="112"/>
      <c r="D15" s="129" t="s">
        <v>42</v>
      </c>
      <c r="E15" s="114" t="str">
        <f>VLOOKUP(D15,Data!H:I,2,0)</f>
        <v>Adana</v>
      </c>
      <c r="F15" s="115" t="str">
        <f>VLOOKUP(D15,Data!H:J,3,0)</f>
        <v>Freelance</v>
      </c>
      <c r="G15" s="116" t="b">
        <v>0</v>
      </c>
      <c r="H15" s="116" t="b">
        <v>0</v>
      </c>
      <c r="I15" s="116" t="b">
        <v>1</v>
      </c>
      <c r="J15" s="116" t="b">
        <v>1</v>
      </c>
      <c r="K15" s="116" t="b">
        <v>0</v>
      </c>
      <c r="L15" s="117">
        <f t="shared" ref="L15:L78" si="1">COUNTIF(G15:K15,"TRUE")</f>
        <v>2</v>
      </c>
      <c r="M15" s="117">
        <f t="shared" ref="M15:M78" si="2">L15*4</f>
        <v>8</v>
      </c>
      <c r="N15" s="112"/>
      <c r="O15" s="88"/>
    </row>
    <row r="16" ht="15.0" customHeight="1">
      <c r="A16" s="112"/>
      <c r="B16" s="112"/>
      <c r="C16" s="112"/>
      <c r="D16" s="129" t="s">
        <v>196</v>
      </c>
      <c r="E16" s="114" t="str">
        <f>VLOOKUP(D16,Data!H:I,2,0)</f>
        <v>Afyon</v>
      </c>
      <c r="F16" s="115" t="str">
        <f>VLOOKUP(D16,Data!H:J,3,0)</f>
        <v>Nazım Öztel</v>
      </c>
      <c r="G16" s="116" t="b">
        <v>1</v>
      </c>
      <c r="H16" s="116" t="b">
        <v>1</v>
      </c>
      <c r="I16" s="116" t="b">
        <v>1</v>
      </c>
      <c r="J16" s="116" t="b">
        <v>1</v>
      </c>
      <c r="K16" s="116" t="b">
        <v>1</v>
      </c>
      <c r="L16" s="117">
        <f t="shared" si="1"/>
        <v>5</v>
      </c>
      <c r="M16" s="117">
        <f t="shared" si="2"/>
        <v>20</v>
      </c>
      <c r="N16" s="112"/>
      <c r="O16" s="88"/>
    </row>
    <row r="17" ht="15.0" customHeight="1">
      <c r="A17" s="112"/>
      <c r="B17" s="112"/>
      <c r="C17" s="112"/>
      <c r="D17" s="129" t="s">
        <v>189</v>
      </c>
      <c r="E17" s="114" t="str">
        <f>VLOOKUP(D17,Data!H:I,2,0)</f>
        <v>Ankara</v>
      </c>
      <c r="F17" s="115" t="str">
        <f>VLOOKUP(D17,Data!H:J,3,0)</f>
        <v>Nazım Öztel</v>
      </c>
      <c r="G17" s="116" t="b">
        <v>0</v>
      </c>
      <c r="H17" s="116" t="b">
        <v>1</v>
      </c>
      <c r="I17" s="116" t="b">
        <v>0</v>
      </c>
      <c r="J17" s="116" t="b">
        <v>0</v>
      </c>
      <c r="K17" s="116" t="b">
        <v>1</v>
      </c>
      <c r="L17" s="117">
        <f t="shared" si="1"/>
        <v>2</v>
      </c>
      <c r="M17" s="117">
        <f t="shared" si="2"/>
        <v>8</v>
      </c>
      <c r="N17" s="112"/>
      <c r="O17" s="88"/>
    </row>
    <row r="18" ht="15.0" customHeight="1">
      <c r="A18" s="106"/>
      <c r="B18" s="106"/>
      <c r="C18" s="106"/>
      <c r="D18" s="129" t="s">
        <v>164</v>
      </c>
      <c r="E18" s="114" t="str">
        <f>VLOOKUP(D18,Data!H:I,2,0)</f>
        <v>Antalya</v>
      </c>
      <c r="F18" s="115" t="str">
        <f>VLOOKUP(D18,Data!H:J,3,0)</f>
        <v>Nazım Öztel</v>
      </c>
      <c r="G18" s="116" t="b">
        <v>0</v>
      </c>
      <c r="H18" s="116" t="b">
        <v>1</v>
      </c>
      <c r="I18" s="116" t="b">
        <v>1</v>
      </c>
      <c r="J18" s="116" t="b">
        <v>1</v>
      </c>
      <c r="K18" s="116" t="b">
        <v>1</v>
      </c>
      <c r="L18" s="117">
        <f t="shared" si="1"/>
        <v>4</v>
      </c>
      <c r="M18" s="117">
        <f t="shared" si="2"/>
        <v>16</v>
      </c>
      <c r="N18" s="112"/>
      <c r="O18" s="106"/>
    </row>
    <row r="19" ht="15.0" customHeight="1">
      <c r="A19" s="106"/>
      <c r="B19" s="106"/>
      <c r="C19" s="106"/>
      <c r="D19" s="129" t="s">
        <v>152</v>
      </c>
      <c r="E19" s="114" t="str">
        <f>VLOOKUP(D19,Data!H:I,2,0)</f>
        <v>Antalya</v>
      </c>
      <c r="F19" s="115" t="str">
        <f>VLOOKUP(D19,Data!H:J,3,0)</f>
        <v>Nazım Öztel</v>
      </c>
      <c r="G19" s="116" t="b">
        <v>1</v>
      </c>
      <c r="H19" s="116" t="b">
        <v>0</v>
      </c>
      <c r="I19" s="116" t="b">
        <v>1</v>
      </c>
      <c r="J19" s="116" t="b">
        <v>0</v>
      </c>
      <c r="K19" s="116" t="b">
        <v>0</v>
      </c>
      <c r="L19" s="117">
        <f t="shared" si="1"/>
        <v>2</v>
      </c>
      <c r="M19" s="117">
        <f t="shared" si="2"/>
        <v>8</v>
      </c>
      <c r="N19" s="112"/>
      <c r="O19" s="106"/>
    </row>
    <row r="20" ht="15.0" customHeight="1">
      <c r="A20" s="112"/>
      <c r="B20" s="112"/>
      <c r="C20" s="112"/>
      <c r="D20" s="129" t="s">
        <v>50</v>
      </c>
      <c r="E20" s="114" t="str">
        <f>VLOOKUP(D20,Data!H:I,2,0)</f>
        <v>Antalya</v>
      </c>
      <c r="F20" s="115" t="str">
        <f>VLOOKUP(D20,Data!H:J,3,0)</f>
        <v>Freelance</v>
      </c>
      <c r="G20" s="116" t="b">
        <v>1</v>
      </c>
      <c r="H20" s="116" t="b">
        <v>1</v>
      </c>
      <c r="I20" s="116" t="b">
        <v>1</v>
      </c>
      <c r="J20" s="116" t="b">
        <v>1</v>
      </c>
      <c r="K20" s="116" t="b">
        <v>1</v>
      </c>
      <c r="L20" s="117">
        <f t="shared" si="1"/>
        <v>5</v>
      </c>
      <c r="M20" s="117">
        <f t="shared" si="2"/>
        <v>20</v>
      </c>
      <c r="N20" s="112"/>
      <c r="O20" s="112"/>
    </row>
    <row r="21" ht="15.0" customHeight="1">
      <c r="A21" s="112"/>
      <c r="B21" s="112"/>
      <c r="C21" s="112"/>
      <c r="D21" s="129" t="s">
        <v>159</v>
      </c>
      <c r="E21" s="114" t="str">
        <f>VLOOKUP(D21,Data!H:I,2,0)</f>
        <v>Aydın</v>
      </c>
      <c r="F21" s="115" t="str">
        <f>VLOOKUP(D21,Data!H:J,3,0)</f>
        <v>Nazım Öztel</v>
      </c>
      <c r="G21" s="116" t="b">
        <v>1</v>
      </c>
      <c r="H21" s="116" t="b">
        <v>1</v>
      </c>
      <c r="I21" s="116" t="b">
        <v>1</v>
      </c>
      <c r="J21" s="116" t="b">
        <v>0</v>
      </c>
      <c r="K21" s="116" t="b">
        <v>0</v>
      </c>
      <c r="L21" s="117">
        <f t="shared" si="1"/>
        <v>3</v>
      </c>
      <c r="M21" s="117">
        <f t="shared" si="2"/>
        <v>12</v>
      </c>
      <c r="N21" s="112"/>
      <c r="O21" s="112"/>
    </row>
    <row r="22" ht="15.0" customHeight="1">
      <c r="A22" s="112"/>
      <c r="B22" s="112"/>
      <c r="C22" s="112"/>
      <c r="D22" s="129" t="s">
        <v>197</v>
      </c>
      <c r="E22" s="114" t="str">
        <f>VLOOKUP(D22,Data!H:I,2,0)</f>
        <v>Aydın</v>
      </c>
      <c r="F22" s="115" t="str">
        <f>VLOOKUP(D22,Data!H:J,3,0)</f>
        <v>Nazım Öztel</v>
      </c>
      <c r="G22" s="116" t="b">
        <v>0</v>
      </c>
      <c r="H22" s="116" t="b">
        <v>0</v>
      </c>
      <c r="I22" s="116" t="b">
        <v>1</v>
      </c>
      <c r="J22" s="116" t="b">
        <v>1</v>
      </c>
      <c r="K22" s="116" t="b">
        <v>1</v>
      </c>
      <c r="L22" s="117">
        <f t="shared" si="1"/>
        <v>3</v>
      </c>
      <c r="M22" s="117">
        <f t="shared" si="2"/>
        <v>12</v>
      </c>
      <c r="N22" s="112"/>
      <c r="O22" s="112"/>
    </row>
    <row r="23" ht="15.0" customHeight="1">
      <c r="A23" s="112"/>
      <c r="B23" s="112"/>
      <c r="C23" s="112"/>
      <c r="D23" s="129" t="s">
        <v>52</v>
      </c>
      <c r="E23" s="114" t="s">
        <v>184</v>
      </c>
      <c r="F23" s="115" t="s">
        <v>61</v>
      </c>
      <c r="G23" s="116" t="b">
        <v>0</v>
      </c>
      <c r="H23" s="116" t="b">
        <v>1</v>
      </c>
      <c r="I23" s="116" t="b">
        <v>1</v>
      </c>
      <c r="J23" s="116" t="b">
        <v>0</v>
      </c>
      <c r="K23" s="116" t="b">
        <v>0</v>
      </c>
      <c r="L23" s="117">
        <f t="shared" si="1"/>
        <v>2</v>
      </c>
      <c r="M23" s="117">
        <f t="shared" si="2"/>
        <v>8</v>
      </c>
      <c r="N23" s="112"/>
      <c r="O23" s="112"/>
    </row>
    <row r="24" ht="15.0" customHeight="1">
      <c r="A24" s="112"/>
      <c r="B24" s="112"/>
      <c r="C24" s="112"/>
      <c r="D24" s="129" t="s">
        <v>198</v>
      </c>
      <c r="E24" s="114" t="s">
        <v>181</v>
      </c>
      <c r="F24" s="115" t="s">
        <v>61</v>
      </c>
      <c r="G24" s="116" t="b">
        <v>0</v>
      </c>
      <c r="H24" s="116" t="b">
        <v>0</v>
      </c>
      <c r="I24" s="116" t="b">
        <v>1</v>
      </c>
      <c r="J24" s="116" t="b">
        <v>1</v>
      </c>
      <c r="K24" s="116" t="b">
        <v>1</v>
      </c>
      <c r="L24" s="117">
        <f t="shared" si="1"/>
        <v>3</v>
      </c>
      <c r="M24" s="117">
        <f t="shared" si="2"/>
        <v>12</v>
      </c>
      <c r="N24" s="112"/>
      <c r="O24" s="112"/>
    </row>
    <row r="25" ht="15.0" customHeight="1">
      <c r="A25" s="112"/>
      <c r="B25" s="112"/>
      <c r="C25" s="112"/>
      <c r="D25" s="129" t="s">
        <v>52</v>
      </c>
      <c r="E25" s="114" t="s">
        <v>181</v>
      </c>
      <c r="F25" s="115" t="s">
        <v>61</v>
      </c>
      <c r="G25" s="116" t="b">
        <v>0</v>
      </c>
      <c r="H25" s="116" t="b">
        <v>0</v>
      </c>
      <c r="I25" s="116" t="b">
        <v>0</v>
      </c>
      <c r="J25" s="116" t="b">
        <v>0</v>
      </c>
      <c r="K25" s="116" t="b">
        <v>0</v>
      </c>
      <c r="L25" s="117">
        <f t="shared" si="1"/>
        <v>0</v>
      </c>
      <c r="M25" s="117">
        <f t="shared" si="2"/>
        <v>0</v>
      </c>
      <c r="N25" s="112"/>
      <c r="O25" s="112"/>
    </row>
    <row r="26" ht="15.0" customHeight="1">
      <c r="A26" s="112"/>
      <c r="B26" s="112"/>
      <c r="C26" s="112"/>
      <c r="D26" s="129" t="s">
        <v>160</v>
      </c>
      <c r="E26" s="114" t="str">
        <f>VLOOKUP(D26,Data!H:I,2,0)</f>
        <v>Burdur</v>
      </c>
      <c r="F26" s="115" t="str">
        <f>VLOOKUP(D26,Data!H:J,3,0)</f>
        <v>Nazım Öztel</v>
      </c>
      <c r="G26" s="116" t="b">
        <v>1</v>
      </c>
      <c r="H26" s="116" t="b">
        <v>1</v>
      </c>
      <c r="I26" s="116" t="b">
        <v>0</v>
      </c>
      <c r="J26" s="116" t="b">
        <v>1</v>
      </c>
      <c r="K26" s="116" t="b">
        <v>0</v>
      </c>
      <c r="L26" s="117">
        <f t="shared" si="1"/>
        <v>3</v>
      </c>
      <c r="M26" s="117">
        <f t="shared" si="2"/>
        <v>12</v>
      </c>
      <c r="N26" s="112"/>
      <c r="O26" s="112"/>
    </row>
    <row r="27" ht="15.0" customHeight="1">
      <c r="A27" s="112"/>
      <c r="B27" s="112"/>
      <c r="C27" s="112"/>
      <c r="D27" s="132" t="s">
        <v>52</v>
      </c>
      <c r="E27" s="114" t="str">
        <f>VLOOKUP(D27,Data!H:I,2,0)</f>
        <v>Bursa</v>
      </c>
      <c r="F27" s="115" t="str">
        <f>VLOOKUP(D27,Data!H:J,3,0)</f>
        <v>Nazım Öztel</v>
      </c>
      <c r="G27" s="116" t="b">
        <v>0</v>
      </c>
      <c r="H27" s="116" t="b">
        <v>0</v>
      </c>
      <c r="I27" s="116" t="b">
        <v>1</v>
      </c>
      <c r="J27" s="116" t="b">
        <v>0</v>
      </c>
      <c r="K27" s="116" t="b">
        <v>0</v>
      </c>
      <c r="L27" s="117">
        <f t="shared" si="1"/>
        <v>1</v>
      </c>
      <c r="M27" s="117">
        <f t="shared" si="2"/>
        <v>4</v>
      </c>
      <c r="N27" s="122"/>
      <c r="O27" s="112"/>
    </row>
    <row r="28" ht="15.0" customHeight="1">
      <c r="A28" s="112"/>
      <c r="B28" s="112"/>
      <c r="C28" s="112"/>
      <c r="D28" s="129" t="s">
        <v>53</v>
      </c>
      <c r="E28" s="114" t="str">
        <f>VLOOKUP(D28,Data!H:I,2,0)</f>
        <v>Bursa</v>
      </c>
      <c r="F28" s="115" t="str">
        <f>VLOOKUP(D28,Data!H:J,3,0)</f>
        <v>Freelance</v>
      </c>
      <c r="G28" s="116" t="b">
        <v>0</v>
      </c>
      <c r="H28" s="116" t="b">
        <v>1</v>
      </c>
      <c r="I28" s="116" t="b">
        <v>1</v>
      </c>
      <c r="J28" s="116" t="b">
        <v>1</v>
      </c>
      <c r="K28" s="116" t="b">
        <v>0</v>
      </c>
      <c r="L28" s="117">
        <f t="shared" si="1"/>
        <v>3</v>
      </c>
      <c r="M28" s="117">
        <f t="shared" si="2"/>
        <v>12</v>
      </c>
      <c r="N28" s="112"/>
      <c r="O28" s="112"/>
    </row>
    <row r="29" ht="15.0" customHeight="1">
      <c r="A29" s="112"/>
      <c r="B29" s="112"/>
      <c r="C29" s="112"/>
      <c r="D29" s="129" t="s">
        <v>190</v>
      </c>
      <c r="E29" s="114" t="str">
        <f>VLOOKUP(D29,Data!H:I,2,0)</f>
        <v>Çanakkale</v>
      </c>
      <c r="F29" s="115" t="str">
        <f>VLOOKUP(D29,Data!H:J,3,0)</f>
        <v>Nazım Öztel</v>
      </c>
      <c r="G29" s="116" t="b">
        <v>1</v>
      </c>
      <c r="H29" s="116" t="b">
        <v>1</v>
      </c>
      <c r="I29" s="116" t="b">
        <v>1</v>
      </c>
      <c r="J29" s="116" t="b">
        <v>1</v>
      </c>
      <c r="K29" s="116" t="b">
        <v>0</v>
      </c>
      <c r="L29" s="117">
        <f t="shared" si="1"/>
        <v>4</v>
      </c>
      <c r="M29" s="117">
        <f t="shared" si="2"/>
        <v>16</v>
      </c>
      <c r="N29" s="112"/>
      <c r="O29" s="112"/>
    </row>
    <row r="30" ht="15.0" customHeight="1">
      <c r="A30" s="112"/>
      <c r="B30" s="112"/>
      <c r="C30" s="112"/>
      <c r="D30" s="129" t="s">
        <v>191</v>
      </c>
      <c r="E30" s="114" t="str">
        <f>VLOOKUP(D30,Data!H:I,2,0)</f>
        <v>Denizli</v>
      </c>
      <c r="F30" s="115" t="str">
        <f>VLOOKUP(D30,Data!H:J,3,0)</f>
        <v>Nazım Öztel</v>
      </c>
      <c r="G30" s="116" t="b">
        <v>1</v>
      </c>
      <c r="H30" s="116" t="b">
        <v>0</v>
      </c>
      <c r="I30" s="116" t="b">
        <v>0</v>
      </c>
      <c r="J30" s="116" t="b">
        <v>0</v>
      </c>
      <c r="K30" s="116" t="b">
        <v>0</v>
      </c>
      <c r="L30" s="117">
        <f t="shared" si="1"/>
        <v>1</v>
      </c>
      <c r="M30" s="117">
        <f t="shared" si="2"/>
        <v>4</v>
      </c>
      <c r="N30" s="112"/>
      <c r="O30" s="112"/>
    </row>
    <row r="31" ht="15.0" customHeight="1">
      <c r="A31" s="112"/>
      <c r="B31" s="112"/>
      <c r="C31" s="112"/>
      <c r="D31" s="132" t="s">
        <v>54</v>
      </c>
      <c r="E31" s="114" t="str">
        <f>VLOOKUP(D31,Data!H:I,2,0)</f>
        <v>Diyarbakır</v>
      </c>
      <c r="F31" s="115" t="str">
        <f>VLOOKUP(D31,Data!H:J,3,0)</f>
        <v>Nazım Öztel</v>
      </c>
      <c r="G31" s="116" t="b">
        <v>0</v>
      </c>
      <c r="H31" s="116" t="b">
        <v>1</v>
      </c>
      <c r="I31" s="116" t="b">
        <v>0</v>
      </c>
      <c r="J31" s="116" t="b">
        <v>0</v>
      </c>
      <c r="K31" s="116" t="b">
        <v>0</v>
      </c>
      <c r="L31" s="117">
        <f t="shared" si="1"/>
        <v>1</v>
      </c>
      <c r="M31" s="117">
        <f t="shared" si="2"/>
        <v>4</v>
      </c>
      <c r="N31" s="112"/>
      <c r="O31" s="112"/>
    </row>
    <row r="32" ht="15.0" customHeight="1">
      <c r="A32" s="112"/>
      <c r="B32" s="112"/>
      <c r="C32" s="112"/>
      <c r="D32" s="129" t="s">
        <v>173</v>
      </c>
      <c r="E32" s="114" t="str">
        <f>VLOOKUP(D32,Data!H:I,2,0)</f>
        <v>Düzce</v>
      </c>
      <c r="F32" s="115" t="str">
        <f>VLOOKUP(D32,Data!H:J,3,0)</f>
        <v>Nazım Öztel</v>
      </c>
      <c r="G32" s="116" t="b">
        <v>0</v>
      </c>
      <c r="H32" s="116" t="b">
        <v>0</v>
      </c>
      <c r="I32" s="116" t="b">
        <v>0</v>
      </c>
      <c r="J32" s="116" t="b">
        <v>0</v>
      </c>
      <c r="K32" s="116" t="b">
        <v>0</v>
      </c>
      <c r="L32" s="117">
        <f t="shared" si="1"/>
        <v>0</v>
      </c>
      <c r="M32" s="117">
        <f t="shared" si="2"/>
        <v>0</v>
      </c>
      <c r="N32" s="112"/>
      <c r="O32" s="112"/>
    </row>
    <row r="33" ht="15.0" customHeight="1">
      <c r="A33" s="112"/>
      <c r="B33" s="112"/>
      <c r="C33" s="112"/>
      <c r="D33" s="129" t="s">
        <v>153</v>
      </c>
      <c r="E33" s="114" t="str">
        <f>VLOOKUP(D33,Data!H:I,2,0)</f>
        <v>Edirne</v>
      </c>
      <c r="F33" s="115" t="str">
        <f>VLOOKUP(D33,Data!H:J,3,0)</f>
        <v>Nazım Öztel</v>
      </c>
      <c r="G33" s="116" t="b">
        <v>0</v>
      </c>
      <c r="H33" s="116" t="b">
        <v>0</v>
      </c>
      <c r="I33" s="116" t="b">
        <v>1</v>
      </c>
      <c r="J33" s="116" t="b">
        <v>0</v>
      </c>
      <c r="K33" s="116" t="b">
        <v>1</v>
      </c>
      <c r="L33" s="117">
        <f t="shared" si="1"/>
        <v>2</v>
      </c>
      <c r="M33" s="117">
        <f t="shared" si="2"/>
        <v>8</v>
      </c>
      <c r="N33" s="112"/>
      <c r="O33" s="112"/>
    </row>
    <row r="34" ht="15.0" customHeight="1">
      <c r="A34" s="112"/>
      <c r="B34" s="112"/>
      <c r="C34" s="112"/>
      <c r="D34" s="129" t="s">
        <v>199</v>
      </c>
      <c r="E34" s="114" t="str">
        <f>VLOOKUP(D34,Data!H:I,2,0)</f>
        <v>Elazığ</v>
      </c>
      <c r="F34" s="115" t="str">
        <f>VLOOKUP(D34,Data!H:J,3,0)</f>
        <v>Nazım Öztel</v>
      </c>
      <c r="G34" s="116" t="b">
        <v>1</v>
      </c>
      <c r="H34" s="116" t="b">
        <v>0</v>
      </c>
      <c r="I34" s="116" t="b">
        <v>0</v>
      </c>
      <c r="J34" s="116" t="b">
        <v>0</v>
      </c>
      <c r="K34" s="116" t="b">
        <v>0</v>
      </c>
      <c r="L34" s="117">
        <f t="shared" si="1"/>
        <v>1</v>
      </c>
      <c r="M34" s="117">
        <f t="shared" si="2"/>
        <v>4</v>
      </c>
      <c r="N34" s="112"/>
      <c r="O34" s="112"/>
    </row>
    <row r="35" ht="15.0" customHeight="1">
      <c r="A35" s="112"/>
      <c r="B35" s="112"/>
      <c r="C35" s="112"/>
      <c r="D35" s="132" t="s">
        <v>55</v>
      </c>
      <c r="E35" s="114" t="str">
        <f>VLOOKUP(D35,Data!H:I,2,0)</f>
        <v>Erzurum</v>
      </c>
      <c r="F35" s="115" t="str">
        <f>VLOOKUP(D35,Data!H:J,3,0)</f>
        <v>Nazım Öztel</v>
      </c>
      <c r="G35" s="116" t="b">
        <v>0</v>
      </c>
      <c r="H35" s="116" t="b">
        <v>0</v>
      </c>
      <c r="I35" s="116" t="b">
        <v>0</v>
      </c>
      <c r="J35" s="116" t="b">
        <v>0</v>
      </c>
      <c r="K35" s="116" t="b">
        <v>0</v>
      </c>
      <c r="L35" s="117">
        <f t="shared" si="1"/>
        <v>0</v>
      </c>
      <c r="M35" s="117">
        <f t="shared" si="2"/>
        <v>0</v>
      </c>
      <c r="N35" s="112"/>
      <c r="O35" s="112"/>
    </row>
    <row r="36" ht="15.0" customHeight="1">
      <c r="A36" s="112"/>
      <c r="B36" s="112"/>
      <c r="C36" s="112"/>
      <c r="D36" s="129" t="s">
        <v>165</v>
      </c>
      <c r="E36" s="114" t="str">
        <f>VLOOKUP(D36,Data!H:I,2,0)</f>
        <v>Eskişehir</v>
      </c>
      <c r="F36" s="115" t="str">
        <f>VLOOKUP(D36,Data!H:J,3,0)</f>
        <v>Nazım Öztel</v>
      </c>
      <c r="G36" s="116" t="b">
        <v>1</v>
      </c>
      <c r="H36" s="116" t="b">
        <v>1</v>
      </c>
      <c r="I36" s="116" t="b">
        <v>1</v>
      </c>
      <c r="J36" s="116" t="b">
        <v>0</v>
      </c>
      <c r="K36" s="116" t="b">
        <v>1</v>
      </c>
      <c r="L36" s="117">
        <f t="shared" si="1"/>
        <v>4</v>
      </c>
      <c r="M36" s="117">
        <f t="shared" si="2"/>
        <v>16</v>
      </c>
      <c r="N36" s="112"/>
      <c r="O36" s="112"/>
    </row>
    <row r="37" ht="15.0" customHeight="1">
      <c r="A37" s="112"/>
      <c r="B37" s="112"/>
      <c r="C37" s="112"/>
      <c r="D37" s="129" t="s">
        <v>58</v>
      </c>
      <c r="E37" s="114" t="str">
        <f>VLOOKUP(D37,Data!H:I,2,0)</f>
        <v>İstanbul</v>
      </c>
      <c r="F37" s="115" t="str">
        <f>VLOOKUP(D37,Data!H:J,3,0)</f>
        <v>Freelance</v>
      </c>
      <c r="G37" s="116" t="b">
        <v>0</v>
      </c>
      <c r="H37" s="116" t="b">
        <v>0</v>
      </c>
      <c r="I37" s="116" t="b">
        <v>1</v>
      </c>
      <c r="J37" s="116" t="b">
        <v>1</v>
      </c>
      <c r="K37" s="116" t="b">
        <v>1</v>
      </c>
      <c r="L37" s="117">
        <f t="shared" si="1"/>
        <v>3</v>
      </c>
      <c r="M37" s="117">
        <f t="shared" si="2"/>
        <v>12</v>
      </c>
      <c r="N37" s="88"/>
      <c r="O37" s="112"/>
    </row>
    <row r="38" ht="15.0" customHeight="1">
      <c r="A38" s="112"/>
      <c r="B38" s="112"/>
      <c r="C38" s="112"/>
      <c r="D38" s="129" t="s">
        <v>123</v>
      </c>
      <c r="E38" s="114" t="str">
        <f>VLOOKUP(D38,Data!H:I,2,0)</f>
        <v>İstanbul</v>
      </c>
      <c r="F38" s="115" t="str">
        <f>VLOOKUP(D38,Data!H:J,3,0)</f>
        <v>Freelance</v>
      </c>
      <c r="G38" s="116" t="b">
        <v>0</v>
      </c>
      <c r="H38" s="116" t="b">
        <v>0</v>
      </c>
      <c r="I38" s="116" t="b">
        <v>0</v>
      </c>
      <c r="J38" s="116" t="b">
        <v>0</v>
      </c>
      <c r="K38" s="116" t="b">
        <v>0</v>
      </c>
      <c r="L38" s="117">
        <f t="shared" si="1"/>
        <v>0</v>
      </c>
      <c r="M38" s="117">
        <f t="shared" si="2"/>
        <v>0</v>
      </c>
      <c r="N38" s="88"/>
      <c r="O38" s="112"/>
    </row>
    <row r="39" ht="15.0" customHeight="1">
      <c r="A39" s="121"/>
      <c r="B39" s="121"/>
      <c r="C39" s="121"/>
      <c r="D39" s="129" t="s">
        <v>134</v>
      </c>
      <c r="E39" s="114" t="str">
        <f>VLOOKUP(D39,Data!H:I,2,0)</f>
        <v>İstanbul</v>
      </c>
      <c r="F39" s="115" t="str">
        <f>VLOOKUP(D39,Data!H:J,3,0)</f>
        <v>Filamingo</v>
      </c>
      <c r="G39" s="116" t="b">
        <v>0</v>
      </c>
      <c r="H39" s="116" t="b">
        <v>0</v>
      </c>
      <c r="I39" s="116" t="b">
        <v>0</v>
      </c>
      <c r="J39" s="116" t="b">
        <v>0</v>
      </c>
      <c r="K39" s="116" t="b">
        <v>0</v>
      </c>
      <c r="L39" s="117">
        <f t="shared" si="1"/>
        <v>0</v>
      </c>
      <c r="M39" s="117">
        <f t="shared" si="2"/>
        <v>0</v>
      </c>
      <c r="N39" s="121"/>
      <c r="O39" s="121"/>
    </row>
    <row r="40" ht="15.0" customHeight="1">
      <c r="A40" s="112"/>
      <c r="B40" s="112"/>
      <c r="C40" s="112"/>
      <c r="D40" s="132" t="s">
        <v>117</v>
      </c>
      <c r="E40" s="114" t="str">
        <f>VLOOKUP(D40,Data!H:I,2,0)</f>
        <v>İstanbul</v>
      </c>
      <c r="F40" s="115" t="str">
        <f>VLOOKUP(D40,Data!H:J,3,0)</f>
        <v>Freelance</v>
      </c>
      <c r="G40" s="116" t="b">
        <v>1</v>
      </c>
      <c r="H40" s="116" t="b">
        <v>1</v>
      </c>
      <c r="I40" s="116" t="b">
        <v>1</v>
      </c>
      <c r="J40" s="116" t="b">
        <v>1</v>
      </c>
      <c r="K40" s="116" t="b">
        <v>0</v>
      </c>
      <c r="L40" s="117">
        <f t="shared" si="1"/>
        <v>4</v>
      </c>
      <c r="M40" s="117">
        <f t="shared" si="2"/>
        <v>16</v>
      </c>
      <c r="N40" s="112"/>
      <c r="O40" s="112"/>
    </row>
    <row r="41" ht="15.0" customHeight="1">
      <c r="A41" s="112"/>
      <c r="B41" s="112"/>
      <c r="C41" s="112"/>
      <c r="D41" s="129" t="s">
        <v>135</v>
      </c>
      <c r="E41" s="114" t="str">
        <f>VLOOKUP(D41,Data!H:I,2,0)</f>
        <v>İstanbul</v>
      </c>
      <c r="F41" s="115" t="str">
        <f>VLOOKUP(D41,Data!H:J,3,0)</f>
        <v>Freelance</v>
      </c>
      <c r="G41" s="116" t="b">
        <v>0</v>
      </c>
      <c r="H41" s="116" t="b">
        <v>0</v>
      </c>
      <c r="I41" s="116" t="b">
        <v>0</v>
      </c>
      <c r="J41" s="116" t="b">
        <v>1</v>
      </c>
      <c r="K41" s="116" t="b">
        <v>0</v>
      </c>
      <c r="L41" s="117">
        <f t="shared" si="1"/>
        <v>1</v>
      </c>
      <c r="M41" s="117">
        <f t="shared" si="2"/>
        <v>4</v>
      </c>
      <c r="N41" s="112"/>
      <c r="O41" s="112"/>
    </row>
    <row r="42" ht="15.0" customHeight="1">
      <c r="A42" s="112"/>
      <c r="B42" s="112"/>
      <c r="C42" s="112"/>
      <c r="D42" s="129" t="s">
        <v>70</v>
      </c>
      <c r="E42" s="114" t="str">
        <f>VLOOKUP(D42,Data!H:I,2,0)</f>
        <v>İstanbul</v>
      </c>
      <c r="F42" s="115" t="str">
        <f>VLOOKUP(D42,Data!H:J,3,0)</f>
        <v>Freelance</v>
      </c>
      <c r="G42" s="116" t="b">
        <v>0</v>
      </c>
      <c r="H42" s="116" t="b">
        <v>1</v>
      </c>
      <c r="I42" s="116" t="b">
        <v>0</v>
      </c>
      <c r="J42" s="116" t="b">
        <v>0</v>
      </c>
      <c r="K42" s="116" t="b">
        <v>0</v>
      </c>
      <c r="L42" s="117">
        <f t="shared" si="1"/>
        <v>1</v>
      </c>
      <c r="M42" s="117">
        <f t="shared" si="2"/>
        <v>4</v>
      </c>
      <c r="N42" s="112"/>
      <c r="O42" s="112"/>
    </row>
    <row r="43" ht="15.0" customHeight="1">
      <c r="A43" s="112"/>
      <c r="B43" s="112"/>
      <c r="C43" s="112"/>
      <c r="D43" s="129" t="s">
        <v>174</v>
      </c>
      <c r="E43" s="114" t="str">
        <f>VLOOKUP(D43,Data!H:I,2,0)</f>
        <v>İstanbul</v>
      </c>
      <c r="F43" s="115" t="str">
        <f>VLOOKUP(D43,Data!H:J,3,0)</f>
        <v>Freelance</v>
      </c>
      <c r="G43" s="116" t="b">
        <v>1</v>
      </c>
      <c r="H43" s="116" t="b">
        <v>1</v>
      </c>
      <c r="I43" s="116" t="b">
        <v>0</v>
      </c>
      <c r="J43" s="116" t="b">
        <v>0</v>
      </c>
      <c r="K43" s="116" t="b">
        <v>0</v>
      </c>
      <c r="L43" s="117">
        <f t="shared" si="1"/>
        <v>2</v>
      </c>
      <c r="M43" s="117">
        <f t="shared" si="2"/>
        <v>8</v>
      </c>
      <c r="N43" s="112"/>
      <c r="O43" s="112"/>
    </row>
    <row r="44" ht="15.0" customHeight="1">
      <c r="A44" s="112"/>
      <c r="B44" s="112"/>
      <c r="C44" s="112"/>
      <c r="D44" s="129" t="s">
        <v>78</v>
      </c>
      <c r="E44" s="114" t="str">
        <f>VLOOKUP(D44,Data!H:I,2,0)</f>
        <v>İstanbul</v>
      </c>
      <c r="F44" s="115" t="str">
        <f>VLOOKUP(D44,Data!H:J,3,0)</f>
        <v>Freelance</v>
      </c>
      <c r="G44" s="116" t="b">
        <v>1</v>
      </c>
      <c r="H44" s="116" t="b">
        <v>1</v>
      </c>
      <c r="I44" s="116" t="b">
        <v>1</v>
      </c>
      <c r="J44" s="116" t="b">
        <v>1</v>
      </c>
      <c r="K44" s="116" t="b">
        <v>0</v>
      </c>
      <c r="L44" s="117">
        <f t="shared" si="1"/>
        <v>4</v>
      </c>
      <c r="M44" s="117">
        <f t="shared" si="2"/>
        <v>16</v>
      </c>
      <c r="N44" s="112"/>
      <c r="O44" s="112"/>
    </row>
    <row r="45" ht="15.0" customHeight="1">
      <c r="A45" s="112"/>
      <c r="B45" s="112"/>
      <c r="C45" s="112"/>
      <c r="D45" s="132" t="s">
        <v>72</v>
      </c>
      <c r="E45" s="114" t="str">
        <f>VLOOKUP(D45,Data!H:I,2,0)</f>
        <v>İstanbul</v>
      </c>
      <c r="F45" s="115" t="str">
        <f>VLOOKUP(D45,Data!H:J,3,0)</f>
        <v>Filamingo</v>
      </c>
      <c r="G45" s="116" t="b">
        <v>0</v>
      </c>
      <c r="H45" s="116" t="b">
        <v>0</v>
      </c>
      <c r="I45" s="116" t="b">
        <v>0</v>
      </c>
      <c r="J45" s="116" t="b">
        <v>0</v>
      </c>
      <c r="K45" s="116" t="b">
        <v>0</v>
      </c>
      <c r="L45" s="117">
        <f t="shared" si="1"/>
        <v>0</v>
      </c>
      <c r="M45" s="117">
        <f t="shared" si="2"/>
        <v>0</v>
      </c>
      <c r="N45" s="112"/>
      <c r="O45" s="112"/>
    </row>
    <row r="46" ht="15.0" customHeight="1">
      <c r="A46" s="112"/>
      <c r="B46" s="112"/>
      <c r="C46" s="112"/>
      <c r="D46" s="141" t="s">
        <v>125</v>
      </c>
      <c r="E46" s="114" t="str">
        <f>VLOOKUP(D46,Data!H:I,2,0)</f>
        <v>İstanbul</v>
      </c>
      <c r="F46" s="115" t="str">
        <f>VLOOKUP(D46,Data!H:J,3,0)</f>
        <v>Filamingo</v>
      </c>
      <c r="G46" s="116" t="b">
        <v>0</v>
      </c>
      <c r="H46" s="116" t="b">
        <v>0</v>
      </c>
      <c r="I46" s="116" t="b">
        <v>0</v>
      </c>
      <c r="J46" s="116" t="b">
        <v>0</v>
      </c>
      <c r="K46" s="116" t="b">
        <v>0</v>
      </c>
      <c r="L46" s="117">
        <f t="shared" si="1"/>
        <v>0</v>
      </c>
      <c r="M46" s="117">
        <f t="shared" si="2"/>
        <v>0</v>
      </c>
      <c r="N46" s="120"/>
      <c r="O46" s="112"/>
    </row>
    <row r="47" ht="15.0" customHeight="1">
      <c r="A47" s="112"/>
      <c r="B47" s="112"/>
      <c r="C47" s="112"/>
      <c r="D47" s="129" t="s">
        <v>200</v>
      </c>
      <c r="E47" s="114" t="str">
        <f>VLOOKUP(D47,Data!H:I,2,0)</f>
        <v>İstanbul</v>
      </c>
      <c r="F47" s="115" t="str">
        <f>VLOOKUP(D47,Data!H:J,3,0)</f>
        <v>Filamingo</v>
      </c>
      <c r="G47" s="116" t="b">
        <v>1</v>
      </c>
      <c r="H47" s="116" t="b">
        <v>1</v>
      </c>
      <c r="I47" s="116" t="b">
        <v>1</v>
      </c>
      <c r="J47" s="116" t="b">
        <v>1</v>
      </c>
      <c r="K47" s="116" t="b">
        <v>0</v>
      </c>
      <c r="L47" s="117">
        <f t="shared" si="1"/>
        <v>4</v>
      </c>
      <c r="M47" s="117">
        <f t="shared" si="2"/>
        <v>16</v>
      </c>
      <c r="N47" s="120"/>
      <c r="O47" s="112"/>
    </row>
    <row r="48" ht="15.0" customHeight="1">
      <c r="A48" s="112"/>
      <c r="B48" s="112"/>
      <c r="C48" s="112"/>
      <c r="D48" s="129" t="s">
        <v>192</v>
      </c>
      <c r="E48" s="114" t="str">
        <f>VLOOKUP(D48,Data!H:I,2,0)</f>
        <v>İstanbul</v>
      </c>
      <c r="F48" s="115" t="str">
        <f>VLOOKUP(D48,Data!H:J,3,0)</f>
        <v>Filamingo</v>
      </c>
      <c r="G48" s="116" t="b">
        <v>0</v>
      </c>
      <c r="H48" s="116" t="b">
        <v>0</v>
      </c>
      <c r="I48" s="116" t="b">
        <v>0</v>
      </c>
      <c r="J48" s="116" t="b">
        <v>0</v>
      </c>
      <c r="K48" s="116" t="b">
        <v>0</v>
      </c>
      <c r="L48" s="117">
        <f t="shared" si="1"/>
        <v>0</v>
      </c>
      <c r="M48" s="117">
        <f t="shared" si="2"/>
        <v>0</v>
      </c>
      <c r="N48" s="120"/>
      <c r="O48" s="112"/>
    </row>
    <row r="49" ht="15.0" customHeight="1">
      <c r="A49" s="122"/>
      <c r="B49" s="122"/>
      <c r="C49" s="122"/>
      <c r="D49" s="129" t="s">
        <v>79</v>
      </c>
      <c r="E49" s="114" t="str">
        <f>VLOOKUP(D49,Data!H:I,2,0)</f>
        <v>İstanbul</v>
      </c>
      <c r="F49" s="115" t="str">
        <f>VLOOKUP(D49,Data!H:J,3,0)</f>
        <v>Freelance</v>
      </c>
      <c r="G49" s="116" t="b">
        <v>0</v>
      </c>
      <c r="H49" s="116" t="b">
        <v>0</v>
      </c>
      <c r="I49" s="116" t="b">
        <v>0</v>
      </c>
      <c r="J49" s="116" t="b">
        <v>0</v>
      </c>
      <c r="K49" s="116" t="b">
        <v>0</v>
      </c>
      <c r="L49" s="117">
        <f t="shared" si="1"/>
        <v>0</v>
      </c>
      <c r="M49" s="117">
        <f t="shared" si="2"/>
        <v>0</v>
      </c>
      <c r="N49" s="112"/>
      <c r="O49" s="122"/>
    </row>
    <row r="50" ht="15.0" customHeight="1">
      <c r="A50" s="124"/>
      <c r="B50" s="124"/>
      <c r="C50" s="124"/>
      <c r="D50" s="129" t="s">
        <v>80</v>
      </c>
      <c r="E50" s="114" t="str">
        <f>VLOOKUP(D50,Data!H:I,2,0)</f>
        <v>İstanbul</v>
      </c>
      <c r="F50" s="115" t="str">
        <f>VLOOKUP(D50,Data!H:J,3,0)</f>
        <v>Freelance</v>
      </c>
      <c r="G50" s="116" t="b">
        <v>1</v>
      </c>
      <c r="H50" s="116" t="b">
        <v>1</v>
      </c>
      <c r="I50" s="116" t="b">
        <v>1</v>
      </c>
      <c r="J50" s="116" t="b">
        <v>1</v>
      </c>
      <c r="K50" s="116" t="b">
        <v>0</v>
      </c>
      <c r="L50" s="117">
        <f t="shared" si="1"/>
        <v>4</v>
      </c>
      <c r="M50" s="117">
        <f t="shared" si="2"/>
        <v>16</v>
      </c>
      <c r="N50" s="112"/>
      <c r="O50" s="124"/>
    </row>
    <row r="51" ht="15.0" customHeight="1">
      <c r="A51" s="124"/>
      <c r="B51" s="124"/>
      <c r="C51" s="124"/>
      <c r="D51" s="129" t="s">
        <v>81</v>
      </c>
      <c r="E51" s="114" t="str">
        <f>VLOOKUP(D51,Data!H:I,2,0)</f>
        <v>İstanbul</v>
      </c>
      <c r="F51" s="115" t="str">
        <f>VLOOKUP(D51,Data!H:J,3,0)</f>
        <v>Freelance</v>
      </c>
      <c r="G51" s="116" t="b">
        <v>1</v>
      </c>
      <c r="H51" s="116" t="b">
        <v>0</v>
      </c>
      <c r="I51" s="116" t="b">
        <v>0</v>
      </c>
      <c r="J51" s="116" t="b">
        <v>0</v>
      </c>
      <c r="K51" s="116" t="b">
        <v>0</v>
      </c>
      <c r="L51" s="117">
        <f t="shared" si="1"/>
        <v>1</v>
      </c>
      <c r="M51" s="117">
        <f t="shared" si="2"/>
        <v>4</v>
      </c>
      <c r="N51" s="112"/>
      <c r="O51" s="124"/>
    </row>
    <row r="52" ht="15.0" customHeight="1">
      <c r="A52" s="112"/>
      <c r="B52" s="112"/>
      <c r="C52" s="112"/>
      <c r="D52" s="129" t="s">
        <v>166</v>
      </c>
      <c r="E52" s="114" t="str">
        <f>VLOOKUP(D52,Data!H:I,2,0)</f>
        <v>İstanbul</v>
      </c>
      <c r="F52" s="115" t="str">
        <f>VLOOKUP(D52,Data!H:J,3,0)</f>
        <v>Filamingo</v>
      </c>
      <c r="G52" s="116" t="b">
        <v>0</v>
      </c>
      <c r="H52" s="116" t="b">
        <v>0</v>
      </c>
      <c r="I52" s="116" t="b">
        <v>0</v>
      </c>
      <c r="J52" s="116" t="b">
        <v>0</v>
      </c>
      <c r="K52" s="116" t="b">
        <v>0</v>
      </c>
      <c r="L52" s="117">
        <f t="shared" si="1"/>
        <v>0</v>
      </c>
      <c r="M52" s="117">
        <f t="shared" si="2"/>
        <v>0</v>
      </c>
      <c r="N52" s="124"/>
      <c r="O52" s="112"/>
    </row>
    <row r="53" ht="15.0" customHeight="1">
      <c r="A53" s="112"/>
      <c r="B53" s="112"/>
      <c r="C53" s="112"/>
      <c r="D53" s="129" t="s">
        <v>201</v>
      </c>
      <c r="E53" s="114" t="str">
        <f>VLOOKUP(D53,Data!H:I,2,0)</f>
        <v>İstanbul</v>
      </c>
      <c r="F53" s="115" t="str">
        <f>VLOOKUP(D53,Data!H:J,3,0)</f>
        <v>Freelance</v>
      </c>
      <c r="G53" s="116" t="b">
        <v>1</v>
      </c>
      <c r="H53" s="116" t="b">
        <v>0</v>
      </c>
      <c r="I53" s="116" t="b">
        <v>1</v>
      </c>
      <c r="J53" s="116" t="b">
        <v>0</v>
      </c>
      <c r="K53" s="116" t="b">
        <v>1</v>
      </c>
      <c r="L53" s="117">
        <f t="shared" si="1"/>
        <v>3</v>
      </c>
      <c r="M53" s="117">
        <f t="shared" si="2"/>
        <v>12</v>
      </c>
      <c r="N53" s="112"/>
      <c r="O53" s="112"/>
    </row>
    <row r="54" ht="15.0" customHeight="1">
      <c r="A54" s="112"/>
      <c r="B54" s="112"/>
      <c r="C54" s="112"/>
      <c r="D54" s="132" t="s">
        <v>119</v>
      </c>
      <c r="E54" s="114" t="str">
        <f>VLOOKUP(D54,Data!H:I,2,0)</f>
        <v>İstanbul</v>
      </c>
      <c r="F54" s="115" t="str">
        <f>VLOOKUP(D54,Data!H:J,3,0)</f>
        <v>Filamingo</v>
      </c>
      <c r="G54" s="116" t="b">
        <v>1</v>
      </c>
      <c r="H54" s="116" t="b">
        <v>0</v>
      </c>
      <c r="I54" s="116" t="b">
        <v>1</v>
      </c>
      <c r="J54" s="116" t="b">
        <v>0</v>
      </c>
      <c r="K54" s="116" t="b">
        <v>0</v>
      </c>
      <c r="L54" s="117">
        <f t="shared" si="1"/>
        <v>2</v>
      </c>
      <c r="M54" s="117">
        <f t="shared" si="2"/>
        <v>8</v>
      </c>
      <c r="N54" s="112"/>
      <c r="O54" s="112"/>
    </row>
    <row r="55" ht="15.0" customHeight="1">
      <c r="A55" s="112"/>
      <c r="B55" s="112"/>
      <c r="C55" s="112"/>
      <c r="D55" s="129" t="s">
        <v>185</v>
      </c>
      <c r="E55" s="114" t="str">
        <f>VLOOKUP(D55,Data!H:I,2,0)</f>
        <v>İstanbul</v>
      </c>
      <c r="F55" s="115" t="str">
        <f>VLOOKUP(D55,Data!H:J,3,0)</f>
        <v>Filamingo</v>
      </c>
      <c r="G55" s="116" t="b">
        <v>1</v>
      </c>
      <c r="H55" s="116" t="b">
        <v>1</v>
      </c>
      <c r="I55" s="116" t="b">
        <v>1</v>
      </c>
      <c r="J55" s="116" t="b">
        <v>1</v>
      </c>
      <c r="K55" s="116" t="b">
        <v>0</v>
      </c>
      <c r="L55" s="117">
        <f t="shared" si="1"/>
        <v>4</v>
      </c>
      <c r="M55" s="117">
        <f t="shared" si="2"/>
        <v>16</v>
      </c>
      <c r="N55" s="112"/>
      <c r="O55" s="112"/>
    </row>
    <row r="56" ht="15.0" customHeight="1">
      <c r="A56" s="112"/>
      <c r="B56" s="112"/>
      <c r="C56" s="112"/>
      <c r="D56" s="129" t="s">
        <v>175</v>
      </c>
      <c r="E56" s="114" t="str">
        <f>VLOOKUP(D56,Data!H:I,2,0)</f>
        <v>İstanbul</v>
      </c>
      <c r="F56" s="115" t="str">
        <f>VLOOKUP(D56,Data!H:J,3,0)</f>
        <v>Freelance</v>
      </c>
      <c r="G56" s="116" t="b">
        <v>0</v>
      </c>
      <c r="H56" s="116" t="b">
        <v>0</v>
      </c>
      <c r="I56" s="116" t="b">
        <v>0</v>
      </c>
      <c r="J56" s="116" t="b">
        <v>0</v>
      </c>
      <c r="K56" s="116" t="b">
        <v>0</v>
      </c>
      <c r="L56" s="117">
        <f t="shared" si="1"/>
        <v>0</v>
      </c>
      <c r="M56" s="117">
        <f t="shared" si="2"/>
        <v>0</v>
      </c>
      <c r="N56" s="125"/>
      <c r="O56" s="112"/>
    </row>
    <row r="57" ht="15.0" customHeight="1">
      <c r="A57" s="112"/>
      <c r="B57" s="112"/>
      <c r="C57" s="112"/>
      <c r="D57" s="132" t="s">
        <v>83</v>
      </c>
      <c r="E57" s="114" t="str">
        <f>VLOOKUP(D57,Data!H:I,2,0)</f>
        <v>İstanbul</v>
      </c>
      <c r="F57" s="115" t="str">
        <f>VLOOKUP(D57,Data!H:J,3,0)</f>
        <v>Nazım Öztel</v>
      </c>
      <c r="G57" s="116" t="b">
        <v>1</v>
      </c>
      <c r="H57" s="116" t="b">
        <v>1</v>
      </c>
      <c r="I57" s="116" t="b">
        <v>1</v>
      </c>
      <c r="J57" s="116" t="b">
        <v>1</v>
      </c>
      <c r="K57" s="116" t="b">
        <v>1</v>
      </c>
      <c r="L57" s="117">
        <f t="shared" si="1"/>
        <v>5</v>
      </c>
      <c r="M57" s="117">
        <f t="shared" si="2"/>
        <v>20</v>
      </c>
      <c r="N57" s="112"/>
      <c r="O57" s="112"/>
    </row>
    <row r="58" ht="15.0" customHeight="1">
      <c r="A58" s="125"/>
      <c r="B58" s="125"/>
      <c r="C58" s="125"/>
      <c r="D58" s="129" t="s">
        <v>145</v>
      </c>
      <c r="E58" s="114" t="str">
        <f>VLOOKUP(D58,Data!H:I,2,0)</f>
        <v>İstanbul</v>
      </c>
      <c r="F58" s="115" t="str">
        <f>VLOOKUP(D58,Data!H:J,3,0)</f>
        <v>Filamingo</v>
      </c>
      <c r="G58" s="116" t="b">
        <v>0</v>
      </c>
      <c r="H58" s="116" t="b">
        <v>1</v>
      </c>
      <c r="I58" s="116" t="b">
        <v>1</v>
      </c>
      <c r="J58" s="116" t="b">
        <v>1</v>
      </c>
      <c r="K58" s="116" t="b">
        <v>0</v>
      </c>
      <c r="L58" s="117">
        <f t="shared" si="1"/>
        <v>3</v>
      </c>
      <c r="M58" s="117">
        <f t="shared" si="2"/>
        <v>12</v>
      </c>
      <c r="N58" s="112"/>
      <c r="O58" s="125"/>
    </row>
    <row r="59" ht="15.0" customHeight="1">
      <c r="A59" s="125"/>
      <c r="B59" s="125"/>
      <c r="C59" s="125"/>
      <c r="D59" s="129" t="s">
        <v>202</v>
      </c>
      <c r="E59" s="114" t="str">
        <f>VLOOKUP(D59,Data!H:I,2,0)</f>
        <v>İstanbul</v>
      </c>
      <c r="F59" s="115" t="str">
        <f>VLOOKUP(D59,Data!H:J,3,0)</f>
        <v>Filamingo</v>
      </c>
      <c r="G59" s="116" t="b">
        <v>0</v>
      </c>
      <c r="H59" s="116" t="b">
        <v>1</v>
      </c>
      <c r="I59" s="116" t="b">
        <v>1</v>
      </c>
      <c r="J59" s="116" t="b">
        <v>0</v>
      </c>
      <c r="K59" s="116" t="b">
        <v>0</v>
      </c>
      <c r="L59" s="117">
        <f t="shared" si="1"/>
        <v>2</v>
      </c>
      <c r="M59" s="117">
        <f t="shared" si="2"/>
        <v>8</v>
      </c>
      <c r="N59" s="112"/>
      <c r="O59" s="125"/>
    </row>
    <row r="60" ht="15.0" customHeight="1">
      <c r="A60" s="125"/>
      <c r="B60" s="125"/>
      <c r="C60" s="125"/>
      <c r="D60" s="129" t="s">
        <v>186</v>
      </c>
      <c r="E60" s="114" t="str">
        <f>VLOOKUP(D60,Data!H:I,2,0)</f>
        <v>İstanbul</v>
      </c>
      <c r="F60" s="115" t="str">
        <f>VLOOKUP(D60,Data!H:J,3,0)</f>
        <v>Filamingo</v>
      </c>
      <c r="G60" s="116" t="b">
        <v>0</v>
      </c>
      <c r="H60" s="116" t="b">
        <v>0</v>
      </c>
      <c r="I60" s="116" t="b">
        <v>0</v>
      </c>
      <c r="J60" s="116" t="b">
        <v>0</v>
      </c>
      <c r="K60" s="116" t="b">
        <v>0</v>
      </c>
      <c r="L60" s="117">
        <f t="shared" si="1"/>
        <v>0</v>
      </c>
      <c r="M60" s="117">
        <f t="shared" si="2"/>
        <v>0</v>
      </c>
      <c r="N60" s="112"/>
      <c r="O60" s="125"/>
    </row>
    <row r="61" ht="15.0" customHeight="1">
      <c r="A61" s="122"/>
      <c r="B61" s="122"/>
      <c r="C61" s="122"/>
      <c r="D61" s="129" t="s">
        <v>87</v>
      </c>
      <c r="E61" s="114" t="str">
        <f>VLOOKUP(D61,Data!H:I,2,0)</f>
        <v>İstanbul</v>
      </c>
      <c r="F61" s="115" t="str">
        <f>VLOOKUP(D61,Data!H:J,3,0)</f>
        <v>Freelance</v>
      </c>
      <c r="G61" s="116" t="b">
        <v>0</v>
      </c>
      <c r="H61" s="116" t="b">
        <v>0</v>
      </c>
      <c r="I61" s="116" t="b">
        <v>0</v>
      </c>
      <c r="J61" s="116" t="b">
        <v>0</v>
      </c>
      <c r="K61" s="116" t="b">
        <v>0</v>
      </c>
      <c r="L61" s="117">
        <f t="shared" si="1"/>
        <v>0</v>
      </c>
      <c r="M61" s="117">
        <f t="shared" si="2"/>
        <v>0</v>
      </c>
      <c r="N61" s="112"/>
      <c r="O61" s="122"/>
    </row>
    <row r="62" ht="15.0" customHeight="1">
      <c r="A62" s="112"/>
      <c r="B62" s="112"/>
      <c r="C62" s="112"/>
      <c r="D62" s="132" t="s">
        <v>88</v>
      </c>
      <c r="E62" s="114" t="str">
        <f>VLOOKUP(D62,Data!H:I,2,0)</f>
        <v>İstanbul</v>
      </c>
      <c r="F62" s="115" t="str">
        <f>VLOOKUP(D62,Data!H:J,3,0)</f>
        <v>Nazım Öztel</v>
      </c>
      <c r="G62" s="116" t="b">
        <v>0</v>
      </c>
      <c r="H62" s="116" t="b">
        <v>0</v>
      </c>
      <c r="I62" s="116" t="b">
        <v>0</v>
      </c>
      <c r="J62" s="116" t="b">
        <v>0</v>
      </c>
      <c r="K62" s="116" t="b">
        <v>0</v>
      </c>
      <c r="L62" s="117">
        <f t="shared" si="1"/>
        <v>0</v>
      </c>
      <c r="M62" s="117">
        <f t="shared" si="2"/>
        <v>0</v>
      </c>
      <c r="N62" s="112"/>
      <c r="O62" s="112"/>
    </row>
    <row r="63" ht="15.0" customHeight="1">
      <c r="A63" s="112"/>
      <c r="B63" s="112"/>
      <c r="C63" s="112"/>
      <c r="D63" s="132" t="s">
        <v>89</v>
      </c>
      <c r="E63" s="114" t="str">
        <f>VLOOKUP(D63,Data!H:I,2,0)</f>
        <v>İstanbul</v>
      </c>
      <c r="F63" s="115" t="str">
        <f>VLOOKUP(D63,Data!H:J,3,0)</f>
        <v>Filamingo</v>
      </c>
      <c r="G63" s="116" t="b">
        <v>0</v>
      </c>
      <c r="H63" s="116" t="b">
        <v>0</v>
      </c>
      <c r="I63" s="116" t="b">
        <v>0</v>
      </c>
      <c r="J63" s="116" t="b">
        <v>0</v>
      </c>
      <c r="K63" s="116" t="b">
        <v>0</v>
      </c>
      <c r="L63" s="117">
        <f t="shared" si="1"/>
        <v>0</v>
      </c>
      <c r="M63" s="117">
        <f t="shared" si="2"/>
        <v>0</v>
      </c>
      <c r="N63" s="112"/>
      <c r="O63" s="112"/>
    </row>
    <row r="64" ht="15.0" customHeight="1">
      <c r="A64" s="112"/>
      <c r="B64" s="112"/>
      <c r="C64" s="112"/>
      <c r="D64" s="132" t="s">
        <v>92</v>
      </c>
      <c r="E64" s="114" t="str">
        <f>VLOOKUP(D64,Data!H:I,2,0)</f>
        <v>İzmir</v>
      </c>
      <c r="F64" s="115" t="str">
        <f>VLOOKUP(D64,Data!H:J,3,0)</f>
        <v>Nazım Öztel</v>
      </c>
      <c r="G64" s="116" t="b">
        <v>1</v>
      </c>
      <c r="H64" s="116" t="b">
        <v>1</v>
      </c>
      <c r="I64" s="116" t="b">
        <v>1</v>
      </c>
      <c r="J64" s="116" t="b">
        <v>1</v>
      </c>
      <c r="K64" s="116" t="b">
        <v>1</v>
      </c>
      <c r="L64" s="117">
        <f t="shared" si="1"/>
        <v>5</v>
      </c>
      <c r="M64" s="117">
        <f t="shared" si="2"/>
        <v>20</v>
      </c>
      <c r="N64" s="125"/>
      <c r="O64" s="112"/>
    </row>
    <row r="65" ht="15.0" customHeight="1">
      <c r="A65" s="112"/>
      <c r="B65" s="112"/>
      <c r="C65" s="112"/>
      <c r="D65" s="129" t="s">
        <v>139</v>
      </c>
      <c r="E65" s="114" t="s">
        <v>129</v>
      </c>
      <c r="F65" s="115" t="str">
        <f>VLOOKUP(D65,Data!H:J,3,0)</f>
        <v>Nazım Öztel</v>
      </c>
      <c r="G65" s="116" t="b">
        <v>0</v>
      </c>
      <c r="H65" s="116" t="b">
        <v>1</v>
      </c>
      <c r="I65" s="116" t="b">
        <v>1</v>
      </c>
      <c r="J65" s="116" t="b">
        <v>1</v>
      </c>
      <c r="K65" s="116" t="b">
        <v>1</v>
      </c>
      <c r="L65" s="117">
        <f t="shared" si="1"/>
        <v>4</v>
      </c>
      <c r="M65" s="117">
        <f t="shared" si="2"/>
        <v>16</v>
      </c>
      <c r="N65" s="125"/>
      <c r="O65" s="112"/>
    </row>
    <row r="66" ht="15.0" customHeight="1">
      <c r="A66" s="112"/>
      <c r="B66" s="112"/>
      <c r="C66" s="112"/>
      <c r="D66" s="129" t="s">
        <v>93</v>
      </c>
      <c r="E66" s="114" t="str">
        <f>VLOOKUP(D66,Data!H:I,2,0)</f>
        <v>İzmir</v>
      </c>
      <c r="F66" s="115" t="str">
        <f>VLOOKUP(D66,Data!H:J,3,0)</f>
        <v>Freelance</v>
      </c>
      <c r="G66" s="116" t="b">
        <v>1</v>
      </c>
      <c r="H66" s="116" t="b">
        <v>1</v>
      </c>
      <c r="I66" s="116" t="b">
        <v>1</v>
      </c>
      <c r="J66" s="116" t="b">
        <v>1</v>
      </c>
      <c r="K66" s="116" t="b">
        <v>1</v>
      </c>
      <c r="L66" s="117">
        <f t="shared" si="1"/>
        <v>5</v>
      </c>
      <c r="M66" s="117">
        <f t="shared" si="2"/>
        <v>20</v>
      </c>
      <c r="N66" s="112"/>
      <c r="O66" s="112"/>
    </row>
    <row r="67" ht="15.0" customHeight="1">
      <c r="A67" s="112"/>
      <c r="B67" s="112"/>
      <c r="C67" s="112"/>
      <c r="D67" s="129" t="s">
        <v>161</v>
      </c>
      <c r="E67" s="143" t="str">
        <f>VLOOKUP(D67,Data!H:I,2,0)</f>
        <v>Kahramanmaraş</v>
      </c>
      <c r="F67" s="115" t="str">
        <f>VLOOKUP(D67,Data!H:J,3,0)</f>
        <v>Nazım Öztel</v>
      </c>
      <c r="G67" s="116" t="b">
        <v>1</v>
      </c>
      <c r="H67" s="116" t="b">
        <v>1</v>
      </c>
      <c r="I67" s="116" t="b">
        <v>0</v>
      </c>
      <c r="J67" s="116" t="b">
        <v>0</v>
      </c>
      <c r="K67" s="116" t="b">
        <v>0</v>
      </c>
      <c r="L67" s="117">
        <f t="shared" si="1"/>
        <v>2</v>
      </c>
      <c r="M67" s="117">
        <f t="shared" si="2"/>
        <v>8</v>
      </c>
      <c r="N67" s="112"/>
      <c r="O67" s="112"/>
    </row>
    <row r="68" ht="15.0" customHeight="1">
      <c r="A68" s="112"/>
      <c r="B68" s="112"/>
      <c r="C68" s="112"/>
      <c r="D68" s="129" t="s">
        <v>176</v>
      </c>
      <c r="E68" s="114" t="str">
        <f>VLOOKUP(D68,Data!H:I,2,0)</f>
        <v>Karabük</v>
      </c>
      <c r="F68" s="115" t="str">
        <f>VLOOKUP(D68,Data!H:J,3,0)</f>
        <v>Nazım Öztel</v>
      </c>
      <c r="G68" s="116" t="b">
        <v>0</v>
      </c>
      <c r="H68" s="116" t="b">
        <v>0</v>
      </c>
      <c r="I68" s="116" t="b">
        <v>0</v>
      </c>
      <c r="J68" s="116" t="b">
        <v>0</v>
      </c>
      <c r="K68" s="116" t="b">
        <v>0</v>
      </c>
      <c r="L68" s="117">
        <f t="shared" si="1"/>
        <v>0</v>
      </c>
      <c r="M68" s="117">
        <f t="shared" si="2"/>
        <v>0</v>
      </c>
      <c r="N68" s="112"/>
      <c r="O68" s="112"/>
    </row>
    <row r="69" ht="15.0" customHeight="1">
      <c r="A69" s="112"/>
      <c r="B69" s="112"/>
      <c r="C69" s="112"/>
      <c r="D69" s="132" t="s">
        <v>96</v>
      </c>
      <c r="E69" s="114" t="str">
        <f>VLOOKUP(D69,Data!H:I,2,0)</f>
        <v>Kocaeli</v>
      </c>
      <c r="F69" s="115" t="str">
        <f>VLOOKUP(D69,Data!H:J,3,0)</f>
        <v>Nazım Öztel</v>
      </c>
      <c r="G69" s="116" t="b">
        <v>0</v>
      </c>
      <c r="H69" s="116" t="b">
        <v>0</v>
      </c>
      <c r="I69" s="116" t="b">
        <v>0</v>
      </c>
      <c r="J69" s="116" t="b">
        <v>0</v>
      </c>
      <c r="K69" s="116" t="b">
        <v>0</v>
      </c>
      <c r="L69" s="117">
        <f t="shared" si="1"/>
        <v>0</v>
      </c>
      <c r="M69" s="117">
        <f t="shared" si="2"/>
        <v>0</v>
      </c>
      <c r="N69" s="112"/>
      <c r="O69" s="112"/>
    </row>
    <row r="70" ht="15.0" customHeight="1">
      <c r="A70" s="112"/>
      <c r="B70" s="112"/>
      <c r="C70" s="112"/>
      <c r="D70" s="129" t="s">
        <v>147</v>
      </c>
      <c r="E70" s="114" t="str">
        <f>VLOOKUP(D70,Data!H:I,2,0)</f>
        <v>Kocaeli</v>
      </c>
      <c r="F70" s="115" t="str">
        <f>VLOOKUP(D70,Data!H:J,3,0)</f>
        <v>Nazım Öztel</v>
      </c>
      <c r="G70" s="116" t="b">
        <v>0</v>
      </c>
      <c r="H70" s="116" t="b">
        <v>0</v>
      </c>
      <c r="I70" s="116" t="b">
        <v>0</v>
      </c>
      <c r="J70" s="116" t="b">
        <v>0</v>
      </c>
      <c r="K70" s="116" t="b">
        <v>0</v>
      </c>
      <c r="L70" s="117">
        <f t="shared" si="1"/>
        <v>0</v>
      </c>
      <c r="M70" s="117">
        <f t="shared" si="2"/>
        <v>0</v>
      </c>
      <c r="N70" s="112"/>
      <c r="O70" s="112"/>
    </row>
    <row r="71" ht="15.0" customHeight="1">
      <c r="A71" s="112"/>
      <c r="B71" s="112"/>
      <c r="C71" s="112"/>
      <c r="D71" s="129" t="s">
        <v>203</v>
      </c>
      <c r="E71" s="114" t="str">
        <f>VLOOKUP(D71,Data!H:I,2,0)</f>
        <v>Malatya</v>
      </c>
      <c r="F71" s="115" t="str">
        <f>VLOOKUP(D71,Data!H:J,3,0)</f>
        <v>Nazım Öztel</v>
      </c>
      <c r="G71" s="116" t="b">
        <v>1</v>
      </c>
      <c r="H71" s="116" t="b">
        <v>1</v>
      </c>
      <c r="I71" s="116" t="b">
        <v>1</v>
      </c>
      <c r="J71" s="116" t="b">
        <v>1</v>
      </c>
      <c r="K71" s="116" t="b">
        <v>1</v>
      </c>
      <c r="L71" s="117">
        <f t="shared" si="1"/>
        <v>5</v>
      </c>
      <c r="M71" s="117">
        <f t="shared" si="2"/>
        <v>20</v>
      </c>
      <c r="N71" s="112"/>
      <c r="O71" s="112"/>
    </row>
    <row r="72" ht="15.0" customHeight="1">
      <c r="A72" s="112"/>
      <c r="B72" s="112"/>
      <c r="C72" s="112"/>
      <c r="D72" s="132" t="s">
        <v>98</v>
      </c>
      <c r="E72" s="114" t="str">
        <f>VLOOKUP(D72,Data!H:I,2,0)</f>
        <v>Manisa</v>
      </c>
      <c r="F72" s="115" t="str">
        <f>VLOOKUP(D72,Data!H:J,3,0)</f>
        <v>Nazım Öztel</v>
      </c>
      <c r="G72" s="116" t="b">
        <v>0</v>
      </c>
      <c r="H72" s="116" t="b">
        <v>0</v>
      </c>
      <c r="I72" s="116" t="b">
        <v>0</v>
      </c>
      <c r="J72" s="116" t="b">
        <v>0</v>
      </c>
      <c r="K72" s="116" t="b">
        <v>0</v>
      </c>
      <c r="L72" s="117">
        <f t="shared" si="1"/>
        <v>0</v>
      </c>
      <c r="M72" s="117">
        <f t="shared" si="2"/>
        <v>0</v>
      </c>
      <c r="N72" s="142"/>
      <c r="O72" s="112"/>
    </row>
    <row r="73" ht="15.0" customHeight="1">
      <c r="A73" s="112"/>
      <c r="B73" s="112"/>
      <c r="C73" s="112"/>
      <c r="D73" s="132" t="s">
        <v>99</v>
      </c>
      <c r="E73" s="114" t="str">
        <f>VLOOKUP(D73,Data!H:I,2,0)</f>
        <v>Mersin</v>
      </c>
      <c r="F73" s="115" t="str">
        <f>VLOOKUP(D73,Data!H:J,3,0)</f>
        <v>Nazım Öztel</v>
      </c>
      <c r="G73" s="116" t="b">
        <v>1</v>
      </c>
      <c r="H73" s="116" t="b">
        <v>1</v>
      </c>
      <c r="I73" s="116" t="b">
        <v>1</v>
      </c>
      <c r="J73" s="116" t="b">
        <v>0</v>
      </c>
      <c r="K73" s="116" t="b">
        <v>0</v>
      </c>
      <c r="L73" s="117">
        <f t="shared" si="1"/>
        <v>3</v>
      </c>
      <c r="M73" s="117">
        <f t="shared" si="2"/>
        <v>12</v>
      </c>
      <c r="N73" s="106"/>
      <c r="O73" s="112"/>
    </row>
    <row r="74" ht="15.0" customHeight="1">
      <c r="A74" s="112"/>
      <c r="B74" s="112"/>
      <c r="C74" s="112"/>
      <c r="D74" s="129" t="s">
        <v>169</v>
      </c>
      <c r="E74" s="114" t="str">
        <f>VLOOKUP(D74,Data!H:I,2,0)</f>
        <v>Mersin</v>
      </c>
      <c r="F74" s="115" t="str">
        <f>VLOOKUP(D74,Data!H:J,3,0)</f>
        <v>Nazım Öztel</v>
      </c>
      <c r="G74" s="116" t="b">
        <v>1</v>
      </c>
      <c r="H74" s="116" t="b">
        <v>1</v>
      </c>
      <c r="I74" s="116" t="b">
        <v>0</v>
      </c>
      <c r="J74" s="116" t="b">
        <v>0</v>
      </c>
      <c r="K74" s="116" t="b">
        <v>0</v>
      </c>
      <c r="L74" s="117">
        <f t="shared" si="1"/>
        <v>2</v>
      </c>
      <c r="M74" s="117">
        <f t="shared" si="2"/>
        <v>8</v>
      </c>
      <c r="N74" s="106"/>
      <c r="O74" s="112"/>
    </row>
    <row r="75" ht="15.0" customHeight="1">
      <c r="A75" s="112"/>
      <c r="B75" s="112"/>
      <c r="C75" s="112"/>
      <c r="D75" s="129" t="s">
        <v>148</v>
      </c>
      <c r="E75" s="114" t="str">
        <f>VLOOKUP(D75,Data!H:I,2,0)</f>
        <v>Muğla</v>
      </c>
      <c r="F75" s="115" t="str">
        <f>VLOOKUP(D75,Data!H:J,3,0)</f>
        <v>Nazım Öztel</v>
      </c>
      <c r="G75" s="116" t="b">
        <v>1</v>
      </c>
      <c r="H75" s="116" t="b">
        <v>1</v>
      </c>
      <c r="I75" s="116" t="b">
        <v>1</v>
      </c>
      <c r="J75" s="116" t="b">
        <v>1</v>
      </c>
      <c r="K75" s="116" t="b">
        <v>1</v>
      </c>
      <c r="L75" s="117">
        <f t="shared" si="1"/>
        <v>5</v>
      </c>
      <c r="M75" s="117">
        <f t="shared" si="2"/>
        <v>20</v>
      </c>
      <c r="N75" s="106"/>
      <c r="O75" s="112"/>
    </row>
    <row r="76" ht="15.0" customHeight="1">
      <c r="A76" s="112"/>
      <c r="B76" s="112"/>
      <c r="C76" s="112"/>
      <c r="D76" s="129" t="s">
        <v>193</v>
      </c>
      <c r="E76" s="114" t="str">
        <f>VLOOKUP(D76,Data!H:I,2,0)</f>
        <v>Samsun</v>
      </c>
      <c r="F76" s="115" t="str">
        <f>VLOOKUP(D76,Data!H:J,3,0)</f>
        <v>Nazım Öztel</v>
      </c>
      <c r="G76" s="116" t="b">
        <v>1</v>
      </c>
      <c r="H76" s="116" t="b">
        <v>1</v>
      </c>
      <c r="I76" s="116" t="b">
        <v>1</v>
      </c>
      <c r="J76" s="116" t="b">
        <v>1</v>
      </c>
      <c r="K76" s="116" t="b">
        <v>1</v>
      </c>
      <c r="L76" s="117">
        <f t="shared" si="1"/>
        <v>5</v>
      </c>
      <c r="M76" s="117">
        <f t="shared" si="2"/>
        <v>20</v>
      </c>
      <c r="N76" s="106"/>
      <c r="O76" s="112"/>
    </row>
    <row r="77" ht="15.0" customHeight="1">
      <c r="A77" s="112"/>
      <c r="B77" s="112"/>
      <c r="C77" s="112"/>
      <c r="D77" s="129" t="s">
        <v>104</v>
      </c>
      <c r="E77" s="114" t="str">
        <f>VLOOKUP(D77,Data!H:I,2,0)</f>
        <v>Tekirdağ</v>
      </c>
      <c r="F77" s="115" t="str">
        <f>VLOOKUP(D77,Data!H:J,3,0)</f>
        <v>Freelance</v>
      </c>
      <c r="G77" s="139" t="b">
        <v>0</v>
      </c>
      <c r="H77" s="139" t="b">
        <v>0</v>
      </c>
      <c r="I77" s="139" t="b">
        <v>1</v>
      </c>
      <c r="J77" s="139" t="b">
        <v>0</v>
      </c>
      <c r="K77" s="139" t="b">
        <v>1</v>
      </c>
      <c r="L77" s="117">
        <f t="shared" si="1"/>
        <v>2</v>
      </c>
      <c r="M77" s="117">
        <f t="shared" si="2"/>
        <v>8</v>
      </c>
      <c r="N77" s="112"/>
      <c r="O77" s="112"/>
    </row>
    <row r="78" ht="15.0" customHeight="1">
      <c r="A78" s="112"/>
      <c r="B78" s="112"/>
      <c r="C78" s="112"/>
      <c r="D78" s="129" t="s">
        <v>154</v>
      </c>
      <c r="E78" s="114" t="str">
        <f>VLOOKUP(D78,Data!H:I,2,0)</f>
        <v>Uşak</v>
      </c>
      <c r="F78" s="115" t="str">
        <f>VLOOKUP(D78,Data!H:J,3,0)</f>
        <v>Nazım Öztel</v>
      </c>
      <c r="G78" s="139" t="b">
        <v>0</v>
      </c>
      <c r="H78" s="139" t="b">
        <v>1</v>
      </c>
      <c r="I78" s="139" t="b">
        <v>0</v>
      </c>
      <c r="J78" s="139" t="b">
        <v>0</v>
      </c>
      <c r="K78" s="139" t="b">
        <v>0</v>
      </c>
      <c r="L78" s="117">
        <f t="shared" si="1"/>
        <v>1</v>
      </c>
      <c r="M78" s="117">
        <f t="shared" si="2"/>
        <v>4</v>
      </c>
      <c r="N78" s="112"/>
      <c r="O78" s="112"/>
    </row>
    <row r="79" ht="15.0" customHeight="1">
      <c r="A79" s="112"/>
      <c r="B79" s="112"/>
      <c r="C79" s="112"/>
      <c r="D79" s="132"/>
      <c r="E79" s="132"/>
      <c r="F79" s="132"/>
      <c r="G79" s="117">
        <f t="shared" ref="G79:K79" si="3">4*(COUNTIF(G15:G78,"true"))</f>
        <v>108</v>
      </c>
      <c r="H79" s="117">
        <f t="shared" si="3"/>
        <v>124</v>
      </c>
      <c r="I79" s="117">
        <f t="shared" si="3"/>
        <v>132</v>
      </c>
      <c r="J79" s="117">
        <f t="shared" si="3"/>
        <v>96</v>
      </c>
      <c r="K79" s="117">
        <f t="shared" si="3"/>
        <v>72</v>
      </c>
      <c r="L79" s="135"/>
      <c r="M79" s="135">
        <f>SUM(G79:K79)</f>
        <v>532</v>
      </c>
      <c r="N79" s="112"/>
      <c r="O79" s="112"/>
    </row>
  </sheetData>
  <customSheetViews>
    <customSheetView guid="{70B995D3-3AEB-4DFE-A0CA-D6FFCCE596BC}" filter="1" showAutoFilter="1">
      <autoFilter ref="$D$14:$D$78"/>
    </customSheetView>
    <customSheetView guid="{90E1DF85-7252-44D2-BA7D-CC3767CD0E8B}" filter="1" showAutoFilter="1">
      <autoFilter ref="$A$14:$O$79">
        <filterColumn colId="4">
          <filters>
            <filter val="Samsun"/>
            <filter val="Burdur"/>
            <filter val="Bilecik"/>
            <filter val="Elazığ"/>
            <filter val="Düzce"/>
            <filter val="Malatya"/>
            <filter val="Denizli"/>
            <filter val="Çanakkale"/>
            <filter val="Karabük"/>
            <filter val="Aydın"/>
            <filter val="Edirne"/>
            <filter val="Afyon"/>
            <filter val="Muğla"/>
            <filter val="Eskişehir"/>
            <filter val="Kahramanmaraş"/>
            <filter val="Balıkesir"/>
            <filter val="Uşak"/>
          </filters>
        </filterColumn>
      </autoFilter>
    </customSheetView>
  </customSheetViews>
  <mergeCells count="4">
    <mergeCell ref="D6:K6"/>
    <mergeCell ref="D7:F7"/>
    <mergeCell ref="D9:D12"/>
    <mergeCell ref="F10:M11"/>
  </mergeCells>
  <conditionalFormatting sqref="G15:K78">
    <cfRule type="cellIs" dxfId="1" priority="1" operator="equal">
      <formula>"False"</formula>
    </cfRule>
  </conditionalFormatting>
  <conditionalFormatting sqref="G15:K78">
    <cfRule type="cellIs" dxfId="0" priority="2" operator="equal">
      <formula>"TRUE"</formula>
    </cfRule>
  </conditionalFormatting>
  <dataValidations>
    <dataValidation type="list" allowBlank="1" showErrorMessage="1" sqref="E15:E78">
      <formula1>Data!$A$2:$A$10</formula1>
    </dataValidation>
    <dataValidation type="list" allowBlank="1" showErrorMessage="1" sqref="F15:F78">
      <formula1>Data!$C$2:$C$8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3" width="2.63"/>
    <col customWidth="1" min="4" max="4" width="20.38"/>
    <col customWidth="1" min="5" max="5" width="11.38"/>
    <col customWidth="1" min="6" max="6" width="16.63"/>
    <col customWidth="1" min="7" max="11" width="8.63"/>
    <col customWidth="1" min="12" max="12" width="12.63"/>
    <col customWidth="1" min="13" max="13" width="15.13"/>
    <col customWidth="1" min="14" max="15" width="2.63"/>
  </cols>
  <sheetData>
    <row r="1" ht="7.5" customHeight="1">
      <c r="A1" s="140"/>
      <c r="B1" s="84"/>
      <c r="C1" s="84"/>
      <c r="D1" s="84"/>
      <c r="E1" s="84"/>
      <c r="F1" s="84"/>
      <c r="G1" s="84"/>
      <c r="H1" s="84"/>
      <c r="I1" s="84"/>
      <c r="J1" s="84"/>
      <c r="K1" s="84"/>
      <c r="L1" s="85"/>
      <c r="M1" s="86"/>
      <c r="N1" s="86"/>
      <c r="O1" s="86"/>
    </row>
    <row r="2" ht="15.0" customHeight="1">
      <c r="A2" s="87"/>
      <c r="B2" s="87"/>
      <c r="C2" s="87"/>
      <c r="D2" s="88"/>
      <c r="E2" s="88"/>
      <c r="F2" s="88"/>
      <c r="G2" s="88"/>
      <c r="H2" s="88"/>
      <c r="I2" s="88"/>
      <c r="J2" s="88"/>
      <c r="K2" s="88"/>
      <c r="L2" s="88"/>
      <c r="M2" s="87"/>
      <c r="N2" s="87"/>
      <c r="O2" s="87"/>
    </row>
    <row r="3" ht="3.75" customHeight="1">
      <c r="A3" s="87"/>
      <c r="B3" s="87"/>
      <c r="C3" s="87"/>
      <c r="D3" s="89"/>
      <c r="E3" s="90"/>
      <c r="F3" s="90"/>
      <c r="G3" s="90"/>
      <c r="H3" s="90"/>
      <c r="I3" s="90"/>
      <c r="J3" s="90"/>
      <c r="K3" s="90"/>
      <c r="L3" s="90"/>
      <c r="M3" s="87"/>
      <c r="N3" s="87"/>
      <c r="O3" s="87"/>
    </row>
    <row r="4" ht="15.0" customHeight="1">
      <c r="A4" s="87"/>
      <c r="B4" s="87"/>
      <c r="C4" s="87"/>
      <c r="D4" s="88"/>
      <c r="E4" s="88"/>
      <c r="F4" s="88"/>
      <c r="G4" s="91"/>
      <c r="H4" s="91"/>
      <c r="I4" s="91"/>
      <c r="J4" s="91"/>
      <c r="K4" s="91"/>
      <c r="L4" s="91"/>
      <c r="M4" s="87"/>
      <c r="N4" s="87"/>
      <c r="O4" s="87"/>
    </row>
    <row r="5" ht="15.0" customHeight="1">
      <c r="A5" s="92"/>
      <c r="B5" s="92"/>
      <c r="C5" s="92"/>
      <c r="D5" s="88"/>
      <c r="E5" s="88"/>
      <c r="F5" s="88"/>
      <c r="G5" s="93"/>
      <c r="H5" s="93"/>
      <c r="I5" s="93"/>
      <c r="J5" s="93"/>
      <c r="K5" s="93"/>
      <c r="L5" s="94"/>
      <c r="M5" s="88"/>
      <c r="N5" s="92"/>
      <c r="O5" s="92"/>
    </row>
    <row r="6" ht="15.0" customHeight="1">
      <c r="A6" s="92"/>
      <c r="B6" s="92"/>
      <c r="C6" s="92"/>
      <c r="D6" s="95" t="s">
        <v>204</v>
      </c>
      <c r="L6" s="94"/>
      <c r="M6" s="88"/>
      <c r="N6" s="92"/>
      <c r="O6" s="92"/>
    </row>
    <row r="7" ht="15.0" customHeight="1">
      <c r="A7" s="92"/>
      <c r="B7" s="92"/>
      <c r="C7" s="92"/>
      <c r="D7" s="96" t="s">
        <v>205</v>
      </c>
      <c r="G7" s="97"/>
      <c r="H7" s="97"/>
      <c r="I7" s="97"/>
      <c r="J7" s="97"/>
      <c r="K7" s="97"/>
      <c r="L7" s="92"/>
      <c r="M7" s="92"/>
      <c r="N7" s="92"/>
      <c r="O7" s="92"/>
    </row>
    <row r="8" ht="15.0" customHeight="1">
      <c r="A8" s="92"/>
      <c r="B8" s="92"/>
      <c r="C8" s="92"/>
      <c r="D8" s="97"/>
      <c r="E8" s="97"/>
      <c r="F8" s="97"/>
      <c r="G8" s="97"/>
      <c r="H8" s="97"/>
      <c r="I8" s="97"/>
      <c r="J8" s="97"/>
      <c r="K8" s="97"/>
      <c r="L8" s="92"/>
      <c r="M8" s="92"/>
      <c r="N8" s="92"/>
      <c r="O8" s="92"/>
    </row>
    <row r="9" ht="15.0" customHeight="1">
      <c r="A9" s="92"/>
      <c r="B9" s="92"/>
      <c r="C9" s="98"/>
      <c r="D9" s="99" t="s">
        <v>35</v>
      </c>
      <c r="E9" s="100"/>
      <c r="F9" s="101"/>
      <c r="G9" s="101"/>
      <c r="H9" s="101"/>
      <c r="I9" s="101"/>
      <c r="J9" s="101"/>
      <c r="K9" s="101"/>
      <c r="L9" s="101"/>
      <c r="M9" s="100"/>
      <c r="N9" s="102"/>
      <c r="O9" s="102"/>
    </row>
    <row r="10" ht="15.0" customHeight="1">
      <c r="A10" s="92"/>
      <c r="B10" s="92"/>
      <c r="C10" s="98"/>
      <c r="E10" s="100"/>
      <c r="F10" s="103" t="s">
        <v>36</v>
      </c>
      <c r="N10" s="102"/>
      <c r="O10" s="102"/>
    </row>
    <row r="11" ht="15.0" customHeight="1">
      <c r="A11" s="92"/>
      <c r="B11" s="92"/>
      <c r="C11" s="98"/>
      <c r="E11" s="100"/>
      <c r="N11" s="102"/>
      <c r="O11" s="102"/>
    </row>
    <row r="12" ht="15.0" customHeight="1">
      <c r="A12" s="88"/>
      <c r="B12" s="92"/>
      <c r="C12" s="92"/>
      <c r="E12" s="100"/>
      <c r="F12" s="100"/>
      <c r="G12" s="100"/>
      <c r="H12" s="100"/>
      <c r="I12" s="100"/>
      <c r="J12" s="100"/>
      <c r="K12" s="100"/>
      <c r="L12" s="100"/>
      <c r="M12" s="100"/>
      <c r="N12" s="102"/>
      <c r="O12" s="102"/>
    </row>
    <row r="13" ht="15.0" customHeight="1">
      <c r="A13" s="88"/>
      <c r="B13" s="104"/>
      <c r="C13" s="104"/>
      <c r="D13" s="104"/>
      <c r="E13" s="104"/>
      <c r="F13" s="105"/>
      <c r="G13" s="105"/>
      <c r="H13" s="105"/>
      <c r="I13" s="105"/>
      <c r="J13" s="105"/>
      <c r="K13" s="105"/>
      <c r="L13" s="104"/>
      <c r="M13" s="104"/>
      <c r="N13" s="104"/>
      <c r="O13" s="104"/>
    </row>
    <row r="14" ht="15.0" customHeight="1">
      <c r="A14" s="106"/>
      <c r="B14" s="106"/>
      <c r="C14" s="106"/>
      <c r="D14" s="107" t="s">
        <v>37</v>
      </c>
      <c r="E14" s="108" t="s">
        <v>38</v>
      </c>
      <c r="F14" s="109" t="s">
        <v>39</v>
      </c>
      <c r="G14" s="110">
        <v>44529.0</v>
      </c>
      <c r="H14" s="110">
        <v>44530.0</v>
      </c>
      <c r="I14" s="110">
        <v>44531.0</v>
      </c>
      <c r="J14" s="110">
        <v>44532.0</v>
      </c>
      <c r="K14" s="110">
        <v>44533.0</v>
      </c>
      <c r="L14" s="111" t="s">
        <v>40</v>
      </c>
      <c r="M14" s="111" t="s">
        <v>41</v>
      </c>
      <c r="N14" s="88"/>
      <c r="O14" s="88"/>
    </row>
    <row r="15" ht="15.0" customHeight="1">
      <c r="A15" s="112"/>
      <c r="B15" s="112"/>
      <c r="C15" s="112"/>
      <c r="D15" s="129" t="s">
        <v>42</v>
      </c>
      <c r="E15" s="114" t="str">
        <f>VLOOKUP(D15,Data!H:I,2,0)</f>
        <v>Adana</v>
      </c>
      <c r="F15" s="115" t="str">
        <f>VLOOKUP(D15,Data!H:J,3,0)</f>
        <v>Freelance</v>
      </c>
      <c r="G15" s="116" t="b">
        <v>0</v>
      </c>
      <c r="H15" s="116" t="b">
        <v>0</v>
      </c>
      <c r="I15" s="116" t="b">
        <v>1</v>
      </c>
      <c r="J15" s="116" t="b">
        <v>1</v>
      </c>
      <c r="K15" s="116" t="b">
        <v>0</v>
      </c>
      <c r="L15" s="117">
        <f t="shared" ref="L15:L79" si="1">COUNTIF(G15:K15,"TRUE")</f>
        <v>2</v>
      </c>
      <c r="M15" s="117">
        <f t="shared" ref="M15:M79" si="2">L15*4</f>
        <v>8</v>
      </c>
      <c r="N15" s="112"/>
      <c r="O15" s="88"/>
    </row>
    <row r="16" ht="15.0" customHeight="1">
      <c r="A16" s="112"/>
      <c r="B16" s="112"/>
      <c r="C16" s="112"/>
      <c r="D16" s="129" t="s">
        <v>196</v>
      </c>
      <c r="E16" s="114" t="str">
        <f>VLOOKUP(D16,Data!H:I,2,0)</f>
        <v>Afyon</v>
      </c>
      <c r="F16" s="115" t="str">
        <f>VLOOKUP(D16,Data!H:J,3,0)</f>
        <v>Nazım Öztel</v>
      </c>
      <c r="G16" s="116" t="b">
        <v>1</v>
      </c>
      <c r="H16" s="116" t="b">
        <v>1</v>
      </c>
      <c r="I16" s="116" t="b">
        <v>1</v>
      </c>
      <c r="J16" s="116" t="b">
        <v>1</v>
      </c>
      <c r="K16" s="116" t="b">
        <v>1</v>
      </c>
      <c r="L16" s="117">
        <f t="shared" si="1"/>
        <v>5</v>
      </c>
      <c r="M16" s="117">
        <f t="shared" si="2"/>
        <v>20</v>
      </c>
      <c r="N16" s="112"/>
      <c r="O16" s="88"/>
    </row>
    <row r="17" ht="15.0" customHeight="1">
      <c r="A17" s="112"/>
      <c r="B17" s="112"/>
      <c r="C17" s="112"/>
      <c r="D17" s="129" t="s">
        <v>189</v>
      </c>
      <c r="E17" s="114" t="str">
        <f>VLOOKUP(D17,Data!H:I,2,0)</f>
        <v>Ankara</v>
      </c>
      <c r="F17" s="115" t="str">
        <f>VLOOKUP(D17,Data!H:J,3,0)</f>
        <v>Nazım Öztel</v>
      </c>
      <c r="G17" s="116" t="b">
        <v>0</v>
      </c>
      <c r="H17" s="116" t="b">
        <v>0</v>
      </c>
      <c r="I17" s="116" t="b">
        <v>0</v>
      </c>
      <c r="J17" s="116" t="b">
        <v>0</v>
      </c>
      <c r="K17" s="116" t="b">
        <v>0</v>
      </c>
      <c r="L17" s="117">
        <f t="shared" si="1"/>
        <v>0</v>
      </c>
      <c r="M17" s="117">
        <f t="shared" si="2"/>
        <v>0</v>
      </c>
      <c r="N17" s="112"/>
      <c r="O17" s="88"/>
    </row>
    <row r="18" ht="15.0" customHeight="1">
      <c r="A18" s="106"/>
      <c r="B18" s="106"/>
      <c r="C18" s="106"/>
      <c r="D18" s="129" t="s">
        <v>164</v>
      </c>
      <c r="E18" s="114" t="str">
        <f>VLOOKUP(D18,Data!H:I,2,0)</f>
        <v>Antalya</v>
      </c>
      <c r="F18" s="115" t="str">
        <f>VLOOKUP(D18,Data!H:J,3,0)</f>
        <v>Nazım Öztel</v>
      </c>
      <c r="G18" s="116" t="b">
        <v>0</v>
      </c>
      <c r="H18" s="116" t="b">
        <v>0</v>
      </c>
      <c r="I18" s="116" t="b">
        <v>0</v>
      </c>
      <c r="J18" s="116" t="b">
        <v>0</v>
      </c>
      <c r="K18" s="116" t="b">
        <v>1</v>
      </c>
      <c r="L18" s="117">
        <f t="shared" si="1"/>
        <v>1</v>
      </c>
      <c r="M18" s="117">
        <f t="shared" si="2"/>
        <v>4</v>
      </c>
      <c r="N18" s="112"/>
      <c r="O18" s="106"/>
    </row>
    <row r="19" ht="15.0" customHeight="1">
      <c r="A19" s="106"/>
      <c r="B19" s="106"/>
      <c r="C19" s="106"/>
      <c r="D19" s="129" t="s">
        <v>152</v>
      </c>
      <c r="E19" s="114" t="str">
        <f>VLOOKUP(D19,Data!H:I,2,0)</f>
        <v>Antalya</v>
      </c>
      <c r="F19" s="115" t="str">
        <f>VLOOKUP(D19,Data!H:J,3,0)</f>
        <v>Nazım Öztel</v>
      </c>
      <c r="G19" s="116" t="b">
        <v>0</v>
      </c>
      <c r="H19" s="116" t="b">
        <v>0</v>
      </c>
      <c r="I19" s="116" t="b">
        <v>0</v>
      </c>
      <c r="J19" s="116" t="b">
        <v>0</v>
      </c>
      <c r="K19" s="116" t="b">
        <v>0</v>
      </c>
      <c r="L19" s="117">
        <f t="shared" si="1"/>
        <v>0</v>
      </c>
      <c r="M19" s="117">
        <f t="shared" si="2"/>
        <v>0</v>
      </c>
      <c r="N19" s="112"/>
      <c r="O19" s="106"/>
    </row>
    <row r="20" ht="15.0" customHeight="1">
      <c r="A20" s="112"/>
      <c r="B20" s="112"/>
      <c r="C20" s="112"/>
      <c r="D20" s="129" t="s">
        <v>50</v>
      </c>
      <c r="E20" s="114" t="str">
        <f>VLOOKUP(D20,Data!H:I,2,0)</f>
        <v>Antalya</v>
      </c>
      <c r="F20" s="115" t="str">
        <f>VLOOKUP(D20,Data!H:J,3,0)</f>
        <v>Freelance</v>
      </c>
      <c r="G20" s="116" t="b">
        <v>1</v>
      </c>
      <c r="H20" s="116" t="b">
        <v>1</v>
      </c>
      <c r="I20" s="116" t="b">
        <v>1</v>
      </c>
      <c r="J20" s="116" t="b">
        <v>0</v>
      </c>
      <c r="K20" s="116" t="b">
        <v>1</v>
      </c>
      <c r="L20" s="117">
        <f t="shared" si="1"/>
        <v>4</v>
      </c>
      <c r="M20" s="117">
        <f t="shared" si="2"/>
        <v>16</v>
      </c>
      <c r="N20" s="112"/>
      <c r="O20" s="112"/>
    </row>
    <row r="21" ht="15.0" customHeight="1">
      <c r="A21" s="112"/>
      <c r="B21" s="112"/>
      <c r="C21" s="112"/>
      <c r="D21" s="129" t="s">
        <v>159</v>
      </c>
      <c r="E21" s="114" t="str">
        <f>VLOOKUP(D21,Data!H:I,2,0)</f>
        <v>Aydın</v>
      </c>
      <c r="F21" s="115" t="str">
        <f>VLOOKUP(D21,Data!H:J,3,0)</f>
        <v>Nazım Öztel</v>
      </c>
      <c r="G21" s="116" t="b">
        <v>0</v>
      </c>
      <c r="H21" s="116" t="b">
        <v>0</v>
      </c>
      <c r="I21" s="116" t="b">
        <v>0</v>
      </c>
      <c r="J21" s="116" t="b">
        <v>0</v>
      </c>
      <c r="K21" s="116" t="b">
        <v>0</v>
      </c>
      <c r="L21" s="117">
        <f t="shared" si="1"/>
        <v>0</v>
      </c>
      <c r="M21" s="117">
        <f t="shared" si="2"/>
        <v>0</v>
      </c>
      <c r="N21" s="112"/>
      <c r="O21" s="112"/>
    </row>
    <row r="22" ht="15.0" customHeight="1">
      <c r="A22" s="112"/>
      <c r="B22" s="112"/>
      <c r="C22" s="112"/>
      <c r="D22" s="129" t="s">
        <v>197</v>
      </c>
      <c r="E22" s="114" t="str">
        <f>VLOOKUP(D22,Data!H:I,2,0)</f>
        <v>Aydın</v>
      </c>
      <c r="F22" s="115" t="str">
        <f>VLOOKUP(D22,Data!H:J,3,0)</f>
        <v>Nazım Öztel</v>
      </c>
      <c r="G22" s="116" t="b">
        <v>1</v>
      </c>
      <c r="H22" s="116" t="b">
        <v>1</v>
      </c>
      <c r="I22" s="116" t="b">
        <v>1</v>
      </c>
      <c r="J22" s="116" t="b">
        <v>1</v>
      </c>
      <c r="K22" s="116" t="b">
        <v>1</v>
      </c>
      <c r="L22" s="117">
        <f t="shared" si="1"/>
        <v>5</v>
      </c>
      <c r="M22" s="117">
        <f t="shared" si="2"/>
        <v>20</v>
      </c>
      <c r="N22" s="112"/>
      <c r="O22" s="112"/>
    </row>
    <row r="23" ht="15.0" customHeight="1">
      <c r="A23" s="112"/>
      <c r="B23" s="112"/>
      <c r="C23" s="112"/>
      <c r="D23" s="129" t="s">
        <v>52</v>
      </c>
      <c r="E23" s="114" t="s">
        <v>184</v>
      </c>
      <c r="F23" s="115" t="s">
        <v>61</v>
      </c>
      <c r="G23" s="116" t="b">
        <v>0</v>
      </c>
      <c r="H23" s="116" t="b">
        <v>0</v>
      </c>
      <c r="I23" s="116" t="b">
        <v>0</v>
      </c>
      <c r="J23" s="116" t="b">
        <v>0</v>
      </c>
      <c r="K23" s="116" t="b">
        <v>0</v>
      </c>
      <c r="L23" s="117">
        <f t="shared" si="1"/>
        <v>0</v>
      </c>
      <c r="M23" s="117">
        <f t="shared" si="2"/>
        <v>0</v>
      </c>
      <c r="N23" s="112"/>
      <c r="O23" s="112"/>
    </row>
    <row r="24" ht="15.0" customHeight="1">
      <c r="A24" s="112"/>
      <c r="B24" s="112"/>
      <c r="C24" s="112"/>
      <c r="D24" s="129" t="s">
        <v>198</v>
      </c>
      <c r="E24" s="114" t="s">
        <v>181</v>
      </c>
      <c r="F24" s="115" t="s">
        <v>61</v>
      </c>
      <c r="G24" s="116" t="b">
        <v>0</v>
      </c>
      <c r="H24" s="116" t="b">
        <v>0</v>
      </c>
      <c r="I24" s="116" t="b">
        <v>0</v>
      </c>
      <c r="J24" s="116" t="b">
        <v>0</v>
      </c>
      <c r="K24" s="116" t="b">
        <v>0</v>
      </c>
      <c r="L24" s="117">
        <f t="shared" si="1"/>
        <v>0</v>
      </c>
      <c r="M24" s="117">
        <f t="shared" si="2"/>
        <v>0</v>
      </c>
      <c r="N24" s="112"/>
      <c r="O24" s="112"/>
    </row>
    <row r="25" ht="15.0" customHeight="1">
      <c r="A25" s="112"/>
      <c r="B25" s="112"/>
      <c r="C25" s="112"/>
      <c r="D25" s="129" t="s">
        <v>52</v>
      </c>
      <c r="E25" s="114" t="s">
        <v>181</v>
      </c>
      <c r="F25" s="115" t="s">
        <v>61</v>
      </c>
      <c r="G25" s="116" t="b">
        <v>0</v>
      </c>
      <c r="H25" s="116" t="b">
        <v>0</v>
      </c>
      <c r="I25" s="116" t="b">
        <v>0</v>
      </c>
      <c r="J25" s="116" t="b">
        <v>0</v>
      </c>
      <c r="K25" s="116" t="b">
        <v>0</v>
      </c>
      <c r="L25" s="117">
        <f t="shared" si="1"/>
        <v>0</v>
      </c>
      <c r="M25" s="117">
        <f t="shared" si="2"/>
        <v>0</v>
      </c>
      <c r="N25" s="112"/>
      <c r="O25" s="112"/>
    </row>
    <row r="26" ht="15.0" customHeight="1">
      <c r="A26" s="112"/>
      <c r="B26" s="112"/>
      <c r="C26" s="112"/>
      <c r="D26" s="129" t="s">
        <v>160</v>
      </c>
      <c r="E26" s="114" t="str">
        <f>VLOOKUP(D26,Data!H:I,2,0)</f>
        <v>Burdur</v>
      </c>
      <c r="F26" s="115" t="str">
        <f>VLOOKUP(D26,Data!H:J,3,0)</f>
        <v>Nazım Öztel</v>
      </c>
      <c r="G26" s="116" t="b">
        <v>0</v>
      </c>
      <c r="H26" s="116" t="b">
        <v>0</v>
      </c>
      <c r="I26" s="116" t="b">
        <v>0</v>
      </c>
      <c r="J26" s="116" t="b">
        <v>0</v>
      </c>
      <c r="K26" s="116" t="b">
        <v>0</v>
      </c>
      <c r="L26" s="117">
        <f t="shared" si="1"/>
        <v>0</v>
      </c>
      <c r="M26" s="117">
        <f t="shared" si="2"/>
        <v>0</v>
      </c>
      <c r="N26" s="112"/>
      <c r="O26" s="112"/>
    </row>
    <row r="27" ht="15.0" customHeight="1">
      <c r="A27" s="112"/>
      <c r="B27" s="112"/>
      <c r="C27" s="112"/>
      <c r="D27" s="132" t="s">
        <v>52</v>
      </c>
      <c r="E27" s="114" t="str">
        <f>VLOOKUP(D27,Data!H:I,2,0)</f>
        <v>Bursa</v>
      </c>
      <c r="F27" s="115" t="str">
        <f>VLOOKUP(D27,Data!H:J,3,0)</f>
        <v>Nazım Öztel</v>
      </c>
      <c r="G27" s="116" t="b">
        <v>0</v>
      </c>
      <c r="H27" s="116" t="b">
        <v>1</v>
      </c>
      <c r="I27" s="116" t="b">
        <v>1</v>
      </c>
      <c r="J27" s="116" t="b">
        <v>1</v>
      </c>
      <c r="K27" s="116" t="b">
        <v>0</v>
      </c>
      <c r="L27" s="117">
        <f t="shared" si="1"/>
        <v>3</v>
      </c>
      <c r="M27" s="117">
        <f t="shared" si="2"/>
        <v>12</v>
      </c>
      <c r="N27" s="122"/>
      <c r="O27" s="112"/>
    </row>
    <row r="28" ht="15.0" customHeight="1">
      <c r="A28" s="112"/>
      <c r="B28" s="112"/>
      <c r="C28" s="112"/>
      <c r="D28" s="129" t="s">
        <v>53</v>
      </c>
      <c r="E28" s="114" t="str">
        <f>VLOOKUP(D28,Data!H:I,2,0)</f>
        <v>Bursa</v>
      </c>
      <c r="F28" s="115" t="str">
        <f>VLOOKUP(D28,Data!H:J,3,0)</f>
        <v>Freelance</v>
      </c>
      <c r="G28" s="116" t="b">
        <v>0</v>
      </c>
      <c r="H28" s="116" t="b">
        <v>0</v>
      </c>
      <c r="I28" s="116" t="b">
        <v>0</v>
      </c>
      <c r="J28" s="116" t="b">
        <v>0</v>
      </c>
      <c r="K28" s="116" t="b">
        <v>0</v>
      </c>
      <c r="L28" s="117">
        <f t="shared" si="1"/>
        <v>0</v>
      </c>
      <c r="M28" s="117">
        <f t="shared" si="2"/>
        <v>0</v>
      </c>
      <c r="N28" s="112"/>
      <c r="O28" s="112"/>
    </row>
    <row r="29" ht="15.0" customHeight="1">
      <c r="A29" s="112"/>
      <c r="B29" s="112"/>
      <c r="C29" s="112"/>
      <c r="D29" s="129" t="s">
        <v>190</v>
      </c>
      <c r="E29" s="114" t="str">
        <f>VLOOKUP(D29,Data!H:I,2,0)</f>
        <v>Çanakkale</v>
      </c>
      <c r="F29" s="115" t="str">
        <f>VLOOKUP(D29,Data!H:J,3,0)</f>
        <v>Nazım Öztel</v>
      </c>
      <c r="G29" s="116" t="b">
        <v>1</v>
      </c>
      <c r="H29" s="116" t="b">
        <v>0</v>
      </c>
      <c r="I29" s="116" t="b">
        <v>0</v>
      </c>
      <c r="J29" s="116" t="b">
        <v>0</v>
      </c>
      <c r="K29" s="116" t="b">
        <v>0</v>
      </c>
      <c r="L29" s="117">
        <f t="shared" si="1"/>
        <v>1</v>
      </c>
      <c r="M29" s="117">
        <f t="shared" si="2"/>
        <v>4</v>
      </c>
      <c r="N29" s="112"/>
      <c r="O29" s="112"/>
    </row>
    <row r="30" ht="15.0" customHeight="1">
      <c r="A30" s="112"/>
      <c r="B30" s="112"/>
      <c r="C30" s="112"/>
      <c r="D30" s="129" t="s">
        <v>191</v>
      </c>
      <c r="E30" s="114" t="str">
        <f>VLOOKUP(D30,Data!H:I,2,0)</f>
        <v>Denizli</v>
      </c>
      <c r="F30" s="115" t="str">
        <f>VLOOKUP(D30,Data!H:J,3,0)</f>
        <v>Nazım Öztel</v>
      </c>
      <c r="G30" s="116" t="b">
        <v>0</v>
      </c>
      <c r="H30" s="116" t="b">
        <v>0</v>
      </c>
      <c r="I30" s="116" t="b">
        <v>1</v>
      </c>
      <c r="J30" s="116" t="b">
        <v>1</v>
      </c>
      <c r="K30" s="116" t="b">
        <v>1</v>
      </c>
      <c r="L30" s="117">
        <f t="shared" si="1"/>
        <v>3</v>
      </c>
      <c r="M30" s="117">
        <f t="shared" si="2"/>
        <v>12</v>
      </c>
      <c r="N30" s="112"/>
      <c r="O30" s="112"/>
    </row>
    <row r="31" ht="15.0" customHeight="1">
      <c r="A31" s="112"/>
      <c r="B31" s="112"/>
      <c r="C31" s="112"/>
      <c r="D31" s="132" t="s">
        <v>54</v>
      </c>
      <c r="E31" s="114" t="str">
        <f>VLOOKUP(D31,Data!H:I,2,0)</f>
        <v>Diyarbakır</v>
      </c>
      <c r="F31" s="115" t="str">
        <f>VLOOKUP(D31,Data!H:J,3,0)</f>
        <v>Nazım Öztel</v>
      </c>
      <c r="G31" s="116" t="b">
        <v>0</v>
      </c>
      <c r="H31" s="116" t="b">
        <v>0</v>
      </c>
      <c r="I31" s="116" t="b">
        <v>0</v>
      </c>
      <c r="J31" s="116" t="b">
        <v>0</v>
      </c>
      <c r="K31" s="116" t="b">
        <v>0</v>
      </c>
      <c r="L31" s="117">
        <f t="shared" si="1"/>
        <v>0</v>
      </c>
      <c r="M31" s="117">
        <f t="shared" si="2"/>
        <v>0</v>
      </c>
      <c r="N31" s="112"/>
      <c r="O31" s="112"/>
    </row>
    <row r="32" ht="15.0" customHeight="1">
      <c r="A32" s="112"/>
      <c r="B32" s="112"/>
      <c r="C32" s="112"/>
      <c r="D32" s="129" t="s">
        <v>173</v>
      </c>
      <c r="E32" s="114" t="str">
        <f>VLOOKUP(D32,Data!H:I,2,0)</f>
        <v>Düzce</v>
      </c>
      <c r="F32" s="115" t="str">
        <f>VLOOKUP(D32,Data!H:J,3,0)</f>
        <v>Nazım Öztel</v>
      </c>
      <c r="G32" s="116" t="b">
        <v>0</v>
      </c>
      <c r="H32" s="116" t="b">
        <v>0</v>
      </c>
      <c r="I32" s="116" t="b">
        <v>0</v>
      </c>
      <c r="J32" s="116" t="b">
        <v>0</v>
      </c>
      <c r="K32" s="116" t="b">
        <v>0</v>
      </c>
      <c r="L32" s="117">
        <f t="shared" si="1"/>
        <v>0</v>
      </c>
      <c r="M32" s="117">
        <f t="shared" si="2"/>
        <v>0</v>
      </c>
      <c r="N32" s="112"/>
      <c r="O32" s="112"/>
    </row>
    <row r="33" ht="15.0" customHeight="1">
      <c r="A33" s="112"/>
      <c r="B33" s="112"/>
      <c r="C33" s="112"/>
      <c r="D33" s="129" t="s">
        <v>153</v>
      </c>
      <c r="E33" s="114" t="str">
        <f>VLOOKUP(D33,Data!H:I,2,0)</f>
        <v>Edirne</v>
      </c>
      <c r="F33" s="115" t="str">
        <f>VLOOKUP(D33,Data!H:J,3,0)</f>
        <v>Nazım Öztel</v>
      </c>
      <c r="G33" s="116" t="b">
        <v>0</v>
      </c>
      <c r="H33" s="116" t="b">
        <v>0</v>
      </c>
      <c r="I33" s="116" t="b">
        <v>1</v>
      </c>
      <c r="J33" s="116" t="b">
        <v>0</v>
      </c>
      <c r="K33" s="116" t="b">
        <v>0</v>
      </c>
      <c r="L33" s="117">
        <f t="shared" si="1"/>
        <v>1</v>
      </c>
      <c r="M33" s="117">
        <f t="shared" si="2"/>
        <v>4</v>
      </c>
      <c r="N33" s="112"/>
      <c r="O33" s="112"/>
    </row>
    <row r="34" ht="15.0" customHeight="1">
      <c r="A34" s="112"/>
      <c r="B34" s="112"/>
      <c r="C34" s="112"/>
      <c r="D34" s="129" t="s">
        <v>199</v>
      </c>
      <c r="E34" s="114" t="str">
        <f>VLOOKUP(D34,Data!H:I,2,0)</f>
        <v>Elazığ</v>
      </c>
      <c r="F34" s="115" t="str">
        <f>VLOOKUP(D34,Data!H:J,3,0)</f>
        <v>Nazım Öztel</v>
      </c>
      <c r="G34" s="116" t="b">
        <v>0</v>
      </c>
      <c r="H34" s="116" t="b">
        <v>0</v>
      </c>
      <c r="I34" s="116" t="b">
        <v>0</v>
      </c>
      <c r="J34" s="116" t="b">
        <v>0</v>
      </c>
      <c r="K34" s="116" t="b">
        <v>0</v>
      </c>
      <c r="L34" s="117">
        <f t="shared" si="1"/>
        <v>0</v>
      </c>
      <c r="M34" s="117">
        <f t="shared" si="2"/>
        <v>0</v>
      </c>
      <c r="N34" s="112"/>
      <c r="O34" s="112"/>
    </row>
    <row r="35" ht="15.0" customHeight="1">
      <c r="A35" s="112"/>
      <c r="B35" s="112"/>
      <c r="C35" s="112"/>
      <c r="D35" s="132" t="s">
        <v>55</v>
      </c>
      <c r="E35" s="114" t="str">
        <f>VLOOKUP(D35,Data!H:I,2,0)</f>
        <v>Erzurum</v>
      </c>
      <c r="F35" s="115" t="str">
        <f>VLOOKUP(D35,Data!H:J,3,0)</f>
        <v>Nazım Öztel</v>
      </c>
      <c r="G35" s="116" t="b">
        <v>0</v>
      </c>
      <c r="H35" s="116" t="b">
        <v>0</v>
      </c>
      <c r="I35" s="116" t="b">
        <v>0</v>
      </c>
      <c r="J35" s="116" t="b">
        <v>0</v>
      </c>
      <c r="K35" s="116" t="b">
        <v>0</v>
      </c>
      <c r="L35" s="117">
        <f t="shared" si="1"/>
        <v>0</v>
      </c>
      <c r="M35" s="117">
        <f t="shared" si="2"/>
        <v>0</v>
      </c>
      <c r="N35" s="112"/>
      <c r="O35" s="112"/>
    </row>
    <row r="36" ht="15.0" customHeight="1">
      <c r="A36" s="112"/>
      <c r="B36" s="112"/>
      <c r="C36" s="112"/>
      <c r="D36" s="129" t="s">
        <v>165</v>
      </c>
      <c r="E36" s="114" t="str">
        <f>VLOOKUP(D36,Data!H:I,2,0)</f>
        <v>Eskişehir</v>
      </c>
      <c r="F36" s="115" t="str">
        <f>VLOOKUP(D36,Data!H:J,3,0)</f>
        <v>Nazım Öztel</v>
      </c>
      <c r="G36" s="116" t="b">
        <v>0</v>
      </c>
      <c r="H36" s="116" t="b">
        <v>1</v>
      </c>
      <c r="I36" s="116" t="b">
        <v>1</v>
      </c>
      <c r="J36" s="116" t="b">
        <v>1</v>
      </c>
      <c r="K36" s="116" t="b">
        <v>1</v>
      </c>
      <c r="L36" s="117">
        <f t="shared" si="1"/>
        <v>4</v>
      </c>
      <c r="M36" s="117">
        <f t="shared" si="2"/>
        <v>16</v>
      </c>
      <c r="N36" s="112"/>
      <c r="O36" s="112"/>
    </row>
    <row r="37" ht="15.0" customHeight="1">
      <c r="A37" s="112"/>
      <c r="B37" s="112"/>
      <c r="C37" s="112"/>
      <c r="D37" s="129" t="s">
        <v>58</v>
      </c>
      <c r="E37" s="114" t="str">
        <f>VLOOKUP(D37,Data!H:I,2,0)</f>
        <v>İstanbul</v>
      </c>
      <c r="F37" s="115" t="str">
        <f>VLOOKUP(D37,Data!H:J,3,0)</f>
        <v>Freelance</v>
      </c>
      <c r="G37" s="116" t="b">
        <v>0</v>
      </c>
      <c r="H37" s="116" t="b">
        <v>0</v>
      </c>
      <c r="I37" s="116" t="b">
        <v>1</v>
      </c>
      <c r="J37" s="116" t="b">
        <v>1</v>
      </c>
      <c r="K37" s="116" t="b">
        <v>1</v>
      </c>
      <c r="L37" s="117">
        <f t="shared" si="1"/>
        <v>3</v>
      </c>
      <c r="M37" s="117">
        <f t="shared" si="2"/>
        <v>12</v>
      </c>
      <c r="N37" s="88"/>
      <c r="O37" s="112"/>
    </row>
    <row r="38" ht="15.0" customHeight="1">
      <c r="A38" s="112"/>
      <c r="B38" s="112"/>
      <c r="C38" s="112"/>
      <c r="D38" s="129" t="s">
        <v>123</v>
      </c>
      <c r="E38" s="114" t="str">
        <f>VLOOKUP(D38,Data!H:I,2,0)</f>
        <v>İstanbul</v>
      </c>
      <c r="F38" s="115" t="str">
        <f>VLOOKUP(D38,Data!H:J,3,0)</f>
        <v>Freelance</v>
      </c>
      <c r="G38" s="116" t="b">
        <v>0</v>
      </c>
      <c r="H38" s="116" t="b">
        <v>0</v>
      </c>
      <c r="I38" s="116" t="b">
        <v>0</v>
      </c>
      <c r="J38" s="116" t="b">
        <v>0</v>
      </c>
      <c r="K38" s="116" t="b">
        <v>0</v>
      </c>
      <c r="L38" s="117">
        <f t="shared" si="1"/>
        <v>0</v>
      </c>
      <c r="M38" s="117">
        <f t="shared" si="2"/>
        <v>0</v>
      </c>
      <c r="N38" s="88"/>
      <c r="O38" s="112"/>
    </row>
    <row r="39" ht="15.0" customHeight="1">
      <c r="A39" s="121"/>
      <c r="B39" s="121"/>
      <c r="C39" s="121"/>
      <c r="D39" s="129" t="s">
        <v>134</v>
      </c>
      <c r="E39" s="114" t="str">
        <f>VLOOKUP(D39,Data!H:I,2,0)</f>
        <v>İstanbul</v>
      </c>
      <c r="F39" s="115" t="str">
        <f>VLOOKUP(D39,Data!H:J,3,0)</f>
        <v>Filamingo</v>
      </c>
      <c r="G39" s="116" t="b">
        <v>0</v>
      </c>
      <c r="H39" s="116" t="b">
        <v>0</v>
      </c>
      <c r="I39" s="116" t="b">
        <v>0</v>
      </c>
      <c r="J39" s="116" t="b">
        <v>1</v>
      </c>
      <c r="K39" s="116" t="b">
        <v>1</v>
      </c>
      <c r="L39" s="117">
        <f t="shared" si="1"/>
        <v>2</v>
      </c>
      <c r="M39" s="117">
        <f t="shared" si="2"/>
        <v>8</v>
      </c>
      <c r="N39" s="121"/>
      <c r="O39" s="121"/>
    </row>
    <row r="40" ht="15.0" customHeight="1">
      <c r="A40" s="112"/>
      <c r="B40" s="112"/>
      <c r="C40" s="112"/>
      <c r="D40" s="132" t="s">
        <v>117</v>
      </c>
      <c r="E40" s="114" t="str">
        <f>VLOOKUP(D40,Data!H:I,2,0)</f>
        <v>İstanbul</v>
      </c>
      <c r="F40" s="115" t="str">
        <f>VLOOKUP(D40,Data!H:J,3,0)</f>
        <v>Freelance</v>
      </c>
      <c r="G40" s="116" t="b">
        <v>0</v>
      </c>
      <c r="H40" s="116" t="b">
        <v>0</v>
      </c>
      <c r="I40" s="116" t="b">
        <v>0</v>
      </c>
      <c r="J40" s="116" t="b">
        <v>0</v>
      </c>
      <c r="K40" s="116" t="b">
        <v>0</v>
      </c>
      <c r="L40" s="117">
        <f t="shared" si="1"/>
        <v>0</v>
      </c>
      <c r="M40" s="117">
        <f t="shared" si="2"/>
        <v>0</v>
      </c>
      <c r="N40" s="112"/>
      <c r="O40" s="112"/>
    </row>
    <row r="41" ht="15.0" customHeight="1">
      <c r="A41" s="112"/>
      <c r="B41" s="112"/>
      <c r="C41" s="112"/>
      <c r="D41" s="129" t="s">
        <v>135</v>
      </c>
      <c r="E41" s="114" t="str">
        <f>VLOOKUP(D41,Data!H:I,2,0)</f>
        <v>İstanbul</v>
      </c>
      <c r="F41" s="115" t="str">
        <f>VLOOKUP(D41,Data!H:J,3,0)</f>
        <v>Freelance</v>
      </c>
      <c r="G41" s="116" t="b">
        <v>0</v>
      </c>
      <c r="H41" s="116" t="b">
        <v>0</v>
      </c>
      <c r="I41" s="116" t="b">
        <v>0</v>
      </c>
      <c r="J41" s="116" t="b">
        <v>0</v>
      </c>
      <c r="K41" s="116" t="b">
        <v>0</v>
      </c>
      <c r="L41" s="117">
        <f t="shared" si="1"/>
        <v>0</v>
      </c>
      <c r="M41" s="117">
        <f t="shared" si="2"/>
        <v>0</v>
      </c>
      <c r="N41" s="112"/>
      <c r="O41" s="112"/>
    </row>
    <row r="42" ht="15.0" customHeight="1">
      <c r="A42" s="112"/>
      <c r="B42" s="112"/>
      <c r="C42" s="112"/>
      <c r="D42" s="129" t="s">
        <v>70</v>
      </c>
      <c r="E42" s="114" t="str">
        <f>VLOOKUP(D42,Data!H:I,2,0)</f>
        <v>İstanbul</v>
      </c>
      <c r="F42" s="115" t="str">
        <f>VLOOKUP(D42,Data!H:J,3,0)</f>
        <v>Freelance</v>
      </c>
      <c r="G42" s="116" t="b">
        <v>0</v>
      </c>
      <c r="H42" s="116" t="b">
        <v>1</v>
      </c>
      <c r="I42" s="116" t="b">
        <v>0</v>
      </c>
      <c r="J42" s="116" t="b">
        <v>0</v>
      </c>
      <c r="K42" s="116" t="b">
        <v>0</v>
      </c>
      <c r="L42" s="117">
        <f t="shared" si="1"/>
        <v>1</v>
      </c>
      <c r="M42" s="117">
        <f t="shared" si="2"/>
        <v>4</v>
      </c>
      <c r="N42" s="112"/>
      <c r="O42" s="112"/>
    </row>
    <row r="43" ht="15.0" customHeight="1">
      <c r="A43" s="112"/>
      <c r="B43" s="112"/>
      <c r="C43" s="112"/>
      <c r="D43" s="129" t="s">
        <v>174</v>
      </c>
      <c r="E43" s="114" t="str">
        <f>VLOOKUP(D43,Data!H:I,2,0)</f>
        <v>İstanbul</v>
      </c>
      <c r="F43" s="115" t="str">
        <f>VLOOKUP(D43,Data!H:J,3,0)</f>
        <v>Freelance</v>
      </c>
      <c r="G43" s="116" t="b">
        <v>1</v>
      </c>
      <c r="H43" s="116" t="b">
        <v>1</v>
      </c>
      <c r="I43" s="116" t="b">
        <v>0</v>
      </c>
      <c r="J43" s="116" t="b">
        <v>1</v>
      </c>
      <c r="K43" s="116" t="b">
        <v>0</v>
      </c>
      <c r="L43" s="117">
        <f t="shared" si="1"/>
        <v>3</v>
      </c>
      <c r="M43" s="117">
        <f t="shared" si="2"/>
        <v>12</v>
      </c>
      <c r="N43" s="112"/>
      <c r="O43" s="112"/>
    </row>
    <row r="44" ht="15.0" customHeight="1">
      <c r="A44" s="112"/>
      <c r="B44" s="112"/>
      <c r="C44" s="112"/>
      <c r="D44" s="129" t="s">
        <v>78</v>
      </c>
      <c r="E44" s="114" t="str">
        <f>VLOOKUP(D44,Data!H:I,2,0)</f>
        <v>İstanbul</v>
      </c>
      <c r="F44" s="115" t="str">
        <f>VLOOKUP(D44,Data!H:J,3,0)</f>
        <v>Freelance</v>
      </c>
      <c r="G44" s="116" t="b">
        <v>1</v>
      </c>
      <c r="H44" s="116" t="b">
        <v>1</v>
      </c>
      <c r="I44" s="116" t="b">
        <v>1</v>
      </c>
      <c r="J44" s="116" t="b">
        <v>1</v>
      </c>
      <c r="K44" s="116" t="b">
        <v>1</v>
      </c>
      <c r="L44" s="117">
        <f t="shared" si="1"/>
        <v>5</v>
      </c>
      <c r="M44" s="117">
        <f t="shared" si="2"/>
        <v>20</v>
      </c>
      <c r="N44" s="112"/>
      <c r="O44" s="112"/>
    </row>
    <row r="45" ht="15.0" customHeight="1">
      <c r="A45" s="112"/>
      <c r="B45" s="112"/>
      <c r="C45" s="112"/>
      <c r="D45" s="132" t="s">
        <v>72</v>
      </c>
      <c r="E45" s="114" t="str">
        <f>VLOOKUP(D45,Data!H:I,2,0)</f>
        <v>İstanbul</v>
      </c>
      <c r="F45" s="115" t="str">
        <f>VLOOKUP(D45,Data!H:J,3,0)</f>
        <v>Filamingo</v>
      </c>
      <c r="G45" s="116" t="b">
        <v>0</v>
      </c>
      <c r="H45" s="116" t="b">
        <v>0</v>
      </c>
      <c r="I45" s="116" t="b">
        <v>0</v>
      </c>
      <c r="J45" s="116" t="b">
        <v>0</v>
      </c>
      <c r="K45" s="116" t="b">
        <v>0</v>
      </c>
      <c r="L45" s="117">
        <f t="shared" si="1"/>
        <v>0</v>
      </c>
      <c r="M45" s="117">
        <f t="shared" si="2"/>
        <v>0</v>
      </c>
      <c r="N45" s="112"/>
      <c r="O45" s="112"/>
    </row>
    <row r="46" ht="15.0" customHeight="1">
      <c r="A46" s="112"/>
      <c r="B46" s="112"/>
      <c r="C46" s="112"/>
      <c r="D46" s="141" t="s">
        <v>125</v>
      </c>
      <c r="E46" s="114" t="str">
        <f>VLOOKUP(D46,Data!H:I,2,0)</f>
        <v>İstanbul</v>
      </c>
      <c r="F46" s="115" t="str">
        <f>VLOOKUP(D46,Data!H:J,3,0)</f>
        <v>Filamingo</v>
      </c>
      <c r="G46" s="116" t="b">
        <v>0</v>
      </c>
      <c r="H46" s="116" t="b">
        <v>0</v>
      </c>
      <c r="I46" s="116" t="b">
        <v>0</v>
      </c>
      <c r="J46" s="116" t="b">
        <v>0</v>
      </c>
      <c r="K46" s="116" t="b">
        <v>0</v>
      </c>
      <c r="L46" s="117">
        <f t="shared" si="1"/>
        <v>0</v>
      </c>
      <c r="M46" s="117">
        <f t="shared" si="2"/>
        <v>0</v>
      </c>
      <c r="N46" s="120"/>
      <c r="O46" s="112"/>
    </row>
    <row r="47" ht="15.0" customHeight="1">
      <c r="A47" s="112"/>
      <c r="B47" s="112"/>
      <c r="C47" s="112"/>
      <c r="D47" s="129" t="s">
        <v>200</v>
      </c>
      <c r="E47" s="114" t="str">
        <f>VLOOKUP(D47,Data!H:I,2,0)</f>
        <v>İstanbul</v>
      </c>
      <c r="F47" s="115" t="str">
        <f>VLOOKUP(D47,Data!H:J,3,0)</f>
        <v>Filamingo</v>
      </c>
      <c r="G47" s="116" t="b">
        <v>1</v>
      </c>
      <c r="H47" s="116" t="b">
        <v>1</v>
      </c>
      <c r="I47" s="116" t="b">
        <v>1</v>
      </c>
      <c r="J47" s="116" t="b">
        <v>1</v>
      </c>
      <c r="K47" s="116" t="b">
        <v>1</v>
      </c>
      <c r="L47" s="117">
        <f t="shared" si="1"/>
        <v>5</v>
      </c>
      <c r="M47" s="117">
        <f t="shared" si="2"/>
        <v>20</v>
      </c>
      <c r="N47" s="120"/>
      <c r="O47" s="112"/>
    </row>
    <row r="48" ht="15.0" customHeight="1">
      <c r="A48" s="112"/>
      <c r="B48" s="112"/>
      <c r="C48" s="112"/>
      <c r="D48" s="129" t="s">
        <v>192</v>
      </c>
      <c r="E48" s="114" t="str">
        <f>VLOOKUP(D48,Data!H:I,2,0)</f>
        <v>İstanbul</v>
      </c>
      <c r="F48" s="115" t="str">
        <f>VLOOKUP(D48,Data!H:J,3,0)</f>
        <v>Filamingo</v>
      </c>
      <c r="G48" s="116" t="b">
        <v>0</v>
      </c>
      <c r="H48" s="116" t="b">
        <v>0</v>
      </c>
      <c r="I48" s="116" t="b">
        <v>0</v>
      </c>
      <c r="J48" s="116" t="b">
        <v>0</v>
      </c>
      <c r="K48" s="116" t="b">
        <v>0</v>
      </c>
      <c r="L48" s="117">
        <f t="shared" si="1"/>
        <v>0</v>
      </c>
      <c r="M48" s="117">
        <f t="shared" si="2"/>
        <v>0</v>
      </c>
      <c r="N48" s="120"/>
      <c r="O48" s="112"/>
    </row>
    <row r="49" ht="15.0" customHeight="1">
      <c r="A49" s="122"/>
      <c r="B49" s="122"/>
      <c r="C49" s="122"/>
      <c r="D49" s="129" t="s">
        <v>79</v>
      </c>
      <c r="E49" s="114" t="str">
        <f>VLOOKUP(D49,Data!H:I,2,0)</f>
        <v>İstanbul</v>
      </c>
      <c r="F49" s="115" t="str">
        <f>VLOOKUP(D49,Data!H:J,3,0)</f>
        <v>Freelance</v>
      </c>
      <c r="G49" s="116" t="b">
        <v>0</v>
      </c>
      <c r="H49" s="116" t="b">
        <v>0</v>
      </c>
      <c r="I49" s="116" t="b">
        <v>1</v>
      </c>
      <c r="J49" s="116" t="b">
        <v>1</v>
      </c>
      <c r="K49" s="116" t="b">
        <v>1</v>
      </c>
      <c r="L49" s="117">
        <f t="shared" si="1"/>
        <v>3</v>
      </c>
      <c r="M49" s="117">
        <f t="shared" si="2"/>
        <v>12</v>
      </c>
      <c r="N49" s="112"/>
      <c r="O49" s="122"/>
    </row>
    <row r="50" ht="15.0" customHeight="1">
      <c r="A50" s="124"/>
      <c r="B50" s="124"/>
      <c r="C50" s="124"/>
      <c r="D50" s="129" t="s">
        <v>80</v>
      </c>
      <c r="E50" s="114" t="str">
        <f>VLOOKUP(D50,Data!H:I,2,0)</f>
        <v>İstanbul</v>
      </c>
      <c r="F50" s="115" t="str">
        <f>VLOOKUP(D50,Data!H:J,3,0)</f>
        <v>Freelance</v>
      </c>
      <c r="G50" s="116" t="b">
        <v>1</v>
      </c>
      <c r="H50" s="116" t="b">
        <v>1</v>
      </c>
      <c r="I50" s="116" t="b">
        <v>1</v>
      </c>
      <c r="J50" s="116" t="b">
        <v>1</v>
      </c>
      <c r="K50" s="116" t="b">
        <v>1</v>
      </c>
      <c r="L50" s="117">
        <f t="shared" si="1"/>
        <v>5</v>
      </c>
      <c r="M50" s="117">
        <f t="shared" si="2"/>
        <v>20</v>
      </c>
      <c r="N50" s="112"/>
      <c r="O50" s="124"/>
    </row>
    <row r="51" ht="15.0" customHeight="1">
      <c r="A51" s="124"/>
      <c r="B51" s="124"/>
      <c r="C51" s="124"/>
      <c r="D51" s="129" t="s">
        <v>81</v>
      </c>
      <c r="E51" s="114" t="str">
        <f>VLOOKUP(D51,Data!H:I,2,0)</f>
        <v>İstanbul</v>
      </c>
      <c r="F51" s="115" t="str">
        <f>VLOOKUP(D51,Data!H:J,3,0)</f>
        <v>Freelance</v>
      </c>
      <c r="G51" s="116" t="b">
        <v>0</v>
      </c>
      <c r="H51" s="116" t="b">
        <v>0</v>
      </c>
      <c r="I51" s="116" t="b">
        <v>0</v>
      </c>
      <c r="J51" s="116" t="b">
        <v>0</v>
      </c>
      <c r="K51" s="116" t="b">
        <v>0</v>
      </c>
      <c r="L51" s="117">
        <f t="shared" si="1"/>
        <v>0</v>
      </c>
      <c r="M51" s="117">
        <f t="shared" si="2"/>
        <v>0</v>
      </c>
      <c r="N51" s="112"/>
      <c r="O51" s="124"/>
    </row>
    <row r="52" ht="15.0" customHeight="1">
      <c r="A52" s="112"/>
      <c r="B52" s="112"/>
      <c r="C52" s="112"/>
      <c r="D52" s="129" t="s">
        <v>166</v>
      </c>
      <c r="E52" s="114" t="str">
        <f>VLOOKUP(D52,Data!H:I,2,0)</f>
        <v>İstanbul</v>
      </c>
      <c r="F52" s="115" t="str">
        <f>VLOOKUP(D52,Data!H:J,3,0)</f>
        <v>Filamingo</v>
      </c>
      <c r="G52" s="116" t="b">
        <v>0</v>
      </c>
      <c r="H52" s="116" t="b">
        <v>0</v>
      </c>
      <c r="I52" s="116" t="b">
        <v>0</v>
      </c>
      <c r="J52" s="116" t="b">
        <v>0</v>
      </c>
      <c r="K52" s="116" t="b">
        <v>0</v>
      </c>
      <c r="L52" s="117">
        <f t="shared" si="1"/>
        <v>0</v>
      </c>
      <c r="M52" s="117">
        <f t="shared" si="2"/>
        <v>0</v>
      </c>
      <c r="N52" s="124"/>
      <c r="O52" s="112"/>
    </row>
    <row r="53" ht="15.0" customHeight="1">
      <c r="A53" s="112"/>
      <c r="B53" s="112"/>
      <c r="C53" s="112"/>
      <c r="D53" s="129" t="s">
        <v>201</v>
      </c>
      <c r="E53" s="114" t="str">
        <f>VLOOKUP(D53,Data!H:I,2,0)</f>
        <v>İstanbul</v>
      </c>
      <c r="F53" s="115" t="str">
        <f>VLOOKUP(D53,Data!H:J,3,0)</f>
        <v>Freelance</v>
      </c>
      <c r="G53" s="116" t="b">
        <v>0</v>
      </c>
      <c r="H53" s="116" t="b">
        <v>0</v>
      </c>
      <c r="I53" s="116" t="b">
        <v>1</v>
      </c>
      <c r="J53" s="116" t="b">
        <v>1</v>
      </c>
      <c r="K53" s="116" t="b">
        <v>1</v>
      </c>
      <c r="L53" s="117">
        <f t="shared" si="1"/>
        <v>3</v>
      </c>
      <c r="M53" s="117">
        <f t="shared" si="2"/>
        <v>12</v>
      </c>
      <c r="N53" s="112"/>
      <c r="O53" s="112"/>
    </row>
    <row r="54" ht="15.0" customHeight="1">
      <c r="A54" s="112"/>
      <c r="B54" s="112"/>
      <c r="C54" s="112"/>
      <c r="D54" s="132" t="s">
        <v>119</v>
      </c>
      <c r="E54" s="114" t="str">
        <f>VLOOKUP(D54,Data!H:I,2,0)</f>
        <v>İstanbul</v>
      </c>
      <c r="F54" s="115" t="str">
        <f>VLOOKUP(D54,Data!H:J,3,0)</f>
        <v>Filamingo</v>
      </c>
      <c r="G54" s="116" t="b">
        <v>0</v>
      </c>
      <c r="H54" s="116" t="b">
        <v>0</v>
      </c>
      <c r="I54" s="116" t="b">
        <v>0</v>
      </c>
      <c r="J54" s="116" t="b">
        <v>0</v>
      </c>
      <c r="K54" s="116" t="b">
        <v>0</v>
      </c>
      <c r="L54" s="117">
        <f t="shared" si="1"/>
        <v>0</v>
      </c>
      <c r="M54" s="117">
        <f t="shared" si="2"/>
        <v>0</v>
      </c>
      <c r="N54" s="112"/>
      <c r="O54" s="112"/>
    </row>
    <row r="55" ht="15.0" customHeight="1">
      <c r="A55" s="112"/>
      <c r="B55" s="112"/>
      <c r="C55" s="112"/>
      <c r="D55" s="129" t="s">
        <v>185</v>
      </c>
      <c r="E55" s="114" t="str">
        <f>VLOOKUP(D55,Data!H:I,2,0)</f>
        <v>İstanbul</v>
      </c>
      <c r="F55" s="115" t="str">
        <f>VLOOKUP(D55,Data!H:J,3,0)</f>
        <v>Filamingo</v>
      </c>
      <c r="G55" s="116" t="b">
        <v>1</v>
      </c>
      <c r="H55" s="116" t="b">
        <v>1</v>
      </c>
      <c r="I55" s="116" t="b">
        <v>1</v>
      </c>
      <c r="J55" s="116" t="b">
        <v>1</v>
      </c>
      <c r="K55" s="116" t="b">
        <v>1</v>
      </c>
      <c r="L55" s="117">
        <f t="shared" si="1"/>
        <v>5</v>
      </c>
      <c r="M55" s="117">
        <f t="shared" si="2"/>
        <v>20</v>
      </c>
      <c r="N55" s="112"/>
      <c r="O55" s="112"/>
    </row>
    <row r="56" ht="15.0" customHeight="1">
      <c r="A56" s="112"/>
      <c r="B56" s="112"/>
      <c r="C56" s="112"/>
      <c r="D56" s="129" t="s">
        <v>85</v>
      </c>
      <c r="E56" s="114" t="str">
        <f>VLOOKUP(D56,Data!H:I,2,0)</f>
        <v>İstanbul</v>
      </c>
      <c r="F56" s="115" t="str">
        <f>VLOOKUP(D56,Data!H:J,3,0)</f>
        <v>Filamingo</v>
      </c>
      <c r="G56" s="116" t="b">
        <v>1</v>
      </c>
      <c r="H56" s="116" t="b">
        <v>1</v>
      </c>
      <c r="I56" s="116" t="b">
        <v>1</v>
      </c>
      <c r="J56" s="116" t="b">
        <v>1</v>
      </c>
      <c r="K56" s="116" t="b">
        <v>1</v>
      </c>
      <c r="L56" s="117">
        <f t="shared" si="1"/>
        <v>5</v>
      </c>
      <c r="M56" s="117">
        <f t="shared" si="2"/>
        <v>20</v>
      </c>
      <c r="N56" s="112"/>
      <c r="O56" s="112"/>
    </row>
    <row r="57" ht="15.0" customHeight="1">
      <c r="A57" s="112"/>
      <c r="B57" s="112"/>
      <c r="C57" s="112"/>
      <c r="D57" s="129" t="s">
        <v>175</v>
      </c>
      <c r="E57" s="114" t="str">
        <f>VLOOKUP(D57,Data!H:I,2,0)</f>
        <v>İstanbul</v>
      </c>
      <c r="F57" s="115" t="str">
        <f>VLOOKUP(D57,Data!H:J,3,0)</f>
        <v>Freelance</v>
      </c>
      <c r="G57" s="116" t="b">
        <v>0</v>
      </c>
      <c r="H57" s="116" t="b">
        <v>0</v>
      </c>
      <c r="I57" s="116" t="b">
        <v>0</v>
      </c>
      <c r="J57" s="116" t="b">
        <v>0</v>
      </c>
      <c r="K57" s="116" t="b">
        <v>0</v>
      </c>
      <c r="L57" s="117">
        <f t="shared" si="1"/>
        <v>0</v>
      </c>
      <c r="M57" s="117">
        <f t="shared" si="2"/>
        <v>0</v>
      </c>
      <c r="N57" s="125"/>
      <c r="O57" s="112"/>
    </row>
    <row r="58" ht="15.0" customHeight="1">
      <c r="A58" s="112"/>
      <c r="B58" s="112"/>
      <c r="C58" s="112"/>
      <c r="D58" s="132" t="s">
        <v>83</v>
      </c>
      <c r="E58" s="114" t="str">
        <f>VLOOKUP(D58,Data!H:I,2,0)</f>
        <v>İstanbul</v>
      </c>
      <c r="F58" s="115" t="str">
        <f>VLOOKUP(D58,Data!H:J,3,0)</f>
        <v>Nazım Öztel</v>
      </c>
      <c r="G58" s="116" t="b">
        <v>1</v>
      </c>
      <c r="H58" s="116" t="b">
        <v>1</v>
      </c>
      <c r="I58" s="116" t="b">
        <v>1</v>
      </c>
      <c r="J58" s="116" t="b">
        <v>1</v>
      </c>
      <c r="K58" s="116" t="b">
        <v>1</v>
      </c>
      <c r="L58" s="117">
        <f t="shared" si="1"/>
        <v>5</v>
      </c>
      <c r="M58" s="117">
        <f t="shared" si="2"/>
        <v>20</v>
      </c>
      <c r="N58" s="112"/>
      <c r="O58" s="112"/>
    </row>
    <row r="59" ht="15.0" customHeight="1">
      <c r="A59" s="125"/>
      <c r="B59" s="125"/>
      <c r="C59" s="125"/>
      <c r="D59" s="129" t="s">
        <v>145</v>
      </c>
      <c r="E59" s="114" t="str">
        <f>VLOOKUP(D59,Data!H:I,2,0)</f>
        <v>İstanbul</v>
      </c>
      <c r="F59" s="115" t="str">
        <f>VLOOKUP(D59,Data!H:J,3,0)</f>
        <v>Filamingo</v>
      </c>
      <c r="G59" s="116" t="b">
        <v>1</v>
      </c>
      <c r="H59" s="116" t="b">
        <v>1</v>
      </c>
      <c r="I59" s="116" t="b">
        <v>1</v>
      </c>
      <c r="J59" s="116" t="b">
        <v>1</v>
      </c>
      <c r="K59" s="116" t="b">
        <v>1</v>
      </c>
      <c r="L59" s="117">
        <f t="shared" si="1"/>
        <v>5</v>
      </c>
      <c r="M59" s="117">
        <f t="shared" si="2"/>
        <v>20</v>
      </c>
      <c r="N59" s="112"/>
      <c r="O59" s="125"/>
    </row>
    <row r="60" ht="15.0" customHeight="1">
      <c r="A60" s="125"/>
      <c r="B60" s="125"/>
      <c r="C60" s="125"/>
      <c r="D60" s="129" t="s">
        <v>202</v>
      </c>
      <c r="E60" s="114" t="str">
        <f>VLOOKUP(D60,Data!H:I,2,0)</f>
        <v>İstanbul</v>
      </c>
      <c r="F60" s="115" t="str">
        <f>VLOOKUP(D60,Data!H:J,3,0)</f>
        <v>Filamingo</v>
      </c>
      <c r="G60" s="116" t="b">
        <v>0</v>
      </c>
      <c r="H60" s="116" t="b">
        <v>0</v>
      </c>
      <c r="I60" s="116" t="b">
        <v>0</v>
      </c>
      <c r="J60" s="116" t="b">
        <v>0</v>
      </c>
      <c r="K60" s="116" t="b">
        <v>0</v>
      </c>
      <c r="L60" s="117">
        <f t="shared" si="1"/>
        <v>0</v>
      </c>
      <c r="M60" s="117">
        <f t="shared" si="2"/>
        <v>0</v>
      </c>
      <c r="N60" s="112"/>
      <c r="O60" s="125"/>
    </row>
    <row r="61" ht="15.0" customHeight="1">
      <c r="A61" s="125"/>
      <c r="B61" s="125"/>
      <c r="C61" s="125"/>
      <c r="D61" s="129" t="s">
        <v>186</v>
      </c>
      <c r="E61" s="114" t="str">
        <f>VLOOKUP(D61,Data!H:I,2,0)</f>
        <v>İstanbul</v>
      </c>
      <c r="F61" s="115" t="str">
        <f>VLOOKUP(D61,Data!H:J,3,0)</f>
        <v>Filamingo</v>
      </c>
      <c r="G61" s="116" t="b">
        <v>0</v>
      </c>
      <c r="H61" s="116" t="b">
        <v>1</v>
      </c>
      <c r="I61" s="116" t="b">
        <v>1</v>
      </c>
      <c r="J61" s="116" t="b">
        <v>1</v>
      </c>
      <c r="K61" s="116" t="b">
        <v>1</v>
      </c>
      <c r="L61" s="117">
        <f t="shared" si="1"/>
        <v>4</v>
      </c>
      <c r="M61" s="117">
        <f t="shared" si="2"/>
        <v>16</v>
      </c>
      <c r="N61" s="112"/>
      <c r="O61" s="125"/>
    </row>
    <row r="62" ht="15.0" customHeight="1">
      <c r="A62" s="122"/>
      <c r="B62" s="122"/>
      <c r="C62" s="122"/>
      <c r="D62" s="129" t="s">
        <v>87</v>
      </c>
      <c r="E62" s="114" t="str">
        <f>VLOOKUP(D62,Data!H:I,2,0)</f>
        <v>İstanbul</v>
      </c>
      <c r="F62" s="115" t="str">
        <f>VLOOKUP(D62,Data!H:J,3,0)</f>
        <v>Freelance</v>
      </c>
      <c r="G62" s="116" t="b">
        <v>0</v>
      </c>
      <c r="H62" s="116" t="b">
        <v>1</v>
      </c>
      <c r="I62" s="116" t="b">
        <v>0</v>
      </c>
      <c r="J62" s="116" t="b">
        <v>1</v>
      </c>
      <c r="K62" s="116" t="b">
        <v>1</v>
      </c>
      <c r="L62" s="117">
        <f t="shared" si="1"/>
        <v>3</v>
      </c>
      <c r="M62" s="117">
        <f t="shared" si="2"/>
        <v>12</v>
      </c>
      <c r="N62" s="112"/>
      <c r="O62" s="122"/>
    </row>
    <row r="63" ht="15.0" customHeight="1">
      <c r="A63" s="112"/>
      <c r="B63" s="112"/>
      <c r="C63" s="112"/>
      <c r="D63" s="132" t="s">
        <v>88</v>
      </c>
      <c r="E63" s="114" t="str">
        <f>VLOOKUP(D63,Data!H:I,2,0)</f>
        <v>İstanbul</v>
      </c>
      <c r="F63" s="115" t="str">
        <f>VLOOKUP(D63,Data!H:J,3,0)</f>
        <v>Nazım Öztel</v>
      </c>
      <c r="G63" s="116" t="b">
        <v>0</v>
      </c>
      <c r="H63" s="116" t="b">
        <v>0</v>
      </c>
      <c r="I63" s="116" t="b">
        <v>0</v>
      </c>
      <c r="J63" s="116" t="b">
        <v>0</v>
      </c>
      <c r="K63" s="116" t="b">
        <v>0</v>
      </c>
      <c r="L63" s="117">
        <f t="shared" si="1"/>
        <v>0</v>
      </c>
      <c r="M63" s="117">
        <f t="shared" si="2"/>
        <v>0</v>
      </c>
      <c r="N63" s="112"/>
      <c r="O63" s="112"/>
    </row>
    <row r="64" ht="15.0" customHeight="1">
      <c r="A64" s="112"/>
      <c r="B64" s="112"/>
      <c r="C64" s="112"/>
      <c r="D64" s="132" t="s">
        <v>89</v>
      </c>
      <c r="E64" s="114" t="str">
        <f>VLOOKUP(D64,Data!H:I,2,0)</f>
        <v>İstanbul</v>
      </c>
      <c r="F64" s="115" t="str">
        <f>VLOOKUP(D64,Data!H:J,3,0)</f>
        <v>Filamingo</v>
      </c>
      <c r="G64" s="116" t="b">
        <v>0</v>
      </c>
      <c r="H64" s="116" t="b">
        <v>0</v>
      </c>
      <c r="I64" s="116" t="b">
        <v>0</v>
      </c>
      <c r="J64" s="116" t="b">
        <v>0</v>
      </c>
      <c r="K64" s="116" t="b">
        <v>0</v>
      </c>
      <c r="L64" s="117">
        <f t="shared" si="1"/>
        <v>0</v>
      </c>
      <c r="M64" s="117">
        <f t="shared" si="2"/>
        <v>0</v>
      </c>
      <c r="N64" s="112"/>
      <c r="O64" s="112"/>
    </row>
    <row r="65" ht="15.0" customHeight="1">
      <c r="A65" s="112"/>
      <c r="B65" s="112"/>
      <c r="C65" s="112"/>
      <c r="D65" s="132" t="s">
        <v>92</v>
      </c>
      <c r="E65" s="114" t="str">
        <f>VLOOKUP(D65,Data!H:I,2,0)</f>
        <v>İzmir</v>
      </c>
      <c r="F65" s="115" t="str">
        <f>VLOOKUP(D65,Data!H:J,3,0)</f>
        <v>Nazım Öztel</v>
      </c>
      <c r="G65" s="116" t="b">
        <v>1</v>
      </c>
      <c r="H65" s="116" t="b">
        <v>1</v>
      </c>
      <c r="I65" s="116" t="b">
        <v>1</v>
      </c>
      <c r="J65" s="116" t="b">
        <v>1</v>
      </c>
      <c r="K65" s="116" t="b">
        <v>1</v>
      </c>
      <c r="L65" s="117">
        <f t="shared" si="1"/>
        <v>5</v>
      </c>
      <c r="M65" s="117">
        <f t="shared" si="2"/>
        <v>20</v>
      </c>
      <c r="N65" s="125"/>
      <c r="O65" s="112"/>
    </row>
    <row r="66" ht="15.0" customHeight="1">
      <c r="A66" s="112"/>
      <c r="B66" s="112"/>
      <c r="C66" s="112"/>
      <c r="D66" s="129" t="s">
        <v>93</v>
      </c>
      <c r="E66" s="114" t="str">
        <f>VLOOKUP(D66,Data!H:I,2,0)</f>
        <v>İzmir</v>
      </c>
      <c r="F66" s="115" t="str">
        <f>VLOOKUP(D66,Data!H:J,3,0)</f>
        <v>Freelance</v>
      </c>
      <c r="G66" s="116" t="b">
        <v>0</v>
      </c>
      <c r="H66" s="116" t="b">
        <v>1</v>
      </c>
      <c r="I66" s="116" t="b">
        <v>1</v>
      </c>
      <c r="J66" s="116" t="b">
        <v>1</v>
      </c>
      <c r="K66" s="116" t="b">
        <v>1</v>
      </c>
      <c r="L66" s="117">
        <f t="shared" si="1"/>
        <v>4</v>
      </c>
      <c r="M66" s="117">
        <f t="shared" si="2"/>
        <v>16</v>
      </c>
      <c r="N66" s="112"/>
      <c r="O66" s="112"/>
    </row>
    <row r="67" ht="15.0" customHeight="1">
      <c r="A67" s="112"/>
      <c r="B67" s="112"/>
      <c r="C67" s="112"/>
      <c r="D67" s="129" t="s">
        <v>161</v>
      </c>
      <c r="E67" s="143" t="str">
        <f>VLOOKUP(D67,Data!H:I,2,0)</f>
        <v>Kahramanmaraş</v>
      </c>
      <c r="F67" s="115" t="str">
        <f>VLOOKUP(D67,Data!H:J,3,0)</f>
        <v>Nazım Öztel</v>
      </c>
      <c r="G67" s="116" t="b">
        <v>0</v>
      </c>
      <c r="H67" s="116" t="b">
        <v>0</v>
      </c>
      <c r="I67" s="116" t="b">
        <v>0</v>
      </c>
      <c r="J67" s="116" t="b">
        <v>0</v>
      </c>
      <c r="K67" s="116" t="b">
        <v>0</v>
      </c>
      <c r="L67" s="117">
        <f t="shared" si="1"/>
        <v>0</v>
      </c>
      <c r="M67" s="117">
        <f t="shared" si="2"/>
        <v>0</v>
      </c>
      <c r="N67" s="112"/>
      <c r="O67" s="112"/>
    </row>
    <row r="68" ht="15.0" customHeight="1">
      <c r="A68" s="112"/>
      <c r="B68" s="112"/>
      <c r="C68" s="112"/>
      <c r="D68" s="129" t="s">
        <v>176</v>
      </c>
      <c r="E68" s="114" t="str">
        <f>VLOOKUP(D68,Data!H:I,2,0)</f>
        <v>Karabük</v>
      </c>
      <c r="F68" s="115" t="str">
        <f>VLOOKUP(D68,Data!H:J,3,0)</f>
        <v>Nazım Öztel</v>
      </c>
      <c r="G68" s="116" t="b">
        <v>0</v>
      </c>
      <c r="H68" s="116" t="b">
        <v>0</v>
      </c>
      <c r="I68" s="116" t="b">
        <v>0</v>
      </c>
      <c r="J68" s="116" t="b">
        <v>0</v>
      </c>
      <c r="K68" s="116" t="b">
        <v>0</v>
      </c>
      <c r="L68" s="117">
        <f t="shared" si="1"/>
        <v>0</v>
      </c>
      <c r="M68" s="117">
        <f t="shared" si="2"/>
        <v>0</v>
      </c>
      <c r="N68" s="112"/>
      <c r="O68" s="112"/>
    </row>
    <row r="69" ht="15.0" customHeight="1">
      <c r="A69" s="112"/>
      <c r="B69" s="112"/>
      <c r="C69" s="112"/>
      <c r="D69" s="132" t="s">
        <v>96</v>
      </c>
      <c r="E69" s="114" t="str">
        <f>VLOOKUP(D69,Data!H:I,2,0)</f>
        <v>Kocaeli</v>
      </c>
      <c r="F69" s="115" t="str">
        <f>VLOOKUP(D69,Data!H:J,3,0)</f>
        <v>Nazım Öztel</v>
      </c>
      <c r="G69" s="116" t="b">
        <v>0</v>
      </c>
      <c r="H69" s="116" t="b">
        <v>0</v>
      </c>
      <c r="I69" s="116" t="b">
        <v>0</v>
      </c>
      <c r="J69" s="116" t="b">
        <v>0</v>
      </c>
      <c r="K69" s="116" t="b">
        <v>0</v>
      </c>
      <c r="L69" s="117">
        <f t="shared" si="1"/>
        <v>0</v>
      </c>
      <c r="M69" s="117">
        <f t="shared" si="2"/>
        <v>0</v>
      </c>
      <c r="N69" s="112"/>
      <c r="O69" s="112"/>
    </row>
    <row r="70" ht="15.0" customHeight="1">
      <c r="A70" s="112"/>
      <c r="B70" s="112"/>
      <c r="C70" s="112"/>
      <c r="D70" s="129" t="s">
        <v>147</v>
      </c>
      <c r="E70" s="114" t="str">
        <f>VLOOKUP(D70,Data!H:I,2,0)</f>
        <v>Kocaeli</v>
      </c>
      <c r="F70" s="115" t="str">
        <f>VLOOKUP(D70,Data!H:J,3,0)</f>
        <v>Nazım Öztel</v>
      </c>
      <c r="G70" s="116" t="b">
        <v>0</v>
      </c>
      <c r="H70" s="116" t="b">
        <v>0</v>
      </c>
      <c r="I70" s="116" t="b">
        <v>1</v>
      </c>
      <c r="J70" s="116" t="b">
        <v>1</v>
      </c>
      <c r="K70" s="116" t="b">
        <v>1</v>
      </c>
      <c r="L70" s="117">
        <f t="shared" si="1"/>
        <v>3</v>
      </c>
      <c r="M70" s="117">
        <f t="shared" si="2"/>
        <v>12</v>
      </c>
      <c r="N70" s="112"/>
      <c r="O70" s="112"/>
    </row>
    <row r="71" ht="15.0" customHeight="1">
      <c r="A71" s="112"/>
      <c r="B71" s="112"/>
      <c r="C71" s="112"/>
      <c r="D71" s="129" t="s">
        <v>203</v>
      </c>
      <c r="E71" s="114" t="str">
        <f>VLOOKUP(D71,Data!H:I,2,0)</f>
        <v>Malatya</v>
      </c>
      <c r="F71" s="115" t="str">
        <f>VLOOKUP(D71,Data!H:J,3,0)</f>
        <v>Nazım Öztel</v>
      </c>
      <c r="G71" s="116" t="b">
        <v>1</v>
      </c>
      <c r="H71" s="116" t="b">
        <v>1</v>
      </c>
      <c r="I71" s="116" t="b">
        <v>0</v>
      </c>
      <c r="J71" s="116" t="b">
        <v>1</v>
      </c>
      <c r="K71" s="116" t="b">
        <v>1</v>
      </c>
      <c r="L71" s="117">
        <f t="shared" si="1"/>
        <v>4</v>
      </c>
      <c r="M71" s="117">
        <f t="shared" si="2"/>
        <v>16</v>
      </c>
      <c r="N71" s="112"/>
      <c r="O71" s="112"/>
    </row>
    <row r="72" ht="15.0" customHeight="1">
      <c r="A72" s="112"/>
      <c r="B72" s="112"/>
      <c r="C72" s="112"/>
      <c r="D72" s="132" t="s">
        <v>98</v>
      </c>
      <c r="E72" s="114" t="str">
        <f>VLOOKUP(D72,Data!H:I,2,0)</f>
        <v>Manisa</v>
      </c>
      <c r="F72" s="115" t="str">
        <f>VLOOKUP(D72,Data!H:J,3,0)</f>
        <v>Nazım Öztel</v>
      </c>
      <c r="G72" s="116" t="b">
        <v>0</v>
      </c>
      <c r="H72" s="116" t="b">
        <v>0</v>
      </c>
      <c r="I72" s="116" t="b">
        <v>0</v>
      </c>
      <c r="J72" s="116" t="b">
        <v>0</v>
      </c>
      <c r="K72" s="116" t="b">
        <v>0</v>
      </c>
      <c r="L72" s="117">
        <f t="shared" si="1"/>
        <v>0</v>
      </c>
      <c r="M72" s="117">
        <f t="shared" si="2"/>
        <v>0</v>
      </c>
      <c r="N72" s="142"/>
      <c r="O72" s="112"/>
    </row>
    <row r="73" ht="15.0" customHeight="1">
      <c r="A73" s="112"/>
      <c r="B73" s="112"/>
      <c r="C73" s="112"/>
      <c r="D73" s="132" t="s">
        <v>99</v>
      </c>
      <c r="E73" s="114" t="str">
        <f>VLOOKUP(D73,Data!H:I,2,0)</f>
        <v>Mersin</v>
      </c>
      <c r="F73" s="115" t="str">
        <f>VLOOKUP(D73,Data!H:J,3,0)</f>
        <v>Nazım Öztel</v>
      </c>
      <c r="G73" s="116" t="b">
        <v>0</v>
      </c>
      <c r="H73" s="116" t="b">
        <v>0</v>
      </c>
      <c r="I73" s="116" t="b">
        <v>0</v>
      </c>
      <c r="J73" s="116" t="b">
        <v>0</v>
      </c>
      <c r="K73" s="116" t="b">
        <v>0</v>
      </c>
      <c r="L73" s="117">
        <f t="shared" si="1"/>
        <v>0</v>
      </c>
      <c r="M73" s="117">
        <f t="shared" si="2"/>
        <v>0</v>
      </c>
      <c r="N73" s="106"/>
      <c r="O73" s="112"/>
    </row>
    <row r="74" ht="15.0" customHeight="1">
      <c r="A74" s="112"/>
      <c r="B74" s="112"/>
      <c r="C74" s="112"/>
      <c r="D74" s="129" t="s">
        <v>169</v>
      </c>
      <c r="E74" s="114" t="str">
        <f>VLOOKUP(D74,Data!H:I,2,0)</f>
        <v>Mersin</v>
      </c>
      <c r="F74" s="115" t="str">
        <f>VLOOKUP(D74,Data!H:J,3,0)</f>
        <v>Nazım Öztel</v>
      </c>
      <c r="G74" s="116" t="b">
        <v>1</v>
      </c>
      <c r="H74" s="116" t="b">
        <v>1</v>
      </c>
      <c r="I74" s="116" t="b">
        <v>0</v>
      </c>
      <c r="J74" s="116" t="b">
        <v>1</v>
      </c>
      <c r="K74" s="116" t="b">
        <v>1</v>
      </c>
      <c r="L74" s="117">
        <f t="shared" si="1"/>
        <v>4</v>
      </c>
      <c r="M74" s="117">
        <f t="shared" si="2"/>
        <v>16</v>
      </c>
      <c r="N74" s="106"/>
      <c r="O74" s="112"/>
    </row>
    <row r="75" ht="15.0" customHeight="1">
      <c r="A75" s="112"/>
      <c r="B75" s="112"/>
      <c r="C75" s="112"/>
      <c r="D75" s="129" t="s">
        <v>148</v>
      </c>
      <c r="E75" s="114" t="str">
        <f>VLOOKUP(D75,Data!H:I,2,0)</f>
        <v>Muğla</v>
      </c>
      <c r="F75" s="115" t="str">
        <f>VLOOKUP(D75,Data!H:J,3,0)</f>
        <v>Nazım Öztel</v>
      </c>
      <c r="G75" s="116" t="b">
        <v>1</v>
      </c>
      <c r="H75" s="116" t="b">
        <v>1</v>
      </c>
      <c r="I75" s="116" t="b">
        <v>1</v>
      </c>
      <c r="J75" s="116" t="b">
        <v>0</v>
      </c>
      <c r="K75" s="116" t="b">
        <v>0</v>
      </c>
      <c r="L75" s="117">
        <f t="shared" si="1"/>
        <v>3</v>
      </c>
      <c r="M75" s="117">
        <f t="shared" si="2"/>
        <v>12</v>
      </c>
      <c r="N75" s="106"/>
      <c r="O75" s="112"/>
    </row>
    <row r="76" ht="15.0" customHeight="1">
      <c r="A76" s="112"/>
      <c r="B76" s="112"/>
      <c r="C76" s="112"/>
      <c r="D76" s="129" t="s">
        <v>193</v>
      </c>
      <c r="E76" s="114" t="str">
        <f>VLOOKUP(D76,Data!H:I,2,0)</f>
        <v>Samsun</v>
      </c>
      <c r="F76" s="115" t="str">
        <f>VLOOKUP(D76,Data!H:J,3,0)</f>
        <v>Nazım Öztel</v>
      </c>
      <c r="G76" s="116" t="b">
        <v>1</v>
      </c>
      <c r="H76" s="116" t="b">
        <v>1</v>
      </c>
      <c r="I76" s="116" t="b">
        <v>1</v>
      </c>
      <c r="J76" s="116" t="b">
        <v>1</v>
      </c>
      <c r="K76" s="116" t="b">
        <v>1</v>
      </c>
      <c r="L76" s="117">
        <f t="shared" si="1"/>
        <v>5</v>
      </c>
      <c r="M76" s="117">
        <f t="shared" si="2"/>
        <v>20</v>
      </c>
      <c r="N76" s="106"/>
      <c r="O76" s="112"/>
    </row>
    <row r="77" ht="15.0" customHeight="1">
      <c r="A77" s="112"/>
      <c r="B77" s="112"/>
      <c r="C77" s="112"/>
      <c r="D77" s="129" t="s">
        <v>104</v>
      </c>
      <c r="E77" s="114" t="str">
        <f>VLOOKUP(D77,Data!H:I,2,0)</f>
        <v>Tekirdağ</v>
      </c>
      <c r="F77" s="115" t="str">
        <f>VLOOKUP(D77,Data!H:J,3,0)</f>
        <v>Freelance</v>
      </c>
      <c r="G77" s="139" t="b">
        <v>0</v>
      </c>
      <c r="H77" s="139" t="b">
        <v>0</v>
      </c>
      <c r="I77" s="139" t="b">
        <v>0</v>
      </c>
      <c r="J77" s="139" t="b">
        <v>0</v>
      </c>
      <c r="K77" s="139" t="b">
        <v>0</v>
      </c>
      <c r="L77" s="117">
        <f t="shared" si="1"/>
        <v>0</v>
      </c>
      <c r="M77" s="117">
        <f t="shared" si="2"/>
        <v>0</v>
      </c>
      <c r="N77" s="112"/>
      <c r="O77" s="112"/>
    </row>
    <row r="78" ht="15.0" customHeight="1">
      <c r="A78" s="112"/>
      <c r="B78" s="112"/>
      <c r="C78" s="112"/>
      <c r="D78" s="129" t="s">
        <v>154</v>
      </c>
      <c r="E78" s="114" t="str">
        <f>VLOOKUP(D78,Data!H:I,2,0)</f>
        <v>Uşak</v>
      </c>
      <c r="F78" s="115" t="str">
        <f>VLOOKUP(D78,Data!H:J,3,0)</f>
        <v>Nazım Öztel</v>
      </c>
      <c r="G78" s="139" t="b">
        <v>0</v>
      </c>
      <c r="H78" s="139" t="b">
        <v>1</v>
      </c>
      <c r="I78" s="139" t="b">
        <v>0</v>
      </c>
      <c r="J78" s="139" t="b">
        <v>0</v>
      </c>
      <c r="K78" s="139" t="b">
        <v>0</v>
      </c>
      <c r="L78" s="117">
        <f t="shared" si="1"/>
        <v>1</v>
      </c>
      <c r="M78" s="117">
        <f t="shared" si="2"/>
        <v>4</v>
      </c>
      <c r="N78" s="112"/>
      <c r="O78" s="112"/>
    </row>
    <row r="79" ht="15.0" customHeight="1">
      <c r="A79" s="112"/>
      <c r="B79" s="112"/>
      <c r="C79" s="112"/>
      <c r="D79" s="129" t="s">
        <v>176</v>
      </c>
      <c r="E79" s="144" t="s">
        <v>206</v>
      </c>
      <c r="F79" s="144" t="s">
        <v>61</v>
      </c>
      <c r="G79" s="139" t="b">
        <v>0</v>
      </c>
      <c r="H79" s="139" t="b">
        <v>0</v>
      </c>
      <c r="I79" s="139" t="b">
        <v>1</v>
      </c>
      <c r="J79" s="139" t="b">
        <v>1</v>
      </c>
      <c r="K79" s="139" t="b">
        <v>1</v>
      </c>
      <c r="L79" s="117">
        <f t="shared" si="1"/>
        <v>3</v>
      </c>
      <c r="M79" s="117">
        <f t="shared" si="2"/>
        <v>12</v>
      </c>
      <c r="N79" s="112"/>
      <c r="O79" s="112"/>
    </row>
    <row r="80" ht="15.0" customHeight="1">
      <c r="A80" s="112"/>
      <c r="B80" s="112"/>
      <c r="C80" s="112"/>
      <c r="D80" s="132"/>
      <c r="E80" s="132"/>
      <c r="F80" s="132"/>
      <c r="G80" s="117">
        <f t="shared" ref="G80:K80" si="3">4*(COUNTIF(G15:G79,"true"))</f>
        <v>68</v>
      </c>
      <c r="H80" s="117">
        <f t="shared" si="3"/>
        <v>92</v>
      </c>
      <c r="I80" s="117">
        <f t="shared" si="3"/>
        <v>100</v>
      </c>
      <c r="J80" s="117">
        <f t="shared" si="3"/>
        <v>108</v>
      </c>
      <c r="K80" s="117">
        <f t="shared" si="3"/>
        <v>104</v>
      </c>
      <c r="L80" s="135"/>
      <c r="M80" s="135">
        <f>SUM(G80:K80)</f>
        <v>472</v>
      </c>
      <c r="N80" s="112"/>
      <c r="O80" s="112"/>
    </row>
  </sheetData>
  <customSheetViews>
    <customSheetView guid="{70B995D3-3AEB-4DFE-A0CA-D6FFCCE596BC}" filter="1" showAutoFilter="1">
      <autoFilter ref="$D$14:$D$79"/>
    </customSheetView>
    <customSheetView guid="{90E1DF85-7252-44D2-BA7D-CC3767CD0E8B}" filter="1" showAutoFilter="1">
      <autoFilter ref="$A$14:$O$80">
        <filterColumn colId="4">
          <filters>
            <filter val="Samsun"/>
            <filter val="Burdur"/>
            <filter val="Bilecik"/>
            <filter val="Zonguldak"/>
            <filter val="Elazığ"/>
            <filter val="Düzce"/>
            <filter val="Malatya"/>
            <filter val="Denizli"/>
            <filter val="Çanakkale"/>
            <filter val="Karabük"/>
            <filter val="Aydın"/>
            <filter val="Edirne"/>
            <filter val="Afyon"/>
            <filter val="Muğla"/>
            <filter val="Eskişehir"/>
            <filter val="Kahramanmaraş"/>
            <filter val="Balıkesir"/>
            <filter val="Uşak"/>
          </filters>
        </filterColumn>
      </autoFilter>
    </customSheetView>
  </customSheetViews>
  <mergeCells count="4">
    <mergeCell ref="D6:K6"/>
    <mergeCell ref="D7:F7"/>
    <mergeCell ref="D9:D12"/>
    <mergeCell ref="F10:M11"/>
  </mergeCells>
  <conditionalFormatting sqref="G15:K79">
    <cfRule type="cellIs" dxfId="1" priority="1" operator="equal">
      <formula>"False"</formula>
    </cfRule>
  </conditionalFormatting>
  <conditionalFormatting sqref="G15:K79">
    <cfRule type="cellIs" dxfId="0" priority="2" operator="equal">
      <formula>"TRUE"</formula>
    </cfRule>
  </conditionalFormatting>
  <dataValidations>
    <dataValidation type="list" allowBlank="1" showErrorMessage="1" sqref="E15:E79">
      <formula1>Data!$A$2:$A$10</formula1>
    </dataValidation>
    <dataValidation type="list" allowBlank="1" showErrorMessage="1" sqref="F15:F79">
      <formula1>Data!$C$2:$C$8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3" width="2.63"/>
    <col customWidth="1" min="4" max="4" width="20.38"/>
    <col customWidth="1" min="5" max="5" width="11.38"/>
    <col customWidth="1" min="6" max="6" width="16.63"/>
    <col customWidth="1" min="7" max="11" width="8.63"/>
    <col customWidth="1" min="12" max="12" width="12.63"/>
    <col customWidth="1" min="13" max="13" width="15.13"/>
    <col customWidth="1" min="14" max="15" width="2.63"/>
  </cols>
  <sheetData>
    <row r="1" ht="7.5" customHeight="1">
      <c r="A1" s="140"/>
      <c r="B1" s="84"/>
      <c r="C1" s="84"/>
      <c r="D1" s="84"/>
      <c r="E1" s="84"/>
      <c r="F1" s="84"/>
      <c r="G1" s="84"/>
      <c r="H1" s="84"/>
      <c r="I1" s="84"/>
      <c r="J1" s="84"/>
      <c r="K1" s="84"/>
      <c r="L1" s="85"/>
      <c r="M1" s="86"/>
      <c r="N1" s="86"/>
      <c r="O1" s="86"/>
    </row>
    <row r="2" ht="15.0" customHeight="1">
      <c r="A2" s="87"/>
      <c r="B2" s="87"/>
      <c r="C2" s="87"/>
      <c r="D2" s="88"/>
      <c r="E2" s="88"/>
      <c r="F2" s="88"/>
      <c r="G2" s="88"/>
      <c r="H2" s="88"/>
      <c r="I2" s="88"/>
      <c r="J2" s="88"/>
      <c r="K2" s="88"/>
      <c r="L2" s="88"/>
      <c r="M2" s="87"/>
      <c r="N2" s="87"/>
      <c r="O2" s="87"/>
    </row>
    <row r="3" ht="3.75" customHeight="1">
      <c r="A3" s="87"/>
      <c r="B3" s="87"/>
      <c r="C3" s="87"/>
      <c r="D3" s="89"/>
      <c r="E3" s="90"/>
      <c r="F3" s="90"/>
      <c r="G3" s="90"/>
      <c r="H3" s="90"/>
      <c r="I3" s="90"/>
      <c r="J3" s="90"/>
      <c r="K3" s="90"/>
      <c r="L3" s="90"/>
      <c r="M3" s="87"/>
      <c r="N3" s="87"/>
      <c r="O3" s="87"/>
    </row>
    <row r="4" ht="15.0" customHeight="1">
      <c r="A4" s="87"/>
      <c r="B4" s="87"/>
      <c r="C4" s="87"/>
      <c r="D4" s="88"/>
      <c r="E4" s="88"/>
      <c r="F4" s="88"/>
      <c r="G4" s="91"/>
      <c r="H4" s="91"/>
      <c r="I4" s="91"/>
      <c r="J4" s="91"/>
      <c r="K4" s="91"/>
      <c r="L4" s="91"/>
      <c r="M4" s="87"/>
      <c r="N4" s="87"/>
      <c r="O4" s="87"/>
    </row>
    <row r="5" ht="15.0" customHeight="1">
      <c r="A5" s="92"/>
      <c r="B5" s="92"/>
      <c r="C5" s="92"/>
      <c r="D5" s="88"/>
      <c r="E5" s="88"/>
      <c r="F5" s="88"/>
      <c r="G5" s="93"/>
      <c r="H5" s="93"/>
      <c r="I5" s="93"/>
      <c r="J5" s="93"/>
      <c r="K5" s="93"/>
      <c r="L5" s="94"/>
      <c r="M5" s="88"/>
      <c r="N5" s="92"/>
      <c r="O5" s="92"/>
    </row>
    <row r="6" ht="15.0" customHeight="1">
      <c r="A6" s="92"/>
      <c r="B6" s="92"/>
      <c r="C6" s="92"/>
      <c r="D6" s="95" t="s">
        <v>207</v>
      </c>
      <c r="L6" s="94"/>
      <c r="M6" s="88"/>
      <c r="N6" s="92"/>
      <c r="O6" s="92"/>
    </row>
    <row r="7" ht="15.0" customHeight="1">
      <c r="A7" s="92"/>
      <c r="B7" s="92"/>
      <c r="C7" s="92"/>
      <c r="D7" s="96" t="s">
        <v>208</v>
      </c>
      <c r="G7" s="97"/>
      <c r="H7" s="97"/>
      <c r="I7" s="97"/>
      <c r="J7" s="97"/>
      <c r="K7" s="97"/>
      <c r="L7" s="92"/>
      <c r="M7" s="92"/>
      <c r="N7" s="92"/>
      <c r="O7" s="92"/>
    </row>
    <row r="8" ht="15.0" customHeight="1">
      <c r="A8" s="92"/>
      <c r="B8" s="92"/>
      <c r="C8" s="92"/>
      <c r="D8" s="97"/>
      <c r="E8" s="97"/>
      <c r="F8" s="97"/>
      <c r="G8" s="97"/>
      <c r="H8" s="97"/>
      <c r="I8" s="97"/>
      <c r="J8" s="97"/>
      <c r="K8" s="97"/>
      <c r="L8" s="92"/>
      <c r="M8" s="92"/>
      <c r="N8" s="92"/>
      <c r="O8" s="92"/>
    </row>
    <row r="9" ht="15.0" customHeight="1">
      <c r="A9" s="92"/>
      <c r="B9" s="92"/>
      <c r="C9" s="98"/>
      <c r="D9" s="99" t="s">
        <v>35</v>
      </c>
      <c r="E9" s="100"/>
      <c r="F9" s="101"/>
      <c r="G9" s="101"/>
      <c r="H9" s="101"/>
      <c r="I9" s="101"/>
      <c r="J9" s="101"/>
      <c r="K9" s="101"/>
      <c r="L9" s="101"/>
      <c r="M9" s="100"/>
      <c r="N9" s="102"/>
      <c r="O9" s="102"/>
    </row>
    <row r="10" ht="15.0" customHeight="1">
      <c r="A10" s="92"/>
      <c r="B10" s="92"/>
      <c r="C10" s="98"/>
      <c r="E10" s="100"/>
      <c r="F10" s="103" t="s">
        <v>36</v>
      </c>
      <c r="N10" s="102"/>
      <c r="O10" s="102"/>
    </row>
    <row r="11" ht="15.0" customHeight="1">
      <c r="A11" s="92"/>
      <c r="B11" s="92"/>
      <c r="C11" s="98"/>
      <c r="E11" s="100"/>
      <c r="N11" s="102"/>
      <c r="O11" s="102"/>
    </row>
    <row r="12" ht="15.0" customHeight="1">
      <c r="A12" s="88"/>
      <c r="B12" s="92"/>
      <c r="C12" s="92"/>
      <c r="E12" s="100"/>
      <c r="F12" s="100"/>
      <c r="G12" s="100"/>
      <c r="H12" s="100"/>
      <c r="I12" s="100"/>
      <c r="J12" s="100"/>
      <c r="K12" s="100"/>
      <c r="L12" s="100"/>
      <c r="M12" s="100"/>
      <c r="N12" s="102"/>
      <c r="O12" s="102"/>
    </row>
    <row r="13" ht="15.0" customHeight="1">
      <c r="A13" s="88"/>
      <c r="B13" s="104"/>
      <c r="C13" s="104"/>
      <c r="D13" s="104"/>
      <c r="E13" s="104"/>
      <c r="F13" s="105"/>
      <c r="G13" s="105"/>
      <c r="H13" s="105"/>
      <c r="I13" s="105"/>
      <c r="J13" s="105"/>
      <c r="K13" s="105"/>
      <c r="L13" s="104"/>
      <c r="M13" s="104"/>
      <c r="N13" s="104"/>
      <c r="O13" s="104"/>
    </row>
    <row r="14" ht="15.0" customHeight="1">
      <c r="A14" s="106"/>
      <c r="B14" s="106"/>
      <c r="C14" s="106"/>
      <c r="D14" s="107" t="s">
        <v>37</v>
      </c>
      <c r="E14" s="108" t="s">
        <v>38</v>
      </c>
      <c r="F14" s="109" t="s">
        <v>39</v>
      </c>
      <c r="G14" s="110">
        <v>44536.0</v>
      </c>
      <c r="H14" s="110">
        <v>44537.0</v>
      </c>
      <c r="I14" s="110">
        <v>44538.0</v>
      </c>
      <c r="J14" s="110">
        <v>44539.0</v>
      </c>
      <c r="K14" s="110">
        <v>44540.0</v>
      </c>
      <c r="L14" s="111" t="s">
        <v>40</v>
      </c>
      <c r="M14" s="111" t="s">
        <v>41</v>
      </c>
      <c r="N14" s="88"/>
      <c r="O14" s="88"/>
    </row>
    <row r="15" ht="15.0" customHeight="1">
      <c r="A15" s="112"/>
      <c r="B15" s="112"/>
      <c r="C15" s="112"/>
      <c r="D15" s="129" t="s">
        <v>42</v>
      </c>
      <c r="E15" s="114" t="str">
        <f>VLOOKUP(D15,Data!H:I,2,0)</f>
        <v>Adana</v>
      </c>
      <c r="F15" s="115" t="str">
        <f>VLOOKUP(D15,Data!H:J,3,0)</f>
        <v>Freelance</v>
      </c>
      <c r="G15" s="116" t="b">
        <v>0</v>
      </c>
      <c r="H15" s="116" t="b">
        <v>0</v>
      </c>
      <c r="I15" s="116" t="b">
        <v>0</v>
      </c>
      <c r="J15" s="116" t="b">
        <v>1</v>
      </c>
      <c r="K15" s="116" t="b">
        <v>1</v>
      </c>
      <c r="L15" s="117">
        <f t="shared" ref="L15:L82" si="1">COUNTIF(G15:K15,"TRUE")</f>
        <v>2</v>
      </c>
      <c r="M15" s="117">
        <f t="shared" ref="M15:M82" si="2">L15*4</f>
        <v>8</v>
      </c>
      <c r="N15" s="112"/>
      <c r="O15" s="88"/>
    </row>
    <row r="16" ht="15.0" customHeight="1">
      <c r="A16" s="112"/>
      <c r="B16" s="112"/>
      <c r="C16" s="112"/>
      <c r="D16" s="129" t="s">
        <v>196</v>
      </c>
      <c r="E16" s="114" t="str">
        <f>VLOOKUP(D16,Data!H:I,2,0)</f>
        <v>Afyon</v>
      </c>
      <c r="F16" s="115" t="str">
        <f>VLOOKUP(D16,Data!H:J,3,0)</f>
        <v>Nazım Öztel</v>
      </c>
      <c r="G16" s="116" t="b">
        <v>1</v>
      </c>
      <c r="H16" s="116" t="b">
        <v>1</v>
      </c>
      <c r="I16" s="116" t="b">
        <v>1</v>
      </c>
      <c r="J16" s="116" t="b">
        <v>1</v>
      </c>
      <c r="K16" s="116" t="b">
        <v>1</v>
      </c>
      <c r="L16" s="117">
        <f t="shared" si="1"/>
        <v>5</v>
      </c>
      <c r="M16" s="117">
        <f t="shared" si="2"/>
        <v>20</v>
      </c>
      <c r="N16" s="112"/>
      <c r="O16" s="88"/>
    </row>
    <row r="17" ht="15.0" customHeight="1">
      <c r="A17" s="112"/>
      <c r="B17" s="112"/>
      <c r="C17" s="112"/>
      <c r="D17" s="129" t="s">
        <v>189</v>
      </c>
      <c r="E17" s="114" t="str">
        <f>VLOOKUP(D17,Data!H:I,2,0)</f>
        <v>Ankara</v>
      </c>
      <c r="F17" s="115" t="str">
        <f>VLOOKUP(D17,Data!H:J,3,0)</f>
        <v>Nazım Öztel</v>
      </c>
      <c r="G17" s="116" t="b">
        <v>0</v>
      </c>
      <c r="H17" s="116" t="b">
        <v>0</v>
      </c>
      <c r="I17" s="116" t="b">
        <v>0</v>
      </c>
      <c r="J17" s="116" t="b">
        <v>0</v>
      </c>
      <c r="K17" s="116" t="b">
        <v>0</v>
      </c>
      <c r="L17" s="117">
        <f t="shared" si="1"/>
        <v>0</v>
      </c>
      <c r="M17" s="117">
        <f t="shared" si="2"/>
        <v>0</v>
      </c>
      <c r="N17" s="112"/>
      <c r="O17" s="88"/>
    </row>
    <row r="18" ht="15.0" customHeight="1">
      <c r="A18" s="106"/>
      <c r="B18" s="106"/>
      <c r="C18" s="106"/>
      <c r="D18" s="129" t="s">
        <v>164</v>
      </c>
      <c r="E18" s="114" t="str">
        <f>VLOOKUP(D18,Data!H:I,2,0)</f>
        <v>Antalya</v>
      </c>
      <c r="F18" s="115" t="str">
        <f>VLOOKUP(D18,Data!H:J,3,0)</f>
        <v>Nazım Öztel</v>
      </c>
      <c r="G18" s="116" t="b">
        <v>1</v>
      </c>
      <c r="H18" s="116" t="b">
        <v>0</v>
      </c>
      <c r="I18" s="116" t="b">
        <v>0</v>
      </c>
      <c r="J18" s="116" t="b">
        <v>1</v>
      </c>
      <c r="K18" s="116" t="b">
        <v>0</v>
      </c>
      <c r="L18" s="117">
        <f t="shared" si="1"/>
        <v>2</v>
      </c>
      <c r="M18" s="117">
        <f t="shared" si="2"/>
        <v>8</v>
      </c>
      <c r="N18" s="112"/>
      <c r="O18" s="106"/>
    </row>
    <row r="19" ht="15.0" customHeight="1">
      <c r="A19" s="106"/>
      <c r="B19" s="106"/>
      <c r="C19" s="106"/>
      <c r="D19" s="129" t="s">
        <v>152</v>
      </c>
      <c r="E19" s="114" t="str">
        <f>VLOOKUP(D19,Data!H:I,2,0)</f>
        <v>Antalya</v>
      </c>
      <c r="F19" s="115" t="str">
        <f>VLOOKUP(D19,Data!H:J,3,0)</f>
        <v>Nazım Öztel</v>
      </c>
      <c r="G19" s="116" t="b">
        <v>0</v>
      </c>
      <c r="H19" s="116" t="b">
        <v>0</v>
      </c>
      <c r="I19" s="116" t="b">
        <v>0</v>
      </c>
      <c r="J19" s="116" t="b">
        <v>0</v>
      </c>
      <c r="K19" s="116" t="b">
        <v>0</v>
      </c>
      <c r="L19" s="117">
        <f t="shared" si="1"/>
        <v>0</v>
      </c>
      <c r="M19" s="117">
        <f t="shared" si="2"/>
        <v>0</v>
      </c>
      <c r="N19" s="112"/>
      <c r="O19" s="106"/>
    </row>
    <row r="20" ht="15.0" customHeight="1">
      <c r="A20" s="112"/>
      <c r="B20" s="112"/>
      <c r="C20" s="112"/>
      <c r="D20" s="129" t="s">
        <v>50</v>
      </c>
      <c r="E20" s="114" t="str">
        <f>VLOOKUP(D20,Data!H:I,2,0)</f>
        <v>Antalya</v>
      </c>
      <c r="F20" s="115" t="str">
        <f>VLOOKUP(D20,Data!H:J,3,0)</f>
        <v>Freelance</v>
      </c>
      <c r="G20" s="116" t="b">
        <v>1</v>
      </c>
      <c r="H20" s="116" t="b">
        <v>1</v>
      </c>
      <c r="I20" s="116" t="b">
        <v>1</v>
      </c>
      <c r="J20" s="116" t="b">
        <v>1</v>
      </c>
      <c r="K20" s="116" t="b">
        <v>1</v>
      </c>
      <c r="L20" s="117">
        <f t="shared" si="1"/>
        <v>5</v>
      </c>
      <c r="M20" s="117">
        <f t="shared" si="2"/>
        <v>20</v>
      </c>
      <c r="N20" s="112"/>
      <c r="O20" s="112"/>
    </row>
    <row r="21" ht="15.0" customHeight="1">
      <c r="A21" s="112"/>
      <c r="B21" s="112"/>
      <c r="C21" s="112"/>
      <c r="D21" s="129" t="s">
        <v>159</v>
      </c>
      <c r="E21" s="114" t="str">
        <f>VLOOKUP(D21,Data!H:I,2,0)</f>
        <v>Aydın</v>
      </c>
      <c r="F21" s="115" t="str">
        <f>VLOOKUP(D21,Data!H:J,3,0)</f>
        <v>Nazım Öztel</v>
      </c>
      <c r="G21" s="116" t="b">
        <v>0</v>
      </c>
      <c r="H21" s="116" t="b">
        <v>0</v>
      </c>
      <c r="I21" s="116" t="b">
        <v>0</v>
      </c>
      <c r="J21" s="116" t="b">
        <v>0</v>
      </c>
      <c r="K21" s="116" t="b">
        <v>0</v>
      </c>
      <c r="L21" s="117">
        <f t="shared" si="1"/>
        <v>0</v>
      </c>
      <c r="M21" s="117">
        <f t="shared" si="2"/>
        <v>0</v>
      </c>
      <c r="N21" s="112"/>
      <c r="O21" s="112"/>
    </row>
    <row r="22" ht="15.0" customHeight="1">
      <c r="A22" s="112"/>
      <c r="B22" s="112"/>
      <c r="C22" s="112"/>
      <c r="D22" s="129" t="s">
        <v>197</v>
      </c>
      <c r="E22" s="114" t="str">
        <f>VLOOKUP(D22,Data!H:I,2,0)</f>
        <v>Aydın</v>
      </c>
      <c r="F22" s="115" t="str">
        <f>VLOOKUP(D22,Data!H:J,3,0)</f>
        <v>Nazım Öztel</v>
      </c>
      <c r="G22" s="116" t="b">
        <v>1</v>
      </c>
      <c r="H22" s="116" t="b">
        <v>1</v>
      </c>
      <c r="I22" s="116" t="b">
        <v>1</v>
      </c>
      <c r="J22" s="116" t="b">
        <v>0</v>
      </c>
      <c r="K22" s="116" t="b">
        <v>1</v>
      </c>
      <c r="L22" s="117">
        <f t="shared" si="1"/>
        <v>4</v>
      </c>
      <c r="M22" s="117">
        <f t="shared" si="2"/>
        <v>16</v>
      </c>
      <c r="N22" s="112"/>
      <c r="O22" s="112"/>
    </row>
    <row r="23" ht="15.0" customHeight="1">
      <c r="A23" s="112"/>
      <c r="B23" s="112"/>
      <c r="C23" s="112"/>
      <c r="D23" s="129" t="s">
        <v>52</v>
      </c>
      <c r="E23" s="114" t="s">
        <v>184</v>
      </c>
      <c r="F23" s="115" t="s">
        <v>61</v>
      </c>
      <c r="G23" s="116" t="b">
        <v>0</v>
      </c>
      <c r="H23" s="116" t="b">
        <v>0</v>
      </c>
      <c r="I23" s="116" t="b">
        <v>0</v>
      </c>
      <c r="J23" s="116" t="b">
        <v>0</v>
      </c>
      <c r="K23" s="116" t="b">
        <v>0</v>
      </c>
      <c r="L23" s="117">
        <f t="shared" si="1"/>
        <v>0</v>
      </c>
      <c r="M23" s="117">
        <f t="shared" si="2"/>
        <v>0</v>
      </c>
      <c r="N23" s="112"/>
      <c r="O23" s="112"/>
    </row>
    <row r="24" ht="15.0" customHeight="1">
      <c r="A24" s="112"/>
      <c r="B24" s="112"/>
      <c r="C24" s="112"/>
      <c r="D24" s="129" t="s">
        <v>198</v>
      </c>
      <c r="E24" s="114" t="s">
        <v>181</v>
      </c>
      <c r="F24" s="115" t="s">
        <v>61</v>
      </c>
      <c r="G24" s="116" t="b">
        <v>0</v>
      </c>
      <c r="H24" s="116" t="b">
        <v>0</v>
      </c>
      <c r="I24" s="116" t="b">
        <v>0</v>
      </c>
      <c r="J24" s="116" t="b">
        <v>0</v>
      </c>
      <c r="K24" s="116" t="b">
        <v>0</v>
      </c>
      <c r="L24" s="117">
        <f t="shared" si="1"/>
        <v>0</v>
      </c>
      <c r="M24" s="117">
        <f t="shared" si="2"/>
        <v>0</v>
      </c>
      <c r="N24" s="112"/>
      <c r="O24" s="112"/>
    </row>
    <row r="25" ht="15.0" customHeight="1">
      <c r="A25" s="112"/>
      <c r="B25" s="112"/>
      <c r="C25" s="112"/>
      <c r="D25" s="129" t="s">
        <v>52</v>
      </c>
      <c r="E25" s="114" t="s">
        <v>181</v>
      </c>
      <c r="F25" s="115" t="s">
        <v>61</v>
      </c>
      <c r="G25" s="116" t="b">
        <v>0</v>
      </c>
      <c r="H25" s="116" t="b">
        <v>0</v>
      </c>
      <c r="I25" s="116" t="b">
        <v>0</v>
      </c>
      <c r="J25" s="116" t="b">
        <v>0</v>
      </c>
      <c r="K25" s="116" t="b">
        <v>0</v>
      </c>
      <c r="L25" s="117">
        <f t="shared" si="1"/>
        <v>0</v>
      </c>
      <c r="M25" s="117">
        <f t="shared" si="2"/>
        <v>0</v>
      </c>
      <c r="N25" s="112"/>
      <c r="O25" s="112"/>
    </row>
    <row r="26" ht="15.0" customHeight="1">
      <c r="A26" s="112"/>
      <c r="B26" s="112"/>
      <c r="C26" s="112"/>
      <c r="D26" s="129" t="s">
        <v>160</v>
      </c>
      <c r="E26" s="114" t="str">
        <f>VLOOKUP(D26,Data!H:I,2,0)</f>
        <v>Burdur</v>
      </c>
      <c r="F26" s="115" t="str">
        <f>VLOOKUP(D26,Data!H:J,3,0)</f>
        <v>Nazım Öztel</v>
      </c>
      <c r="G26" s="116" t="b">
        <v>0</v>
      </c>
      <c r="H26" s="116" t="b">
        <v>0</v>
      </c>
      <c r="I26" s="116" t="b">
        <v>0</v>
      </c>
      <c r="J26" s="116" t="b">
        <v>0</v>
      </c>
      <c r="K26" s="116" t="b">
        <v>0</v>
      </c>
      <c r="L26" s="117">
        <f t="shared" si="1"/>
        <v>0</v>
      </c>
      <c r="M26" s="117">
        <f t="shared" si="2"/>
        <v>0</v>
      </c>
      <c r="N26" s="112"/>
      <c r="O26" s="112"/>
    </row>
    <row r="27" ht="15.0" customHeight="1">
      <c r="A27" s="112"/>
      <c r="B27" s="112"/>
      <c r="C27" s="112"/>
      <c r="D27" s="132" t="s">
        <v>52</v>
      </c>
      <c r="E27" s="114" t="str">
        <f>VLOOKUP(D27,Data!H:I,2,0)</f>
        <v>Bursa</v>
      </c>
      <c r="F27" s="115" t="str">
        <f>VLOOKUP(D27,Data!H:J,3,0)</f>
        <v>Nazım Öztel</v>
      </c>
      <c r="G27" s="116" t="b">
        <v>0</v>
      </c>
      <c r="H27" s="116" t="b">
        <v>0</v>
      </c>
      <c r="I27" s="116" t="b">
        <v>0</v>
      </c>
      <c r="J27" s="116" t="b">
        <v>0</v>
      </c>
      <c r="K27" s="116" t="b">
        <v>0</v>
      </c>
      <c r="L27" s="117">
        <f t="shared" si="1"/>
        <v>0</v>
      </c>
      <c r="M27" s="117">
        <f t="shared" si="2"/>
        <v>0</v>
      </c>
      <c r="N27" s="122"/>
      <c r="O27" s="112"/>
    </row>
    <row r="28" ht="15.0" customHeight="1">
      <c r="A28" s="112"/>
      <c r="B28" s="112"/>
      <c r="C28" s="112"/>
      <c r="D28" s="129" t="s">
        <v>53</v>
      </c>
      <c r="E28" s="114" t="str">
        <f>VLOOKUP(D28,Data!H:I,2,0)</f>
        <v>Bursa</v>
      </c>
      <c r="F28" s="115" t="str">
        <f>VLOOKUP(D28,Data!H:J,3,0)</f>
        <v>Freelance</v>
      </c>
      <c r="G28" s="116" t="b">
        <v>0</v>
      </c>
      <c r="H28" s="116" t="b">
        <v>1</v>
      </c>
      <c r="I28" s="116" t="b">
        <v>1</v>
      </c>
      <c r="J28" s="116" t="b">
        <v>1</v>
      </c>
      <c r="K28" s="116" t="b">
        <v>0</v>
      </c>
      <c r="L28" s="117">
        <f t="shared" si="1"/>
        <v>3</v>
      </c>
      <c r="M28" s="117">
        <f t="shared" si="2"/>
        <v>12</v>
      </c>
      <c r="N28" s="112"/>
      <c r="O28" s="112"/>
    </row>
    <row r="29" ht="15.0" customHeight="1">
      <c r="A29" s="112"/>
      <c r="B29" s="112"/>
      <c r="C29" s="112"/>
      <c r="D29" s="129" t="s">
        <v>190</v>
      </c>
      <c r="E29" s="114" t="str">
        <f>VLOOKUP(D29,Data!H:I,2,0)</f>
        <v>Çanakkale</v>
      </c>
      <c r="F29" s="115" t="str">
        <f>VLOOKUP(D29,Data!H:J,3,0)</f>
        <v>Nazım Öztel</v>
      </c>
      <c r="G29" s="116" t="b">
        <v>1</v>
      </c>
      <c r="H29" s="116" t="b">
        <v>1</v>
      </c>
      <c r="I29" s="116" t="b">
        <v>1</v>
      </c>
      <c r="J29" s="116" t="b">
        <v>1</v>
      </c>
      <c r="K29" s="116" t="b">
        <v>0</v>
      </c>
      <c r="L29" s="117">
        <f t="shared" si="1"/>
        <v>4</v>
      </c>
      <c r="M29" s="117">
        <f t="shared" si="2"/>
        <v>16</v>
      </c>
      <c r="N29" s="112"/>
      <c r="O29" s="112"/>
    </row>
    <row r="30" ht="15.0" customHeight="1">
      <c r="A30" s="112"/>
      <c r="B30" s="112"/>
      <c r="C30" s="112"/>
      <c r="D30" s="129" t="s">
        <v>191</v>
      </c>
      <c r="E30" s="114" t="str">
        <f>VLOOKUP(D30,Data!H:I,2,0)</f>
        <v>Denizli</v>
      </c>
      <c r="F30" s="115" t="str">
        <f>VLOOKUP(D30,Data!H:J,3,0)</f>
        <v>Nazım Öztel</v>
      </c>
      <c r="G30" s="116" t="b">
        <v>0</v>
      </c>
      <c r="H30" s="116" t="b">
        <v>0</v>
      </c>
      <c r="I30" s="116" t="b">
        <v>0</v>
      </c>
      <c r="J30" s="116" t="b">
        <v>0</v>
      </c>
      <c r="K30" s="116" t="b">
        <v>0</v>
      </c>
      <c r="L30" s="117">
        <f t="shared" si="1"/>
        <v>0</v>
      </c>
      <c r="M30" s="117">
        <f t="shared" si="2"/>
        <v>0</v>
      </c>
      <c r="N30" s="112"/>
      <c r="O30" s="112"/>
    </row>
    <row r="31" ht="15.0" customHeight="1">
      <c r="A31" s="112"/>
      <c r="B31" s="112"/>
      <c r="C31" s="112"/>
      <c r="D31" s="132" t="s">
        <v>54</v>
      </c>
      <c r="E31" s="114" t="str">
        <f>VLOOKUP(D31,Data!H:I,2,0)</f>
        <v>Diyarbakır</v>
      </c>
      <c r="F31" s="115" t="str">
        <f>VLOOKUP(D31,Data!H:J,3,0)</f>
        <v>Nazım Öztel</v>
      </c>
      <c r="G31" s="116" t="b">
        <v>0</v>
      </c>
      <c r="H31" s="116" t="b">
        <v>0</v>
      </c>
      <c r="I31" s="116" t="b">
        <v>0</v>
      </c>
      <c r="J31" s="116" t="b">
        <v>0</v>
      </c>
      <c r="K31" s="116" t="b">
        <v>0</v>
      </c>
      <c r="L31" s="117">
        <f t="shared" si="1"/>
        <v>0</v>
      </c>
      <c r="M31" s="117">
        <f t="shared" si="2"/>
        <v>0</v>
      </c>
      <c r="N31" s="112"/>
      <c r="O31" s="112"/>
    </row>
    <row r="32" ht="15.0" customHeight="1">
      <c r="A32" s="112"/>
      <c r="B32" s="112"/>
      <c r="C32" s="112"/>
      <c r="D32" s="129" t="s">
        <v>173</v>
      </c>
      <c r="E32" s="114" t="str">
        <f>VLOOKUP(D32,Data!H:I,2,0)</f>
        <v>Düzce</v>
      </c>
      <c r="F32" s="115" t="str">
        <f>VLOOKUP(D32,Data!H:J,3,0)</f>
        <v>Nazım Öztel</v>
      </c>
      <c r="G32" s="116" t="b">
        <v>0</v>
      </c>
      <c r="H32" s="116" t="b">
        <v>1</v>
      </c>
      <c r="I32" s="116" t="b">
        <v>0</v>
      </c>
      <c r="J32" s="116" t="b">
        <v>0</v>
      </c>
      <c r="K32" s="116" t="b">
        <v>0</v>
      </c>
      <c r="L32" s="117">
        <f t="shared" si="1"/>
        <v>1</v>
      </c>
      <c r="M32" s="117">
        <f t="shared" si="2"/>
        <v>4</v>
      </c>
      <c r="N32" s="112"/>
      <c r="O32" s="112"/>
    </row>
    <row r="33" ht="15.0" customHeight="1">
      <c r="A33" s="112"/>
      <c r="B33" s="112"/>
      <c r="C33" s="112"/>
      <c r="D33" s="129" t="s">
        <v>153</v>
      </c>
      <c r="E33" s="114" t="str">
        <f>VLOOKUP(D33,Data!H:I,2,0)</f>
        <v>Edirne</v>
      </c>
      <c r="F33" s="115" t="str">
        <f>VLOOKUP(D33,Data!H:J,3,0)</f>
        <v>Nazım Öztel</v>
      </c>
      <c r="G33" s="116" t="b">
        <v>0</v>
      </c>
      <c r="H33" s="116" t="b">
        <v>0</v>
      </c>
      <c r="I33" s="116" t="b">
        <v>0</v>
      </c>
      <c r="J33" s="116" t="b">
        <v>0</v>
      </c>
      <c r="K33" s="116" t="b">
        <v>0</v>
      </c>
      <c r="L33" s="117">
        <f t="shared" si="1"/>
        <v>0</v>
      </c>
      <c r="M33" s="117">
        <f t="shared" si="2"/>
        <v>0</v>
      </c>
      <c r="N33" s="112"/>
      <c r="O33" s="112"/>
    </row>
    <row r="34" ht="15.0" customHeight="1">
      <c r="A34" s="112"/>
      <c r="B34" s="112"/>
      <c r="C34" s="112"/>
      <c r="D34" s="129" t="s">
        <v>199</v>
      </c>
      <c r="E34" s="114" t="str">
        <f>VLOOKUP(D34,Data!H:I,2,0)</f>
        <v>Elazığ</v>
      </c>
      <c r="F34" s="115" t="str">
        <f>VLOOKUP(D34,Data!H:J,3,0)</f>
        <v>Nazım Öztel</v>
      </c>
      <c r="G34" s="116" t="b">
        <v>0</v>
      </c>
      <c r="H34" s="116" t="b">
        <v>0</v>
      </c>
      <c r="I34" s="116" t="b">
        <v>0</v>
      </c>
      <c r="J34" s="116" t="b">
        <v>0</v>
      </c>
      <c r="K34" s="116" t="b">
        <v>0</v>
      </c>
      <c r="L34" s="117">
        <f t="shared" si="1"/>
        <v>0</v>
      </c>
      <c r="M34" s="117">
        <f t="shared" si="2"/>
        <v>0</v>
      </c>
      <c r="N34" s="112"/>
      <c r="O34" s="112"/>
    </row>
    <row r="35" ht="15.0" customHeight="1">
      <c r="A35" s="112"/>
      <c r="B35" s="112"/>
      <c r="C35" s="112"/>
      <c r="D35" s="132" t="s">
        <v>55</v>
      </c>
      <c r="E35" s="114" t="str">
        <f>VLOOKUP(D35,Data!H:I,2,0)</f>
        <v>Erzurum</v>
      </c>
      <c r="F35" s="115" t="str">
        <f>VLOOKUP(D35,Data!H:J,3,0)</f>
        <v>Nazım Öztel</v>
      </c>
      <c r="G35" s="116" t="b">
        <v>0</v>
      </c>
      <c r="H35" s="116" t="b">
        <v>0</v>
      </c>
      <c r="I35" s="116" t="b">
        <v>0</v>
      </c>
      <c r="J35" s="116" t="b">
        <v>0</v>
      </c>
      <c r="K35" s="116" t="b">
        <v>0</v>
      </c>
      <c r="L35" s="117">
        <f t="shared" si="1"/>
        <v>0</v>
      </c>
      <c r="M35" s="117">
        <f t="shared" si="2"/>
        <v>0</v>
      </c>
      <c r="N35" s="112"/>
      <c r="O35" s="112"/>
    </row>
    <row r="36" ht="15.0" customHeight="1">
      <c r="A36" s="112"/>
      <c r="B36" s="112"/>
      <c r="C36" s="112"/>
      <c r="D36" s="129" t="s">
        <v>165</v>
      </c>
      <c r="E36" s="114" t="str">
        <f>VLOOKUP(D36,Data!H:I,2,0)</f>
        <v>Eskişehir</v>
      </c>
      <c r="F36" s="115" t="str">
        <f>VLOOKUP(D36,Data!H:J,3,0)</f>
        <v>Nazım Öztel</v>
      </c>
      <c r="G36" s="116" t="b">
        <v>1</v>
      </c>
      <c r="H36" s="116" t="b">
        <v>1</v>
      </c>
      <c r="I36" s="116" t="b">
        <v>1</v>
      </c>
      <c r="J36" s="116" t="b">
        <v>0</v>
      </c>
      <c r="K36" s="116" t="b">
        <v>0</v>
      </c>
      <c r="L36" s="117">
        <f t="shared" si="1"/>
        <v>3</v>
      </c>
      <c r="M36" s="117">
        <f t="shared" si="2"/>
        <v>12</v>
      </c>
      <c r="N36" s="112"/>
      <c r="O36" s="112"/>
    </row>
    <row r="37" ht="15.0" customHeight="1">
      <c r="A37" s="112"/>
      <c r="B37" s="112"/>
      <c r="C37" s="112"/>
      <c r="D37" s="129" t="s">
        <v>58</v>
      </c>
      <c r="E37" s="114" t="str">
        <f>VLOOKUP(D37,Data!H:I,2,0)</f>
        <v>İstanbul</v>
      </c>
      <c r="F37" s="115" t="str">
        <f>VLOOKUP(D37,Data!H:J,3,0)</f>
        <v>Freelance</v>
      </c>
      <c r="G37" s="116" t="b">
        <v>1</v>
      </c>
      <c r="H37" s="116" t="b">
        <v>1</v>
      </c>
      <c r="I37" s="116" t="b">
        <v>1</v>
      </c>
      <c r="J37" s="116" t="b">
        <v>1</v>
      </c>
      <c r="K37" s="116" t="b">
        <v>1</v>
      </c>
      <c r="L37" s="117">
        <f t="shared" si="1"/>
        <v>5</v>
      </c>
      <c r="M37" s="117">
        <f t="shared" si="2"/>
        <v>20</v>
      </c>
      <c r="N37" s="88"/>
      <c r="O37" s="112"/>
    </row>
    <row r="38" ht="15.0" customHeight="1">
      <c r="A38" s="112"/>
      <c r="B38" s="112"/>
      <c r="C38" s="112"/>
      <c r="D38" s="129" t="s">
        <v>123</v>
      </c>
      <c r="E38" s="114" t="str">
        <f>VLOOKUP(D38,Data!H:I,2,0)</f>
        <v>İstanbul</v>
      </c>
      <c r="F38" s="115" t="str">
        <f>VLOOKUP(D38,Data!H:J,3,0)</f>
        <v>Freelance</v>
      </c>
      <c r="G38" s="116" t="b">
        <v>0</v>
      </c>
      <c r="H38" s="116" t="b">
        <v>0</v>
      </c>
      <c r="I38" s="116" t="b">
        <v>0</v>
      </c>
      <c r="J38" s="116" t="b">
        <v>0</v>
      </c>
      <c r="K38" s="116" t="b">
        <v>0</v>
      </c>
      <c r="L38" s="117">
        <f t="shared" si="1"/>
        <v>0</v>
      </c>
      <c r="M38" s="117">
        <f t="shared" si="2"/>
        <v>0</v>
      </c>
      <c r="N38" s="88"/>
      <c r="O38" s="112"/>
    </row>
    <row r="39" ht="15.0" customHeight="1">
      <c r="A39" s="121"/>
      <c r="B39" s="121"/>
      <c r="C39" s="121"/>
      <c r="D39" s="129" t="s">
        <v>209</v>
      </c>
      <c r="E39" s="114" t="str">
        <f>VLOOKUP(D39,Data!H:I,2,0)</f>
        <v>İstanbul</v>
      </c>
      <c r="F39" s="115" t="str">
        <f>VLOOKUP(D39,Data!H:J,3,0)</f>
        <v>Filamingo</v>
      </c>
      <c r="G39" s="116" t="b">
        <v>1</v>
      </c>
      <c r="H39" s="116" t="b">
        <v>1</v>
      </c>
      <c r="I39" s="116" t="b">
        <v>1</v>
      </c>
      <c r="J39" s="116" t="b">
        <v>1</v>
      </c>
      <c r="K39" s="116" t="b">
        <v>0</v>
      </c>
      <c r="L39" s="117">
        <f t="shared" si="1"/>
        <v>4</v>
      </c>
      <c r="M39" s="117">
        <f t="shared" si="2"/>
        <v>16</v>
      </c>
      <c r="N39" s="121"/>
      <c r="O39" s="121"/>
    </row>
    <row r="40" ht="15.0" customHeight="1">
      <c r="A40" s="121"/>
      <c r="B40" s="121"/>
      <c r="C40" s="121"/>
      <c r="D40" s="129" t="s">
        <v>134</v>
      </c>
      <c r="E40" s="114" t="str">
        <f>VLOOKUP(D40,Data!H:I,2,0)</f>
        <v>İstanbul</v>
      </c>
      <c r="F40" s="115" t="str">
        <f>VLOOKUP(D40,Data!H:J,3,0)</f>
        <v>Filamingo</v>
      </c>
      <c r="G40" s="116" t="b">
        <v>1</v>
      </c>
      <c r="H40" s="116" t="b">
        <v>0</v>
      </c>
      <c r="I40" s="116" t="b">
        <v>1</v>
      </c>
      <c r="J40" s="116" t="b">
        <v>0</v>
      </c>
      <c r="K40" s="116" t="b">
        <v>1</v>
      </c>
      <c r="L40" s="117">
        <f t="shared" si="1"/>
        <v>3</v>
      </c>
      <c r="M40" s="117">
        <f t="shared" si="2"/>
        <v>12</v>
      </c>
      <c r="N40" s="121"/>
      <c r="O40" s="121"/>
    </row>
    <row r="41" ht="15.0" customHeight="1">
      <c r="A41" s="112"/>
      <c r="B41" s="112"/>
      <c r="C41" s="112"/>
      <c r="D41" s="132" t="s">
        <v>117</v>
      </c>
      <c r="E41" s="114" t="str">
        <f>VLOOKUP(D41,Data!H:I,2,0)</f>
        <v>İstanbul</v>
      </c>
      <c r="F41" s="115" t="str">
        <f>VLOOKUP(D41,Data!H:J,3,0)</f>
        <v>Freelance</v>
      </c>
      <c r="G41" s="116" t="b">
        <v>0</v>
      </c>
      <c r="H41" s="116" t="b">
        <v>0</v>
      </c>
      <c r="I41" s="116" t="b">
        <v>0</v>
      </c>
      <c r="J41" s="116" t="b">
        <v>0</v>
      </c>
      <c r="K41" s="116" t="b">
        <v>0</v>
      </c>
      <c r="L41" s="117">
        <f t="shared" si="1"/>
        <v>0</v>
      </c>
      <c r="M41" s="117">
        <f t="shared" si="2"/>
        <v>0</v>
      </c>
      <c r="N41" s="112"/>
      <c r="O41" s="112"/>
    </row>
    <row r="42" ht="15.0" customHeight="1">
      <c r="A42" s="112"/>
      <c r="B42" s="112"/>
      <c r="C42" s="112"/>
      <c r="D42" s="129" t="s">
        <v>135</v>
      </c>
      <c r="E42" s="114" t="str">
        <f>VLOOKUP(D42,Data!H:I,2,0)</f>
        <v>İstanbul</v>
      </c>
      <c r="F42" s="115" t="str">
        <f>VLOOKUP(D42,Data!H:J,3,0)</f>
        <v>Freelance</v>
      </c>
      <c r="G42" s="116" t="b">
        <v>1</v>
      </c>
      <c r="H42" s="116" t="b">
        <v>1</v>
      </c>
      <c r="I42" s="116" t="b">
        <v>1</v>
      </c>
      <c r="J42" s="116" t="b">
        <v>0</v>
      </c>
      <c r="K42" s="116" t="b">
        <v>0</v>
      </c>
      <c r="L42" s="117">
        <f t="shared" si="1"/>
        <v>3</v>
      </c>
      <c r="M42" s="117">
        <f t="shared" si="2"/>
        <v>12</v>
      </c>
      <c r="N42" s="112"/>
      <c r="O42" s="112"/>
    </row>
    <row r="43" ht="15.0" customHeight="1">
      <c r="A43" s="112"/>
      <c r="B43" s="112"/>
      <c r="C43" s="112"/>
      <c r="D43" s="129" t="s">
        <v>70</v>
      </c>
      <c r="E43" s="114" t="str">
        <f>VLOOKUP(D43,Data!H:I,2,0)</f>
        <v>İstanbul</v>
      </c>
      <c r="F43" s="115" t="str">
        <f>VLOOKUP(D43,Data!H:J,3,0)</f>
        <v>Freelance</v>
      </c>
      <c r="G43" s="116" t="b">
        <v>0</v>
      </c>
      <c r="H43" s="116" t="b">
        <v>1</v>
      </c>
      <c r="I43" s="116" t="b">
        <v>0</v>
      </c>
      <c r="J43" s="116" t="b">
        <v>0</v>
      </c>
      <c r="K43" s="116" t="b">
        <v>0</v>
      </c>
      <c r="L43" s="117">
        <f t="shared" si="1"/>
        <v>1</v>
      </c>
      <c r="M43" s="117">
        <f t="shared" si="2"/>
        <v>4</v>
      </c>
      <c r="N43" s="112"/>
      <c r="O43" s="112"/>
    </row>
    <row r="44" ht="15.0" customHeight="1">
      <c r="A44" s="112"/>
      <c r="B44" s="112"/>
      <c r="C44" s="112"/>
      <c r="D44" s="129" t="s">
        <v>174</v>
      </c>
      <c r="E44" s="114" t="str">
        <f>VLOOKUP(D44,Data!H:I,2,0)</f>
        <v>İstanbul</v>
      </c>
      <c r="F44" s="115" t="str">
        <f>VLOOKUP(D44,Data!H:J,3,0)</f>
        <v>Freelance</v>
      </c>
      <c r="G44" s="116" t="b">
        <v>1</v>
      </c>
      <c r="H44" s="116" t="b">
        <v>0</v>
      </c>
      <c r="I44" s="116" t="b">
        <v>0</v>
      </c>
      <c r="J44" s="116" t="b">
        <v>0</v>
      </c>
      <c r="K44" s="116" t="b">
        <v>0</v>
      </c>
      <c r="L44" s="117">
        <f t="shared" si="1"/>
        <v>1</v>
      </c>
      <c r="M44" s="117">
        <f t="shared" si="2"/>
        <v>4</v>
      </c>
      <c r="N44" s="112"/>
      <c r="O44" s="112"/>
    </row>
    <row r="45" ht="15.0" customHeight="1">
      <c r="A45" s="112"/>
      <c r="B45" s="112"/>
      <c r="C45" s="112"/>
      <c r="D45" s="129" t="s">
        <v>78</v>
      </c>
      <c r="E45" s="114" t="str">
        <f>VLOOKUP(D45,Data!H:I,2,0)</f>
        <v>İstanbul</v>
      </c>
      <c r="F45" s="115" t="str">
        <f>VLOOKUP(D45,Data!H:J,3,0)</f>
        <v>Freelance</v>
      </c>
      <c r="G45" s="116" t="b">
        <v>1</v>
      </c>
      <c r="H45" s="116" t="b">
        <v>1</v>
      </c>
      <c r="I45" s="116" t="b">
        <v>1</v>
      </c>
      <c r="J45" s="116" t="b">
        <v>1</v>
      </c>
      <c r="K45" s="116" t="b">
        <v>1</v>
      </c>
      <c r="L45" s="117">
        <f t="shared" si="1"/>
        <v>5</v>
      </c>
      <c r="M45" s="117">
        <f t="shared" si="2"/>
        <v>20</v>
      </c>
      <c r="N45" s="112"/>
      <c r="O45" s="112"/>
    </row>
    <row r="46" ht="15.0" customHeight="1">
      <c r="A46" s="112"/>
      <c r="B46" s="112"/>
      <c r="C46" s="112"/>
      <c r="D46" s="132" t="s">
        <v>72</v>
      </c>
      <c r="E46" s="114" t="str">
        <f>VLOOKUP(D46,Data!H:I,2,0)</f>
        <v>İstanbul</v>
      </c>
      <c r="F46" s="115" t="str">
        <f>VLOOKUP(D46,Data!H:J,3,0)</f>
        <v>Filamingo</v>
      </c>
      <c r="G46" s="116" t="b">
        <v>0</v>
      </c>
      <c r="H46" s="116" t="b">
        <v>0</v>
      </c>
      <c r="I46" s="116" t="b">
        <v>0</v>
      </c>
      <c r="J46" s="116" t="b">
        <v>0</v>
      </c>
      <c r="K46" s="116" t="b">
        <v>0</v>
      </c>
      <c r="L46" s="117">
        <f t="shared" si="1"/>
        <v>0</v>
      </c>
      <c r="M46" s="117">
        <f t="shared" si="2"/>
        <v>0</v>
      </c>
      <c r="N46" s="112"/>
      <c r="O46" s="112"/>
    </row>
    <row r="47" ht="15.0" customHeight="1">
      <c r="A47" s="112"/>
      <c r="B47" s="112"/>
      <c r="C47" s="112"/>
      <c r="D47" s="141" t="s">
        <v>125</v>
      </c>
      <c r="E47" s="114" t="str">
        <f>VLOOKUP(D47,Data!H:I,2,0)</f>
        <v>İstanbul</v>
      </c>
      <c r="F47" s="115" t="str">
        <f>VLOOKUP(D47,Data!H:J,3,0)</f>
        <v>Filamingo</v>
      </c>
      <c r="G47" s="116" t="b">
        <v>0</v>
      </c>
      <c r="H47" s="116" t="b">
        <v>0</v>
      </c>
      <c r="I47" s="116" t="b">
        <v>0</v>
      </c>
      <c r="J47" s="116" t="b">
        <v>0</v>
      </c>
      <c r="K47" s="116" t="b">
        <v>0</v>
      </c>
      <c r="L47" s="117">
        <f t="shared" si="1"/>
        <v>0</v>
      </c>
      <c r="M47" s="117">
        <f t="shared" si="2"/>
        <v>0</v>
      </c>
      <c r="N47" s="120"/>
      <c r="O47" s="112"/>
    </row>
    <row r="48" ht="15.0" customHeight="1">
      <c r="A48" s="112"/>
      <c r="B48" s="112"/>
      <c r="C48" s="112"/>
      <c r="D48" s="129" t="s">
        <v>200</v>
      </c>
      <c r="E48" s="114" t="str">
        <f>VLOOKUP(D48,Data!H:I,2,0)</f>
        <v>İstanbul</v>
      </c>
      <c r="F48" s="115" t="str">
        <f>VLOOKUP(D48,Data!H:J,3,0)</f>
        <v>Filamingo</v>
      </c>
      <c r="G48" s="116" t="b">
        <v>1</v>
      </c>
      <c r="H48" s="116" t="b">
        <v>1</v>
      </c>
      <c r="I48" s="116" t="b">
        <v>1</v>
      </c>
      <c r="J48" s="116" t="b">
        <v>1</v>
      </c>
      <c r="K48" s="116" t="b">
        <v>1</v>
      </c>
      <c r="L48" s="117">
        <f t="shared" si="1"/>
        <v>5</v>
      </c>
      <c r="M48" s="117">
        <f t="shared" si="2"/>
        <v>20</v>
      </c>
      <c r="N48" s="120"/>
      <c r="O48" s="112"/>
    </row>
    <row r="49" ht="15.0" customHeight="1">
      <c r="A49" s="112"/>
      <c r="B49" s="112"/>
      <c r="C49" s="112"/>
      <c r="D49" s="129" t="s">
        <v>192</v>
      </c>
      <c r="E49" s="114" t="str">
        <f>VLOOKUP(D49,Data!H:I,2,0)</f>
        <v>İstanbul</v>
      </c>
      <c r="F49" s="115" t="str">
        <f>VLOOKUP(D49,Data!H:J,3,0)</f>
        <v>Filamingo</v>
      </c>
      <c r="G49" s="116" t="b">
        <v>0</v>
      </c>
      <c r="H49" s="116" t="b">
        <v>0</v>
      </c>
      <c r="I49" s="116" t="b">
        <v>0</v>
      </c>
      <c r="J49" s="116" t="b">
        <v>0</v>
      </c>
      <c r="K49" s="116" t="b">
        <v>0</v>
      </c>
      <c r="L49" s="117">
        <f t="shared" si="1"/>
        <v>0</v>
      </c>
      <c r="M49" s="117">
        <f t="shared" si="2"/>
        <v>0</v>
      </c>
      <c r="N49" s="120"/>
      <c r="O49" s="112"/>
    </row>
    <row r="50" ht="15.0" customHeight="1">
      <c r="A50" s="122"/>
      <c r="B50" s="122"/>
      <c r="C50" s="122"/>
      <c r="D50" s="129" t="s">
        <v>79</v>
      </c>
      <c r="E50" s="114" t="str">
        <f>VLOOKUP(D50,Data!H:I,2,0)</f>
        <v>İstanbul</v>
      </c>
      <c r="F50" s="115" t="str">
        <f>VLOOKUP(D50,Data!H:J,3,0)</f>
        <v>Freelance</v>
      </c>
      <c r="G50" s="116" t="b">
        <v>0</v>
      </c>
      <c r="H50" s="116" t="b">
        <v>0</v>
      </c>
      <c r="I50" s="116" t="b">
        <v>0</v>
      </c>
      <c r="J50" s="116" t="b">
        <v>0</v>
      </c>
      <c r="K50" s="116" t="b">
        <v>0</v>
      </c>
      <c r="L50" s="117">
        <f t="shared" si="1"/>
        <v>0</v>
      </c>
      <c r="M50" s="117">
        <f t="shared" si="2"/>
        <v>0</v>
      </c>
      <c r="N50" s="112"/>
      <c r="O50" s="122"/>
    </row>
    <row r="51" ht="15.0" customHeight="1">
      <c r="A51" s="124"/>
      <c r="B51" s="124"/>
      <c r="C51" s="124"/>
      <c r="D51" s="129" t="s">
        <v>80</v>
      </c>
      <c r="E51" s="114" t="str">
        <f>VLOOKUP(D51,Data!H:I,2,0)</f>
        <v>İstanbul</v>
      </c>
      <c r="F51" s="115" t="str">
        <f>VLOOKUP(D51,Data!H:J,3,0)</f>
        <v>Freelance</v>
      </c>
      <c r="G51" s="116" t="b">
        <v>1</v>
      </c>
      <c r="H51" s="116" t="b">
        <v>1</v>
      </c>
      <c r="I51" s="116" t="b">
        <v>1</v>
      </c>
      <c r="J51" s="116" t="b">
        <v>1</v>
      </c>
      <c r="K51" s="116" t="b">
        <v>1</v>
      </c>
      <c r="L51" s="117">
        <f t="shared" si="1"/>
        <v>5</v>
      </c>
      <c r="M51" s="117">
        <f t="shared" si="2"/>
        <v>20</v>
      </c>
      <c r="N51" s="112"/>
      <c r="O51" s="124"/>
    </row>
    <row r="52" ht="15.0" customHeight="1">
      <c r="A52" s="124"/>
      <c r="B52" s="124"/>
      <c r="C52" s="124"/>
      <c r="D52" s="129" t="s">
        <v>81</v>
      </c>
      <c r="E52" s="114" t="str">
        <f>VLOOKUP(D52,Data!H:I,2,0)</f>
        <v>İstanbul</v>
      </c>
      <c r="F52" s="115" t="str">
        <f>VLOOKUP(D52,Data!H:J,3,0)</f>
        <v>Freelance</v>
      </c>
      <c r="G52" s="116" t="b">
        <v>0</v>
      </c>
      <c r="H52" s="116" t="b">
        <v>0</v>
      </c>
      <c r="I52" s="116" t="b">
        <v>0</v>
      </c>
      <c r="J52" s="116" t="b">
        <v>0</v>
      </c>
      <c r="K52" s="116" t="b">
        <v>0</v>
      </c>
      <c r="L52" s="117">
        <f t="shared" si="1"/>
        <v>0</v>
      </c>
      <c r="M52" s="117">
        <f t="shared" si="2"/>
        <v>0</v>
      </c>
      <c r="N52" s="112"/>
      <c r="O52" s="124"/>
    </row>
    <row r="53" ht="15.0" customHeight="1">
      <c r="A53" s="112"/>
      <c r="B53" s="112"/>
      <c r="C53" s="112"/>
      <c r="D53" s="129" t="s">
        <v>166</v>
      </c>
      <c r="E53" s="114" t="str">
        <f>VLOOKUP(D53,Data!H:I,2,0)</f>
        <v>İstanbul</v>
      </c>
      <c r="F53" s="115" t="str">
        <f>VLOOKUP(D53,Data!H:J,3,0)</f>
        <v>Filamingo</v>
      </c>
      <c r="G53" s="116" t="b">
        <v>0</v>
      </c>
      <c r="H53" s="116" t="b">
        <v>0</v>
      </c>
      <c r="I53" s="116" t="b">
        <v>0</v>
      </c>
      <c r="J53" s="116" t="b">
        <v>0</v>
      </c>
      <c r="K53" s="116" t="b">
        <v>0</v>
      </c>
      <c r="L53" s="117">
        <f t="shared" si="1"/>
        <v>0</v>
      </c>
      <c r="M53" s="117">
        <f t="shared" si="2"/>
        <v>0</v>
      </c>
      <c r="N53" s="124"/>
      <c r="O53" s="112"/>
    </row>
    <row r="54" ht="15.0" customHeight="1">
      <c r="A54" s="112"/>
      <c r="B54" s="112"/>
      <c r="C54" s="112"/>
      <c r="D54" s="129" t="s">
        <v>201</v>
      </c>
      <c r="E54" s="114" t="str">
        <f>VLOOKUP(D54,Data!H:I,2,0)</f>
        <v>İstanbul</v>
      </c>
      <c r="F54" s="115" t="str">
        <f>VLOOKUP(D54,Data!H:J,3,0)</f>
        <v>Freelance</v>
      </c>
      <c r="G54" s="116" t="b">
        <v>0</v>
      </c>
      <c r="H54" s="116" t="b">
        <v>0</v>
      </c>
      <c r="I54" s="116" t="b">
        <v>0</v>
      </c>
      <c r="J54" s="116" t="b">
        <v>1</v>
      </c>
      <c r="K54" s="116" t="b">
        <v>1</v>
      </c>
      <c r="L54" s="117">
        <f t="shared" si="1"/>
        <v>2</v>
      </c>
      <c r="M54" s="117">
        <f t="shared" si="2"/>
        <v>8</v>
      </c>
      <c r="N54" s="112"/>
      <c r="O54" s="112"/>
    </row>
    <row r="55" ht="15.0" customHeight="1">
      <c r="A55" s="112"/>
      <c r="B55" s="112"/>
      <c r="C55" s="112"/>
      <c r="D55" s="132" t="s">
        <v>119</v>
      </c>
      <c r="E55" s="114" t="str">
        <f>VLOOKUP(D55,Data!H:I,2,0)</f>
        <v>İstanbul</v>
      </c>
      <c r="F55" s="115" t="str">
        <f>VLOOKUP(D55,Data!H:J,3,0)</f>
        <v>Filamingo</v>
      </c>
      <c r="G55" s="116" t="b">
        <v>0</v>
      </c>
      <c r="H55" s="116" t="b">
        <v>0</v>
      </c>
      <c r="I55" s="116" t="b">
        <v>0</v>
      </c>
      <c r="J55" s="116" t="b">
        <v>1</v>
      </c>
      <c r="K55" s="116" t="b">
        <v>0</v>
      </c>
      <c r="L55" s="117">
        <f t="shared" si="1"/>
        <v>1</v>
      </c>
      <c r="M55" s="117">
        <f t="shared" si="2"/>
        <v>4</v>
      </c>
      <c r="N55" s="112"/>
      <c r="O55" s="112"/>
    </row>
    <row r="56" ht="15.0" customHeight="1">
      <c r="A56" s="112"/>
      <c r="B56" s="112"/>
      <c r="C56" s="112"/>
      <c r="D56" s="129" t="s">
        <v>185</v>
      </c>
      <c r="E56" s="114" t="str">
        <f>VLOOKUP(D56,Data!H:I,2,0)</f>
        <v>İstanbul</v>
      </c>
      <c r="F56" s="115" t="str">
        <f>VLOOKUP(D56,Data!H:J,3,0)</f>
        <v>Filamingo</v>
      </c>
      <c r="G56" s="116" t="b">
        <v>0</v>
      </c>
      <c r="H56" s="116" t="b">
        <v>1</v>
      </c>
      <c r="I56" s="116" t="b">
        <v>1</v>
      </c>
      <c r="J56" s="116" t="b">
        <v>1</v>
      </c>
      <c r="K56" s="116" t="b">
        <v>1</v>
      </c>
      <c r="L56" s="117">
        <f t="shared" si="1"/>
        <v>4</v>
      </c>
      <c r="M56" s="117">
        <f t="shared" si="2"/>
        <v>16</v>
      </c>
      <c r="N56" s="112"/>
      <c r="O56" s="112"/>
    </row>
    <row r="57" ht="15.0" customHeight="1">
      <c r="A57" s="112"/>
      <c r="B57" s="112"/>
      <c r="C57" s="112"/>
      <c r="D57" s="129" t="s">
        <v>85</v>
      </c>
      <c r="E57" s="114" t="str">
        <f>VLOOKUP(D57,Data!H:I,2,0)</f>
        <v>İstanbul</v>
      </c>
      <c r="F57" s="115" t="str">
        <f>VLOOKUP(D57,Data!H:J,3,0)</f>
        <v>Filamingo</v>
      </c>
      <c r="G57" s="116" t="b">
        <v>0</v>
      </c>
      <c r="H57" s="116" t="b">
        <v>1</v>
      </c>
      <c r="I57" s="116" t="b">
        <v>1</v>
      </c>
      <c r="J57" s="116" t="b">
        <v>1</v>
      </c>
      <c r="K57" s="116" t="b">
        <v>1</v>
      </c>
      <c r="L57" s="117">
        <f t="shared" si="1"/>
        <v>4</v>
      </c>
      <c r="M57" s="117">
        <f t="shared" si="2"/>
        <v>16</v>
      </c>
      <c r="N57" s="112"/>
      <c r="O57" s="112"/>
    </row>
    <row r="58" ht="15.0" customHeight="1">
      <c r="A58" s="112"/>
      <c r="B58" s="112"/>
      <c r="C58" s="112"/>
      <c r="D58" s="129" t="s">
        <v>175</v>
      </c>
      <c r="E58" s="114" t="str">
        <f>VLOOKUP(D58,Data!H:I,2,0)</f>
        <v>İstanbul</v>
      </c>
      <c r="F58" s="115" t="str">
        <f>VLOOKUP(D58,Data!H:J,3,0)</f>
        <v>Freelance</v>
      </c>
      <c r="G58" s="116" t="b">
        <v>0</v>
      </c>
      <c r="H58" s="116" t="b">
        <v>0</v>
      </c>
      <c r="I58" s="116" t="b">
        <v>0</v>
      </c>
      <c r="J58" s="116" t="b">
        <v>0</v>
      </c>
      <c r="K58" s="116" t="b">
        <v>0</v>
      </c>
      <c r="L58" s="117">
        <f t="shared" si="1"/>
        <v>0</v>
      </c>
      <c r="M58" s="117">
        <f t="shared" si="2"/>
        <v>0</v>
      </c>
      <c r="N58" s="125"/>
      <c r="O58" s="112"/>
    </row>
    <row r="59" ht="15.0" customHeight="1">
      <c r="A59" s="112"/>
      <c r="B59" s="112"/>
      <c r="C59" s="112"/>
      <c r="D59" s="132" t="s">
        <v>83</v>
      </c>
      <c r="E59" s="114" t="str">
        <f>VLOOKUP(D59,Data!H:I,2,0)</f>
        <v>İstanbul</v>
      </c>
      <c r="F59" s="115" t="str">
        <f>VLOOKUP(D59,Data!H:J,3,0)</f>
        <v>Nazım Öztel</v>
      </c>
      <c r="G59" s="116" t="b">
        <v>0</v>
      </c>
      <c r="H59" s="116" t="b">
        <v>0</v>
      </c>
      <c r="I59" s="116" t="b">
        <v>0</v>
      </c>
      <c r="J59" s="116" t="b">
        <v>0</v>
      </c>
      <c r="K59" s="116" t="b">
        <v>0</v>
      </c>
      <c r="L59" s="117">
        <f t="shared" si="1"/>
        <v>0</v>
      </c>
      <c r="M59" s="117">
        <f t="shared" si="2"/>
        <v>0</v>
      </c>
      <c r="N59" s="112"/>
      <c r="O59" s="112"/>
    </row>
    <row r="60" ht="15.0" customHeight="1">
      <c r="A60" s="125"/>
      <c r="B60" s="125"/>
      <c r="C60" s="125"/>
      <c r="D60" s="129" t="s">
        <v>145</v>
      </c>
      <c r="E60" s="114" t="str">
        <f>VLOOKUP(D60,Data!H:I,2,0)</f>
        <v>İstanbul</v>
      </c>
      <c r="F60" s="115" t="str">
        <f>VLOOKUP(D60,Data!H:J,3,0)</f>
        <v>Filamingo</v>
      </c>
      <c r="G60" s="116" t="b">
        <v>1</v>
      </c>
      <c r="H60" s="116" t="b">
        <v>1</v>
      </c>
      <c r="I60" s="116" t="b">
        <v>1</v>
      </c>
      <c r="J60" s="116" t="b">
        <v>1</v>
      </c>
      <c r="K60" s="116" t="b">
        <v>1</v>
      </c>
      <c r="L60" s="117">
        <f t="shared" si="1"/>
        <v>5</v>
      </c>
      <c r="M60" s="117">
        <f t="shared" si="2"/>
        <v>20</v>
      </c>
      <c r="N60" s="112"/>
      <c r="O60" s="125"/>
    </row>
    <row r="61" ht="15.0" customHeight="1">
      <c r="A61" s="125"/>
      <c r="B61" s="125"/>
      <c r="C61" s="125"/>
      <c r="D61" s="129" t="s">
        <v>210</v>
      </c>
      <c r="E61" s="114" t="str">
        <f>VLOOKUP(D61,Data!H:I,2,0)</f>
        <v>İstanbul</v>
      </c>
      <c r="F61" s="115" t="str">
        <f>VLOOKUP(D61,Data!H:J,3,0)</f>
        <v>Filamingo</v>
      </c>
      <c r="G61" s="116" t="b">
        <v>0</v>
      </c>
      <c r="H61" s="116" t="b">
        <v>1</v>
      </c>
      <c r="I61" s="116" t="b">
        <v>1</v>
      </c>
      <c r="J61" s="116" t="b">
        <v>1</v>
      </c>
      <c r="K61" s="116" t="b">
        <v>1</v>
      </c>
      <c r="L61" s="117">
        <f t="shared" si="1"/>
        <v>4</v>
      </c>
      <c r="M61" s="117">
        <f t="shared" si="2"/>
        <v>16</v>
      </c>
      <c r="N61" s="112"/>
      <c r="O61" s="125"/>
    </row>
    <row r="62" ht="15.0" customHeight="1">
      <c r="A62" s="125"/>
      <c r="B62" s="125"/>
      <c r="C62" s="125"/>
      <c r="D62" s="129" t="s">
        <v>202</v>
      </c>
      <c r="E62" s="114" t="str">
        <f>VLOOKUP(D62,Data!H:I,2,0)</f>
        <v>İstanbul</v>
      </c>
      <c r="F62" s="115" t="str">
        <f>VLOOKUP(D62,Data!H:J,3,0)</f>
        <v>Filamingo</v>
      </c>
      <c r="G62" s="116" t="b">
        <v>0</v>
      </c>
      <c r="H62" s="116" t="b">
        <v>0</v>
      </c>
      <c r="I62" s="116" t="b">
        <v>0</v>
      </c>
      <c r="J62" s="116" t="b">
        <v>0</v>
      </c>
      <c r="K62" s="116" t="b">
        <v>0</v>
      </c>
      <c r="L62" s="117">
        <f t="shared" si="1"/>
        <v>0</v>
      </c>
      <c r="M62" s="117">
        <f t="shared" si="2"/>
        <v>0</v>
      </c>
      <c r="N62" s="112"/>
      <c r="O62" s="125"/>
    </row>
    <row r="63" ht="15.0" customHeight="1">
      <c r="A63" s="125"/>
      <c r="B63" s="125"/>
      <c r="C63" s="125"/>
      <c r="D63" s="129" t="s">
        <v>186</v>
      </c>
      <c r="E63" s="114" t="str">
        <f>VLOOKUP(D63,Data!H:I,2,0)</f>
        <v>İstanbul</v>
      </c>
      <c r="F63" s="115" t="str">
        <f>VLOOKUP(D63,Data!H:J,3,0)</f>
        <v>Filamingo</v>
      </c>
      <c r="G63" s="116" t="b">
        <v>0</v>
      </c>
      <c r="H63" s="116" t="b">
        <v>0</v>
      </c>
      <c r="I63" s="116" t="b">
        <v>0</v>
      </c>
      <c r="J63" s="116" t="b">
        <v>0</v>
      </c>
      <c r="K63" s="116" t="b">
        <v>0</v>
      </c>
      <c r="L63" s="117">
        <f t="shared" si="1"/>
        <v>0</v>
      </c>
      <c r="M63" s="117">
        <f t="shared" si="2"/>
        <v>0</v>
      </c>
      <c r="N63" s="112"/>
      <c r="O63" s="125"/>
    </row>
    <row r="64" ht="15.0" customHeight="1">
      <c r="A64" s="122"/>
      <c r="B64" s="122"/>
      <c r="C64" s="122"/>
      <c r="D64" s="129" t="s">
        <v>87</v>
      </c>
      <c r="E64" s="114" t="str">
        <f>VLOOKUP(D64,Data!H:I,2,0)</f>
        <v>İstanbul</v>
      </c>
      <c r="F64" s="115" t="str">
        <f>VLOOKUP(D64,Data!H:J,3,0)</f>
        <v>Freelance</v>
      </c>
      <c r="G64" s="116" t="b">
        <v>0</v>
      </c>
      <c r="H64" s="116" t="b">
        <v>1</v>
      </c>
      <c r="I64" s="116" t="b">
        <v>0</v>
      </c>
      <c r="J64" s="116" t="b">
        <v>1</v>
      </c>
      <c r="K64" s="116" t="b">
        <v>1</v>
      </c>
      <c r="L64" s="117">
        <f t="shared" si="1"/>
        <v>3</v>
      </c>
      <c r="M64" s="117">
        <f t="shared" si="2"/>
        <v>12</v>
      </c>
      <c r="N64" s="112"/>
      <c r="O64" s="122"/>
    </row>
    <row r="65" ht="15.0" customHeight="1">
      <c r="A65" s="112"/>
      <c r="B65" s="112"/>
      <c r="C65" s="112"/>
      <c r="D65" s="132" t="s">
        <v>88</v>
      </c>
      <c r="E65" s="114" t="str">
        <f>VLOOKUP(D65,Data!H:I,2,0)</f>
        <v>İstanbul</v>
      </c>
      <c r="F65" s="115" t="str">
        <f>VLOOKUP(D65,Data!H:J,3,0)</f>
        <v>Nazım Öztel</v>
      </c>
      <c r="G65" s="116" t="b">
        <v>0</v>
      </c>
      <c r="H65" s="116" t="b">
        <v>0</v>
      </c>
      <c r="I65" s="116" t="b">
        <v>0</v>
      </c>
      <c r="J65" s="116" t="b">
        <v>0</v>
      </c>
      <c r="K65" s="116" t="b">
        <v>0</v>
      </c>
      <c r="L65" s="117">
        <f t="shared" si="1"/>
        <v>0</v>
      </c>
      <c r="M65" s="117">
        <f t="shared" si="2"/>
        <v>0</v>
      </c>
      <c r="N65" s="112"/>
      <c r="O65" s="112"/>
    </row>
    <row r="66" ht="15.0" customHeight="1">
      <c r="A66" s="112"/>
      <c r="B66" s="112"/>
      <c r="C66" s="112"/>
      <c r="D66" s="132" t="s">
        <v>89</v>
      </c>
      <c r="E66" s="114" t="str">
        <f>VLOOKUP(D66,Data!H:I,2,0)</f>
        <v>İstanbul</v>
      </c>
      <c r="F66" s="115" t="str">
        <f>VLOOKUP(D66,Data!H:J,3,0)</f>
        <v>Filamingo</v>
      </c>
      <c r="G66" s="116" t="b">
        <v>0</v>
      </c>
      <c r="H66" s="116" t="b">
        <v>0</v>
      </c>
      <c r="I66" s="116" t="b">
        <v>0</v>
      </c>
      <c r="J66" s="116" t="b">
        <v>0</v>
      </c>
      <c r="K66" s="116" t="b">
        <v>0</v>
      </c>
      <c r="L66" s="117">
        <f t="shared" si="1"/>
        <v>0</v>
      </c>
      <c r="M66" s="117">
        <f t="shared" si="2"/>
        <v>0</v>
      </c>
      <c r="N66" s="112"/>
      <c r="O66" s="112"/>
    </row>
    <row r="67" ht="15.0" customHeight="1">
      <c r="A67" s="112"/>
      <c r="B67" s="112"/>
      <c r="C67" s="112"/>
      <c r="D67" s="132" t="s">
        <v>92</v>
      </c>
      <c r="E67" s="114" t="str">
        <f>VLOOKUP(D67,Data!H:I,2,0)</f>
        <v>İzmir</v>
      </c>
      <c r="F67" s="115" t="str">
        <f>VLOOKUP(D67,Data!H:J,3,0)</f>
        <v>Nazım Öztel</v>
      </c>
      <c r="G67" s="116" t="b">
        <v>1</v>
      </c>
      <c r="H67" s="116" t="b">
        <v>0</v>
      </c>
      <c r="I67" s="116" t="b">
        <v>1</v>
      </c>
      <c r="J67" s="116" t="b">
        <v>1</v>
      </c>
      <c r="K67" s="116" t="b">
        <v>0</v>
      </c>
      <c r="L67" s="117">
        <f t="shared" si="1"/>
        <v>3</v>
      </c>
      <c r="M67" s="117">
        <f t="shared" si="2"/>
        <v>12</v>
      </c>
      <c r="N67" s="125"/>
      <c r="O67" s="112"/>
    </row>
    <row r="68" ht="15.0" customHeight="1">
      <c r="A68" s="112"/>
      <c r="B68" s="112"/>
      <c r="C68" s="112"/>
      <c r="D68" s="129" t="s">
        <v>93</v>
      </c>
      <c r="E68" s="114" t="str">
        <f>VLOOKUP(D68,Data!H:I,2,0)</f>
        <v>İzmir</v>
      </c>
      <c r="F68" s="115" t="str">
        <f>VLOOKUP(D68,Data!H:J,3,0)</f>
        <v>Freelance</v>
      </c>
      <c r="G68" s="116" t="b">
        <v>0</v>
      </c>
      <c r="H68" s="116" t="b">
        <v>0</v>
      </c>
      <c r="I68" s="116" t="b">
        <v>1</v>
      </c>
      <c r="J68" s="116" t="b">
        <v>1</v>
      </c>
      <c r="K68" s="116" t="b">
        <v>0</v>
      </c>
      <c r="L68" s="117">
        <f t="shared" si="1"/>
        <v>2</v>
      </c>
      <c r="M68" s="117">
        <f t="shared" si="2"/>
        <v>8</v>
      </c>
      <c r="N68" s="112"/>
      <c r="O68" s="112"/>
    </row>
    <row r="69" ht="15.0" customHeight="1">
      <c r="A69" s="112"/>
      <c r="B69" s="112"/>
      <c r="C69" s="112"/>
      <c r="D69" s="129" t="s">
        <v>161</v>
      </c>
      <c r="E69" s="143" t="str">
        <f>VLOOKUP(D69,Data!H:I,2,0)</f>
        <v>Kahramanmaraş</v>
      </c>
      <c r="F69" s="115" t="str">
        <f>VLOOKUP(D69,Data!H:J,3,0)</f>
        <v>Nazım Öztel</v>
      </c>
      <c r="G69" s="116" t="b">
        <v>0</v>
      </c>
      <c r="H69" s="116" t="b">
        <v>0</v>
      </c>
      <c r="I69" s="116" t="b">
        <v>0</v>
      </c>
      <c r="J69" s="116" t="b">
        <v>0</v>
      </c>
      <c r="K69" s="116" t="b">
        <v>0</v>
      </c>
      <c r="L69" s="117">
        <f t="shared" si="1"/>
        <v>0</v>
      </c>
      <c r="M69" s="117">
        <f t="shared" si="2"/>
        <v>0</v>
      </c>
      <c r="N69" s="112"/>
      <c r="O69" s="112"/>
    </row>
    <row r="70" ht="15.0" customHeight="1">
      <c r="A70" s="112"/>
      <c r="B70" s="112"/>
      <c r="C70" s="112"/>
      <c r="D70" s="129" t="s">
        <v>176</v>
      </c>
      <c r="E70" s="114" t="str">
        <f>VLOOKUP(D70,Data!H:I,2,0)</f>
        <v>Karabük</v>
      </c>
      <c r="F70" s="115" t="str">
        <f>VLOOKUP(D70,Data!H:J,3,0)</f>
        <v>Nazım Öztel</v>
      </c>
      <c r="G70" s="116" t="b">
        <v>0</v>
      </c>
      <c r="H70" s="116" t="b">
        <v>0</v>
      </c>
      <c r="I70" s="116" t="b">
        <v>1</v>
      </c>
      <c r="J70" s="116" t="b">
        <v>0</v>
      </c>
      <c r="K70" s="116" t="b">
        <v>0</v>
      </c>
      <c r="L70" s="117">
        <f t="shared" si="1"/>
        <v>1</v>
      </c>
      <c r="M70" s="117">
        <f t="shared" si="2"/>
        <v>4</v>
      </c>
      <c r="N70" s="112"/>
      <c r="O70" s="112"/>
    </row>
    <row r="71" ht="15.0" customHeight="1">
      <c r="A71" s="112"/>
      <c r="B71" s="112"/>
      <c r="C71" s="112"/>
      <c r="D71" s="132" t="s">
        <v>96</v>
      </c>
      <c r="E71" s="114" t="str">
        <f>VLOOKUP(D71,Data!H:I,2,0)</f>
        <v>Kocaeli</v>
      </c>
      <c r="F71" s="115" t="str">
        <f>VLOOKUP(D71,Data!H:J,3,0)</f>
        <v>Nazım Öztel</v>
      </c>
      <c r="G71" s="116" t="b">
        <v>1</v>
      </c>
      <c r="H71" s="116" t="b">
        <v>0</v>
      </c>
      <c r="I71" s="116" t="b">
        <v>1</v>
      </c>
      <c r="J71" s="116" t="b">
        <v>0</v>
      </c>
      <c r="K71" s="116" t="b">
        <v>1</v>
      </c>
      <c r="L71" s="117">
        <f t="shared" si="1"/>
        <v>3</v>
      </c>
      <c r="M71" s="117">
        <f t="shared" si="2"/>
        <v>12</v>
      </c>
      <c r="N71" s="112"/>
      <c r="O71" s="112"/>
    </row>
    <row r="72" ht="15.0" customHeight="1">
      <c r="A72" s="112"/>
      <c r="B72" s="112"/>
      <c r="C72" s="112"/>
      <c r="D72" s="129" t="s">
        <v>147</v>
      </c>
      <c r="E72" s="114" t="str">
        <f>VLOOKUP(D72,Data!H:I,2,0)</f>
        <v>Kocaeli</v>
      </c>
      <c r="F72" s="115" t="str">
        <f>VLOOKUP(D72,Data!H:J,3,0)</f>
        <v>Nazım Öztel</v>
      </c>
      <c r="G72" s="116" t="b">
        <v>0</v>
      </c>
      <c r="H72" s="116" t="b">
        <v>0</v>
      </c>
      <c r="I72" s="116" t="b">
        <v>0</v>
      </c>
      <c r="J72" s="116" t="b">
        <v>0</v>
      </c>
      <c r="K72" s="116" t="b">
        <v>0</v>
      </c>
      <c r="L72" s="117">
        <f t="shared" si="1"/>
        <v>0</v>
      </c>
      <c r="M72" s="117">
        <f t="shared" si="2"/>
        <v>0</v>
      </c>
      <c r="N72" s="112"/>
      <c r="O72" s="112"/>
    </row>
    <row r="73" ht="15.0" customHeight="1">
      <c r="A73" s="112"/>
      <c r="B73" s="112"/>
      <c r="C73" s="112"/>
      <c r="D73" s="129" t="s">
        <v>203</v>
      </c>
      <c r="E73" s="114" t="str">
        <f>VLOOKUP(D73,Data!H:I,2,0)</f>
        <v>Malatya</v>
      </c>
      <c r="F73" s="115" t="str">
        <f>VLOOKUP(D73,Data!H:J,3,0)</f>
        <v>Nazım Öztel</v>
      </c>
      <c r="G73" s="116" t="b">
        <v>0</v>
      </c>
      <c r="H73" s="116" t="b">
        <v>0</v>
      </c>
      <c r="I73" s="116" t="b">
        <v>1</v>
      </c>
      <c r="J73" s="116" t="b">
        <v>1</v>
      </c>
      <c r="K73" s="116" t="b">
        <v>1</v>
      </c>
      <c r="L73" s="117">
        <f t="shared" si="1"/>
        <v>3</v>
      </c>
      <c r="M73" s="117">
        <f t="shared" si="2"/>
        <v>12</v>
      </c>
      <c r="N73" s="112"/>
      <c r="O73" s="112"/>
    </row>
    <row r="74" ht="15.0" customHeight="1">
      <c r="A74" s="112"/>
      <c r="B74" s="112"/>
      <c r="C74" s="112"/>
      <c r="D74" s="132" t="s">
        <v>98</v>
      </c>
      <c r="E74" s="114" t="str">
        <f>VLOOKUP(D74,Data!H:I,2,0)</f>
        <v>Manisa</v>
      </c>
      <c r="F74" s="115" t="str">
        <f>VLOOKUP(D74,Data!H:J,3,0)</f>
        <v>Nazım Öztel</v>
      </c>
      <c r="G74" s="116" t="b">
        <v>0</v>
      </c>
      <c r="H74" s="116" t="b">
        <v>0</v>
      </c>
      <c r="I74" s="116" t="b">
        <v>0</v>
      </c>
      <c r="J74" s="116" t="b">
        <v>0</v>
      </c>
      <c r="K74" s="116" t="b">
        <v>0</v>
      </c>
      <c r="L74" s="117">
        <f t="shared" si="1"/>
        <v>0</v>
      </c>
      <c r="M74" s="117">
        <f t="shared" si="2"/>
        <v>0</v>
      </c>
      <c r="N74" s="142"/>
      <c r="O74" s="112"/>
    </row>
    <row r="75" ht="15.0" customHeight="1">
      <c r="A75" s="112"/>
      <c r="B75" s="112"/>
      <c r="C75" s="112"/>
      <c r="D75" s="132" t="s">
        <v>99</v>
      </c>
      <c r="E75" s="114" t="str">
        <f>VLOOKUP(D75,Data!H:I,2,0)</f>
        <v>Mersin</v>
      </c>
      <c r="F75" s="115" t="str">
        <f>VLOOKUP(D75,Data!H:J,3,0)</f>
        <v>Nazım Öztel</v>
      </c>
      <c r="G75" s="116" t="b">
        <v>1</v>
      </c>
      <c r="H75" s="116" t="b">
        <v>1</v>
      </c>
      <c r="I75" s="116" t="b">
        <v>1</v>
      </c>
      <c r="J75" s="116" t="b">
        <v>0</v>
      </c>
      <c r="K75" s="116" t="b">
        <v>0</v>
      </c>
      <c r="L75" s="117">
        <f t="shared" si="1"/>
        <v>3</v>
      </c>
      <c r="M75" s="117">
        <f t="shared" si="2"/>
        <v>12</v>
      </c>
      <c r="N75" s="106"/>
      <c r="O75" s="112"/>
    </row>
    <row r="76" ht="15.0" customHeight="1">
      <c r="A76" s="112"/>
      <c r="B76" s="112"/>
      <c r="C76" s="112"/>
      <c r="D76" s="129" t="s">
        <v>169</v>
      </c>
      <c r="E76" s="114" t="str">
        <f>VLOOKUP(D76,Data!H:I,2,0)</f>
        <v>Mersin</v>
      </c>
      <c r="F76" s="115" t="str">
        <f>VLOOKUP(D76,Data!H:J,3,0)</f>
        <v>Nazım Öztel</v>
      </c>
      <c r="G76" s="116" t="b">
        <v>0</v>
      </c>
      <c r="H76" s="116" t="b">
        <v>1</v>
      </c>
      <c r="I76" s="116" t="b">
        <v>0</v>
      </c>
      <c r="J76" s="116" t="b">
        <v>1</v>
      </c>
      <c r="K76" s="116" t="b">
        <v>1</v>
      </c>
      <c r="L76" s="117">
        <f t="shared" si="1"/>
        <v>3</v>
      </c>
      <c r="M76" s="117">
        <f t="shared" si="2"/>
        <v>12</v>
      </c>
      <c r="N76" s="106"/>
      <c r="O76" s="112"/>
    </row>
    <row r="77" ht="15.0" customHeight="1">
      <c r="A77" s="112"/>
      <c r="B77" s="112"/>
      <c r="C77" s="112"/>
      <c r="D77" s="129" t="s">
        <v>148</v>
      </c>
      <c r="E77" s="114" t="str">
        <f>VLOOKUP(D77,Data!H:I,2,0)</f>
        <v>Muğla</v>
      </c>
      <c r="F77" s="115" t="str">
        <f>VLOOKUP(D77,Data!H:J,3,0)</f>
        <v>Nazım Öztel</v>
      </c>
      <c r="G77" s="116" t="b">
        <v>1</v>
      </c>
      <c r="H77" s="116" t="b">
        <v>1</v>
      </c>
      <c r="I77" s="116" t="b">
        <v>1</v>
      </c>
      <c r="J77" s="116" t="b">
        <v>1</v>
      </c>
      <c r="K77" s="116" t="b">
        <v>1</v>
      </c>
      <c r="L77" s="117">
        <f t="shared" si="1"/>
        <v>5</v>
      </c>
      <c r="M77" s="117">
        <f t="shared" si="2"/>
        <v>20</v>
      </c>
      <c r="N77" s="106"/>
      <c r="O77" s="112"/>
    </row>
    <row r="78" ht="15.0" customHeight="1">
      <c r="A78" s="112"/>
      <c r="B78" s="112"/>
      <c r="C78" s="112"/>
      <c r="D78" s="129" t="s">
        <v>52</v>
      </c>
      <c r="E78" s="114" t="s">
        <v>211</v>
      </c>
      <c r="F78" s="115" t="s">
        <v>61</v>
      </c>
      <c r="G78" s="116" t="b">
        <v>1</v>
      </c>
      <c r="H78" s="116" t="b">
        <v>0</v>
      </c>
      <c r="I78" s="116" t="b">
        <v>0</v>
      </c>
      <c r="J78" s="116" t="b">
        <v>0</v>
      </c>
      <c r="K78" s="116" t="b">
        <v>0</v>
      </c>
      <c r="L78" s="117">
        <f t="shared" si="1"/>
        <v>1</v>
      </c>
      <c r="M78" s="117">
        <f t="shared" si="2"/>
        <v>4</v>
      </c>
      <c r="N78" s="106"/>
      <c r="O78" s="112"/>
    </row>
    <row r="79" ht="15.0" customHeight="1">
      <c r="A79" s="112"/>
      <c r="B79" s="112"/>
      <c r="C79" s="112"/>
      <c r="D79" s="129" t="s">
        <v>193</v>
      </c>
      <c r="E79" s="114" t="str">
        <f>VLOOKUP(D79,Data!H:I,2,0)</f>
        <v>Samsun</v>
      </c>
      <c r="F79" s="115" t="str">
        <f>VLOOKUP(D79,Data!H:J,3,0)</f>
        <v>Nazım Öztel</v>
      </c>
      <c r="G79" s="116" t="b">
        <v>1</v>
      </c>
      <c r="H79" s="116" t="b">
        <v>1</v>
      </c>
      <c r="I79" s="116" t="b">
        <v>0</v>
      </c>
      <c r="J79" s="116" t="b">
        <v>1</v>
      </c>
      <c r="K79" s="116" t="b">
        <v>0</v>
      </c>
      <c r="L79" s="117">
        <f t="shared" si="1"/>
        <v>3</v>
      </c>
      <c r="M79" s="117">
        <f t="shared" si="2"/>
        <v>12</v>
      </c>
      <c r="N79" s="106"/>
      <c r="O79" s="112"/>
    </row>
    <row r="80" ht="15.0" customHeight="1">
      <c r="A80" s="112"/>
      <c r="B80" s="112"/>
      <c r="C80" s="112"/>
      <c r="D80" s="129" t="s">
        <v>104</v>
      </c>
      <c r="E80" s="114" t="str">
        <f>VLOOKUP(D80,Data!H:I,2,0)</f>
        <v>Tekirdağ</v>
      </c>
      <c r="F80" s="115" t="str">
        <f>VLOOKUP(D80,Data!H:J,3,0)</f>
        <v>Freelance</v>
      </c>
      <c r="G80" s="139" t="b">
        <v>0</v>
      </c>
      <c r="H80" s="139" t="b">
        <v>0</v>
      </c>
      <c r="I80" s="139" t="b">
        <v>0</v>
      </c>
      <c r="J80" s="139" t="b">
        <v>0</v>
      </c>
      <c r="K80" s="139" t="b">
        <v>0</v>
      </c>
      <c r="L80" s="117">
        <f t="shared" si="1"/>
        <v>0</v>
      </c>
      <c r="M80" s="117">
        <f t="shared" si="2"/>
        <v>0</v>
      </c>
      <c r="N80" s="112"/>
      <c r="O80" s="112"/>
    </row>
    <row r="81" ht="15.0" customHeight="1">
      <c r="A81" s="112"/>
      <c r="B81" s="112"/>
      <c r="C81" s="112"/>
      <c r="D81" s="129" t="s">
        <v>154</v>
      </c>
      <c r="E81" s="114" t="str">
        <f>VLOOKUP(D81,Data!H:I,2,0)</f>
        <v>Uşak</v>
      </c>
      <c r="F81" s="115" t="str">
        <f>VLOOKUP(D81,Data!H:J,3,0)</f>
        <v>Nazım Öztel</v>
      </c>
      <c r="G81" s="139" t="b">
        <v>0</v>
      </c>
      <c r="H81" s="139" t="b">
        <v>0</v>
      </c>
      <c r="I81" s="139" t="b">
        <v>0</v>
      </c>
      <c r="J81" s="139" t="b">
        <v>0</v>
      </c>
      <c r="K81" s="139" t="b">
        <v>0</v>
      </c>
      <c r="L81" s="117">
        <f t="shared" si="1"/>
        <v>0</v>
      </c>
      <c r="M81" s="117">
        <f t="shared" si="2"/>
        <v>0</v>
      </c>
      <c r="N81" s="112"/>
      <c r="O81" s="112"/>
    </row>
    <row r="82" ht="15.0" customHeight="1">
      <c r="A82" s="112"/>
      <c r="B82" s="112"/>
      <c r="C82" s="112"/>
      <c r="D82" s="129" t="s">
        <v>176</v>
      </c>
      <c r="E82" s="144" t="s">
        <v>206</v>
      </c>
      <c r="F82" s="144" t="s">
        <v>61</v>
      </c>
      <c r="G82" s="139" t="b">
        <v>0</v>
      </c>
      <c r="H82" s="139" t="b">
        <v>1</v>
      </c>
      <c r="I82" s="139" t="b">
        <v>0</v>
      </c>
      <c r="J82" s="139" t="b">
        <v>0</v>
      </c>
      <c r="K82" s="139" t="b">
        <v>0</v>
      </c>
      <c r="L82" s="117">
        <f t="shared" si="1"/>
        <v>1</v>
      </c>
      <c r="M82" s="117">
        <f t="shared" si="2"/>
        <v>4</v>
      </c>
      <c r="N82" s="112"/>
      <c r="O82" s="112"/>
    </row>
    <row r="83" ht="15.0" customHeight="1">
      <c r="A83" s="112"/>
      <c r="B83" s="112"/>
      <c r="C83" s="112"/>
      <c r="D83" s="132"/>
      <c r="E83" s="132"/>
      <c r="F83" s="132"/>
      <c r="G83" s="117">
        <f t="shared" ref="G83:K83" si="3">4*(COUNTIF(G15:G82,"true"))</f>
        <v>84</v>
      </c>
      <c r="H83" s="117">
        <f t="shared" si="3"/>
        <v>96</v>
      </c>
      <c r="I83" s="117">
        <f t="shared" si="3"/>
        <v>96</v>
      </c>
      <c r="J83" s="117">
        <f t="shared" si="3"/>
        <v>96</v>
      </c>
      <c r="K83" s="117">
        <f t="shared" si="3"/>
        <v>76</v>
      </c>
      <c r="L83" s="135"/>
      <c r="M83" s="135">
        <f>SUM(G83:K83)</f>
        <v>448</v>
      </c>
      <c r="N83" s="112"/>
      <c r="O83" s="112"/>
    </row>
  </sheetData>
  <customSheetViews>
    <customSheetView guid="{90E1DF85-7252-44D2-BA7D-CC3767CD0E8B}" filter="1" showAutoFilter="1">
      <autoFilter ref="$A$14:$O$83">
        <filterColumn colId="4">
          <filters>
            <filter val="Samsun"/>
            <filter val="Burdur"/>
            <filter val="Bilecik"/>
            <filter val="Zonguldak"/>
            <filter val="Elazığ"/>
            <filter val="Düzce"/>
            <filter val="Malatya"/>
            <filter val="Denizli"/>
            <filter val="Çanakkale"/>
            <filter val="Karabük"/>
            <filter val="Aydın"/>
            <filter val="Osmaniye"/>
            <filter val="Edirne"/>
            <filter val="Afyon"/>
            <filter val="Muğla"/>
            <filter val="Eskişehir"/>
            <filter val="Kahramanmaraş"/>
            <filter val="Balıkesir"/>
            <filter val="Uşak"/>
          </filters>
        </filterColumn>
      </autoFilter>
    </customSheetView>
    <customSheetView guid="{70B995D3-3AEB-4DFE-A0CA-D6FFCCE596BC}" filter="1" showAutoFilter="1">
      <autoFilter ref="$D$14:$D$82"/>
    </customSheetView>
  </customSheetViews>
  <mergeCells count="4">
    <mergeCell ref="D6:K6"/>
    <mergeCell ref="D7:F7"/>
    <mergeCell ref="D9:D12"/>
    <mergeCell ref="F10:M11"/>
  </mergeCells>
  <conditionalFormatting sqref="G15:K82">
    <cfRule type="cellIs" dxfId="1" priority="1" operator="equal">
      <formula>"False"</formula>
    </cfRule>
  </conditionalFormatting>
  <conditionalFormatting sqref="G15:K82">
    <cfRule type="cellIs" dxfId="0" priority="2" operator="equal">
      <formula>"TRUE"</formula>
    </cfRule>
  </conditionalFormatting>
  <dataValidations>
    <dataValidation type="list" allowBlank="1" showErrorMessage="1" sqref="E15:E82">
      <formula1>Data!$A$2:$A$10</formula1>
    </dataValidation>
    <dataValidation type="list" allowBlank="1" showErrorMessage="1" sqref="F15:F82">
      <formula1>Data!$C$2:$C$8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3" width="2.63"/>
    <col customWidth="1" min="4" max="4" width="20.38"/>
    <col customWidth="1" min="5" max="5" width="11.38"/>
    <col customWidth="1" min="6" max="6" width="16.63"/>
    <col customWidth="1" min="7" max="11" width="8.63"/>
    <col customWidth="1" min="12" max="12" width="12.63"/>
    <col customWidth="1" min="13" max="13" width="15.13"/>
    <col customWidth="1" min="14" max="15" width="2.63"/>
  </cols>
  <sheetData>
    <row r="1" ht="7.5" customHeight="1">
      <c r="A1" s="140"/>
      <c r="B1" s="84"/>
      <c r="C1" s="84"/>
      <c r="D1" s="84"/>
      <c r="E1" s="84"/>
      <c r="F1" s="84"/>
      <c r="G1" s="84"/>
      <c r="H1" s="84"/>
      <c r="I1" s="84"/>
      <c r="J1" s="84"/>
      <c r="K1" s="84"/>
      <c r="L1" s="85"/>
      <c r="M1" s="86"/>
      <c r="N1" s="86"/>
      <c r="O1" s="86"/>
    </row>
    <row r="2" ht="15.0" customHeight="1">
      <c r="A2" s="87"/>
      <c r="B2" s="87"/>
      <c r="C2" s="87"/>
      <c r="D2" s="88"/>
      <c r="E2" s="88"/>
      <c r="F2" s="88"/>
      <c r="G2" s="88"/>
      <c r="H2" s="88"/>
      <c r="I2" s="88"/>
      <c r="J2" s="88"/>
      <c r="K2" s="88"/>
      <c r="L2" s="88"/>
      <c r="M2" s="87"/>
      <c r="N2" s="87"/>
      <c r="O2" s="87"/>
    </row>
    <row r="3" ht="3.75" customHeight="1">
      <c r="A3" s="87"/>
      <c r="B3" s="87"/>
      <c r="C3" s="87"/>
      <c r="D3" s="89"/>
      <c r="E3" s="90"/>
      <c r="F3" s="90"/>
      <c r="G3" s="90"/>
      <c r="H3" s="90"/>
      <c r="I3" s="90"/>
      <c r="J3" s="90"/>
      <c r="K3" s="90"/>
      <c r="L3" s="90"/>
      <c r="M3" s="87"/>
      <c r="N3" s="87"/>
      <c r="O3" s="87"/>
    </row>
    <row r="4" ht="15.0" customHeight="1">
      <c r="A4" s="87"/>
      <c r="B4" s="87"/>
      <c r="C4" s="87"/>
      <c r="D4" s="88"/>
      <c r="E4" s="88"/>
      <c r="F4" s="88"/>
      <c r="G4" s="91"/>
      <c r="H4" s="91"/>
      <c r="I4" s="91"/>
      <c r="J4" s="91"/>
      <c r="K4" s="91"/>
      <c r="L4" s="91"/>
      <c r="M4" s="87"/>
      <c r="N4" s="87"/>
      <c r="O4" s="87"/>
    </row>
    <row r="5" ht="15.0" customHeight="1">
      <c r="A5" s="92"/>
      <c r="B5" s="92"/>
      <c r="C5" s="92"/>
      <c r="D5" s="88"/>
      <c r="E5" s="88"/>
      <c r="F5" s="88"/>
      <c r="G5" s="93"/>
      <c r="H5" s="93"/>
      <c r="I5" s="93"/>
      <c r="J5" s="93"/>
      <c r="K5" s="93"/>
      <c r="L5" s="94"/>
      <c r="M5" s="88"/>
      <c r="N5" s="92"/>
      <c r="O5" s="92"/>
    </row>
    <row r="6" ht="15.0" customHeight="1">
      <c r="A6" s="92"/>
      <c r="B6" s="92"/>
      <c r="C6" s="92"/>
      <c r="D6" s="95" t="s">
        <v>212</v>
      </c>
      <c r="L6" s="94"/>
      <c r="M6" s="88"/>
      <c r="N6" s="92"/>
      <c r="O6" s="92"/>
    </row>
    <row r="7" ht="15.0" customHeight="1">
      <c r="A7" s="92"/>
      <c r="B7" s="92"/>
      <c r="C7" s="92"/>
      <c r="D7" s="96" t="s">
        <v>213</v>
      </c>
      <c r="G7" s="97"/>
      <c r="H7" s="97"/>
      <c r="I7" s="97"/>
      <c r="J7" s="97"/>
      <c r="K7" s="97"/>
      <c r="L7" s="92"/>
      <c r="M7" s="92"/>
      <c r="N7" s="92"/>
      <c r="O7" s="92"/>
    </row>
    <row r="8" ht="15.0" customHeight="1">
      <c r="A8" s="92"/>
      <c r="B8" s="92"/>
      <c r="C8" s="92"/>
      <c r="D8" s="97"/>
      <c r="E8" s="97"/>
      <c r="F8" s="97"/>
      <c r="G8" s="97"/>
      <c r="H8" s="97"/>
      <c r="I8" s="97"/>
      <c r="J8" s="97"/>
      <c r="K8" s="97"/>
      <c r="L8" s="92"/>
      <c r="M8" s="92"/>
      <c r="N8" s="92"/>
      <c r="O8" s="92"/>
    </row>
    <row r="9" ht="15.0" customHeight="1">
      <c r="A9" s="92"/>
      <c r="B9" s="92"/>
      <c r="C9" s="98"/>
      <c r="D9" s="99" t="s">
        <v>35</v>
      </c>
      <c r="E9" s="100"/>
      <c r="F9" s="101"/>
      <c r="G9" s="101"/>
      <c r="H9" s="101"/>
      <c r="I9" s="101"/>
      <c r="J9" s="101"/>
      <c r="K9" s="101"/>
      <c r="L9" s="101"/>
      <c r="M9" s="100"/>
      <c r="N9" s="102"/>
      <c r="O9" s="102"/>
    </row>
    <row r="10" ht="15.0" customHeight="1">
      <c r="A10" s="92"/>
      <c r="B10" s="92"/>
      <c r="C10" s="98"/>
      <c r="E10" s="100"/>
      <c r="F10" s="103" t="s">
        <v>36</v>
      </c>
      <c r="N10" s="102"/>
      <c r="O10" s="102"/>
    </row>
    <row r="11" ht="15.0" customHeight="1">
      <c r="A11" s="92"/>
      <c r="B11" s="92"/>
      <c r="C11" s="98"/>
      <c r="E11" s="100"/>
      <c r="N11" s="102"/>
      <c r="O11" s="102"/>
    </row>
    <row r="12" ht="15.0" customHeight="1">
      <c r="A12" s="88"/>
      <c r="B12" s="92"/>
      <c r="C12" s="92"/>
      <c r="E12" s="100"/>
      <c r="F12" s="100"/>
      <c r="G12" s="100"/>
      <c r="H12" s="100"/>
      <c r="I12" s="100"/>
      <c r="J12" s="100"/>
      <c r="K12" s="100"/>
      <c r="L12" s="100"/>
      <c r="M12" s="100"/>
      <c r="N12" s="102"/>
      <c r="O12" s="102"/>
    </row>
    <row r="13" ht="15.0" customHeight="1">
      <c r="A13" s="88"/>
      <c r="B13" s="104"/>
      <c r="C13" s="104"/>
      <c r="D13" s="104"/>
      <c r="E13" s="104"/>
      <c r="F13" s="105"/>
      <c r="G13" s="105"/>
      <c r="H13" s="105"/>
      <c r="I13" s="105"/>
      <c r="J13" s="105"/>
      <c r="K13" s="105"/>
      <c r="L13" s="104"/>
      <c r="M13" s="104"/>
      <c r="N13" s="104"/>
      <c r="O13" s="104"/>
    </row>
    <row r="14" ht="15.0" customHeight="1">
      <c r="A14" s="106"/>
      <c r="B14" s="106"/>
      <c r="C14" s="106"/>
      <c r="D14" s="107" t="s">
        <v>37</v>
      </c>
      <c r="E14" s="108" t="s">
        <v>38</v>
      </c>
      <c r="F14" s="109" t="s">
        <v>39</v>
      </c>
      <c r="G14" s="110">
        <v>44543.0</v>
      </c>
      <c r="H14" s="110">
        <v>44544.0</v>
      </c>
      <c r="I14" s="110">
        <v>44545.0</v>
      </c>
      <c r="J14" s="110">
        <v>44546.0</v>
      </c>
      <c r="K14" s="110">
        <v>44547.0</v>
      </c>
      <c r="L14" s="111" t="s">
        <v>40</v>
      </c>
      <c r="M14" s="111" t="s">
        <v>41</v>
      </c>
      <c r="N14" s="88"/>
      <c r="O14" s="88"/>
    </row>
    <row r="15" ht="15.0" customHeight="1">
      <c r="A15" s="112"/>
      <c r="B15" s="112"/>
      <c r="C15" s="112"/>
      <c r="D15" s="129" t="s">
        <v>42</v>
      </c>
      <c r="E15" s="114" t="str">
        <f>VLOOKUP(D15,Data!H:I,2,0)</f>
        <v>Adana</v>
      </c>
      <c r="F15" s="115" t="str">
        <f>VLOOKUP(D15,Data!H:J,3,0)</f>
        <v>Freelance</v>
      </c>
      <c r="G15" s="116" t="b">
        <v>0</v>
      </c>
      <c r="H15" s="116" t="b">
        <v>0</v>
      </c>
      <c r="I15" s="116" t="b">
        <v>1</v>
      </c>
      <c r="J15" s="116" t="b">
        <v>1</v>
      </c>
      <c r="K15" s="116" t="b">
        <v>0</v>
      </c>
      <c r="L15" s="117">
        <f t="shared" ref="L15:L82" si="1">COUNTIF(G15:K15,"TRUE")</f>
        <v>2</v>
      </c>
      <c r="M15" s="117">
        <f t="shared" ref="M15:M82" si="2">L15*4</f>
        <v>8</v>
      </c>
      <c r="N15" s="112"/>
      <c r="O15" s="88"/>
    </row>
    <row r="16" ht="15.0" customHeight="1">
      <c r="A16" s="112"/>
      <c r="B16" s="112"/>
      <c r="C16" s="112"/>
      <c r="D16" s="129" t="s">
        <v>196</v>
      </c>
      <c r="E16" s="114" t="str">
        <f>VLOOKUP(D16,Data!H:I,2,0)</f>
        <v>Afyon</v>
      </c>
      <c r="F16" s="115" t="str">
        <f>VLOOKUP(D16,Data!H:J,3,0)</f>
        <v>Nazım Öztel</v>
      </c>
      <c r="G16" s="116" t="b">
        <v>1</v>
      </c>
      <c r="H16" s="116" t="b">
        <v>1</v>
      </c>
      <c r="I16" s="116" t="b">
        <v>1</v>
      </c>
      <c r="J16" s="116" t="b">
        <v>1</v>
      </c>
      <c r="K16" s="116" t="b">
        <v>1</v>
      </c>
      <c r="L16" s="117">
        <f t="shared" si="1"/>
        <v>5</v>
      </c>
      <c r="M16" s="117">
        <f t="shared" si="2"/>
        <v>20</v>
      </c>
      <c r="N16" s="112"/>
      <c r="O16" s="88"/>
    </row>
    <row r="17" ht="15.0" customHeight="1">
      <c r="A17" s="112"/>
      <c r="B17" s="112"/>
      <c r="C17" s="112"/>
      <c r="D17" s="129" t="s">
        <v>189</v>
      </c>
      <c r="E17" s="114" t="str">
        <f>VLOOKUP(D17,Data!H:I,2,0)</f>
        <v>Ankara</v>
      </c>
      <c r="F17" s="115" t="str">
        <f>VLOOKUP(D17,Data!H:J,3,0)</f>
        <v>Nazım Öztel</v>
      </c>
      <c r="G17" s="116" t="b">
        <v>0</v>
      </c>
      <c r="H17" s="116" t="b">
        <v>0</v>
      </c>
      <c r="I17" s="116" t="b">
        <v>0</v>
      </c>
      <c r="J17" s="116" t="b">
        <v>0</v>
      </c>
      <c r="K17" s="116" t="b">
        <v>0</v>
      </c>
      <c r="L17" s="117">
        <f t="shared" si="1"/>
        <v>0</v>
      </c>
      <c r="M17" s="117">
        <f t="shared" si="2"/>
        <v>0</v>
      </c>
      <c r="N17" s="112"/>
      <c r="O17" s="88"/>
    </row>
    <row r="18" ht="15.0" customHeight="1">
      <c r="A18" s="106"/>
      <c r="B18" s="106"/>
      <c r="C18" s="106"/>
      <c r="D18" s="129" t="s">
        <v>164</v>
      </c>
      <c r="E18" s="114" t="str">
        <f>VLOOKUP(D18,Data!H:I,2,0)</f>
        <v>Antalya</v>
      </c>
      <c r="F18" s="115" t="str">
        <f>VLOOKUP(D18,Data!H:J,3,0)</f>
        <v>Nazım Öztel</v>
      </c>
      <c r="G18" s="116" t="b">
        <v>0</v>
      </c>
      <c r="H18" s="116" t="b">
        <v>1</v>
      </c>
      <c r="I18" s="116" t="b">
        <v>1</v>
      </c>
      <c r="J18" s="116" t="b">
        <v>1</v>
      </c>
      <c r="K18" s="116" t="b">
        <v>0</v>
      </c>
      <c r="L18" s="117">
        <f t="shared" si="1"/>
        <v>3</v>
      </c>
      <c r="M18" s="117">
        <f t="shared" si="2"/>
        <v>12</v>
      </c>
      <c r="N18" s="112"/>
      <c r="O18" s="106"/>
    </row>
    <row r="19" ht="15.0" customHeight="1">
      <c r="A19" s="106"/>
      <c r="B19" s="106"/>
      <c r="C19" s="106"/>
      <c r="D19" s="129" t="s">
        <v>152</v>
      </c>
      <c r="E19" s="114" t="str">
        <f>VLOOKUP(D19,Data!H:I,2,0)</f>
        <v>Antalya</v>
      </c>
      <c r="F19" s="115" t="str">
        <f>VLOOKUP(D19,Data!H:J,3,0)</f>
        <v>Nazım Öztel</v>
      </c>
      <c r="G19" s="116" t="b">
        <v>0</v>
      </c>
      <c r="H19" s="116" t="b">
        <v>0</v>
      </c>
      <c r="I19" s="116" t="b">
        <v>0</v>
      </c>
      <c r="J19" s="116" t="b">
        <v>0</v>
      </c>
      <c r="K19" s="116" t="b">
        <v>0</v>
      </c>
      <c r="L19" s="117">
        <f t="shared" si="1"/>
        <v>0</v>
      </c>
      <c r="M19" s="117">
        <f t="shared" si="2"/>
        <v>0</v>
      </c>
      <c r="N19" s="112"/>
      <c r="O19" s="106"/>
    </row>
    <row r="20" ht="15.0" customHeight="1">
      <c r="A20" s="112"/>
      <c r="B20" s="112"/>
      <c r="C20" s="112"/>
      <c r="D20" s="129" t="s">
        <v>50</v>
      </c>
      <c r="E20" s="114" t="str">
        <f>VLOOKUP(D20,Data!H:I,2,0)</f>
        <v>Antalya</v>
      </c>
      <c r="F20" s="115" t="str">
        <f>VLOOKUP(D20,Data!H:J,3,0)</f>
        <v>Freelance</v>
      </c>
      <c r="G20" s="116" t="b">
        <v>1</v>
      </c>
      <c r="H20" s="116" t="b">
        <v>1</v>
      </c>
      <c r="I20" s="116" t="b">
        <v>1</v>
      </c>
      <c r="J20" s="116" t="b">
        <v>1</v>
      </c>
      <c r="K20" s="116" t="b">
        <v>1</v>
      </c>
      <c r="L20" s="117">
        <f t="shared" si="1"/>
        <v>5</v>
      </c>
      <c r="M20" s="117">
        <f t="shared" si="2"/>
        <v>20</v>
      </c>
      <c r="N20" s="112"/>
      <c r="O20" s="112"/>
    </row>
    <row r="21" ht="15.0" customHeight="1">
      <c r="A21" s="112"/>
      <c r="B21" s="112"/>
      <c r="C21" s="112"/>
      <c r="D21" s="129" t="s">
        <v>159</v>
      </c>
      <c r="E21" s="114" t="str">
        <f>VLOOKUP(D21,Data!H:I,2,0)</f>
        <v>Aydın</v>
      </c>
      <c r="F21" s="115" t="str">
        <f>VLOOKUP(D21,Data!H:J,3,0)</f>
        <v>Nazım Öztel</v>
      </c>
      <c r="G21" s="116" t="b">
        <v>0</v>
      </c>
      <c r="H21" s="116" t="b">
        <v>0</v>
      </c>
      <c r="I21" s="116" t="b">
        <v>0</v>
      </c>
      <c r="J21" s="116" t="b">
        <v>0</v>
      </c>
      <c r="K21" s="116" t="b">
        <v>0</v>
      </c>
      <c r="L21" s="117">
        <f t="shared" si="1"/>
        <v>0</v>
      </c>
      <c r="M21" s="117">
        <f t="shared" si="2"/>
        <v>0</v>
      </c>
      <c r="N21" s="112"/>
      <c r="O21" s="112"/>
    </row>
    <row r="22" ht="15.0" customHeight="1">
      <c r="A22" s="112"/>
      <c r="B22" s="112"/>
      <c r="C22" s="112"/>
      <c r="D22" s="129" t="s">
        <v>197</v>
      </c>
      <c r="E22" s="114" t="str">
        <f>VLOOKUP(D22,Data!H:I,2,0)</f>
        <v>Aydın</v>
      </c>
      <c r="F22" s="115" t="str">
        <f>VLOOKUP(D22,Data!H:J,3,0)</f>
        <v>Nazım Öztel</v>
      </c>
      <c r="G22" s="116" t="b">
        <v>1</v>
      </c>
      <c r="H22" s="116" t="b">
        <v>1</v>
      </c>
      <c r="I22" s="116" t="b">
        <v>1</v>
      </c>
      <c r="J22" s="116" t="b">
        <v>1</v>
      </c>
      <c r="K22" s="116" t="b">
        <v>1</v>
      </c>
      <c r="L22" s="117">
        <f t="shared" si="1"/>
        <v>5</v>
      </c>
      <c r="M22" s="117">
        <f t="shared" si="2"/>
        <v>20</v>
      </c>
      <c r="N22" s="112"/>
      <c r="O22" s="112"/>
    </row>
    <row r="23" ht="15.0" customHeight="1">
      <c r="A23" s="112"/>
      <c r="B23" s="112"/>
      <c r="C23" s="112"/>
      <c r="D23" s="129" t="s">
        <v>52</v>
      </c>
      <c r="E23" s="114" t="s">
        <v>184</v>
      </c>
      <c r="F23" s="115" t="s">
        <v>61</v>
      </c>
      <c r="G23" s="116" t="b">
        <v>0</v>
      </c>
      <c r="H23" s="116" t="b">
        <v>0</v>
      </c>
      <c r="I23" s="116" t="b">
        <v>0</v>
      </c>
      <c r="J23" s="116" t="b">
        <v>0</v>
      </c>
      <c r="K23" s="116" t="b">
        <v>0</v>
      </c>
      <c r="L23" s="117">
        <f t="shared" si="1"/>
        <v>0</v>
      </c>
      <c r="M23" s="117">
        <f t="shared" si="2"/>
        <v>0</v>
      </c>
      <c r="N23" s="112"/>
      <c r="O23" s="112"/>
    </row>
    <row r="24" ht="15.0" customHeight="1">
      <c r="A24" s="112"/>
      <c r="B24" s="112"/>
      <c r="C24" s="112"/>
      <c r="D24" s="129" t="s">
        <v>198</v>
      </c>
      <c r="E24" s="114" t="s">
        <v>181</v>
      </c>
      <c r="F24" s="115" t="s">
        <v>61</v>
      </c>
      <c r="G24" s="116" t="b">
        <v>0</v>
      </c>
      <c r="H24" s="116" t="b">
        <v>0</v>
      </c>
      <c r="I24" s="116" t="b">
        <v>0</v>
      </c>
      <c r="J24" s="116" t="b">
        <v>0</v>
      </c>
      <c r="K24" s="116" t="b">
        <v>0</v>
      </c>
      <c r="L24" s="117">
        <f t="shared" si="1"/>
        <v>0</v>
      </c>
      <c r="M24" s="117">
        <f t="shared" si="2"/>
        <v>0</v>
      </c>
      <c r="N24" s="112"/>
      <c r="O24" s="112"/>
    </row>
    <row r="25" ht="15.0" customHeight="1">
      <c r="A25" s="112"/>
      <c r="B25" s="112"/>
      <c r="C25" s="112"/>
      <c r="D25" s="129" t="s">
        <v>52</v>
      </c>
      <c r="E25" s="114" t="s">
        <v>181</v>
      </c>
      <c r="F25" s="115" t="s">
        <v>61</v>
      </c>
      <c r="G25" s="116" t="b">
        <v>0</v>
      </c>
      <c r="H25" s="116" t="b">
        <v>0</v>
      </c>
      <c r="I25" s="116" t="b">
        <v>0</v>
      </c>
      <c r="J25" s="116" t="b">
        <v>0</v>
      </c>
      <c r="K25" s="116" t="b">
        <v>0</v>
      </c>
      <c r="L25" s="117">
        <f t="shared" si="1"/>
        <v>0</v>
      </c>
      <c r="M25" s="117">
        <f t="shared" si="2"/>
        <v>0</v>
      </c>
      <c r="N25" s="112"/>
      <c r="O25" s="112"/>
    </row>
    <row r="26" ht="15.0" customHeight="1">
      <c r="A26" s="112"/>
      <c r="B26" s="112"/>
      <c r="C26" s="112"/>
      <c r="D26" s="129" t="s">
        <v>160</v>
      </c>
      <c r="E26" s="114" t="str">
        <f>VLOOKUP(D26,Data!H:I,2,0)</f>
        <v>Burdur</v>
      </c>
      <c r="F26" s="115" t="str">
        <f>VLOOKUP(D26,Data!H:J,3,0)</f>
        <v>Nazım Öztel</v>
      </c>
      <c r="G26" s="116" t="b">
        <v>0</v>
      </c>
      <c r="H26" s="116" t="b">
        <v>0</v>
      </c>
      <c r="I26" s="116" t="b">
        <v>0</v>
      </c>
      <c r="J26" s="116" t="b">
        <v>0</v>
      </c>
      <c r="K26" s="116" t="b">
        <v>0</v>
      </c>
      <c r="L26" s="117">
        <f t="shared" si="1"/>
        <v>0</v>
      </c>
      <c r="M26" s="117">
        <f t="shared" si="2"/>
        <v>0</v>
      </c>
      <c r="N26" s="112"/>
      <c r="O26" s="112"/>
    </row>
    <row r="27" ht="15.0" customHeight="1">
      <c r="A27" s="112"/>
      <c r="B27" s="112"/>
      <c r="C27" s="112"/>
      <c r="D27" s="132" t="s">
        <v>52</v>
      </c>
      <c r="E27" s="114" t="str">
        <f>VLOOKUP(D27,Data!H:I,2,0)</f>
        <v>Bursa</v>
      </c>
      <c r="F27" s="115" t="str">
        <f>VLOOKUP(D27,Data!H:J,3,0)</f>
        <v>Nazım Öztel</v>
      </c>
      <c r="G27" s="116" t="b">
        <v>0</v>
      </c>
      <c r="H27" s="116" t="b">
        <v>1</v>
      </c>
      <c r="I27" s="116" t="b">
        <v>1</v>
      </c>
      <c r="J27" s="116" t="b">
        <v>1</v>
      </c>
      <c r="K27" s="116" t="b">
        <v>0</v>
      </c>
      <c r="L27" s="117">
        <f t="shared" si="1"/>
        <v>3</v>
      </c>
      <c r="M27" s="117">
        <f t="shared" si="2"/>
        <v>12</v>
      </c>
      <c r="N27" s="122"/>
      <c r="O27" s="112"/>
    </row>
    <row r="28" ht="15.0" customHeight="1">
      <c r="A28" s="112"/>
      <c r="B28" s="112"/>
      <c r="C28" s="112"/>
      <c r="D28" s="129" t="s">
        <v>53</v>
      </c>
      <c r="E28" s="114" t="str">
        <f>VLOOKUP(D28,Data!H:I,2,0)</f>
        <v>Bursa</v>
      </c>
      <c r="F28" s="115" t="str">
        <f>VLOOKUP(D28,Data!H:J,3,0)</f>
        <v>Freelance</v>
      </c>
      <c r="G28" s="116" t="b">
        <v>0</v>
      </c>
      <c r="H28" s="116" t="b">
        <v>0</v>
      </c>
      <c r="I28" s="116" t="b">
        <v>0</v>
      </c>
      <c r="J28" s="116" t="b">
        <v>0</v>
      </c>
      <c r="K28" s="116" t="b">
        <v>0</v>
      </c>
      <c r="L28" s="117">
        <f t="shared" si="1"/>
        <v>0</v>
      </c>
      <c r="M28" s="117">
        <f t="shared" si="2"/>
        <v>0</v>
      </c>
      <c r="N28" s="112"/>
      <c r="O28" s="112"/>
    </row>
    <row r="29" ht="15.0" customHeight="1">
      <c r="A29" s="112"/>
      <c r="B29" s="112"/>
      <c r="C29" s="112"/>
      <c r="D29" s="129" t="s">
        <v>190</v>
      </c>
      <c r="E29" s="114" t="str">
        <f>VLOOKUP(D29,Data!H:I,2,0)</f>
        <v>Çanakkale</v>
      </c>
      <c r="F29" s="115" t="str">
        <f>VLOOKUP(D29,Data!H:J,3,0)</f>
        <v>Nazım Öztel</v>
      </c>
      <c r="G29" s="116" t="b">
        <v>1</v>
      </c>
      <c r="H29" s="116" t="b">
        <v>1</v>
      </c>
      <c r="I29" s="116" t="b">
        <v>1</v>
      </c>
      <c r="J29" s="116" t="b">
        <v>1</v>
      </c>
      <c r="K29" s="116" t="b">
        <v>0</v>
      </c>
      <c r="L29" s="117">
        <f t="shared" si="1"/>
        <v>4</v>
      </c>
      <c r="M29" s="117">
        <f t="shared" si="2"/>
        <v>16</v>
      </c>
      <c r="N29" s="112"/>
      <c r="O29" s="112"/>
    </row>
    <row r="30" ht="15.0" customHeight="1">
      <c r="A30" s="112"/>
      <c r="B30" s="112"/>
      <c r="C30" s="112"/>
      <c r="D30" s="129" t="s">
        <v>191</v>
      </c>
      <c r="E30" s="114" t="str">
        <f>VLOOKUP(D30,Data!H:I,2,0)</f>
        <v>Denizli</v>
      </c>
      <c r="F30" s="115" t="str">
        <f>VLOOKUP(D30,Data!H:J,3,0)</f>
        <v>Nazım Öztel</v>
      </c>
      <c r="G30" s="116" t="b">
        <v>0</v>
      </c>
      <c r="H30" s="116" t="b">
        <v>0</v>
      </c>
      <c r="I30" s="116" t="b">
        <v>0</v>
      </c>
      <c r="J30" s="116" t="b">
        <v>0</v>
      </c>
      <c r="K30" s="116" t="b">
        <v>0</v>
      </c>
      <c r="L30" s="117">
        <f t="shared" si="1"/>
        <v>0</v>
      </c>
      <c r="M30" s="117">
        <f t="shared" si="2"/>
        <v>0</v>
      </c>
      <c r="N30" s="112"/>
      <c r="O30" s="112"/>
    </row>
    <row r="31" ht="15.0" customHeight="1">
      <c r="A31" s="112"/>
      <c r="B31" s="112"/>
      <c r="C31" s="112"/>
      <c r="D31" s="132" t="s">
        <v>54</v>
      </c>
      <c r="E31" s="114" t="str">
        <f>VLOOKUP(D31,Data!H:I,2,0)</f>
        <v>Diyarbakır</v>
      </c>
      <c r="F31" s="115" t="str">
        <f>VLOOKUP(D31,Data!H:J,3,0)</f>
        <v>Nazım Öztel</v>
      </c>
      <c r="G31" s="116" t="b">
        <v>0</v>
      </c>
      <c r="H31" s="116" t="b">
        <v>0</v>
      </c>
      <c r="I31" s="116" t="b">
        <v>0</v>
      </c>
      <c r="J31" s="116" t="b">
        <v>0</v>
      </c>
      <c r="K31" s="116" t="b">
        <v>0</v>
      </c>
      <c r="L31" s="117">
        <f t="shared" si="1"/>
        <v>0</v>
      </c>
      <c r="M31" s="117">
        <f t="shared" si="2"/>
        <v>0</v>
      </c>
      <c r="N31" s="112"/>
      <c r="O31" s="112"/>
    </row>
    <row r="32" ht="15.0" customHeight="1">
      <c r="A32" s="112"/>
      <c r="B32" s="112"/>
      <c r="C32" s="112"/>
      <c r="D32" s="129" t="s">
        <v>173</v>
      </c>
      <c r="E32" s="114" t="str">
        <f>VLOOKUP(D32,Data!H:I,2,0)</f>
        <v>Düzce</v>
      </c>
      <c r="F32" s="115" t="str">
        <f>VLOOKUP(D32,Data!H:J,3,0)</f>
        <v>Nazım Öztel</v>
      </c>
      <c r="G32" s="116" t="b">
        <v>0</v>
      </c>
      <c r="H32" s="116" t="b">
        <v>0</v>
      </c>
      <c r="I32" s="116" t="b">
        <v>0</v>
      </c>
      <c r="J32" s="116" t="b">
        <v>0</v>
      </c>
      <c r="K32" s="116" t="b">
        <v>0</v>
      </c>
      <c r="L32" s="117">
        <f t="shared" si="1"/>
        <v>0</v>
      </c>
      <c r="M32" s="117">
        <f t="shared" si="2"/>
        <v>0</v>
      </c>
      <c r="N32" s="112"/>
      <c r="O32" s="112"/>
    </row>
    <row r="33" ht="15.0" customHeight="1">
      <c r="A33" s="112"/>
      <c r="B33" s="112"/>
      <c r="C33" s="112"/>
      <c r="D33" s="129" t="s">
        <v>153</v>
      </c>
      <c r="E33" s="114" t="str">
        <f>VLOOKUP(D33,Data!H:I,2,0)</f>
        <v>Edirne</v>
      </c>
      <c r="F33" s="115" t="str">
        <f>VLOOKUP(D33,Data!H:J,3,0)</f>
        <v>Nazım Öztel</v>
      </c>
      <c r="G33" s="116" t="b">
        <v>0</v>
      </c>
      <c r="H33" s="116" t="b">
        <v>0</v>
      </c>
      <c r="I33" s="116" t="b">
        <v>0</v>
      </c>
      <c r="J33" s="116" t="b">
        <v>0</v>
      </c>
      <c r="K33" s="116" t="b">
        <v>0</v>
      </c>
      <c r="L33" s="117">
        <f t="shared" si="1"/>
        <v>0</v>
      </c>
      <c r="M33" s="117">
        <f t="shared" si="2"/>
        <v>0</v>
      </c>
      <c r="N33" s="112"/>
      <c r="O33" s="112"/>
    </row>
    <row r="34" ht="15.0" customHeight="1">
      <c r="A34" s="112"/>
      <c r="B34" s="112"/>
      <c r="C34" s="112"/>
      <c r="D34" s="129" t="s">
        <v>199</v>
      </c>
      <c r="E34" s="114" t="str">
        <f>VLOOKUP(D34,Data!H:I,2,0)</f>
        <v>Elazığ</v>
      </c>
      <c r="F34" s="115" t="str">
        <f>VLOOKUP(D34,Data!H:J,3,0)</f>
        <v>Nazım Öztel</v>
      </c>
      <c r="G34" s="116" t="b">
        <v>0</v>
      </c>
      <c r="H34" s="116" t="b">
        <v>0</v>
      </c>
      <c r="I34" s="116" t="b">
        <v>0</v>
      </c>
      <c r="J34" s="116" t="b">
        <v>0</v>
      </c>
      <c r="K34" s="116" t="b">
        <v>0</v>
      </c>
      <c r="L34" s="117">
        <f t="shared" si="1"/>
        <v>0</v>
      </c>
      <c r="M34" s="117">
        <f t="shared" si="2"/>
        <v>0</v>
      </c>
      <c r="N34" s="112"/>
      <c r="O34" s="112"/>
    </row>
    <row r="35" ht="15.0" customHeight="1">
      <c r="A35" s="112"/>
      <c r="B35" s="112"/>
      <c r="C35" s="112"/>
      <c r="D35" s="132" t="s">
        <v>55</v>
      </c>
      <c r="E35" s="114" t="str">
        <f>VLOOKUP(D35,Data!H:I,2,0)</f>
        <v>Erzurum</v>
      </c>
      <c r="F35" s="115" t="str">
        <f>VLOOKUP(D35,Data!H:J,3,0)</f>
        <v>Nazım Öztel</v>
      </c>
      <c r="G35" s="116" t="b">
        <v>0</v>
      </c>
      <c r="H35" s="116" t="b">
        <v>0</v>
      </c>
      <c r="I35" s="116" t="b">
        <v>0</v>
      </c>
      <c r="J35" s="116" t="b">
        <v>0</v>
      </c>
      <c r="K35" s="116" t="b">
        <v>0</v>
      </c>
      <c r="L35" s="117">
        <f t="shared" si="1"/>
        <v>0</v>
      </c>
      <c r="M35" s="117">
        <f t="shared" si="2"/>
        <v>0</v>
      </c>
      <c r="N35" s="112"/>
      <c r="O35" s="112"/>
    </row>
    <row r="36" ht="15.0" customHeight="1">
      <c r="A36" s="112"/>
      <c r="B36" s="112"/>
      <c r="C36" s="112"/>
      <c r="D36" s="129" t="s">
        <v>165</v>
      </c>
      <c r="E36" s="114" t="str">
        <f>VLOOKUP(D36,Data!H:I,2,0)</f>
        <v>Eskişehir</v>
      </c>
      <c r="F36" s="115" t="str">
        <f>VLOOKUP(D36,Data!H:J,3,0)</f>
        <v>Nazım Öztel</v>
      </c>
      <c r="G36" s="116" t="b">
        <v>1</v>
      </c>
      <c r="H36" s="116" t="b">
        <v>1</v>
      </c>
      <c r="I36" s="116" t="b">
        <v>1</v>
      </c>
      <c r="J36" s="116" t="b">
        <v>0</v>
      </c>
      <c r="K36" s="116" t="b">
        <v>1</v>
      </c>
      <c r="L36" s="117">
        <f t="shared" si="1"/>
        <v>4</v>
      </c>
      <c r="M36" s="117">
        <f t="shared" si="2"/>
        <v>16</v>
      </c>
      <c r="N36" s="112"/>
      <c r="O36" s="112"/>
    </row>
    <row r="37" ht="15.0" customHeight="1">
      <c r="A37" s="112"/>
      <c r="B37" s="112"/>
      <c r="C37" s="112"/>
      <c r="D37" s="129" t="s">
        <v>58</v>
      </c>
      <c r="E37" s="114" t="str">
        <f>VLOOKUP(D37,Data!H:I,2,0)</f>
        <v>İstanbul</v>
      </c>
      <c r="F37" s="115" t="str">
        <f>VLOOKUP(D37,Data!H:J,3,0)</f>
        <v>Freelance</v>
      </c>
      <c r="G37" s="116" t="b">
        <v>0</v>
      </c>
      <c r="H37" s="116" t="b">
        <v>0</v>
      </c>
      <c r="I37" s="116" t="b">
        <v>0</v>
      </c>
      <c r="J37" s="116" t="b">
        <v>1</v>
      </c>
      <c r="K37" s="116" t="b">
        <v>1</v>
      </c>
      <c r="L37" s="117">
        <f t="shared" si="1"/>
        <v>2</v>
      </c>
      <c r="M37" s="117">
        <f t="shared" si="2"/>
        <v>8</v>
      </c>
      <c r="N37" s="88"/>
      <c r="O37" s="112"/>
    </row>
    <row r="38" ht="15.0" customHeight="1">
      <c r="A38" s="112"/>
      <c r="B38" s="112"/>
      <c r="C38" s="112"/>
      <c r="D38" s="129" t="s">
        <v>123</v>
      </c>
      <c r="E38" s="114" t="str">
        <f>VLOOKUP(D38,Data!H:I,2,0)</f>
        <v>İstanbul</v>
      </c>
      <c r="F38" s="115" t="str">
        <f>VLOOKUP(D38,Data!H:J,3,0)</f>
        <v>Freelance</v>
      </c>
      <c r="G38" s="116" t="b">
        <v>0</v>
      </c>
      <c r="H38" s="116" t="b">
        <v>0</v>
      </c>
      <c r="I38" s="116" t="b">
        <v>0</v>
      </c>
      <c r="J38" s="116" t="b">
        <v>0</v>
      </c>
      <c r="K38" s="116" t="b">
        <v>0</v>
      </c>
      <c r="L38" s="117">
        <f t="shared" si="1"/>
        <v>0</v>
      </c>
      <c r="M38" s="117">
        <f t="shared" si="2"/>
        <v>0</v>
      </c>
      <c r="N38" s="88"/>
      <c r="O38" s="112"/>
    </row>
    <row r="39" ht="15.0" customHeight="1">
      <c r="A39" s="121"/>
      <c r="B39" s="121"/>
      <c r="C39" s="121"/>
      <c r="D39" s="129" t="s">
        <v>209</v>
      </c>
      <c r="E39" s="114" t="str">
        <f>VLOOKUP(D39,Data!H:I,2,0)</f>
        <v>İstanbul</v>
      </c>
      <c r="F39" s="115" t="str">
        <f>VLOOKUP(D39,Data!H:J,3,0)</f>
        <v>Filamingo</v>
      </c>
      <c r="G39" s="116" t="b">
        <v>0</v>
      </c>
      <c r="H39" s="116" t="b">
        <v>1</v>
      </c>
      <c r="I39" s="116" t="b">
        <v>1</v>
      </c>
      <c r="J39" s="116" t="b">
        <v>1</v>
      </c>
      <c r="K39" s="116" t="b">
        <v>0</v>
      </c>
      <c r="L39" s="117">
        <f t="shared" si="1"/>
        <v>3</v>
      </c>
      <c r="M39" s="117">
        <f t="shared" si="2"/>
        <v>12</v>
      </c>
      <c r="N39" s="121"/>
      <c r="O39" s="121"/>
    </row>
    <row r="40" ht="15.0" customHeight="1">
      <c r="A40" s="121"/>
      <c r="B40" s="121"/>
      <c r="C40" s="121"/>
      <c r="D40" s="129" t="s">
        <v>134</v>
      </c>
      <c r="E40" s="114" t="str">
        <f>VLOOKUP(D40,Data!H:I,2,0)</f>
        <v>İstanbul</v>
      </c>
      <c r="F40" s="115" t="str">
        <f>VLOOKUP(D40,Data!H:J,3,0)</f>
        <v>Filamingo</v>
      </c>
      <c r="G40" s="116" t="b">
        <v>0</v>
      </c>
      <c r="H40" s="116" t="b">
        <v>0</v>
      </c>
      <c r="I40" s="116" t="b">
        <v>0</v>
      </c>
      <c r="J40" s="116" t="b">
        <v>0</v>
      </c>
      <c r="K40" s="116" t="b">
        <v>0</v>
      </c>
      <c r="L40" s="117">
        <f t="shared" si="1"/>
        <v>0</v>
      </c>
      <c r="M40" s="117">
        <f t="shared" si="2"/>
        <v>0</v>
      </c>
      <c r="N40" s="121"/>
      <c r="O40" s="121"/>
    </row>
    <row r="41" ht="15.0" customHeight="1">
      <c r="A41" s="112"/>
      <c r="B41" s="112"/>
      <c r="C41" s="112"/>
      <c r="D41" s="132" t="s">
        <v>117</v>
      </c>
      <c r="E41" s="114" t="str">
        <f>VLOOKUP(D41,Data!H:I,2,0)</f>
        <v>İstanbul</v>
      </c>
      <c r="F41" s="115" t="str">
        <f>VLOOKUP(D41,Data!H:J,3,0)</f>
        <v>Freelance</v>
      </c>
      <c r="G41" s="116" t="b">
        <v>0</v>
      </c>
      <c r="H41" s="116" t="b">
        <v>0</v>
      </c>
      <c r="I41" s="116" t="b">
        <v>0</v>
      </c>
      <c r="J41" s="116" t="b">
        <v>0</v>
      </c>
      <c r="K41" s="116" t="b">
        <v>0</v>
      </c>
      <c r="L41" s="117">
        <f t="shared" si="1"/>
        <v>0</v>
      </c>
      <c r="M41" s="117">
        <f t="shared" si="2"/>
        <v>0</v>
      </c>
      <c r="N41" s="112"/>
      <c r="O41" s="112"/>
    </row>
    <row r="42" ht="15.0" customHeight="1">
      <c r="A42" s="112"/>
      <c r="B42" s="112"/>
      <c r="C42" s="112"/>
      <c r="D42" s="129" t="s">
        <v>135</v>
      </c>
      <c r="E42" s="114" t="str">
        <f>VLOOKUP(D42,Data!H:I,2,0)</f>
        <v>İstanbul</v>
      </c>
      <c r="F42" s="115" t="str">
        <f>VLOOKUP(D42,Data!H:J,3,0)</f>
        <v>Freelance</v>
      </c>
      <c r="G42" s="116" t="b">
        <v>1</v>
      </c>
      <c r="H42" s="116" t="b">
        <v>0</v>
      </c>
      <c r="I42" s="116" t="b">
        <v>1</v>
      </c>
      <c r="J42" s="116" t="b">
        <v>0</v>
      </c>
      <c r="K42" s="116" t="b">
        <v>0</v>
      </c>
      <c r="L42" s="117">
        <f t="shared" si="1"/>
        <v>2</v>
      </c>
      <c r="M42" s="117">
        <f t="shared" si="2"/>
        <v>8</v>
      </c>
      <c r="N42" s="112"/>
      <c r="O42" s="112"/>
    </row>
    <row r="43" ht="15.0" customHeight="1">
      <c r="A43" s="112"/>
      <c r="B43" s="112"/>
      <c r="C43" s="112"/>
      <c r="D43" s="129" t="s">
        <v>70</v>
      </c>
      <c r="E43" s="114" t="str">
        <f>VLOOKUP(D43,Data!H:I,2,0)</f>
        <v>İstanbul</v>
      </c>
      <c r="F43" s="115" t="str">
        <f>VLOOKUP(D43,Data!H:J,3,0)</f>
        <v>Freelance</v>
      </c>
      <c r="G43" s="116" t="b">
        <v>0</v>
      </c>
      <c r="H43" s="116" t="b">
        <v>1</v>
      </c>
      <c r="I43" s="116" t="b">
        <v>0</v>
      </c>
      <c r="J43" s="116" t="b">
        <v>0</v>
      </c>
      <c r="K43" s="116" t="b">
        <v>0</v>
      </c>
      <c r="L43" s="117">
        <f t="shared" si="1"/>
        <v>1</v>
      </c>
      <c r="M43" s="117">
        <f t="shared" si="2"/>
        <v>4</v>
      </c>
      <c r="N43" s="112"/>
      <c r="O43" s="112"/>
    </row>
    <row r="44" ht="15.0" customHeight="1">
      <c r="A44" s="112"/>
      <c r="B44" s="112"/>
      <c r="C44" s="112"/>
      <c r="D44" s="129" t="s">
        <v>174</v>
      </c>
      <c r="E44" s="114" t="str">
        <f>VLOOKUP(D44,Data!H:I,2,0)</f>
        <v>İstanbul</v>
      </c>
      <c r="F44" s="115" t="str">
        <f>VLOOKUP(D44,Data!H:J,3,0)</f>
        <v>Freelance</v>
      </c>
      <c r="G44" s="116" t="b">
        <v>1</v>
      </c>
      <c r="H44" s="116" t="b">
        <v>0</v>
      </c>
      <c r="I44" s="116" t="b">
        <v>0</v>
      </c>
      <c r="J44" s="116" t="b">
        <v>1</v>
      </c>
      <c r="K44" s="116" t="b">
        <v>0</v>
      </c>
      <c r="L44" s="117">
        <f t="shared" si="1"/>
        <v>2</v>
      </c>
      <c r="M44" s="117">
        <f t="shared" si="2"/>
        <v>8</v>
      </c>
      <c r="N44" s="112"/>
      <c r="O44" s="112"/>
    </row>
    <row r="45" ht="15.0" customHeight="1">
      <c r="A45" s="112"/>
      <c r="B45" s="112"/>
      <c r="C45" s="112"/>
      <c r="D45" s="129" t="s">
        <v>78</v>
      </c>
      <c r="E45" s="114" t="str">
        <f>VLOOKUP(D45,Data!H:I,2,0)</f>
        <v>İstanbul</v>
      </c>
      <c r="F45" s="115" t="str">
        <f>VLOOKUP(D45,Data!H:J,3,0)</f>
        <v>Freelance</v>
      </c>
      <c r="G45" s="116" t="b">
        <v>1</v>
      </c>
      <c r="H45" s="116" t="b">
        <v>1</v>
      </c>
      <c r="I45" s="116" t="b">
        <v>1</v>
      </c>
      <c r="J45" s="116" t="b">
        <v>1</v>
      </c>
      <c r="K45" s="116" t="b">
        <v>0</v>
      </c>
      <c r="L45" s="117">
        <f t="shared" si="1"/>
        <v>4</v>
      </c>
      <c r="M45" s="117">
        <f t="shared" si="2"/>
        <v>16</v>
      </c>
      <c r="N45" s="112"/>
      <c r="O45" s="112"/>
    </row>
    <row r="46" ht="15.0" customHeight="1">
      <c r="A46" s="112"/>
      <c r="B46" s="112"/>
      <c r="C46" s="112"/>
      <c r="D46" s="132" t="s">
        <v>72</v>
      </c>
      <c r="E46" s="114" t="str">
        <f>VLOOKUP(D46,Data!H:I,2,0)</f>
        <v>İstanbul</v>
      </c>
      <c r="F46" s="115" t="str">
        <f>VLOOKUP(D46,Data!H:J,3,0)</f>
        <v>Filamingo</v>
      </c>
      <c r="G46" s="116" t="b">
        <v>0</v>
      </c>
      <c r="H46" s="116" t="b">
        <v>0</v>
      </c>
      <c r="I46" s="116" t="b">
        <v>0</v>
      </c>
      <c r="J46" s="116" t="b">
        <v>0</v>
      </c>
      <c r="K46" s="116" t="b">
        <v>0</v>
      </c>
      <c r="L46" s="117">
        <f t="shared" si="1"/>
        <v>0</v>
      </c>
      <c r="M46" s="117">
        <f t="shared" si="2"/>
        <v>0</v>
      </c>
      <c r="N46" s="112"/>
      <c r="O46" s="112"/>
    </row>
    <row r="47" ht="15.0" customHeight="1">
      <c r="A47" s="112"/>
      <c r="B47" s="112"/>
      <c r="C47" s="112"/>
      <c r="D47" s="141" t="s">
        <v>125</v>
      </c>
      <c r="E47" s="114" t="str">
        <f>VLOOKUP(D47,Data!H:I,2,0)</f>
        <v>İstanbul</v>
      </c>
      <c r="F47" s="115" t="str">
        <f>VLOOKUP(D47,Data!H:J,3,0)</f>
        <v>Filamingo</v>
      </c>
      <c r="G47" s="116" t="b">
        <v>0</v>
      </c>
      <c r="H47" s="116" t="b">
        <v>0</v>
      </c>
      <c r="I47" s="116" t="b">
        <v>0</v>
      </c>
      <c r="J47" s="116" t="b">
        <v>0</v>
      </c>
      <c r="K47" s="116" t="b">
        <v>0</v>
      </c>
      <c r="L47" s="117">
        <f t="shared" si="1"/>
        <v>0</v>
      </c>
      <c r="M47" s="117">
        <f t="shared" si="2"/>
        <v>0</v>
      </c>
      <c r="N47" s="120"/>
      <c r="O47" s="112"/>
    </row>
    <row r="48" ht="15.0" customHeight="1">
      <c r="A48" s="112"/>
      <c r="B48" s="112"/>
      <c r="C48" s="112"/>
      <c r="D48" s="129" t="s">
        <v>200</v>
      </c>
      <c r="E48" s="114" t="str">
        <f>VLOOKUP(D48,Data!H:I,2,0)</f>
        <v>İstanbul</v>
      </c>
      <c r="F48" s="115" t="str">
        <f>VLOOKUP(D48,Data!H:J,3,0)</f>
        <v>Filamingo</v>
      </c>
      <c r="G48" s="116" t="b">
        <v>1</v>
      </c>
      <c r="H48" s="116" t="b">
        <v>1</v>
      </c>
      <c r="I48" s="116" t="b">
        <v>1</v>
      </c>
      <c r="J48" s="116" t="b">
        <v>1</v>
      </c>
      <c r="K48" s="116" t="b">
        <v>1</v>
      </c>
      <c r="L48" s="117">
        <f t="shared" si="1"/>
        <v>5</v>
      </c>
      <c r="M48" s="117">
        <f t="shared" si="2"/>
        <v>20</v>
      </c>
      <c r="N48" s="120"/>
      <c r="O48" s="112"/>
    </row>
    <row r="49" ht="15.0" customHeight="1">
      <c r="A49" s="112"/>
      <c r="B49" s="112"/>
      <c r="C49" s="112"/>
      <c r="D49" s="129" t="s">
        <v>214</v>
      </c>
      <c r="E49" s="114" t="str">
        <f>VLOOKUP(D49,Data!H:I,2,0)</f>
        <v>İstanbul</v>
      </c>
      <c r="F49" s="115" t="str">
        <f>VLOOKUP(D49,Data!H:J,3,0)</f>
        <v>Filamingo</v>
      </c>
      <c r="G49" s="116" t="b">
        <v>0</v>
      </c>
      <c r="H49" s="116" t="b">
        <v>0</v>
      </c>
      <c r="I49" s="116" t="b">
        <v>1</v>
      </c>
      <c r="J49" s="116" t="b">
        <v>0</v>
      </c>
      <c r="K49" s="116" t="b">
        <v>0</v>
      </c>
      <c r="L49" s="117">
        <f t="shared" si="1"/>
        <v>1</v>
      </c>
      <c r="M49" s="117">
        <f t="shared" si="2"/>
        <v>4</v>
      </c>
      <c r="N49" s="120"/>
      <c r="O49" s="112"/>
    </row>
    <row r="50" ht="15.0" customHeight="1">
      <c r="A50" s="122"/>
      <c r="B50" s="122"/>
      <c r="C50" s="122"/>
      <c r="D50" s="129" t="s">
        <v>79</v>
      </c>
      <c r="E50" s="114" t="str">
        <f>VLOOKUP(D50,Data!H:I,2,0)</f>
        <v>İstanbul</v>
      </c>
      <c r="F50" s="115" t="str">
        <f>VLOOKUP(D50,Data!H:J,3,0)</f>
        <v>Freelance</v>
      </c>
      <c r="G50" s="116" t="b">
        <v>0</v>
      </c>
      <c r="H50" s="116" t="b">
        <v>0</v>
      </c>
      <c r="I50" s="116" t="b">
        <v>0</v>
      </c>
      <c r="J50" s="116" t="b">
        <v>1</v>
      </c>
      <c r="K50" s="116" t="b">
        <v>1</v>
      </c>
      <c r="L50" s="117">
        <f t="shared" si="1"/>
        <v>2</v>
      </c>
      <c r="M50" s="117">
        <f t="shared" si="2"/>
        <v>8</v>
      </c>
      <c r="N50" s="112"/>
      <c r="O50" s="122"/>
    </row>
    <row r="51" ht="15.0" customHeight="1">
      <c r="A51" s="124"/>
      <c r="B51" s="124"/>
      <c r="C51" s="124"/>
      <c r="D51" s="129" t="s">
        <v>80</v>
      </c>
      <c r="E51" s="114" t="str">
        <f>VLOOKUP(D51,Data!H:I,2,0)</f>
        <v>İstanbul</v>
      </c>
      <c r="F51" s="115" t="str">
        <f>VLOOKUP(D51,Data!H:J,3,0)</f>
        <v>Freelance</v>
      </c>
      <c r="G51" s="116" t="b">
        <v>1</v>
      </c>
      <c r="H51" s="116" t="b">
        <v>1</v>
      </c>
      <c r="I51" s="116" t="b">
        <v>1</v>
      </c>
      <c r="J51" s="116" t="b">
        <v>1</v>
      </c>
      <c r="K51" s="116" t="b">
        <v>1</v>
      </c>
      <c r="L51" s="117">
        <f t="shared" si="1"/>
        <v>5</v>
      </c>
      <c r="M51" s="117">
        <f t="shared" si="2"/>
        <v>20</v>
      </c>
      <c r="N51" s="112"/>
      <c r="O51" s="124"/>
    </row>
    <row r="52" ht="15.0" customHeight="1">
      <c r="A52" s="124"/>
      <c r="B52" s="124"/>
      <c r="C52" s="124"/>
      <c r="D52" s="129" t="s">
        <v>81</v>
      </c>
      <c r="E52" s="114" t="str">
        <f>VLOOKUP(D52,Data!H:I,2,0)</f>
        <v>İstanbul</v>
      </c>
      <c r="F52" s="115" t="str">
        <f>VLOOKUP(D52,Data!H:J,3,0)</f>
        <v>Freelance</v>
      </c>
      <c r="G52" s="116" t="b">
        <v>0</v>
      </c>
      <c r="H52" s="116" t="b">
        <v>0</v>
      </c>
      <c r="I52" s="116" t="b">
        <v>0</v>
      </c>
      <c r="J52" s="116" t="b">
        <v>0</v>
      </c>
      <c r="K52" s="116" t="b">
        <v>0</v>
      </c>
      <c r="L52" s="117">
        <f t="shared" si="1"/>
        <v>0</v>
      </c>
      <c r="M52" s="117">
        <f t="shared" si="2"/>
        <v>0</v>
      </c>
      <c r="N52" s="112"/>
      <c r="O52" s="124"/>
    </row>
    <row r="53" ht="15.0" customHeight="1">
      <c r="A53" s="112"/>
      <c r="B53" s="112"/>
      <c r="C53" s="112"/>
      <c r="D53" s="129" t="s">
        <v>166</v>
      </c>
      <c r="E53" s="114" t="str">
        <f>VLOOKUP(D53,Data!H:I,2,0)</f>
        <v>İstanbul</v>
      </c>
      <c r="F53" s="115" t="str">
        <f>VLOOKUP(D53,Data!H:J,3,0)</f>
        <v>Filamingo</v>
      </c>
      <c r="G53" s="116" t="b">
        <v>0</v>
      </c>
      <c r="H53" s="116" t="b">
        <v>0</v>
      </c>
      <c r="I53" s="116" t="b">
        <v>0</v>
      </c>
      <c r="J53" s="116" t="b">
        <v>0</v>
      </c>
      <c r="K53" s="116" t="b">
        <v>0</v>
      </c>
      <c r="L53" s="117">
        <f t="shared" si="1"/>
        <v>0</v>
      </c>
      <c r="M53" s="117">
        <f t="shared" si="2"/>
        <v>0</v>
      </c>
      <c r="N53" s="124"/>
      <c r="O53" s="112"/>
    </row>
    <row r="54" ht="15.0" customHeight="1">
      <c r="A54" s="112"/>
      <c r="B54" s="112"/>
      <c r="C54" s="112"/>
      <c r="D54" s="129" t="s">
        <v>201</v>
      </c>
      <c r="E54" s="114" t="str">
        <f>VLOOKUP(D54,Data!H:I,2,0)</f>
        <v>İstanbul</v>
      </c>
      <c r="F54" s="115" t="str">
        <f>VLOOKUP(D54,Data!H:J,3,0)</f>
        <v>Freelance</v>
      </c>
      <c r="G54" s="116" t="b">
        <v>1</v>
      </c>
      <c r="H54" s="116" t="b">
        <v>1</v>
      </c>
      <c r="I54" s="116" t="b">
        <v>0</v>
      </c>
      <c r="J54" s="116" t="b">
        <v>1</v>
      </c>
      <c r="K54" s="116" t="b">
        <v>1</v>
      </c>
      <c r="L54" s="117">
        <f t="shared" si="1"/>
        <v>4</v>
      </c>
      <c r="M54" s="117">
        <f t="shared" si="2"/>
        <v>16</v>
      </c>
      <c r="N54" s="112"/>
      <c r="O54" s="112"/>
    </row>
    <row r="55" ht="15.0" customHeight="1">
      <c r="A55" s="112"/>
      <c r="B55" s="112"/>
      <c r="C55" s="112"/>
      <c r="D55" s="132" t="s">
        <v>119</v>
      </c>
      <c r="E55" s="114" t="str">
        <f>VLOOKUP(D55,Data!H:I,2,0)</f>
        <v>İstanbul</v>
      </c>
      <c r="F55" s="115" t="str">
        <f>VLOOKUP(D55,Data!H:J,3,0)</f>
        <v>Filamingo</v>
      </c>
      <c r="G55" s="116" t="b">
        <v>0</v>
      </c>
      <c r="H55" s="116" t="b">
        <v>0</v>
      </c>
      <c r="I55" s="116" t="b">
        <v>1</v>
      </c>
      <c r="J55" s="116" t="b">
        <v>1</v>
      </c>
      <c r="K55" s="116" t="b">
        <v>0</v>
      </c>
      <c r="L55" s="117">
        <f t="shared" si="1"/>
        <v>2</v>
      </c>
      <c r="M55" s="117">
        <f t="shared" si="2"/>
        <v>8</v>
      </c>
      <c r="N55" s="112"/>
      <c r="O55" s="112"/>
    </row>
    <row r="56" ht="15.0" customHeight="1">
      <c r="A56" s="112"/>
      <c r="B56" s="112"/>
      <c r="C56" s="112"/>
      <c r="D56" s="129" t="s">
        <v>185</v>
      </c>
      <c r="E56" s="114" t="str">
        <f>VLOOKUP(D56,Data!H:I,2,0)</f>
        <v>İstanbul</v>
      </c>
      <c r="F56" s="115" t="str">
        <f>VLOOKUP(D56,Data!H:J,3,0)</f>
        <v>Filamingo</v>
      </c>
      <c r="G56" s="116" t="b">
        <v>1</v>
      </c>
      <c r="H56" s="116" t="b">
        <v>1</v>
      </c>
      <c r="I56" s="116" t="b">
        <v>1</v>
      </c>
      <c r="J56" s="116" t="b">
        <v>0</v>
      </c>
      <c r="K56" s="116" t="b">
        <v>0</v>
      </c>
      <c r="L56" s="117">
        <f t="shared" si="1"/>
        <v>3</v>
      </c>
      <c r="M56" s="117">
        <f t="shared" si="2"/>
        <v>12</v>
      </c>
      <c r="N56" s="112"/>
      <c r="O56" s="112"/>
    </row>
    <row r="57" ht="15.0" customHeight="1">
      <c r="A57" s="112"/>
      <c r="B57" s="112"/>
      <c r="C57" s="112"/>
      <c r="D57" s="129" t="s">
        <v>85</v>
      </c>
      <c r="E57" s="114" t="str">
        <f>VLOOKUP(D57,Data!H:I,2,0)</f>
        <v>İstanbul</v>
      </c>
      <c r="F57" s="115" t="str">
        <f>VLOOKUP(D57,Data!H:J,3,0)</f>
        <v>Filamingo</v>
      </c>
      <c r="G57" s="116" t="b">
        <v>0</v>
      </c>
      <c r="H57" s="116" t="b">
        <v>0</v>
      </c>
      <c r="I57" s="116" t="b">
        <v>0</v>
      </c>
      <c r="J57" s="116" t="b">
        <v>0</v>
      </c>
      <c r="K57" s="116" t="b">
        <v>0</v>
      </c>
      <c r="L57" s="117">
        <f t="shared" si="1"/>
        <v>0</v>
      </c>
      <c r="M57" s="117">
        <f t="shared" si="2"/>
        <v>0</v>
      </c>
      <c r="N57" s="112"/>
      <c r="O57" s="112"/>
    </row>
    <row r="58" ht="15.0" customHeight="1">
      <c r="A58" s="112"/>
      <c r="B58" s="112"/>
      <c r="C58" s="112"/>
      <c r="D58" s="129" t="s">
        <v>175</v>
      </c>
      <c r="E58" s="114" t="str">
        <f>VLOOKUP(D58,Data!H:I,2,0)</f>
        <v>İstanbul</v>
      </c>
      <c r="F58" s="115" t="str">
        <f>VLOOKUP(D58,Data!H:J,3,0)</f>
        <v>Freelance</v>
      </c>
      <c r="G58" s="116" t="b">
        <v>0</v>
      </c>
      <c r="H58" s="116" t="b">
        <v>0</v>
      </c>
      <c r="I58" s="116" t="b">
        <v>0</v>
      </c>
      <c r="J58" s="116" t="b">
        <v>0</v>
      </c>
      <c r="K58" s="116" t="b">
        <v>0</v>
      </c>
      <c r="L58" s="117">
        <f t="shared" si="1"/>
        <v>0</v>
      </c>
      <c r="M58" s="117">
        <f t="shared" si="2"/>
        <v>0</v>
      </c>
      <c r="N58" s="125"/>
      <c r="O58" s="112"/>
    </row>
    <row r="59" ht="15.0" customHeight="1">
      <c r="A59" s="112"/>
      <c r="B59" s="112"/>
      <c r="C59" s="112"/>
      <c r="D59" s="132" t="s">
        <v>83</v>
      </c>
      <c r="E59" s="114" t="str">
        <f>VLOOKUP(D59,Data!H:I,2,0)</f>
        <v>İstanbul</v>
      </c>
      <c r="F59" s="115" t="str">
        <f>VLOOKUP(D59,Data!H:J,3,0)</f>
        <v>Nazım Öztel</v>
      </c>
      <c r="G59" s="116" t="b">
        <v>1</v>
      </c>
      <c r="H59" s="116" t="b">
        <v>1</v>
      </c>
      <c r="I59" s="116" t="b">
        <v>1</v>
      </c>
      <c r="J59" s="116" t="b">
        <v>1</v>
      </c>
      <c r="K59" s="116" t="b">
        <v>1</v>
      </c>
      <c r="L59" s="117">
        <f t="shared" si="1"/>
        <v>5</v>
      </c>
      <c r="M59" s="117">
        <f t="shared" si="2"/>
        <v>20</v>
      </c>
      <c r="N59" s="112"/>
      <c r="O59" s="112"/>
    </row>
    <row r="60" ht="15.0" customHeight="1">
      <c r="A60" s="125"/>
      <c r="B60" s="125"/>
      <c r="C60" s="125"/>
      <c r="D60" s="129" t="s">
        <v>145</v>
      </c>
      <c r="E60" s="114" t="str">
        <f>VLOOKUP(D60,Data!H:I,2,0)</f>
        <v>İstanbul</v>
      </c>
      <c r="F60" s="115" t="str">
        <f>VLOOKUP(D60,Data!H:J,3,0)</f>
        <v>Filamingo</v>
      </c>
      <c r="G60" s="116" t="b">
        <v>1</v>
      </c>
      <c r="H60" s="116" t="b">
        <v>1</v>
      </c>
      <c r="I60" s="116" t="b">
        <v>0</v>
      </c>
      <c r="J60" s="116" t="b">
        <v>1</v>
      </c>
      <c r="K60" s="116" t="b">
        <v>1</v>
      </c>
      <c r="L60" s="117">
        <f t="shared" si="1"/>
        <v>4</v>
      </c>
      <c r="M60" s="117">
        <f t="shared" si="2"/>
        <v>16</v>
      </c>
      <c r="N60" s="112"/>
      <c r="O60" s="125"/>
    </row>
    <row r="61" ht="15.0" customHeight="1">
      <c r="A61" s="125"/>
      <c r="B61" s="125"/>
      <c r="C61" s="125"/>
      <c r="D61" s="129" t="s">
        <v>210</v>
      </c>
      <c r="E61" s="114" t="str">
        <f>VLOOKUP(D61,Data!H:I,2,0)</f>
        <v>İstanbul</v>
      </c>
      <c r="F61" s="115" t="str">
        <f>VLOOKUP(D61,Data!H:J,3,0)</f>
        <v>Filamingo</v>
      </c>
      <c r="G61" s="116" t="b">
        <v>1</v>
      </c>
      <c r="H61" s="116" t="b">
        <v>1</v>
      </c>
      <c r="I61" s="116" t="b">
        <v>1</v>
      </c>
      <c r="J61" s="116" t="b">
        <v>1</v>
      </c>
      <c r="K61" s="116" t="b">
        <v>1</v>
      </c>
      <c r="L61" s="117">
        <f t="shared" si="1"/>
        <v>5</v>
      </c>
      <c r="M61" s="117">
        <f t="shared" si="2"/>
        <v>20</v>
      </c>
      <c r="N61" s="112"/>
      <c r="O61" s="125"/>
    </row>
    <row r="62" ht="15.0" customHeight="1">
      <c r="A62" s="125"/>
      <c r="B62" s="125"/>
      <c r="C62" s="125"/>
      <c r="D62" s="129" t="s">
        <v>202</v>
      </c>
      <c r="E62" s="114" t="str">
        <f>VLOOKUP(D62,Data!H:I,2,0)</f>
        <v>İstanbul</v>
      </c>
      <c r="F62" s="115" t="str">
        <f>VLOOKUP(D62,Data!H:J,3,0)</f>
        <v>Filamingo</v>
      </c>
      <c r="G62" s="116" t="b">
        <v>0</v>
      </c>
      <c r="H62" s="116" t="b">
        <v>0</v>
      </c>
      <c r="I62" s="116" t="b">
        <v>0</v>
      </c>
      <c r="J62" s="116" t="b">
        <v>0</v>
      </c>
      <c r="K62" s="116" t="b">
        <v>0</v>
      </c>
      <c r="L62" s="117">
        <f t="shared" si="1"/>
        <v>0</v>
      </c>
      <c r="M62" s="117">
        <f t="shared" si="2"/>
        <v>0</v>
      </c>
      <c r="N62" s="112"/>
      <c r="O62" s="125"/>
    </row>
    <row r="63" ht="15.0" customHeight="1">
      <c r="A63" s="125"/>
      <c r="B63" s="125"/>
      <c r="C63" s="125"/>
      <c r="D63" s="129" t="s">
        <v>186</v>
      </c>
      <c r="E63" s="114" t="str">
        <f>VLOOKUP(D63,Data!H:I,2,0)</f>
        <v>İstanbul</v>
      </c>
      <c r="F63" s="115" t="str">
        <f>VLOOKUP(D63,Data!H:J,3,0)</f>
        <v>Filamingo</v>
      </c>
      <c r="G63" s="116" t="b">
        <v>0</v>
      </c>
      <c r="H63" s="116" t="b">
        <v>0</v>
      </c>
      <c r="I63" s="116" t="b">
        <v>0</v>
      </c>
      <c r="J63" s="116" t="b">
        <v>0</v>
      </c>
      <c r="K63" s="116" t="b">
        <v>0</v>
      </c>
      <c r="L63" s="117">
        <f t="shared" si="1"/>
        <v>0</v>
      </c>
      <c r="M63" s="117">
        <f t="shared" si="2"/>
        <v>0</v>
      </c>
      <c r="N63" s="112"/>
      <c r="O63" s="125"/>
    </row>
    <row r="64" ht="15.0" customHeight="1">
      <c r="A64" s="122"/>
      <c r="B64" s="122"/>
      <c r="C64" s="122"/>
      <c r="D64" s="129" t="s">
        <v>87</v>
      </c>
      <c r="E64" s="114" t="str">
        <f>VLOOKUP(D64,Data!H:I,2,0)</f>
        <v>İstanbul</v>
      </c>
      <c r="F64" s="115" t="str">
        <f>VLOOKUP(D64,Data!H:J,3,0)</f>
        <v>Freelance</v>
      </c>
      <c r="G64" s="116" t="b">
        <v>0</v>
      </c>
      <c r="H64" s="116" t="b">
        <v>1</v>
      </c>
      <c r="I64" s="116" t="b">
        <v>0</v>
      </c>
      <c r="J64" s="116" t="b">
        <v>1</v>
      </c>
      <c r="K64" s="116" t="b">
        <v>1</v>
      </c>
      <c r="L64" s="117">
        <f t="shared" si="1"/>
        <v>3</v>
      </c>
      <c r="M64" s="117">
        <f t="shared" si="2"/>
        <v>12</v>
      </c>
      <c r="N64" s="112"/>
      <c r="O64" s="122"/>
    </row>
    <row r="65" ht="15.0" customHeight="1">
      <c r="A65" s="112"/>
      <c r="B65" s="112"/>
      <c r="C65" s="112"/>
      <c r="D65" s="132" t="s">
        <v>88</v>
      </c>
      <c r="E65" s="114" t="str">
        <f>VLOOKUP(D65,Data!H:I,2,0)</f>
        <v>İstanbul</v>
      </c>
      <c r="F65" s="115" t="str">
        <f>VLOOKUP(D65,Data!H:J,3,0)</f>
        <v>Nazım Öztel</v>
      </c>
      <c r="G65" s="116" t="b">
        <v>0</v>
      </c>
      <c r="H65" s="116" t="b">
        <v>0</v>
      </c>
      <c r="I65" s="116" t="b">
        <v>0</v>
      </c>
      <c r="J65" s="116" t="b">
        <v>0</v>
      </c>
      <c r="K65" s="116" t="b">
        <v>0</v>
      </c>
      <c r="L65" s="117">
        <f t="shared" si="1"/>
        <v>0</v>
      </c>
      <c r="M65" s="117">
        <f t="shared" si="2"/>
        <v>0</v>
      </c>
      <c r="N65" s="112"/>
      <c r="O65" s="112"/>
    </row>
    <row r="66" ht="15.0" customHeight="1">
      <c r="A66" s="112"/>
      <c r="B66" s="112"/>
      <c r="C66" s="112"/>
      <c r="D66" s="132" t="s">
        <v>89</v>
      </c>
      <c r="E66" s="114" t="str">
        <f>VLOOKUP(D66,Data!H:I,2,0)</f>
        <v>İstanbul</v>
      </c>
      <c r="F66" s="115" t="str">
        <f>VLOOKUP(D66,Data!H:J,3,0)</f>
        <v>Filamingo</v>
      </c>
      <c r="G66" s="116" t="b">
        <v>0</v>
      </c>
      <c r="H66" s="116" t="b">
        <v>0</v>
      </c>
      <c r="I66" s="116" t="b">
        <v>0</v>
      </c>
      <c r="J66" s="116" t="b">
        <v>0</v>
      </c>
      <c r="K66" s="116" t="b">
        <v>0</v>
      </c>
      <c r="L66" s="117">
        <f t="shared" si="1"/>
        <v>0</v>
      </c>
      <c r="M66" s="117">
        <f t="shared" si="2"/>
        <v>0</v>
      </c>
      <c r="N66" s="112"/>
      <c r="O66" s="112"/>
    </row>
    <row r="67" ht="15.0" customHeight="1">
      <c r="A67" s="112"/>
      <c r="B67" s="112"/>
      <c r="C67" s="112"/>
      <c r="D67" s="132" t="s">
        <v>92</v>
      </c>
      <c r="E67" s="114" t="str">
        <f>VLOOKUP(D67,Data!H:I,2,0)</f>
        <v>İzmir</v>
      </c>
      <c r="F67" s="115" t="str">
        <f>VLOOKUP(D67,Data!H:J,3,0)</f>
        <v>Nazım Öztel</v>
      </c>
      <c r="G67" s="116" t="b">
        <v>1</v>
      </c>
      <c r="H67" s="116" t="b">
        <v>1</v>
      </c>
      <c r="I67" s="116" t="b">
        <v>1</v>
      </c>
      <c r="J67" s="116" t="b">
        <v>1</v>
      </c>
      <c r="K67" s="116" t="b">
        <v>1</v>
      </c>
      <c r="L67" s="117">
        <f t="shared" si="1"/>
        <v>5</v>
      </c>
      <c r="M67" s="117">
        <f t="shared" si="2"/>
        <v>20</v>
      </c>
      <c r="N67" s="125"/>
      <c r="O67" s="112"/>
    </row>
    <row r="68" ht="15.0" customHeight="1">
      <c r="A68" s="112"/>
      <c r="B68" s="112"/>
      <c r="C68" s="112"/>
      <c r="D68" s="129" t="s">
        <v>93</v>
      </c>
      <c r="E68" s="114" t="str">
        <f>VLOOKUP(D68,Data!H:I,2,0)</f>
        <v>İzmir</v>
      </c>
      <c r="F68" s="115" t="str">
        <f>VLOOKUP(D68,Data!H:J,3,0)</f>
        <v>Freelance</v>
      </c>
      <c r="G68" s="116" t="b">
        <v>0</v>
      </c>
      <c r="H68" s="116" t="b">
        <v>1</v>
      </c>
      <c r="I68" s="116" t="b">
        <v>1</v>
      </c>
      <c r="J68" s="116" t="b">
        <v>1</v>
      </c>
      <c r="K68" s="116" t="b">
        <v>1</v>
      </c>
      <c r="L68" s="117">
        <f t="shared" si="1"/>
        <v>4</v>
      </c>
      <c r="M68" s="117">
        <f t="shared" si="2"/>
        <v>16</v>
      </c>
      <c r="N68" s="112"/>
      <c r="O68" s="112"/>
    </row>
    <row r="69" ht="15.0" customHeight="1">
      <c r="A69" s="112"/>
      <c r="B69" s="112"/>
      <c r="C69" s="112"/>
      <c r="D69" s="129" t="s">
        <v>161</v>
      </c>
      <c r="E69" s="143" t="str">
        <f>VLOOKUP(D69,Data!H:I,2,0)</f>
        <v>Kahramanmaraş</v>
      </c>
      <c r="F69" s="115" t="str">
        <f>VLOOKUP(D69,Data!H:J,3,0)</f>
        <v>Nazım Öztel</v>
      </c>
      <c r="G69" s="116" t="b">
        <v>1</v>
      </c>
      <c r="H69" s="116" t="b">
        <v>1</v>
      </c>
      <c r="I69" s="116" t="b">
        <v>0</v>
      </c>
      <c r="J69" s="116" t="b">
        <v>0</v>
      </c>
      <c r="K69" s="116" t="b">
        <v>0</v>
      </c>
      <c r="L69" s="117">
        <f t="shared" si="1"/>
        <v>2</v>
      </c>
      <c r="M69" s="117">
        <f t="shared" si="2"/>
        <v>8</v>
      </c>
      <c r="N69" s="112"/>
      <c r="O69" s="112"/>
    </row>
    <row r="70" ht="15.0" customHeight="1">
      <c r="A70" s="112"/>
      <c r="B70" s="112"/>
      <c r="C70" s="112"/>
      <c r="D70" s="129" t="s">
        <v>176</v>
      </c>
      <c r="E70" s="114" t="str">
        <f>VLOOKUP(D70,Data!H:I,2,0)</f>
        <v>Karabük</v>
      </c>
      <c r="F70" s="115" t="str">
        <f>VLOOKUP(D70,Data!H:J,3,0)</f>
        <v>Nazım Öztel</v>
      </c>
      <c r="G70" s="116" t="b">
        <v>0</v>
      </c>
      <c r="H70" s="116" t="b">
        <v>0</v>
      </c>
      <c r="I70" s="116" t="b">
        <v>0</v>
      </c>
      <c r="J70" s="116" t="b">
        <v>0</v>
      </c>
      <c r="K70" s="116" t="b">
        <v>0</v>
      </c>
      <c r="L70" s="117">
        <f t="shared" si="1"/>
        <v>0</v>
      </c>
      <c r="M70" s="117">
        <f t="shared" si="2"/>
        <v>0</v>
      </c>
      <c r="N70" s="112"/>
      <c r="O70" s="112"/>
    </row>
    <row r="71" ht="15.0" customHeight="1">
      <c r="A71" s="112"/>
      <c r="B71" s="112"/>
      <c r="C71" s="112"/>
      <c r="D71" s="132" t="s">
        <v>96</v>
      </c>
      <c r="E71" s="114" t="str">
        <f>VLOOKUP(D71,Data!H:I,2,0)</f>
        <v>Kocaeli</v>
      </c>
      <c r="F71" s="115" t="str">
        <f>VLOOKUP(D71,Data!H:J,3,0)</f>
        <v>Nazım Öztel</v>
      </c>
      <c r="G71" s="116" t="b">
        <v>1</v>
      </c>
      <c r="H71" s="116" t="b">
        <v>1</v>
      </c>
      <c r="I71" s="116" t="b">
        <v>0</v>
      </c>
      <c r="J71" s="116" t="b">
        <v>0</v>
      </c>
      <c r="K71" s="116" t="b">
        <v>1</v>
      </c>
      <c r="L71" s="117">
        <f t="shared" si="1"/>
        <v>3</v>
      </c>
      <c r="M71" s="117">
        <f t="shared" si="2"/>
        <v>12</v>
      </c>
      <c r="N71" s="112"/>
      <c r="O71" s="112"/>
    </row>
    <row r="72" ht="15.0" customHeight="1">
      <c r="A72" s="112"/>
      <c r="B72" s="112"/>
      <c r="C72" s="112"/>
      <c r="D72" s="129" t="s">
        <v>147</v>
      </c>
      <c r="E72" s="114" t="str">
        <f>VLOOKUP(D72,Data!H:I,2,0)</f>
        <v>Kocaeli</v>
      </c>
      <c r="F72" s="115" t="str">
        <f>VLOOKUP(D72,Data!H:J,3,0)</f>
        <v>Nazım Öztel</v>
      </c>
      <c r="G72" s="116" t="b">
        <v>0</v>
      </c>
      <c r="H72" s="116" t="b">
        <v>0</v>
      </c>
      <c r="I72" s="116" t="b">
        <v>0</v>
      </c>
      <c r="J72" s="116" t="b">
        <v>0</v>
      </c>
      <c r="K72" s="116" t="b">
        <v>0</v>
      </c>
      <c r="L72" s="117">
        <f t="shared" si="1"/>
        <v>0</v>
      </c>
      <c r="M72" s="117">
        <f t="shared" si="2"/>
        <v>0</v>
      </c>
      <c r="N72" s="112"/>
      <c r="O72" s="112"/>
    </row>
    <row r="73" ht="15.0" customHeight="1">
      <c r="A73" s="112"/>
      <c r="B73" s="112"/>
      <c r="C73" s="112"/>
      <c r="D73" s="129" t="s">
        <v>203</v>
      </c>
      <c r="E73" s="114" t="str">
        <f>VLOOKUP(D73,Data!H:I,2,0)</f>
        <v>Malatya</v>
      </c>
      <c r="F73" s="115" t="str">
        <f>VLOOKUP(D73,Data!H:J,3,0)</f>
        <v>Nazım Öztel</v>
      </c>
      <c r="G73" s="116" t="b">
        <v>1</v>
      </c>
      <c r="H73" s="116" t="b">
        <v>1</v>
      </c>
      <c r="I73" s="116" t="b">
        <v>1</v>
      </c>
      <c r="J73" s="116" t="b">
        <v>1</v>
      </c>
      <c r="K73" s="116" t="b">
        <v>1</v>
      </c>
      <c r="L73" s="117">
        <f t="shared" si="1"/>
        <v>5</v>
      </c>
      <c r="M73" s="117">
        <f t="shared" si="2"/>
        <v>20</v>
      </c>
      <c r="N73" s="112"/>
      <c r="O73" s="112"/>
    </row>
    <row r="74" ht="15.0" customHeight="1">
      <c r="A74" s="112"/>
      <c r="B74" s="112"/>
      <c r="C74" s="112"/>
      <c r="D74" s="132" t="s">
        <v>98</v>
      </c>
      <c r="E74" s="114" t="str">
        <f>VLOOKUP(D74,Data!H:I,2,0)</f>
        <v>Manisa</v>
      </c>
      <c r="F74" s="115" t="str">
        <f>VLOOKUP(D74,Data!H:J,3,0)</f>
        <v>Nazım Öztel</v>
      </c>
      <c r="G74" s="116" t="b">
        <v>0</v>
      </c>
      <c r="H74" s="116" t="b">
        <v>0</v>
      </c>
      <c r="I74" s="116" t="b">
        <v>0</v>
      </c>
      <c r="J74" s="116" t="b">
        <v>0</v>
      </c>
      <c r="K74" s="116" t="b">
        <v>0</v>
      </c>
      <c r="L74" s="117">
        <f t="shared" si="1"/>
        <v>0</v>
      </c>
      <c r="M74" s="117">
        <f t="shared" si="2"/>
        <v>0</v>
      </c>
      <c r="N74" s="142"/>
      <c r="O74" s="112"/>
    </row>
    <row r="75" ht="15.0" customHeight="1">
      <c r="A75" s="112"/>
      <c r="B75" s="112"/>
      <c r="C75" s="112"/>
      <c r="D75" s="132" t="s">
        <v>99</v>
      </c>
      <c r="E75" s="114" t="str">
        <f>VLOOKUP(D75,Data!H:I,2,0)</f>
        <v>Mersin</v>
      </c>
      <c r="F75" s="115" t="str">
        <f>VLOOKUP(D75,Data!H:J,3,0)</f>
        <v>Nazım Öztel</v>
      </c>
      <c r="G75" s="116" t="b">
        <v>0</v>
      </c>
      <c r="H75" s="116" t="b">
        <v>0</v>
      </c>
      <c r="I75" s="116" t="b">
        <v>0</v>
      </c>
      <c r="J75" s="116" t="b">
        <v>0</v>
      </c>
      <c r="K75" s="116" t="b">
        <v>0</v>
      </c>
      <c r="L75" s="117">
        <f t="shared" si="1"/>
        <v>0</v>
      </c>
      <c r="M75" s="117">
        <f t="shared" si="2"/>
        <v>0</v>
      </c>
      <c r="N75" s="106"/>
      <c r="O75" s="112"/>
    </row>
    <row r="76" ht="15.0" customHeight="1">
      <c r="A76" s="112"/>
      <c r="B76" s="112"/>
      <c r="C76" s="112"/>
      <c r="D76" s="129" t="s">
        <v>169</v>
      </c>
      <c r="E76" s="114" t="str">
        <f>VLOOKUP(D76,Data!H:I,2,0)</f>
        <v>Mersin</v>
      </c>
      <c r="F76" s="115" t="str">
        <f>VLOOKUP(D76,Data!H:J,3,0)</f>
        <v>Nazım Öztel</v>
      </c>
      <c r="G76" s="116" t="b">
        <v>1</v>
      </c>
      <c r="H76" s="116" t="b">
        <v>0</v>
      </c>
      <c r="I76" s="116" t="b">
        <v>1</v>
      </c>
      <c r="J76" s="116" t="b">
        <v>1</v>
      </c>
      <c r="K76" s="116" t="b">
        <v>1</v>
      </c>
      <c r="L76" s="117">
        <f t="shared" si="1"/>
        <v>4</v>
      </c>
      <c r="M76" s="117">
        <f t="shared" si="2"/>
        <v>16</v>
      </c>
      <c r="N76" s="106"/>
      <c r="O76" s="112"/>
    </row>
    <row r="77" ht="15.0" customHeight="1">
      <c r="A77" s="112"/>
      <c r="B77" s="112"/>
      <c r="C77" s="112"/>
      <c r="D77" s="129" t="s">
        <v>148</v>
      </c>
      <c r="E77" s="114" t="str">
        <f>VLOOKUP(D77,Data!H:I,2,0)</f>
        <v>Muğla</v>
      </c>
      <c r="F77" s="115" t="str">
        <f>VLOOKUP(D77,Data!H:J,3,0)</f>
        <v>Nazım Öztel</v>
      </c>
      <c r="G77" s="116" t="b">
        <v>1</v>
      </c>
      <c r="H77" s="116" t="b">
        <v>1</v>
      </c>
      <c r="I77" s="116" t="b">
        <v>1</v>
      </c>
      <c r="J77" s="116" t="b">
        <v>1</v>
      </c>
      <c r="K77" s="116" t="b">
        <v>1</v>
      </c>
      <c r="L77" s="117">
        <f t="shared" si="1"/>
        <v>5</v>
      </c>
      <c r="M77" s="117">
        <f t="shared" si="2"/>
        <v>20</v>
      </c>
      <c r="N77" s="106"/>
      <c r="O77" s="112"/>
    </row>
    <row r="78" ht="15.0" customHeight="1">
      <c r="A78" s="112"/>
      <c r="B78" s="112"/>
      <c r="C78" s="112"/>
      <c r="D78" s="129" t="s">
        <v>52</v>
      </c>
      <c r="E78" s="114" t="s">
        <v>211</v>
      </c>
      <c r="F78" s="115" t="s">
        <v>61</v>
      </c>
      <c r="G78" s="116" t="b">
        <v>0</v>
      </c>
      <c r="H78" s="116" t="b">
        <v>0</v>
      </c>
      <c r="I78" s="116" t="b">
        <v>0</v>
      </c>
      <c r="J78" s="116" t="b">
        <v>0</v>
      </c>
      <c r="K78" s="116" t="b">
        <v>0</v>
      </c>
      <c r="L78" s="117">
        <f t="shared" si="1"/>
        <v>0</v>
      </c>
      <c r="M78" s="117">
        <f t="shared" si="2"/>
        <v>0</v>
      </c>
      <c r="N78" s="106"/>
      <c r="O78" s="112"/>
    </row>
    <row r="79" ht="15.0" customHeight="1">
      <c r="A79" s="112"/>
      <c r="B79" s="112"/>
      <c r="C79" s="112"/>
      <c r="D79" s="129" t="s">
        <v>193</v>
      </c>
      <c r="E79" s="114" t="str">
        <f>VLOOKUP(D79,Data!H:I,2,0)</f>
        <v>Samsun</v>
      </c>
      <c r="F79" s="115" t="str">
        <f>VLOOKUP(D79,Data!H:J,3,0)</f>
        <v>Nazım Öztel</v>
      </c>
      <c r="G79" s="116" t="b">
        <v>0</v>
      </c>
      <c r="H79" s="116" t="b">
        <v>1</v>
      </c>
      <c r="I79" s="116" t="b">
        <v>1</v>
      </c>
      <c r="J79" s="116" t="b">
        <v>1</v>
      </c>
      <c r="K79" s="116" t="b">
        <v>0</v>
      </c>
      <c r="L79" s="117">
        <f t="shared" si="1"/>
        <v>3</v>
      </c>
      <c r="M79" s="117">
        <f t="shared" si="2"/>
        <v>12</v>
      </c>
      <c r="N79" s="106"/>
      <c r="O79" s="112"/>
    </row>
    <row r="80" ht="15.0" customHeight="1">
      <c r="A80" s="112"/>
      <c r="B80" s="112"/>
      <c r="C80" s="112"/>
      <c r="D80" s="129" t="s">
        <v>104</v>
      </c>
      <c r="E80" s="114" t="str">
        <f>VLOOKUP(D80,Data!H:I,2,0)</f>
        <v>Tekirdağ</v>
      </c>
      <c r="F80" s="115" t="str">
        <f>VLOOKUP(D80,Data!H:J,3,0)</f>
        <v>Freelance</v>
      </c>
      <c r="G80" s="139" t="b">
        <v>0</v>
      </c>
      <c r="H80" s="139" t="b">
        <v>0</v>
      </c>
      <c r="I80" s="139" t="b">
        <v>0</v>
      </c>
      <c r="J80" s="139" t="b">
        <v>0</v>
      </c>
      <c r="K80" s="139" t="b">
        <v>0</v>
      </c>
      <c r="L80" s="117">
        <f t="shared" si="1"/>
        <v>0</v>
      </c>
      <c r="M80" s="117">
        <f t="shared" si="2"/>
        <v>0</v>
      </c>
      <c r="N80" s="112"/>
      <c r="O80" s="112"/>
    </row>
    <row r="81" ht="15.0" customHeight="1">
      <c r="A81" s="112"/>
      <c r="B81" s="112"/>
      <c r="C81" s="112"/>
      <c r="D81" s="129" t="s">
        <v>154</v>
      </c>
      <c r="E81" s="114" t="str">
        <f>VLOOKUP(D81,Data!H:I,2,0)</f>
        <v>Uşak</v>
      </c>
      <c r="F81" s="115" t="str">
        <f>VLOOKUP(D81,Data!H:J,3,0)</f>
        <v>Nazım Öztel</v>
      </c>
      <c r="G81" s="139" t="b">
        <v>0</v>
      </c>
      <c r="H81" s="139" t="b">
        <v>1</v>
      </c>
      <c r="I81" s="139" t="b">
        <v>0</v>
      </c>
      <c r="J81" s="139" t="b">
        <v>0</v>
      </c>
      <c r="K81" s="139" t="b">
        <v>0</v>
      </c>
      <c r="L81" s="117">
        <f t="shared" si="1"/>
        <v>1</v>
      </c>
      <c r="M81" s="117">
        <f t="shared" si="2"/>
        <v>4</v>
      </c>
      <c r="N81" s="112"/>
      <c r="O81" s="112"/>
    </row>
    <row r="82" ht="15.0" customHeight="1">
      <c r="A82" s="112"/>
      <c r="B82" s="112"/>
      <c r="C82" s="112"/>
      <c r="D82" s="129" t="s">
        <v>176</v>
      </c>
      <c r="E82" s="144" t="s">
        <v>206</v>
      </c>
      <c r="F82" s="144" t="s">
        <v>61</v>
      </c>
      <c r="G82" s="139" t="b">
        <v>0</v>
      </c>
      <c r="H82" s="139" t="b">
        <v>0</v>
      </c>
      <c r="I82" s="139" t="b">
        <v>0</v>
      </c>
      <c r="J82" s="139" t="b">
        <v>0</v>
      </c>
      <c r="K82" s="139" t="b">
        <v>0</v>
      </c>
      <c r="L82" s="117">
        <f t="shared" si="1"/>
        <v>0</v>
      </c>
      <c r="M82" s="117">
        <f t="shared" si="2"/>
        <v>0</v>
      </c>
      <c r="N82" s="112"/>
      <c r="O82" s="112"/>
    </row>
    <row r="83" ht="15.0" customHeight="1">
      <c r="A83" s="112"/>
      <c r="B83" s="112"/>
      <c r="C83" s="112"/>
      <c r="D83" s="132"/>
      <c r="E83" s="132"/>
      <c r="F83" s="132"/>
      <c r="G83" s="117">
        <f t="shared" ref="G83:K83" si="3">4*(COUNTIF(G15:G82,"true"))</f>
        <v>84</v>
      </c>
      <c r="H83" s="117">
        <f t="shared" si="3"/>
        <v>104</v>
      </c>
      <c r="I83" s="117">
        <f t="shared" si="3"/>
        <v>96</v>
      </c>
      <c r="J83" s="117">
        <f t="shared" si="3"/>
        <v>104</v>
      </c>
      <c r="K83" s="117">
        <f t="shared" si="3"/>
        <v>76</v>
      </c>
      <c r="L83" s="135"/>
      <c r="M83" s="135">
        <f>SUM(G83:K83)</f>
        <v>464</v>
      </c>
      <c r="N83" s="112"/>
      <c r="O83" s="112"/>
    </row>
  </sheetData>
  <customSheetViews>
    <customSheetView guid="{90E1DF85-7252-44D2-BA7D-CC3767CD0E8B}" filter="1" showAutoFilter="1">
      <autoFilter ref="$A$14:$O$83">
        <filterColumn colId="4">
          <filters>
            <filter val="Samsun"/>
            <filter val="Burdur"/>
            <filter val="Bilecik"/>
            <filter val="Zonguldak"/>
            <filter val="Elazığ"/>
            <filter val="Düzce"/>
            <filter val="Malatya"/>
            <filter val="Denizli"/>
            <filter val="Çanakkale"/>
            <filter val="Karabük"/>
            <filter val="Aydın"/>
            <filter val="Osmaniye"/>
            <filter val="Edirne"/>
            <filter val="Afyon"/>
            <filter val="Muğla"/>
            <filter val="Eskişehir"/>
            <filter val="Kahramanmaraş"/>
            <filter val="Balıkesir"/>
            <filter val="Uşak"/>
          </filters>
        </filterColumn>
      </autoFilter>
    </customSheetView>
    <customSheetView guid="{70B995D3-3AEB-4DFE-A0CA-D6FFCCE596BC}" filter="1" showAutoFilter="1">
      <autoFilter ref="$D$14:$D$82"/>
    </customSheetView>
  </customSheetViews>
  <mergeCells count="4">
    <mergeCell ref="D6:K6"/>
    <mergeCell ref="D7:F7"/>
    <mergeCell ref="D9:D12"/>
    <mergeCell ref="F10:M11"/>
  </mergeCells>
  <conditionalFormatting sqref="G15:K82">
    <cfRule type="cellIs" dxfId="1" priority="1" operator="equal">
      <formula>"False"</formula>
    </cfRule>
  </conditionalFormatting>
  <conditionalFormatting sqref="G15:K82">
    <cfRule type="cellIs" dxfId="0" priority="2" operator="equal">
      <formula>"TRUE"</formula>
    </cfRule>
  </conditionalFormatting>
  <dataValidations>
    <dataValidation type="list" allowBlank="1" showErrorMessage="1" sqref="E15:E82">
      <formula1>Data!$A$2:$A$10</formula1>
    </dataValidation>
    <dataValidation type="list" allowBlank="1" showErrorMessage="1" sqref="F15:F82">
      <formula1>Data!$C$2:$C$8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3" width="2.63"/>
    <col customWidth="1" min="4" max="4" width="20.38"/>
    <col customWidth="1" min="5" max="5" width="11.38"/>
    <col customWidth="1" min="6" max="6" width="16.63"/>
    <col customWidth="1" min="7" max="11" width="8.63"/>
    <col customWidth="1" min="12" max="12" width="12.63"/>
    <col customWidth="1" min="13" max="13" width="15.13"/>
    <col customWidth="1" min="14" max="15" width="2.63"/>
  </cols>
  <sheetData>
    <row r="1" ht="7.5" customHeight="1">
      <c r="A1" s="140"/>
      <c r="B1" s="84"/>
      <c r="C1" s="84"/>
      <c r="D1" s="84"/>
      <c r="E1" s="84"/>
      <c r="F1" s="84"/>
      <c r="G1" s="84"/>
      <c r="H1" s="84"/>
      <c r="I1" s="84"/>
      <c r="J1" s="84"/>
      <c r="K1" s="84"/>
      <c r="L1" s="85"/>
      <c r="M1" s="86"/>
      <c r="N1" s="86"/>
      <c r="O1" s="86"/>
    </row>
    <row r="2" ht="15.0" customHeight="1">
      <c r="A2" s="87"/>
      <c r="B2" s="87"/>
      <c r="C2" s="87"/>
      <c r="D2" s="88"/>
      <c r="E2" s="88"/>
      <c r="F2" s="88"/>
      <c r="G2" s="88"/>
      <c r="H2" s="88"/>
      <c r="I2" s="88"/>
      <c r="J2" s="88"/>
      <c r="K2" s="88"/>
      <c r="L2" s="88"/>
      <c r="M2" s="87"/>
      <c r="N2" s="87"/>
      <c r="O2" s="87"/>
    </row>
    <row r="3" ht="3.75" customHeight="1">
      <c r="A3" s="87"/>
      <c r="B3" s="87"/>
      <c r="C3" s="87"/>
      <c r="D3" s="89"/>
      <c r="E3" s="90"/>
      <c r="F3" s="90"/>
      <c r="G3" s="90"/>
      <c r="H3" s="90"/>
      <c r="I3" s="90"/>
      <c r="J3" s="90"/>
      <c r="K3" s="90"/>
      <c r="L3" s="90"/>
      <c r="M3" s="87"/>
      <c r="N3" s="87"/>
      <c r="O3" s="87"/>
    </row>
    <row r="4" ht="15.0" customHeight="1">
      <c r="A4" s="87"/>
      <c r="B4" s="87"/>
      <c r="C4" s="87"/>
      <c r="D4" s="88"/>
      <c r="E4" s="88"/>
      <c r="F4" s="88"/>
      <c r="G4" s="91"/>
      <c r="H4" s="91"/>
      <c r="I4" s="91"/>
      <c r="J4" s="91"/>
      <c r="K4" s="91"/>
      <c r="L4" s="91"/>
      <c r="M4" s="87"/>
      <c r="N4" s="87"/>
      <c r="O4" s="87"/>
    </row>
    <row r="5" ht="15.0" customHeight="1">
      <c r="A5" s="92"/>
      <c r="B5" s="92"/>
      <c r="C5" s="92"/>
      <c r="D5" s="88"/>
      <c r="E5" s="88"/>
      <c r="F5" s="88"/>
      <c r="G5" s="93"/>
      <c r="H5" s="93"/>
      <c r="I5" s="93"/>
      <c r="J5" s="93"/>
      <c r="K5" s="93"/>
      <c r="L5" s="94"/>
      <c r="M5" s="88"/>
      <c r="N5" s="92"/>
      <c r="O5" s="92"/>
    </row>
    <row r="6" ht="15.0" customHeight="1">
      <c r="A6" s="92"/>
      <c r="B6" s="92"/>
      <c r="C6" s="92"/>
      <c r="D6" s="95" t="s">
        <v>215</v>
      </c>
      <c r="L6" s="94"/>
      <c r="M6" s="88"/>
      <c r="N6" s="92"/>
      <c r="O6" s="92"/>
    </row>
    <row r="7" ht="15.0" customHeight="1">
      <c r="A7" s="92"/>
      <c r="B7" s="92"/>
      <c r="C7" s="92"/>
      <c r="D7" s="96" t="s">
        <v>216</v>
      </c>
      <c r="G7" s="97"/>
      <c r="H7" s="97"/>
      <c r="I7" s="97"/>
      <c r="J7" s="97"/>
      <c r="K7" s="97"/>
      <c r="L7" s="92"/>
      <c r="M7" s="92"/>
      <c r="N7" s="92"/>
      <c r="O7" s="92"/>
    </row>
    <row r="8" ht="15.0" customHeight="1">
      <c r="A8" s="92"/>
      <c r="B8" s="92"/>
      <c r="C8" s="92"/>
      <c r="D8" s="97"/>
      <c r="E8" s="97"/>
      <c r="F8" s="97"/>
      <c r="G8" s="97"/>
      <c r="H8" s="97"/>
      <c r="I8" s="97"/>
      <c r="J8" s="97"/>
      <c r="K8" s="97"/>
      <c r="L8" s="92"/>
      <c r="M8" s="92"/>
      <c r="N8" s="92"/>
      <c r="O8" s="92"/>
    </row>
    <row r="9" ht="15.0" customHeight="1">
      <c r="A9" s="92"/>
      <c r="B9" s="92"/>
      <c r="C9" s="98"/>
      <c r="D9" s="99" t="s">
        <v>35</v>
      </c>
      <c r="E9" s="100"/>
      <c r="F9" s="101"/>
      <c r="G9" s="101"/>
      <c r="H9" s="101"/>
      <c r="I9" s="101"/>
      <c r="J9" s="101"/>
      <c r="K9" s="101"/>
      <c r="L9" s="101"/>
      <c r="M9" s="100"/>
      <c r="N9" s="102"/>
      <c r="O9" s="102"/>
    </row>
    <row r="10" ht="15.0" customHeight="1">
      <c r="A10" s="92"/>
      <c r="B10" s="92"/>
      <c r="C10" s="98"/>
      <c r="E10" s="100"/>
      <c r="F10" s="103" t="s">
        <v>36</v>
      </c>
      <c r="N10" s="102"/>
      <c r="O10" s="102"/>
    </row>
    <row r="11" ht="15.0" customHeight="1">
      <c r="A11" s="92"/>
      <c r="B11" s="92"/>
      <c r="C11" s="98"/>
      <c r="E11" s="100"/>
      <c r="N11" s="102"/>
      <c r="O11" s="102"/>
    </row>
    <row r="12" ht="15.0" customHeight="1">
      <c r="A12" s="88"/>
      <c r="B12" s="92"/>
      <c r="C12" s="92"/>
      <c r="E12" s="100"/>
      <c r="F12" s="100"/>
      <c r="G12" s="100"/>
      <c r="H12" s="100"/>
      <c r="I12" s="100"/>
      <c r="J12" s="100"/>
      <c r="K12" s="100"/>
      <c r="L12" s="100"/>
      <c r="M12" s="100"/>
      <c r="N12" s="102"/>
      <c r="O12" s="102"/>
    </row>
    <row r="13" ht="15.0" customHeight="1">
      <c r="A13" s="88"/>
      <c r="B13" s="104"/>
      <c r="C13" s="104"/>
      <c r="D13" s="104"/>
      <c r="E13" s="104"/>
      <c r="F13" s="105"/>
      <c r="G13" s="105"/>
      <c r="H13" s="105"/>
      <c r="I13" s="105"/>
      <c r="J13" s="105"/>
      <c r="K13" s="105"/>
      <c r="L13" s="104"/>
      <c r="M13" s="104"/>
      <c r="N13" s="104"/>
      <c r="O13" s="104"/>
    </row>
    <row r="14" ht="15.0" customHeight="1">
      <c r="A14" s="106"/>
      <c r="B14" s="106"/>
      <c r="C14" s="106"/>
      <c r="D14" s="107" t="s">
        <v>37</v>
      </c>
      <c r="E14" s="108" t="s">
        <v>38</v>
      </c>
      <c r="F14" s="109" t="s">
        <v>39</v>
      </c>
      <c r="G14" s="110">
        <v>44550.0</v>
      </c>
      <c r="H14" s="110">
        <v>44551.0</v>
      </c>
      <c r="I14" s="110">
        <v>44552.0</v>
      </c>
      <c r="J14" s="110">
        <v>44553.0</v>
      </c>
      <c r="K14" s="110">
        <v>44554.0</v>
      </c>
      <c r="L14" s="111" t="s">
        <v>40</v>
      </c>
      <c r="M14" s="111" t="s">
        <v>41</v>
      </c>
      <c r="N14" s="88"/>
      <c r="O14" s="88"/>
    </row>
    <row r="15" ht="15.0" customHeight="1">
      <c r="A15" s="112"/>
      <c r="B15" s="112"/>
      <c r="C15" s="112"/>
      <c r="D15" s="129" t="s">
        <v>42</v>
      </c>
      <c r="E15" s="114" t="str">
        <f>VLOOKUP(D15,Data!H:I,2,0)</f>
        <v>Adana</v>
      </c>
      <c r="F15" s="115" t="str">
        <f>VLOOKUP(D15,Data!H:J,3,0)</f>
        <v>Freelance</v>
      </c>
      <c r="G15" s="116" t="b">
        <v>0</v>
      </c>
      <c r="H15" s="116" t="b">
        <v>0</v>
      </c>
      <c r="I15" s="116" t="b">
        <v>1</v>
      </c>
      <c r="J15" s="116" t="b">
        <v>0</v>
      </c>
      <c r="K15" s="116" t="b">
        <v>0</v>
      </c>
      <c r="L15" s="117">
        <f t="shared" ref="L15:L84" si="1">COUNTIF(G15:K15,"TRUE")</f>
        <v>1</v>
      </c>
      <c r="M15" s="117">
        <f t="shared" ref="M15:M84" si="2">L15*4</f>
        <v>4</v>
      </c>
      <c r="N15" s="112"/>
      <c r="O15" s="88"/>
    </row>
    <row r="16" ht="15.0" customHeight="1">
      <c r="A16" s="112"/>
      <c r="B16" s="112"/>
      <c r="C16" s="112"/>
      <c r="D16" s="129" t="s">
        <v>196</v>
      </c>
      <c r="E16" s="114" t="str">
        <f>VLOOKUP(D16,Data!H:I,2,0)</f>
        <v>Afyon</v>
      </c>
      <c r="F16" s="115" t="str">
        <f>VLOOKUP(D16,Data!H:J,3,0)</f>
        <v>Nazım Öztel</v>
      </c>
      <c r="G16" s="116" t="b">
        <v>1</v>
      </c>
      <c r="H16" s="116" t="b">
        <v>1</v>
      </c>
      <c r="I16" s="116" t="b">
        <v>1</v>
      </c>
      <c r="J16" s="116" t="b">
        <v>0</v>
      </c>
      <c r="K16" s="116" t="b">
        <v>0</v>
      </c>
      <c r="L16" s="117">
        <f t="shared" si="1"/>
        <v>3</v>
      </c>
      <c r="M16" s="117">
        <f t="shared" si="2"/>
        <v>12</v>
      </c>
      <c r="N16" s="112"/>
      <c r="O16" s="88"/>
    </row>
    <row r="17" ht="15.0" customHeight="1">
      <c r="A17" s="112"/>
      <c r="B17" s="112"/>
      <c r="C17" s="112"/>
      <c r="D17" s="129" t="s">
        <v>189</v>
      </c>
      <c r="E17" s="114" t="str">
        <f>VLOOKUP(D17,Data!H:I,2,0)</f>
        <v>Ankara</v>
      </c>
      <c r="F17" s="115" t="str">
        <f>VLOOKUP(D17,Data!H:J,3,0)</f>
        <v>Nazım Öztel</v>
      </c>
      <c r="G17" s="116" t="b">
        <v>0</v>
      </c>
      <c r="H17" s="116" t="b">
        <v>0</v>
      </c>
      <c r="I17" s="116" t="b">
        <v>0</v>
      </c>
      <c r="J17" s="116" t="b">
        <v>0</v>
      </c>
      <c r="K17" s="116" t="b">
        <v>0</v>
      </c>
      <c r="L17" s="117">
        <f t="shared" si="1"/>
        <v>0</v>
      </c>
      <c r="M17" s="117">
        <f t="shared" si="2"/>
        <v>0</v>
      </c>
      <c r="N17" s="112"/>
      <c r="O17" s="88"/>
    </row>
    <row r="18" ht="15.0" customHeight="1">
      <c r="A18" s="106"/>
      <c r="B18" s="106"/>
      <c r="C18" s="106"/>
      <c r="D18" s="129" t="s">
        <v>164</v>
      </c>
      <c r="E18" s="114" t="str">
        <f>VLOOKUP(D18,Data!H:I,2,0)</f>
        <v>Antalya</v>
      </c>
      <c r="F18" s="115" t="str">
        <f>VLOOKUP(D18,Data!H:J,3,0)</f>
        <v>Nazım Öztel</v>
      </c>
      <c r="G18" s="116" t="b">
        <v>0</v>
      </c>
      <c r="H18" s="116" t="b">
        <v>1</v>
      </c>
      <c r="I18" s="116" t="b">
        <v>1</v>
      </c>
      <c r="J18" s="116" t="b">
        <v>0</v>
      </c>
      <c r="K18" s="116" t="b">
        <v>1</v>
      </c>
      <c r="L18" s="117">
        <f t="shared" si="1"/>
        <v>3</v>
      </c>
      <c r="M18" s="117">
        <f t="shared" si="2"/>
        <v>12</v>
      </c>
      <c r="N18" s="112"/>
      <c r="O18" s="106"/>
    </row>
    <row r="19" ht="15.0" customHeight="1">
      <c r="A19" s="106"/>
      <c r="B19" s="106"/>
      <c r="C19" s="106"/>
      <c r="D19" s="129" t="s">
        <v>152</v>
      </c>
      <c r="E19" s="114" t="str">
        <f>VLOOKUP(D19,Data!H:I,2,0)</f>
        <v>Antalya</v>
      </c>
      <c r="F19" s="115" t="str">
        <f>VLOOKUP(D19,Data!H:J,3,0)</f>
        <v>Nazım Öztel</v>
      </c>
      <c r="G19" s="116" t="b">
        <v>0</v>
      </c>
      <c r="H19" s="116" t="b">
        <v>0</v>
      </c>
      <c r="I19" s="116" t="b">
        <v>0</v>
      </c>
      <c r="J19" s="116" t="b">
        <v>0</v>
      </c>
      <c r="K19" s="116" t="b">
        <v>0</v>
      </c>
      <c r="L19" s="117">
        <f t="shared" si="1"/>
        <v>0</v>
      </c>
      <c r="M19" s="117">
        <f t="shared" si="2"/>
        <v>0</v>
      </c>
      <c r="N19" s="112"/>
      <c r="O19" s="106"/>
    </row>
    <row r="20" ht="15.0" customHeight="1">
      <c r="A20" s="112"/>
      <c r="B20" s="112"/>
      <c r="C20" s="112"/>
      <c r="D20" s="129" t="s">
        <v>50</v>
      </c>
      <c r="E20" s="114" t="str">
        <f>VLOOKUP(D20,Data!H:I,2,0)</f>
        <v>Antalya</v>
      </c>
      <c r="F20" s="115" t="str">
        <f>VLOOKUP(D20,Data!H:J,3,0)</f>
        <v>Freelance</v>
      </c>
      <c r="G20" s="116" t="b">
        <v>1</v>
      </c>
      <c r="H20" s="116" t="b">
        <v>0</v>
      </c>
      <c r="I20" s="116" t="b">
        <v>0</v>
      </c>
      <c r="J20" s="116" t="b">
        <v>0</v>
      </c>
      <c r="K20" s="116" t="b">
        <v>0</v>
      </c>
      <c r="L20" s="117">
        <f t="shared" si="1"/>
        <v>1</v>
      </c>
      <c r="M20" s="117">
        <f t="shared" si="2"/>
        <v>4</v>
      </c>
      <c r="N20" s="112"/>
      <c r="O20" s="112"/>
    </row>
    <row r="21" ht="15.0" customHeight="1">
      <c r="A21" s="112"/>
      <c r="B21" s="112"/>
      <c r="C21" s="112"/>
      <c r="D21" s="129" t="s">
        <v>159</v>
      </c>
      <c r="E21" s="114" t="str">
        <f>VLOOKUP(D21,Data!H:I,2,0)</f>
        <v>Aydın</v>
      </c>
      <c r="F21" s="115" t="str">
        <f>VLOOKUP(D21,Data!H:J,3,0)</f>
        <v>Nazım Öztel</v>
      </c>
      <c r="G21" s="116" t="b">
        <v>0</v>
      </c>
      <c r="H21" s="116" t="b">
        <v>0</v>
      </c>
      <c r="I21" s="116" t="b">
        <v>0</v>
      </c>
      <c r="J21" s="116" t="b">
        <v>0</v>
      </c>
      <c r="K21" s="116" t="b">
        <v>0</v>
      </c>
      <c r="L21" s="117">
        <f t="shared" si="1"/>
        <v>0</v>
      </c>
      <c r="M21" s="117">
        <f t="shared" si="2"/>
        <v>0</v>
      </c>
      <c r="N21" s="112"/>
      <c r="O21" s="112"/>
    </row>
    <row r="22" ht="15.0" customHeight="1">
      <c r="A22" s="112"/>
      <c r="B22" s="112"/>
      <c r="C22" s="112"/>
      <c r="D22" s="129" t="s">
        <v>197</v>
      </c>
      <c r="E22" s="114" t="str">
        <f>VLOOKUP(D22,Data!H:I,2,0)</f>
        <v>Aydın</v>
      </c>
      <c r="F22" s="115" t="str">
        <f>VLOOKUP(D22,Data!H:J,3,0)</f>
        <v>Nazım Öztel</v>
      </c>
      <c r="G22" s="116" t="b">
        <v>1</v>
      </c>
      <c r="H22" s="116" t="b">
        <v>0</v>
      </c>
      <c r="I22" s="116" t="b">
        <v>1</v>
      </c>
      <c r="J22" s="116" t="b">
        <v>0</v>
      </c>
      <c r="K22" s="116" t="b">
        <v>0</v>
      </c>
      <c r="L22" s="117">
        <f t="shared" si="1"/>
        <v>2</v>
      </c>
      <c r="M22" s="117">
        <f t="shared" si="2"/>
        <v>8</v>
      </c>
      <c r="N22" s="112"/>
      <c r="O22" s="112"/>
    </row>
    <row r="23" ht="15.0" customHeight="1">
      <c r="A23" s="112"/>
      <c r="B23" s="112"/>
      <c r="C23" s="112"/>
      <c r="D23" s="129" t="s">
        <v>52</v>
      </c>
      <c r="E23" s="114" t="s">
        <v>184</v>
      </c>
      <c r="F23" s="115" t="s">
        <v>61</v>
      </c>
      <c r="G23" s="116" t="b">
        <v>0</v>
      </c>
      <c r="H23" s="116" t="b">
        <v>0</v>
      </c>
      <c r="I23" s="116" t="b">
        <v>0</v>
      </c>
      <c r="J23" s="116" t="b">
        <v>0</v>
      </c>
      <c r="K23" s="116" t="b">
        <v>0</v>
      </c>
      <c r="L23" s="117">
        <f t="shared" si="1"/>
        <v>0</v>
      </c>
      <c r="M23" s="117">
        <f t="shared" si="2"/>
        <v>0</v>
      </c>
      <c r="N23" s="112"/>
      <c r="O23" s="112"/>
    </row>
    <row r="24" ht="15.0" customHeight="1">
      <c r="A24" s="112"/>
      <c r="B24" s="112"/>
      <c r="C24" s="112"/>
      <c r="D24" s="129" t="s">
        <v>198</v>
      </c>
      <c r="E24" s="114" t="s">
        <v>181</v>
      </c>
      <c r="F24" s="115" t="s">
        <v>61</v>
      </c>
      <c r="G24" s="116" t="b">
        <v>0</v>
      </c>
      <c r="H24" s="116" t="b">
        <v>0</v>
      </c>
      <c r="I24" s="116" t="b">
        <v>0</v>
      </c>
      <c r="J24" s="116" t="b">
        <v>0</v>
      </c>
      <c r="K24" s="116" t="b">
        <v>0</v>
      </c>
      <c r="L24" s="117">
        <f t="shared" si="1"/>
        <v>0</v>
      </c>
      <c r="M24" s="117">
        <f t="shared" si="2"/>
        <v>0</v>
      </c>
      <c r="N24" s="112"/>
      <c r="O24" s="112"/>
    </row>
    <row r="25" ht="15.0" customHeight="1">
      <c r="A25" s="112"/>
      <c r="B25" s="112"/>
      <c r="C25" s="112"/>
      <c r="D25" s="129" t="s">
        <v>52</v>
      </c>
      <c r="E25" s="114" t="s">
        <v>181</v>
      </c>
      <c r="F25" s="115" t="s">
        <v>61</v>
      </c>
      <c r="G25" s="116" t="b">
        <v>0</v>
      </c>
      <c r="H25" s="116" t="b">
        <v>0</v>
      </c>
      <c r="I25" s="116" t="b">
        <v>0</v>
      </c>
      <c r="J25" s="116" t="b">
        <v>0</v>
      </c>
      <c r="K25" s="116" t="b">
        <v>0</v>
      </c>
      <c r="L25" s="117">
        <f t="shared" si="1"/>
        <v>0</v>
      </c>
      <c r="M25" s="117">
        <f t="shared" si="2"/>
        <v>0</v>
      </c>
      <c r="N25" s="112"/>
      <c r="O25" s="112"/>
    </row>
    <row r="26" ht="15.0" customHeight="1">
      <c r="A26" s="112"/>
      <c r="B26" s="112"/>
      <c r="C26" s="112"/>
      <c r="D26" s="129" t="s">
        <v>160</v>
      </c>
      <c r="E26" s="114" t="str">
        <f>VLOOKUP(D26,Data!H:I,2,0)</f>
        <v>Burdur</v>
      </c>
      <c r="F26" s="115" t="str">
        <f>VLOOKUP(D26,Data!H:J,3,0)</f>
        <v>Nazım Öztel</v>
      </c>
      <c r="G26" s="116" t="b">
        <v>0</v>
      </c>
      <c r="H26" s="116" t="b">
        <v>0</v>
      </c>
      <c r="I26" s="116" t="b">
        <v>0</v>
      </c>
      <c r="J26" s="116" t="b">
        <v>0</v>
      </c>
      <c r="K26" s="116" t="b">
        <v>0</v>
      </c>
      <c r="L26" s="117">
        <f t="shared" si="1"/>
        <v>0</v>
      </c>
      <c r="M26" s="117">
        <f t="shared" si="2"/>
        <v>0</v>
      </c>
      <c r="N26" s="112"/>
      <c r="O26" s="112"/>
    </row>
    <row r="27" ht="15.0" customHeight="1">
      <c r="A27" s="112"/>
      <c r="B27" s="112"/>
      <c r="C27" s="112"/>
      <c r="D27" s="132" t="s">
        <v>52</v>
      </c>
      <c r="E27" s="114" t="str">
        <f>VLOOKUP(D27,Data!H:I,2,0)</f>
        <v>Bursa</v>
      </c>
      <c r="F27" s="115" t="str">
        <f>VLOOKUP(D27,Data!H:J,3,0)</f>
        <v>Nazım Öztel</v>
      </c>
      <c r="G27" s="116" t="b">
        <v>0</v>
      </c>
      <c r="H27" s="116" t="b">
        <v>0</v>
      </c>
      <c r="I27" s="116" t="b">
        <v>0</v>
      </c>
      <c r="J27" s="116" t="b">
        <v>0</v>
      </c>
      <c r="K27" s="116" t="b">
        <v>0</v>
      </c>
      <c r="L27" s="117">
        <f t="shared" si="1"/>
        <v>0</v>
      </c>
      <c r="M27" s="117">
        <f t="shared" si="2"/>
        <v>0</v>
      </c>
      <c r="N27" s="122"/>
      <c r="O27" s="112"/>
    </row>
    <row r="28" ht="15.0" customHeight="1">
      <c r="A28" s="112"/>
      <c r="B28" s="112"/>
      <c r="C28" s="112"/>
      <c r="D28" s="129" t="s">
        <v>53</v>
      </c>
      <c r="E28" s="114" t="str">
        <f>VLOOKUP(D28,Data!H:I,2,0)</f>
        <v>Bursa</v>
      </c>
      <c r="F28" s="115" t="str">
        <f>VLOOKUP(D28,Data!H:J,3,0)</f>
        <v>Freelance</v>
      </c>
      <c r="G28" s="116" t="b">
        <v>0</v>
      </c>
      <c r="H28" s="116" t="b">
        <v>1</v>
      </c>
      <c r="I28" s="116" t="b">
        <v>1</v>
      </c>
      <c r="J28" s="116" t="b">
        <v>0</v>
      </c>
      <c r="K28" s="116" t="b">
        <v>0</v>
      </c>
      <c r="L28" s="117">
        <f t="shared" si="1"/>
        <v>2</v>
      </c>
      <c r="M28" s="117">
        <f t="shared" si="2"/>
        <v>8</v>
      </c>
      <c r="N28" s="112"/>
      <c r="O28" s="112"/>
    </row>
    <row r="29" ht="15.0" customHeight="1">
      <c r="A29" s="112"/>
      <c r="B29" s="112"/>
      <c r="C29" s="112"/>
      <c r="D29" s="129" t="s">
        <v>190</v>
      </c>
      <c r="E29" s="114" t="str">
        <f>VLOOKUP(D29,Data!H:I,2,0)</f>
        <v>Çanakkale</v>
      </c>
      <c r="F29" s="115" t="str">
        <f>VLOOKUP(D29,Data!H:J,3,0)</f>
        <v>Nazım Öztel</v>
      </c>
      <c r="G29" s="116" t="b">
        <v>1</v>
      </c>
      <c r="H29" s="116" t="b">
        <v>1</v>
      </c>
      <c r="I29" s="116" t="b">
        <v>1</v>
      </c>
      <c r="J29" s="116" t="b">
        <v>1</v>
      </c>
      <c r="K29" s="116" t="b">
        <v>0</v>
      </c>
      <c r="L29" s="117">
        <f t="shared" si="1"/>
        <v>4</v>
      </c>
      <c r="M29" s="117">
        <f t="shared" si="2"/>
        <v>16</v>
      </c>
      <c r="N29" s="112"/>
      <c r="O29" s="112"/>
    </row>
    <row r="30" ht="15.0" customHeight="1">
      <c r="A30" s="112"/>
      <c r="B30" s="112"/>
      <c r="C30" s="112"/>
      <c r="D30" s="129" t="s">
        <v>191</v>
      </c>
      <c r="E30" s="114" t="str">
        <f>VLOOKUP(D30,Data!H:I,2,0)</f>
        <v>Denizli</v>
      </c>
      <c r="F30" s="115" t="str">
        <f>VLOOKUP(D30,Data!H:J,3,0)</f>
        <v>Nazım Öztel</v>
      </c>
      <c r="G30" s="116" t="b">
        <v>0</v>
      </c>
      <c r="H30" s="116" t="b">
        <v>0</v>
      </c>
      <c r="I30" s="116" t="b">
        <v>0</v>
      </c>
      <c r="J30" s="116" t="b">
        <v>0</v>
      </c>
      <c r="K30" s="116" t="b">
        <v>0</v>
      </c>
      <c r="L30" s="117">
        <f t="shared" si="1"/>
        <v>0</v>
      </c>
      <c r="M30" s="117">
        <f t="shared" si="2"/>
        <v>0</v>
      </c>
      <c r="N30" s="112"/>
      <c r="O30" s="112"/>
    </row>
    <row r="31" ht="15.0" customHeight="1">
      <c r="A31" s="112"/>
      <c r="B31" s="112"/>
      <c r="C31" s="112"/>
      <c r="D31" s="132" t="s">
        <v>54</v>
      </c>
      <c r="E31" s="114" t="str">
        <f>VLOOKUP(D31,Data!H:I,2,0)</f>
        <v>Diyarbakır</v>
      </c>
      <c r="F31" s="115" t="str">
        <f>VLOOKUP(D31,Data!H:J,3,0)</f>
        <v>Nazım Öztel</v>
      </c>
      <c r="G31" s="116" t="b">
        <v>0</v>
      </c>
      <c r="H31" s="116" t="b">
        <v>0</v>
      </c>
      <c r="I31" s="116" t="b">
        <v>0</v>
      </c>
      <c r="J31" s="116" t="b">
        <v>0</v>
      </c>
      <c r="K31" s="116" t="b">
        <v>0</v>
      </c>
      <c r="L31" s="117">
        <f t="shared" si="1"/>
        <v>0</v>
      </c>
      <c r="M31" s="117">
        <f t="shared" si="2"/>
        <v>0</v>
      </c>
      <c r="N31" s="112"/>
      <c r="O31" s="112"/>
    </row>
    <row r="32" ht="15.0" customHeight="1">
      <c r="A32" s="112"/>
      <c r="B32" s="112"/>
      <c r="C32" s="112"/>
      <c r="D32" s="129" t="s">
        <v>173</v>
      </c>
      <c r="E32" s="114" t="str">
        <f>VLOOKUP(D32,Data!H:I,2,0)</f>
        <v>Düzce</v>
      </c>
      <c r="F32" s="115" t="str">
        <f>VLOOKUP(D32,Data!H:J,3,0)</f>
        <v>Nazım Öztel</v>
      </c>
      <c r="G32" s="116" t="b">
        <v>0</v>
      </c>
      <c r="H32" s="116" t="b">
        <v>0</v>
      </c>
      <c r="I32" s="116" t="b">
        <v>0</v>
      </c>
      <c r="J32" s="116" t="b">
        <v>0</v>
      </c>
      <c r="K32" s="116" t="b">
        <v>0</v>
      </c>
      <c r="L32" s="117">
        <f t="shared" si="1"/>
        <v>0</v>
      </c>
      <c r="M32" s="117">
        <f t="shared" si="2"/>
        <v>0</v>
      </c>
      <c r="N32" s="112"/>
      <c r="O32" s="112"/>
    </row>
    <row r="33" ht="15.0" customHeight="1">
      <c r="A33" s="112"/>
      <c r="B33" s="112"/>
      <c r="C33" s="112"/>
      <c r="D33" s="129" t="s">
        <v>153</v>
      </c>
      <c r="E33" s="114" t="str">
        <f>VLOOKUP(D33,Data!H:I,2,0)</f>
        <v>Edirne</v>
      </c>
      <c r="F33" s="115" t="str">
        <f>VLOOKUP(D33,Data!H:J,3,0)</f>
        <v>Nazım Öztel</v>
      </c>
      <c r="G33" s="116" t="b">
        <v>0</v>
      </c>
      <c r="H33" s="116" t="b">
        <v>0</v>
      </c>
      <c r="I33" s="116" t="b">
        <v>0</v>
      </c>
      <c r="J33" s="116" t="b">
        <v>0</v>
      </c>
      <c r="K33" s="116" t="b">
        <v>0</v>
      </c>
      <c r="L33" s="117">
        <f t="shared" si="1"/>
        <v>0</v>
      </c>
      <c r="M33" s="117">
        <f t="shared" si="2"/>
        <v>0</v>
      </c>
      <c r="N33" s="112"/>
      <c r="O33" s="112"/>
    </row>
    <row r="34" ht="15.0" customHeight="1">
      <c r="A34" s="112"/>
      <c r="B34" s="112"/>
      <c r="C34" s="112"/>
      <c r="D34" s="129" t="s">
        <v>199</v>
      </c>
      <c r="E34" s="114" t="str">
        <f>VLOOKUP(D34,Data!H:I,2,0)</f>
        <v>Elazığ</v>
      </c>
      <c r="F34" s="115" t="str">
        <f>VLOOKUP(D34,Data!H:J,3,0)</f>
        <v>Nazım Öztel</v>
      </c>
      <c r="G34" s="116" t="b">
        <v>0</v>
      </c>
      <c r="H34" s="116" t="b">
        <v>0</v>
      </c>
      <c r="I34" s="116" t="b">
        <v>0</v>
      </c>
      <c r="J34" s="116" t="b">
        <v>0</v>
      </c>
      <c r="K34" s="116" t="b">
        <v>0</v>
      </c>
      <c r="L34" s="117">
        <f t="shared" si="1"/>
        <v>0</v>
      </c>
      <c r="M34" s="117">
        <f t="shared" si="2"/>
        <v>0</v>
      </c>
      <c r="N34" s="112"/>
      <c r="O34" s="112"/>
    </row>
    <row r="35" ht="15.0" customHeight="1">
      <c r="A35" s="112"/>
      <c r="B35" s="112"/>
      <c r="C35" s="112"/>
      <c r="D35" s="132" t="s">
        <v>55</v>
      </c>
      <c r="E35" s="114" t="str">
        <f>VLOOKUP(D35,Data!H:I,2,0)</f>
        <v>Erzurum</v>
      </c>
      <c r="F35" s="115" t="str">
        <f>VLOOKUP(D35,Data!H:J,3,0)</f>
        <v>Nazım Öztel</v>
      </c>
      <c r="G35" s="116" t="b">
        <v>0</v>
      </c>
      <c r="H35" s="116" t="b">
        <v>0</v>
      </c>
      <c r="I35" s="116" t="b">
        <v>0</v>
      </c>
      <c r="J35" s="116" t="b">
        <v>0</v>
      </c>
      <c r="K35" s="116" t="b">
        <v>0</v>
      </c>
      <c r="L35" s="117">
        <f t="shared" si="1"/>
        <v>0</v>
      </c>
      <c r="M35" s="117">
        <f t="shared" si="2"/>
        <v>0</v>
      </c>
      <c r="N35" s="112"/>
      <c r="O35" s="112"/>
    </row>
    <row r="36" ht="15.0" customHeight="1">
      <c r="A36" s="112"/>
      <c r="B36" s="112"/>
      <c r="C36" s="112"/>
      <c r="D36" s="129" t="s">
        <v>165</v>
      </c>
      <c r="E36" s="114" t="str">
        <f>VLOOKUP(D36,Data!H:I,2,0)</f>
        <v>Eskişehir</v>
      </c>
      <c r="F36" s="115" t="str">
        <f>VLOOKUP(D36,Data!H:J,3,0)</f>
        <v>Nazım Öztel</v>
      </c>
      <c r="G36" s="116" t="b">
        <v>1</v>
      </c>
      <c r="H36" s="116" t="b">
        <v>1</v>
      </c>
      <c r="I36" s="116" t="b">
        <v>1</v>
      </c>
      <c r="J36" s="116" t="b">
        <v>1</v>
      </c>
      <c r="K36" s="116" t="b">
        <v>0</v>
      </c>
      <c r="L36" s="117">
        <f t="shared" si="1"/>
        <v>4</v>
      </c>
      <c r="M36" s="117">
        <f t="shared" si="2"/>
        <v>16</v>
      </c>
      <c r="N36" s="112"/>
      <c r="O36" s="112"/>
    </row>
    <row r="37" ht="15.0" customHeight="1">
      <c r="A37" s="112"/>
      <c r="B37" s="112"/>
      <c r="C37" s="112"/>
      <c r="D37" s="129" t="s">
        <v>58</v>
      </c>
      <c r="E37" s="114" t="str">
        <f>VLOOKUP(D37,Data!H:I,2,0)</f>
        <v>İstanbul</v>
      </c>
      <c r="F37" s="115" t="str">
        <f>VLOOKUP(D37,Data!H:J,3,0)</f>
        <v>Freelance</v>
      </c>
      <c r="G37" s="116" t="b">
        <v>1</v>
      </c>
      <c r="H37" s="116" t="b">
        <v>1</v>
      </c>
      <c r="I37" s="116" t="b">
        <v>1</v>
      </c>
      <c r="J37" s="116" t="b">
        <v>1</v>
      </c>
      <c r="K37" s="116" t="b">
        <v>1</v>
      </c>
      <c r="L37" s="117">
        <f t="shared" si="1"/>
        <v>5</v>
      </c>
      <c r="M37" s="117">
        <f t="shared" si="2"/>
        <v>20</v>
      </c>
      <c r="N37" s="88"/>
      <c r="O37" s="112"/>
    </row>
    <row r="38" ht="15.0" customHeight="1">
      <c r="A38" s="112"/>
      <c r="B38" s="112"/>
      <c r="C38" s="112"/>
      <c r="D38" s="129" t="s">
        <v>123</v>
      </c>
      <c r="E38" s="114" t="str">
        <f>VLOOKUP(D38,Data!H:I,2,0)</f>
        <v>İstanbul</v>
      </c>
      <c r="F38" s="115" t="str">
        <f>VLOOKUP(D38,Data!H:J,3,0)</f>
        <v>Freelance</v>
      </c>
      <c r="G38" s="116" t="b">
        <v>0</v>
      </c>
      <c r="H38" s="116" t="b">
        <v>0</v>
      </c>
      <c r="I38" s="116" t="b">
        <v>0</v>
      </c>
      <c r="J38" s="116" t="b">
        <v>0</v>
      </c>
      <c r="K38" s="116" t="b">
        <v>0</v>
      </c>
      <c r="L38" s="117">
        <f t="shared" si="1"/>
        <v>0</v>
      </c>
      <c r="M38" s="117">
        <f t="shared" si="2"/>
        <v>0</v>
      </c>
      <c r="N38" s="88"/>
      <c r="O38" s="112"/>
    </row>
    <row r="39" ht="15.0" customHeight="1">
      <c r="A39" s="121"/>
      <c r="B39" s="121"/>
      <c r="C39" s="121"/>
      <c r="D39" s="129" t="s">
        <v>209</v>
      </c>
      <c r="E39" s="114" t="str">
        <f>VLOOKUP(D39,Data!H:I,2,0)</f>
        <v>İstanbul</v>
      </c>
      <c r="F39" s="115" t="str">
        <f>VLOOKUP(D39,Data!H:J,3,0)</f>
        <v>Filamingo</v>
      </c>
      <c r="G39" s="116" t="b">
        <v>0</v>
      </c>
      <c r="H39" s="116" t="b">
        <v>0</v>
      </c>
      <c r="I39" s="116" t="b">
        <v>1</v>
      </c>
      <c r="J39" s="116" t="b">
        <v>1</v>
      </c>
      <c r="K39" s="116" t="b">
        <v>0</v>
      </c>
      <c r="L39" s="117">
        <f t="shared" si="1"/>
        <v>2</v>
      </c>
      <c r="M39" s="117">
        <f t="shared" si="2"/>
        <v>8</v>
      </c>
      <c r="N39" s="121"/>
      <c r="O39" s="121"/>
    </row>
    <row r="40" ht="15.0" customHeight="1">
      <c r="A40" s="121"/>
      <c r="B40" s="121"/>
      <c r="C40" s="121"/>
      <c r="D40" s="129" t="s">
        <v>134</v>
      </c>
      <c r="E40" s="114" t="str">
        <f>VLOOKUP(D40,Data!H:I,2,0)</f>
        <v>İstanbul</v>
      </c>
      <c r="F40" s="115" t="str">
        <f>VLOOKUP(D40,Data!H:J,3,0)</f>
        <v>Filamingo</v>
      </c>
      <c r="G40" s="116" t="b">
        <v>0</v>
      </c>
      <c r="H40" s="116" t="b">
        <v>0</v>
      </c>
      <c r="I40" s="116" t="b">
        <v>0</v>
      </c>
      <c r="J40" s="116" t="b">
        <v>0</v>
      </c>
      <c r="K40" s="116" t="b">
        <v>0</v>
      </c>
      <c r="L40" s="117">
        <f t="shared" si="1"/>
        <v>0</v>
      </c>
      <c r="M40" s="117">
        <f t="shared" si="2"/>
        <v>0</v>
      </c>
      <c r="N40" s="121"/>
      <c r="O40" s="121"/>
    </row>
    <row r="41" ht="15.0" customHeight="1">
      <c r="A41" s="112"/>
      <c r="B41" s="112"/>
      <c r="C41" s="112"/>
      <c r="D41" s="132" t="s">
        <v>117</v>
      </c>
      <c r="E41" s="114" t="str">
        <f>VLOOKUP(D41,Data!H:I,2,0)</f>
        <v>İstanbul</v>
      </c>
      <c r="F41" s="115" t="str">
        <f>VLOOKUP(D41,Data!H:J,3,0)</f>
        <v>Freelance</v>
      </c>
      <c r="G41" s="116" t="b">
        <v>0</v>
      </c>
      <c r="H41" s="116" t="b">
        <v>0</v>
      </c>
      <c r="I41" s="116" t="b">
        <v>0</v>
      </c>
      <c r="J41" s="116" t="b">
        <v>0</v>
      </c>
      <c r="K41" s="116" t="b">
        <v>0</v>
      </c>
      <c r="L41" s="117">
        <f t="shared" si="1"/>
        <v>0</v>
      </c>
      <c r="M41" s="117">
        <f t="shared" si="2"/>
        <v>0</v>
      </c>
      <c r="N41" s="112"/>
      <c r="O41" s="112"/>
    </row>
    <row r="42" ht="15.0" customHeight="1">
      <c r="A42" s="112"/>
      <c r="B42" s="112"/>
      <c r="C42" s="112"/>
      <c r="D42" s="129" t="s">
        <v>135</v>
      </c>
      <c r="E42" s="114" t="str">
        <f>VLOOKUP(D42,Data!H:I,2,0)</f>
        <v>İstanbul</v>
      </c>
      <c r="F42" s="115" t="str">
        <f>VLOOKUP(D42,Data!H:J,3,0)</f>
        <v>Freelance</v>
      </c>
      <c r="G42" s="116" t="b">
        <v>0</v>
      </c>
      <c r="H42" s="116" t="b">
        <v>0</v>
      </c>
      <c r="I42" s="116" t="b">
        <v>1</v>
      </c>
      <c r="J42" s="116" t="b">
        <v>0</v>
      </c>
      <c r="K42" s="116" t="b">
        <v>0</v>
      </c>
      <c r="L42" s="117">
        <f t="shared" si="1"/>
        <v>1</v>
      </c>
      <c r="M42" s="117">
        <f t="shared" si="2"/>
        <v>4</v>
      </c>
      <c r="N42" s="112"/>
      <c r="O42" s="112"/>
    </row>
    <row r="43" ht="15.0" customHeight="1">
      <c r="A43" s="112"/>
      <c r="B43" s="112"/>
      <c r="C43" s="112"/>
      <c r="D43" s="129" t="s">
        <v>70</v>
      </c>
      <c r="E43" s="114" t="str">
        <f>VLOOKUP(D43,Data!H:I,2,0)</f>
        <v>İstanbul</v>
      </c>
      <c r="F43" s="115" t="str">
        <f>VLOOKUP(D43,Data!H:J,3,0)</f>
        <v>Freelance</v>
      </c>
      <c r="G43" s="116" t="b">
        <v>0</v>
      </c>
      <c r="H43" s="116" t="b">
        <v>0</v>
      </c>
      <c r="I43" s="116" t="b">
        <v>0</v>
      </c>
      <c r="J43" s="116" t="b">
        <v>0</v>
      </c>
      <c r="K43" s="116" t="b">
        <v>0</v>
      </c>
      <c r="L43" s="117">
        <f t="shared" si="1"/>
        <v>0</v>
      </c>
      <c r="M43" s="117">
        <f t="shared" si="2"/>
        <v>0</v>
      </c>
      <c r="N43" s="112"/>
      <c r="O43" s="112"/>
    </row>
    <row r="44" ht="15.0" customHeight="1">
      <c r="A44" s="112"/>
      <c r="B44" s="112"/>
      <c r="C44" s="112"/>
      <c r="D44" s="129" t="s">
        <v>174</v>
      </c>
      <c r="E44" s="114" t="str">
        <f>VLOOKUP(D44,Data!H:I,2,0)</f>
        <v>İstanbul</v>
      </c>
      <c r="F44" s="115" t="str">
        <f>VLOOKUP(D44,Data!H:J,3,0)</f>
        <v>Freelance</v>
      </c>
      <c r="G44" s="116" t="b">
        <v>0</v>
      </c>
      <c r="H44" s="116" t="b">
        <v>0</v>
      </c>
      <c r="I44" s="116" t="b">
        <v>0</v>
      </c>
      <c r="J44" s="116" t="b">
        <v>0</v>
      </c>
      <c r="K44" s="116" t="b">
        <v>0</v>
      </c>
      <c r="L44" s="117">
        <f t="shared" si="1"/>
        <v>0</v>
      </c>
      <c r="M44" s="117">
        <f t="shared" si="2"/>
        <v>0</v>
      </c>
      <c r="N44" s="112"/>
      <c r="O44" s="112"/>
    </row>
    <row r="45" ht="15.0" customHeight="1">
      <c r="A45" s="112"/>
      <c r="B45" s="112"/>
      <c r="C45" s="112"/>
      <c r="D45" s="129" t="s">
        <v>78</v>
      </c>
      <c r="E45" s="114" t="str">
        <f>VLOOKUP(D45,Data!H:I,2,0)</f>
        <v>İstanbul</v>
      </c>
      <c r="F45" s="115" t="str">
        <f>VLOOKUP(D45,Data!H:J,3,0)</f>
        <v>Freelance</v>
      </c>
      <c r="G45" s="116" t="b">
        <v>0</v>
      </c>
      <c r="H45" s="116" t="b">
        <v>0</v>
      </c>
      <c r="I45" s="116" t="b">
        <v>0</v>
      </c>
      <c r="J45" s="116" t="b">
        <v>0</v>
      </c>
      <c r="K45" s="116" t="b">
        <v>0</v>
      </c>
      <c r="L45" s="117">
        <f t="shared" si="1"/>
        <v>0</v>
      </c>
      <c r="M45" s="117">
        <f t="shared" si="2"/>
        <v>0</v>
      </c>
      <c r="N45" s="112"/>
      <c r="O45" s="112"/>
    </row>
    <row r="46" ht="15.0" customHeight="1">
      <c r="A46" s="112"/>
      <c r="B46" s="112"/>
      <c r="C46" s="112"/>
      <c r="D46" s="132" t="s">
        <v>72</v>
      </c>
      <c r="E46" s="114" t="str">
        <f>VLOOKUP(D46,Data!H:I,2,0)</f>
        <v>İstanbul</v>
      </c>
      <c r="F46" s="115" t="str">
        <f>VLOOKUP(D46,Data!H:J,3,0)</f>
        <v>Filamingo</v>
      </c>
      <c r="G46" s="116" t="b">
        <v>0</v>
      </c>
      <c r="H46" s="116" t="b">
        <v>0</v>
      </c>
      <c r="I46" s="116" t="b">
        <v>0</v>
      </c>
      <c r="J46" s="116" t="b">
        <v>0</v>
      </c>
      <c r="K46" s="116" t="b">
        <v>0</v>
      </c>
      <c r="L46" s="117">
        <f t="shared" si="1"/>
        <v>0</v>
      </c>
      <c r="M46" s="117">
        <f t="shared" si="2"/>
        <v>0</v>
      </c>
      <c r="N46" s="112"/>
      <c r="O46" s="112"/>
    </row>
    <row r="47" ht="15.0" customHeight="1">
      <c r="A47" s="112"/>
      <c r="B47" s="112"/>
      <c r="C47" s="112"/>
      <c r="D47" s="141" t="s">
        <v>125</v>
      </c>
      <c r="E47" s="114" t="str">
        <f>VLOOKUP(D47,Data!H:I,2,0)</f>
        <v>İstanbul</v>
      </c>
      <c r="F47" s="115" t="str">
        <f>VLOOKUP(D47,Data!H:J,3,0)</f>
        <v>Filamingo</v>
      </c>
      <c r="G47" s="116" t="b">
        <v>0</v>
      </c>
      <c r="H47" s="116" t="b">
        <v>0</v>
      </c>
      <c r="I47" s="116" t="b">
        <v>0</v>
      </c>
      <c r="J47" s="116" t="b">
        <v>0</v>
      </c>
      <c r="K47" s="116" t="b">
        <v>0</v>
      </c>
      <c r="L47" s="117">
        <f t="shared" si="1"/>
        <v>0</v>
      </c>
      <c r="M47" s="117">
        <f t="shared" si="2"/>
        <v>0</v>
      </c>
      <c r="N47" s="120"/>
      <c r="O47" s="112"/>
    </row>
    <row r="48" ht="15.0" customHeight="1">
      <c r="A48" s="112"/>
      <c r="B48" s="112"/>
      <c r="C48" s="112"/>
      <c r="D48" s="129" t="s">
        <v>200</v>
      </c>
      <c r="E48" s="114" t="str">
        <f>VLOOKUP(D48,Data!H:I,2,0)</f>
        <v>İstanbul</v>
      </c>
      <c r="F48" s="115" t="str">
        <f>VLOOKUP(D48,Data!H:J,3,0)</f>
        <v>Filamingo</v>
      </c>
      <c r="G48" s="116" t="b">
        <v>1</v>
      </c>
      <c r="H48" s="116" t="b">
        <v>1</v>
      </c>
      <c r="I48" s="116" t="b">
        <v>1</v>
      </c>
      <c r="J48" s="116" t="b">
        <v>1</v>
      </c>
      <c r="K48" s="116" t="b">
        <v>1</v>
      </c>
      <c r="L48" s="117">
        <f t="shared" si="1"/>
        <v>5</v>
      </c>
      <c r="M48" s="117">
        <f t="shared" si="2"/>
        <v>20</v>
      </c>
      <c r="N48" s="120"/>
      <c r="O48" s="112"/>
    </row>
    <row r="49" ht="15.0" customHeight="1">
      <c r="A49" s="112"/>
      <c r="B49" s="112"/>
      <c r="C49" s="112"/>
      <c r="D49" s="129" t="s">
        <v>214</v>
      </c>
      <c r="E49" s="114" t="str">
        <f>VLOOKUP(D49,Data!H:I,2,0)</f>
        <v>İstanbul</v>
      </c>
      <c r="F49" s="115" t="str">
        <f>VLOOKUP(D49,Data!H:J,3,0)</f>
        <v>Filamingo</v>
      </c>
      <c r="G49" s="116" t="b">
        <v>0</v>
      </c>
      <c r="H49" s="116" t="b">
        <v>0</v>
      </c>
      <c r="I49" s="116" t="b">
        <v>0</v>
      </c>
      <c r="J49" s="116" t="b">
        <v>0</v>
      </c>
      <c r="K49" s="116" t="b">
        <v>0</v>
      </c>
      <c r="L49" s="117">
        <f t="shared" si="1"/>
        <v>0</v>
      </c>
      <c r="M49" s="117">
        <f t="shared" si="2"/>
        <v>0</v>
      </c>
      <c r="N49" s="120"/>
      <c r="O49" s="112"/>
    </row>
    <row r="50" ht="15.0" customHeight="1">
      <c r="A50" s="122"/>
      <c r="B50" s="122"/>
      <c r="C50" s="122"/>
      <c r="D50" s="129" t="s">
        <v>79</v>
      </c>
      <c r="E50" s="114" t="str">
        <f>VLOOKUP(D50,Data!H:I,2,0)</f>
        <v>İstanbul</v>
      </c>
      <c r="F50" s="115" t="str">
        <f>VLOOKUP(D50,Data!H:J,3,0)</f>
        <v>Freelance</v>
      </c>
      <c r="G50" s="116" t="b">
        <v>0</v>
      </c>
      <c r="H50" s="116" t="b">
        <v>0</v>
      </c>
      <c r="I50" s="116" t="b">
        <v>0</v>
      </c>
      <c r="J50" s="116" t="b">
        <v>0</v>
      </c>
      <c r="K50" s="116" t="b">
        <v>0</v>
      </c>
      <c r="L50" s="117">
        <f t="shared" si="1"/>
        <v>0</v>
      </c>
      <c r="M50" s="117">
        <f t="shared" si="2"/>
        <v>0</v>
      </c>
      <c r="N50" s="112"/>
      <c r="O50" s="122"/>
    </row>
    <row r="51" ht="15.0" customHeight="1">
      <c r="A51" s="124"/>
      <c r="B51" s="124"/>
      <c r="C51" s="124"/>
      <c r="D51" s="129" t="s">
        <v>80</v>
      </c>
      <c r="E51" s="114" t="str">
        <f>VLOOKUP(D51,Data!H:I,2,0)</f>
        <v>İstanbul</v>
      </c>
      <c r="F51" s="115" t="str">
        <f>VLOOKUP(D51,Data!H:J,3,0)</f>
        <v>Freelance</v>
      </c>
      <c r="G51" s="116" t="b">
        <v>0</v>
      </c>
      <c r="H51" s="116" t="b">
        <v>0</v>
      </c>
      <c r="I51" s="116" t="b">
        <v>0</v>
      </c>
      <c r="J51" s="116" t="b">
        <v>0</v>
      </c>
      <c r="K51" s="116" t="b">
        <v>0</v>
      </c>
      <c r="L51" s="117">
        <f t="shared" si="1"/>
        <v>0</v>
      </c>
      <c r="M51" s="117">
        <f t="shared" si="2"/>
        <v>0</v>
      </c>
      <c r="N51" s="112"/>
      <c r="O51" s="124"/>
    </row>
    <row r="52" ht="15.0" customHeight="1">
      <c r="A52" s="124"/>
      <c r="B52" s="124"/>
      <c r="C52" s="124"/>
      <c r="D52" s="129" t="s">
        <v>217</v>
      </c>
      <c r="E52" s="114" t="str">
        <f>VLOOKUP(D52,Data!H:I,2,0)</f>
        <v>İstanbul</v>
      </c>
      <c r="F52" s="115" t="str">
        <f>VLOOKUP(D52,Data!H:J,3,0)</f>
        <v>Freelance</v>
      </c>
      <c r="G52" s="116" t="b">
        <v>0</v>
      </c>
      <c r="H52" s="116" t="b">
        <v>1</v>
      </c>
      <c r="I52" s="116" t="b">
        <v>0</v>
      </c>
      <c r="J52" s="116" t="b">
        <v>1</v>
      </c>
      <c r="K52" s="116" t="b">
        <v>0</v>
      </c>
      <c r="L52" s="117">
        <f t="shared" si="1"/>
        <v>2</v>
      </c>
      <c r="M52" s="117">
        <f t="shared" si="2"/>
        <v>8</v>
      </c>
      <c r="N52" s="112"/>
      <c r="O52" s="124"/>
    </row>
    <row r="53" ht="15.0" customHeight="1">
      <c r="A53" s="124"/>
      <c r="B53" s="124"/>
      <c r="C53" s="124"/>
      <c r="D53" s="129" t="s">
        <v>81</v>
      </c>
      <c r="E53" s="114" t="str">
        <f>VLOOKUP(D53,Data!H:I,2,0)</f>
        <v>İstanbul</v>
      </c>
      <c r="F53" s="115" t="str">
        <f>VLOOKUP(D53,Data!H:J,3,0)</f>
        <v>Freelance</v>
      </c>
      <c r="G53" s="116" t="b">
        <v>0</v>
      </c>
      <c r="H53" s="116" t="b">
        <v>0</v>
      </c>
      <c r="I53" s="116" t="b">
        <v>0</v>
      </c>
      <c r="J53" s="116" t="b">
        <v>0</v>
      </c>
      <c r="K53" s="116" t="b">
        <v>0</v>
      </c>
      <c r="L53" s="117">
        <f t="shared" si="1"/>
        <v>0</v>
      </c>
      <c r="M53" s="117">
        <f t="shared" si="2"/>
        <v>0</v>
      </c>
      <c r="N53" s="112"/>
      <c r="O53" s="124"/>
    </row>
    <row r="54" ht="15.0" customHeight="1">
      <c r="A54" s="112"/>
      <c r="B54" s="112"/>
      <c r="C54" s="112"/>
      <c r="D54" s="129" t="s">
        <v>166</v>
      </c>
      <c r="E54" s="114" t="str">
        <f>VLOOKUP(D54,Data!H:I,2,0)</f>
        <v>İstanbul</v>
      </c>
      <c r="F54" s="115" t="str">
        <f>VLOOKUP(D54,Data!H:J,3,0)</f>
        <v>Filamingo</v>
      </c>
      <c r="G54" s="116" t="b">
        <v>0</v>
      </c>
      <c r="H54" s="116" t="b">
        <v>0</v>
      </c>
      <c r="I54" s="116" t="b">
        <v>0</v>
      </c>
      <c r="J54" s="116" t="b">
        <v>0</v>
      </c>
      <c r="K54" s="116" t="b">
        <v>0</v>
      </c>
      <c r="L54" s="117">
        <f t="shared" si="1"/>
        <v>0</v>
      </c>
      <c r="M54" s="117">
        <f t="shared" si="2"/>
        <v>0</v>
      </c>
      <c r="N54" s="124"/>
      <c r="O54" s="112"/>
    </row>
    <row r="55" ht="15.0" customHeight="1">
      <c r="A55" s="112"/>
      <c r="B55" s="112"/>
      <c r="C55" s="112"/>
      <c r="D55" s="129" t="s">
        <v>201</v>
      </c>
      <c r="E55" s="114" t="str">
        <f>VLOOKUP(D55,Data!H:I,2,0)</f>
        <v>İstanbul</v>
      </c>
      <c r="F55" s="115" t="str">
        <f>VLOOKUP(D55,Data!H:J,3,0)</f>
        <v>Freelance</v>
      </c>
      <c r="G55" s="116" t="b">
        <v>0</v>
      </c>
      <c r="H55" s="116" t="b">
        <v>0</v>
      </c>
      <c r="I55" s="116" t="b">
        <v>0</v>
      </c>
      <c r="J55" s="116" t="b">
        <v>1</v>
      </c>
      <c r="K55" s="116" t="b">
        <v>1</v>
      </c>
      <c r="L55" s="117">
        <f t="shared" si="1"/>
        <v>2</v>
      </c>
      <c r="M55" s="117">
        <f t="shared" si="2"/>
        <v>8</v>
      </c>
      <c r="N55" s="112"/>
      <c r="O55" s="112"/>
    </row>
    <row r="56" ht="15.0" customHeight="1">
      <c r="A56" s="112"/>
      <c r="B56" s="112"/>
      <c r="C56" s="112"/>
      <c r="D56" s="132" t="s">
        <v>119</v>
      </c>
      <c r="E56" s="114" t="str">
        <f>VLOOKUP(D56,Data!H:I,2,0)</f>
        <v>İstanbul</v>
      </c>
      <c r="F56" s="115" t="str">
        <f>VLOOKUP(D56,Data!H:J,3,0)</f>
        <v>Filamingo</v>
      </c>
      <c r="G56" s="116" t="b">
        <v>0</v>
      </c>
      <c r="H56" s="116" t="b">
        <v>1</v>
      </c>
      <c r="I56" s="116" t="b">
        <v>0</v>
      </c>
      <c r="J56" s="116" t="b">
        <v>0</v>
      </c>
      <c r="K56" s="116" t="b">
        <v>0</v>
      </c>
      <c r="L56" s="117">
        <f t="shared" si="1"/>
        <v>1</v>
      </c>
      <c r="M56" s="117">
        <f t="shared" si="2"/>
        <v>4</v>
      </c>
      <c r="N56" s="112"/>
      <c r="O56" s="112"/>
    </row>
    <row r="57" ht="15.0" customHeight="1">
      <c r="A57" s="112"/>
      <c r="B57" s="112"/>
      <c r="C57" s="112"/>
      <c r="D57" s="129" t="s">
        <v>185</v>
      </c>
      <c r="E57" s="114" t="str">
        <f>VLOOKUP(D57,Data!H:I,2,0)</f>
        <v>İstanbul</v>
      </c>
      <c r="F57" s="115" t="str">
        <f>VLOOKUP(D57,Data!H:J,3,0)</f>
        <v>Filamingo</v>
      </c>
      <c r="G57" s="116" t="b">
        <v>0</v>
      </c>
      <c r="H57" s="116" t="b">
        <v>0</v>
      </c>
      <c r="I57" s="116" t="b">
        <v>0</v>
      </c>
      <c r="J57" s="116" t="b">
        <v>0</v>
      </c>
      <c r="K57" s="116" t="b">
        <v>0</v>
      </c>
      <c r="L57" s="117">
        <f t="shared" si="1"/>
        <v>0</v>
      </c>
      <c r="M57" s="117">
        <f t="shared" si="2"/>
        <v>0</v>
      </c>
      <c r="N57" s="112"/>
      <c r="O57" s="112"/>
    </row>
    <row r="58" ht="15.0" customHeight="1">
      <c r="A58" s="112"/>
      <c r="B58" s="112"/>
      <c r="C58" s="112"/>
      <c r="D58" s="129" t="s">
        <v>85</v>
      </c>
      <c r="E58" s="114" t="str">
        <f>VLOOKUP(D58,Data!H:I,2,0)</f>
        <v>İstanbul</v>
      </c>
      <c r="F58" s="115" t="str">
        <f>VLOOKUP(D58,Data!H:J,3,0)</f>
        <v>Filamingo</v>
      </c>
      <c r="G58" s="116" t="b">
        <v>0</v>
      </c>
      <c r="H58" s="116" t="b">
        <v>0</v>
      </c>
      <c r="I58" s="116" t="b">
        <v>0</v>
      </c>
      <c r="J58" s="116" t="b">
        <v>0</v>
      </c>
      <c r="K58" s="116" t="b">
        <v>0</v>
      </c>
      <c r="L58" s="117">
        <f t="shared" si="1"/>
        <v>0</v>
      </c>
      <c r="M58" s="117">
        <f t="shared" si="2"/>
        <v>0</v>
      </c>
      <c r="N58" s="112"/>
      <c r="O58" s="112"/>
    </row>
    <row r="59" ht="15.0" customHeight="1">
      <c r="A59" s="112"/>
      <c r="B59" s="112"/>
      <c r="C59" s="112"/>
      <c r="D59" s="129" t="s">
        <v>175</v>
      </c>
      <c r="E59" s="114" t="str">
        <f>VLOOKUP(D59,Data!H:I,2,0)</f>
        <v>İstanbul</v>
      </c>
      <c r="F59" s="115" t="str">
        <f>VLOOKUP(D59,Data!H:J,3,0)</f>
        <v>Freelance</v>
      </c>
      <c r="G59" s="116" t="b">
        <v>0</v>
      </c>
      <c r="H59" s="116" t="b">
        <v>0</v>
      </c>
      <c r="I59" s="116" t="b">
        <v>0</v>
      </c>
      <c r="J59" s="116" t="b">
        <v>0</v>
      </c>
      <c r="K59" s="116" t="b">
        <v>0</v>
      </c>
      <c r="L59" s="117">
        <f t="shared" si="1"/>
        <v>0</v>
      </c>
      <c r="M59" s="117">
        <f t="shared" si="2"/>
        <v>0</v>
      </c>
      <c r="N59" s="125"/>
      <c r="O59" s="112"/>
    </row>
    <row r="60" ht="15.0" customHeight="1">
      <c r="A60" s="112"/>
      <c r="B60" s="112"/>
      <c r="C60" s="112"/>
      <c r="D60" s="132" t="s">
        <v>83</v>
      </c>
      <c r="E60" s="114" t="str">
        <f>VLOOKUP(D60,Data!H:I,2,0)</f>
        <v>İstanbul</v>
      </c>
      <c r="F60" s="115" t="str">
        <f>VLOOKUP(D60,Data!H:J,3,0)</f>
        <v>Nazım Öztel</v>
      </c>
      <c r="G60" s="116" t="b">
        <v>1</v>
      </c>
      <c r="H60" s="116" t="b">
        <v>1</v>
      </c>
      <c r="I60" s="116" t="b">
        <v>1</v>
      </c>
      <c r="J60" s="116" t="b">
        <v>1</v>
      </c>
      <c r="K60" s="116" t="b">
        <v>1</v>
      </c>
      <c r="L60" s="117">
        <f t="shared" si="1"/>
        <v>5</v>
      </c>
      <c r="M60" s="117">
        <f t="shared" si="2"/>
        <v>20</v>
      </c>
      <c r="N60" s="112"/>
      <c r="O60" s="112"/>
    </row>
    <row r="61" ht="15.0" customHeight="1">
      <c r="A61" s="125"/>
      <c r="B61" s="125"/>
      <c r="C61" s="125"/>
      <c r="D61" s="129" t="s">
        <v>145</v>
      </c>
      <c r="E61" s="114" t="str">
        <f>VLOOKUP(D61,Data!H:I,2,0)</f>
        <v>İstanbul</v>
      </c>
      <c r="F61" s="115" t="str">
        <f>VLOOKUP(D61,Data!H:J,3,0)</f>
        <v>Filamingo</v>
      </c>
      <c r="G61" s="116" t="b">
        <v>0</v>
      </c>
      <c r="H61" s="116" t="b">
        <v>1</v>
      </c>
      <c r="I61" s="116" t="b">
        <v>1</v>
      </c>
      <c r="J61" s="116" t="b">
        <v>0</v>
      </c>
      <c r="K61" s="116" t="b">
        <v>1</v>
      </c>
      <c r="L61" s="117">
        <f t="shared" si="1"/>
        <v>3</v>
      </c>
      <c r="M61" s="117">
        <f t="shared" si="2"/>
        <v>12</v>
      </c>
      <c r="N61" s="112"/>
      <c r="O61" s="125"/>
    </row>
    <row r="62" ht="15.0" customHeight="1">
      <c r="A62" s="125"/>
      <c r="B62" s="125"/>
      <c r="C62" s="125"/>
      <c r="D62" s="129" t="s">
        <v>210</v>
      </c>
      <c r="E62" s="114" t="str">
        <f>VLOOKUP(D62,Data!H:I,2,0)</f>
        <v>İstanbul</v>
      </c>
      <c r="F62" s="115" t="str">
        <f>VLOOKUP(D62,Data!H:J,3,0)</f>
        <v>Filamingo</v>
      </c>
      <c r="G62" s="116" t="b">
        <v>1</v>
      </c>
      <c r="H62" s="116" t="b">
        <v>1</v>
      </c>
      <c r="I62" s="116" t="b">
        <v>1</v>
      </c>
      <c r="J62" s="116" t="b">
        <v>1</v>
      </c>
      <c r="K62" s="116" t="b">
        <v>1</v>
      </c>
      <c r="L62" s="117">
        <f t="shared" si="1"/>
        <v>5</v>
      </c>
      <c r="M62" s="117">
        <f t="shared" si="2"/>
        <v>20</v>
      </c>
      <c r="N62" s="112"/>
      <c r="O62" s="125"/>
    </row>
    <row r="63" ht="15.0" customHeight="1">
      <c r="A63" s="125"/>
      <c r="B63" s="125"/>
      <c r="C63" s="125"/>
      <c r="D63" s="129" t="s">
        <v>202</v>
      </c>
      <c r="E63" s="114" t="str">
        <f>VLOOKUP(D63,Data!H:I,2,0)</f>
        <v>İstanbul</v>
      </c>
      <c r="F63" s="115" t="str">
        <f>VLOOKUP(D63,Data!H:J,3,0)</f>
        <v>Filamingo</v>
      </c>
      <c r="G63" s="116" t="b">
        <v>0</v>
      </c>
      <c r="H63" s="116" t="b">
        <v>0</v>
      </c>
      <c r="I63" s="116" t="b">
        <v>0</v>
      </c>
      <c r="J63" s="116" t="b">
        <v>0</v>
      </c>
      <c r="K63" s="116" t="b">
        <v>0</v>
      </c>
      <c r="L63" s="117">
        <f t="shared" si="1"/>
        <v>0</v>
      </c>
      <c r="M63" s="117">
        <f t="shared" si="2"/>
        <v>0</v>
      </c>
      <c r="N63" s="112"/>
      <c r="O63" s="125"/>
    </row>
    <row r="64" ht="15.0" customHeight="1">
      <c r="A64" s="125"/>
      <c r="B64" s="125"/>
      <c r="C64" s="125"/>
      <c r="D64" s="129" t="s">
        <v>186</v>
      </c>
      <c r="E64" s="114" t="str">
        <f>VLOOKUP(D64,Data!H:I,2,0)</f>
        <v>İstanbul</v>
      </c>
      <c r="F64" s="115" t="str">
        <f>VLOOKUP(D64,Data!H:J,3,0)</f>
        <v>Filamingo</v>
      </c>
      <c r="G64" s="116" t="b">
        <v>0</v>
      </c>
      <c r="H64" s="116" t="b">
        <v>0</v>
      </c>
      <c r="I64" s="116" t="b">
        <v>0</v>
      </c>
      <c r="J64" s="116" t="b">
        <v>0</v>
      </c>
      <c r="K64" s="116" t="b">
        <v>0</v>
      </c>
      <c r="L64" s="117">
        <f t="shared" si="1"/>
        <v>0</v>
      </c>
      <c r="M64" s="117">
        <f t="shared" si="2"/>
        <v>0</v>
      </c>
      <c r="N64" s="112"/>
      <c r="O64" s="125"/>
    </row>
    <row r="65" ht="15.0" customHeight="1">
      <c r="A65" s="122"/>
      <c r="B65" s="122"/>
      <c r="C65" s="122"/>
      <c r="D65" s="129" t="s">
        <v>87</v>
      </c>
      <c r="E65" s="114" t="str">
        <f>VLOOKUP(D65,Data!H:I,2,0)</f>
        <v>İstanbul</v>
      </c>
      <c r="F65" s="115" t="str">
        <f>VLOOKUP(D65,Data!H:J,3,0)</f>
        <v>Freelance</v>
      </c>
      <c r="G65" s="116" t="b">
        <v>0</v>
      </c>
      <c r="H65" s="116" t="b">
        <v>0</v>
      </c>
      <c r="I65" s="116" t="b">
        <v>0</v>
      </c>
      <c r="J65" s="116" t="b">
        <v>1</v>
      </c>
      <c r="K65" s="116" t="b">
        <v>1</v>
      </c>
      <c r="L65" s="117">
        <f t="shared" si="1"/>
        <v>2</v>
      </c>
      <c r="M65" s="117">
        <f t="shared" si="2"/>
        <v>8</v>
      </c>
      <c r="N65" s="112"/>
      <c r="O65" s="122"/>
    </row>
    <row r="66" ht="15.0" customHeight="1">
      <c r="A66" s="112"/>
      <c r="B66" s="112"/>
      <c r="C66" s="112"/>
      <c r="D66" s="132" t="s">
        <v>88</v>
      </c>
      <c r="E66" s="114" t="str">
        <f>VLOOKUP(D66,Data!H:I,2,0)</f>
        <v>İstanbul</v>
      </c>
      <c r="F66" s="115" t="str">
        <f>VLOOKUP(D66,Data!H:J,3,0)</f>
        <v>Nazım Öztel</v>
      </c>
      <c r="G66" s="116" t="b">
        <v>0</v>
      </c>
      <c r="H66" s="116" t="b">
        <v>0</v>
      </c>
      <c r="I66" s="116" t="b">
        <v>0</v>
      </c>
      <c r="J66" s="116" t="b">
        <v>0</v>
      </c>
      <c r="K66" s="116" t="b">
        <v>0</v>
      </c>
      <c r="L66" s="117">
        <f t="shared" si="1"/>
        <v>0</v>
      </c>
      <c r="M66" s="117">
        <f t="shared" si="2"/>
        <v>0</v>
      </c>
      <c r="N66" s="112"/>
      <c r="O66" s="112"/>
    </row>
    <row r="67" ht="15.0" customHeight="1">
      <c r="A67" s="112"/>
      <c r="B67" s="112"/>
      <c r="C67" s="112"/>
      <c r="D67" s="132" t="s">
        <v>89</v>
      </c>
      <c r="E67" s="114" t="str">
        <f>VLOOKUP(D67,Data!H:I,2,0)</f>
        <v>İstanbul</v>
      </c>
      <c r="F67" s="115" t="str">
        <f>VLOOKUP(D67,Data!H:J,3,0)</f>
        <v>Filamingo</v>
      </c>
      <c r="G67" s="116" t="b">
        <v>0</v>
      </c>
      <c r="H67" s="116" t="b">
        <v>0</v>
      </c>
      <c r="I67" s="116" t="b">
        <v>0</v>
      </c>
      <c r="J67" s="116" t="b">
        <v>0</v>
      </c>
      <c r="K67" s="116" t="b">
        <v>0</v>
      </c>
      <c r="L67" s="117">
        <f t="shared" si="1"/>
        <v>0</v>
      </c>
      <c r="M67" s="117">
        <f t="shared" si="2"/>
        <v>0</v>
      </c>
      <c r="N67" s="112"/>
      <c r="O67" s="112"/>
    </row>
    <row r="68" ht="15.0" customHeight="1">
      <c r="A68" s="112"/>
      <c r="B68" s="112"/>
      <c r="C68" s="112"/>
      <c r="D68" s="132" t="s">
        <v>92</v>
      </c>
      <c r="E68" s="114" t="str">
        <f>VLOOKUP(D68,Data!H:I,2,0)</f>
        <v>İzmir</v>
      </c>
      <c r="F68" s="115" t="str">
        <f>VLOOKUP(D68,Data!H:J,3,0)</f>
        <v>Nazım Öztel</v>
      </c>
      <c r="G68" s="116" t="b">
        <v>0</v>
      </c>
      <c r="H68" s="116" t="b">
        <v>1</v>
      </c>
      <c r="I68" s="116" t="b">
        <v>1</v>
      </c>
      <c r="J68" s="116" t="b">
        <v>1</v>
      </c>
      <c r="K68" s="116" t="b">
        <v>1</v>
      </c>
      <c r="L68" s="117">
        <f t="shared" si="1"/>
        <v>4</v>
      </c>
      <c r="M68" s="117">
        <f t="shared" si="2"/>
        <v>16</v>
      </c>
      <c r="N68" s="125"/>
      <c r="O68" s="112"/>
    </row>
    <row r="69" ht="15.0" customHeight="1">
      <c r="A69" s="112"/>
      <c r="B69" s="112"/>
      <c r="C69" s="112"/>
      <c r="D69" s="129" t="s">
        <v>93</v>
      </c>
      <c r="E69" s="114" t="str">
        <f>VLOOKUP(D69,Data!H:I,2,0)</f>
        <v>İzmir</v>
      </c>
      <c r="F69" s="115" t="str">
        <f>VLOOKUP(D69,Data!H:J,3,0)</f>
        <v>Freelance</v>
      </c>
      <c r="G69" s="116" t="b">
        <v>0</v>
      </c>
      <c r="H69" s="116" t="b">
        <v>1</v>
      </c>
      <c r="I69" s="116" t="b">
        <v>1</v>
      </c>
      <c r="J69" s="116" t="b">
        <v>1</v>
      </c>
      <c r="K69" s="116" t="b">
        <v>1</v>
      </c>
      <c r="L69" s="117">
        <f t="shared" si="1"/>
        <v>4</v>
      </c>
      <c r="M69" s="117">
        <f t="shared" si="2"/>
        <v>16</v>
      </c>
      <c r="N69" s="112"/>
      <c r="O69" s="112"/>
    </row>
    <row r="70" ht="15.0" customHeight="1">
      <c r="A70" s="112"/>
      <c r="B70" s="112"/>
      <c r="C70" s="112"/>
      <c r="D70" s="129" t="s">
        <v>161</v>
      </c>
      <c r="E70" s="143" t="str">
        <f>VLOOKUP(D70,Data!H:I,2,0)</f>
        <v>Kahramanmaraş</v>
      </c>
      <c r="F70" s="115" t="str">
        <f>VLOOKUP(D70,Data!H:J,3,0)</f>
        <v>Nazım Öztel</v>
      </c>
      <c r="G70" s="116" t="b">
        <v>1</v>
      </c>
      <c r="H70" s="116" t="b">
        <v>0</v>
      </c>
      <c r="I70" s="116" t="b">
        <v>0</v>
      </c>
      <c r="J70" s="116" t="b">
        <v>0</v>
      </c>
      <c r="K70" s="116" t="b">
        <v>0</v>
      </c>
      <c r="L70" s="117">
        <f t="shared" si="1"/>
        <v>1</v>
      </c>
      <c r="M70" s="117">
        <f t="shared" si="2"/>
        <v>4</v>
      </c>
      <c r="N70" s="112"/>
      <c r="O70" s="112"/>
    </row>
    <row r="71" ht="15.0" customHeight="1">
      <c r="A71" s="112"/>
      <c r="B71" s="112"/>
      <c r="C71" s="112"/>
      <c r="D71" s="129" t="s">
        <v>80</v>
      </c>
      <c r="E71" s="114" t="str">
        <f>VLOOKUP(D71,Data!H:I,2,0)</f>
        <v>İstanbul</v>
      </c>
      <c r="F71" s="115" t="str">
        <f>VLOOKUP(D71,Data!H:J,3,0)</f>
        <v>Freelance</v>
      </c>
      <c r="G71" s="116" t="b">
        <v>1</v>
      </c>
      <c r="H71" s="116" t="b">
        <v>1</v>
      </c>
      <c r="I71" s="116" t="b">
        <v>1</v>
      </c>
      <c r="J71" s="116" t="b">
        <v>1</v>
      </c>
      <c r="K71" s="116" t="b">
        <v>1</v>
      </c>
      <c r="L71" s="117">
        <f t="shared" si="1"/>
        <v>5</v>
      </c>
      <c r="M71" s="117">
        <f t="shared" si="2"/>
        <v>20</v>
      </c>
      <c r="N71" s="112"/>
      <c r="O71" s="112"/>
    </row>
    <row r="72" ht="15.0" customHeight="1">
      <c r="A72" s="112"/>
      <c r="B72" s="112"/>
      <c r="C72" s="112"/>
      <c r="D72" s="129" t="s">
        <v>218</v>
      </c>
      <c r="E72" s="114" t="str">
        <f>VLOOKUP(D72,Data!H:I,2,0)</f>
        <v>Kırklareli</v>
      </c>
      <c r="F72" s="115" t="str">
        <f>VLOOKUP(D72,Data!H:J,3,0)</f>
        <v>Nazım Öztel</v>
      </c>
      <c r="G72" s="116" t="b">
        <v>0</v>
      </c>
      <c r="H72" s="116" t="b">
        <v>0</v>
      </c>
      <c r="I72" s="116" t="b">
        <v>1</v>
      </c>
      <c r="J72" s="116" t="b">
        <v>1</v>
      </c>
      <c r="K72" s="116" t="b">
        <v>1</v>
      </c>
      <c r="L72" s="117">
        <f t="shared" si="1"/>
        <v>3</v>
      </c>
      <c r="M72" s="117">
        <f t="shared" si="2"/>
        <v>12</v>
      </c>
      <c r="N72" s="112"/>
      <c r="O72" s="112"/>
    </row>
    <row r="73" ht="15.0" customHeight="1">
      <c r="A73" s="112"/>
      <c r="B73" s="112"/>
      <c r="C73" s="112"/>
      <c r="D73" s="132" t="s">
        <v>96</v>
      </c>
      <c r="E73" s="114" t="str">
        <f>VLOOKUP(D73,Data!H:I,2,0)</f>
        <v>Kocaeli</v>
      </c>
      <c r="F73" s="115" t="str">
        <f>VLOOKUP(D73,Data!H:J,3,0)</f>
        <v>Nazım Öztel</v>
      </c>
      <c r="G73" s="116" t="b">
        <v>0</v>
      </c>
      <c r="H73" s="116" t="b">
        <v>0</v>
      </c>
      <c r="I73" s="116" t="b">
        <v>0</v>
      </c>
      <c r="J73" s="116" t="b">
        <v>0</v>
      </c>
      <c r="K73" s="116" t="b">
        <v>1</v>
      </c>
      <c r="L73" s="117">
        <f t="shared" si="1"/>
        <v>1</v>
      </c>
      <c r="M73" s="117">
        <f t="shared" si="2"/>
        <v>4</v>
      </c>
      <c r="N73" s="112"/>
      <c r="O73" s="112"/>
    </row>
    <row r="74" ht="15.0" customHeight="1">
      <c r="A74" s="112"/>
      <c r="B74" s="112"/>
      <c r="C74" s="112"/>
      <c r="D74" s="129" t="s">
        <v>147</v>
      </c>
      <c r="E74" s="114" t="str">
        <f>VLOOKUP(D74,Data!H:I,2,0)</f>
        <v>Kocaeli</v>
      </c>
      <c r="F74" s="115" t="str">
        <f>VLOOKUP(D74,Data!H:J,3,0)</f>
        <v>Nazım Öztel</v>
      </c>
      <c r="G74" s="116" t="b">
        <v>0</v>
      </c>
      <c r="H74" s="116" t="b">
        <v>0</v>
      </c>
      <c r="I74" s="116" t="b">
        <v>0</v>
      </c>
      <c r="J74" s="116" t="b">
        <v>0</v>
      </c>
      <c r="K74" s="116" t="b">
        <v>0</v>
      </c>
      <c r="L74" s="117">
        <f t="shared" si="1"/>
        <v>0</v>
      </c>
      <c r="M74" s="117">
        <f t="shared" si="2"/>
        <v>0</v>
      </c>
      <c r="N74" s="112"/>
      <c r="O74" s="112"/>
    </row>
    <row r="75" ht="15.0" customHeight="1">
      <c r="A75" s="112"/>
      <c r="B75" s="112"/>
      <c r="C75" s="112"/>
      <c r="D75" s="129" t="s">
        <v>203</v>
      </c>
      <c r="E75" s="114" t="str">
        <f>VLOOKUP(D75,Data!H:I,2,0)</f>
        <v>Malatya</v>
      </c>
      <c r="F75" s="115" t="str">
        <f>VLOOKUP(D75,Data!H:J,3,0)</f>
        <v>Nazım Öztel</v>
      </c>
      <c r="G75" s="116" t="b">
        <v>1</v>
      </c>
      <c r="H75" s="116" t="b">
        <v>0</v>
      </c>
      <c r="I75" s="116" t="b">
        <v>0</v>
      </c>
      <c r="J75" s="116" t="b">
        <v>0</v>
      </c>
      <c r="K75" s="116" t="b">
        <v>1</v>
      </c>
      <c r="L75" s="117">
        <f t="shared" si="1"/>
        <v>2</v>
      </c>
      <c r="M75" s="117">
        <f t="shared" si="2"/>
        <v>8</v>
      </c>
      <c r="N75" s="112"/>
      <c r="O75" s="112"/>
    </row>
    <row r="76" ht="15.0" customHeight="1">
      <c r="A76" s="112"/>
      <c r="B76" s="112"/>
      <c r="C76" s="112"/>
      <c r="D76" s="132" t="s">
        <v>98</v>
      </c>
      <c r="E76" s="114" t="str">
        <f>VLOOKUP(D76,Data!H:I,2,0)</f>
        <v>Manisa</v>
      </c>
      <c r="F76" s="115" t="str">
        <f>VLOOKUP(D76,Data!H:J,3,0)</f>
        <v>Nazım Öztel</v>
      </c>
      <c r="G76" s="116" t="b">
        <v>0</v>
      </c>
      <c r="H76" s="116" t="b">
        <v>0</v>
      </c>
      <c r="I76" s="116" t="b">
        <v>0</v>
      </c>
      <c r="J76" s="116" t="b">
        <v>0</v>
      </c>
      <c r="K76" s="116" t="b">
        <v>0</v>
      </c>
      <c r="L76" s="117">
        <f t="shared" si="1"/>
        <v>0</v>
      </c>
      <c r="M76" s="117">
        <f t="shared" si="2"/>
        <v>0</v>
      </c>
      <c r="N76" s="142"/>
      <c r="O76" s="112"/>
    </row>
    <row r="77" ht="15.0" customHeight="1">
      <c r="A77" s="112"/>
      <c r="B77" s="112"/>
      <c r="C77" s="112"/>
      <c r="D77" s="132" t="s">
        <v>99</v>
      </c>
      <c r="E77" s="114" t="str">
        <f>VLOOKUP(D77,Data!H:I,2,0)</f>
        <v>Mersin</v>
      </c>
      <c r="F77" s="115" t="str">
        <f>VLOOKUP(D77,Data!H:J,3,0)</f>
        <v>Nazım Öztel</v>
      </c>
      <c r="G77" s="116" t="b">
        <v>1</v>
      </c>
      <c r="H77" s="116" t="b">
        <v>1</v>
      </c>
      <c r="I77" s="116" t="b">
        <v>1</v>
      </c>
      <c r="J77" s="116" t="b">
        <v>0</v>
      </c>
      <c r="K77" s="116" t="b">
        <v>1</v>
      </c>
      <c r="L77" s="117">
        <f t="shared" si="1"/>
        <v>4</v>
      </c>
      <c r="M77" s="117">
        <f t="shared" si="2"/>
        <v>16</v>
      </c>
      <c r="N77" s="106"/>
      <c r="O77" s="112"/>
    </row>
    <row r="78" ht="15.0" customHeight="1">
      <c r="A78" s="112"/>
      <c r="B78" s="112"/>
      <c r="C78" s="112"/>
      <c r="D78" s="129" t="s">
        <v>169</v>
      </c>
      <c r="E78" s="114" t="str">
        <f>VLOOKUP(D78,Data!H:I,2,0)</f>
        <v>Mersin</v>
      </c>
      <c r="F78" s="115" t="str">
        <f>VLOOKUP(D78,Data!H:J,3,0)</f>
        <v>Nazım Öztel</v>
      </c>
      <c r="G78" s="116" t="b">
        <v>0</v>
      </c>
      <c r="H78" s="116" t="b">
        <v>1</v>
      </c>
      <c r="I78" s="116" t="b">
        <v>0</v>
      </c>
      <c r="J78" s="116" t="b">
        <v>1</v>
      </c>
      <c r="K78" s="116" t="b">
        <v>1</v>
      </c>
      <c r="L78" s="117">
        <f t="shared" si="1"/>
        <v>3</v>
      </c>
      <c r="M78" s="117">
        <f t="shared" si="2"/>
        <v>12</v>
      </c>
      <c r="N78" s="106"/>
      <c r="O78" s="112"/>
    </row>
    <row r="79" ht="15.0" customHeight="1">
      <c r="A79" s="112"/>
      <c r="B79" s="112"/>
      <c r="C79" s="112"/>
      <c r="D79" s="129" t="s">
        <v>148</v>
      </c>
      <c r="E79" s="114" t="str">
        <f>VLOOKUP(D79,Data!H:I,2,0)</f>
        <v>Muğla</v>
      </c>
      <c r="F79" s="115" t="str">
        <f>VLOOKUP(D79,Data!H:J,3,0)</f>
        <v>Nazım Öztel</v>
      </c>
      <c r="G79" s="116" t="b">
        <v>1</v>
      </c>
      <c r="H79" s="116" t="b">
        <v>1</v>
      </c>
      <c r="I79" s="116" t="b">
        <v>0</v>
      </c>
      <c r="J79" s="116" t="b">
        <v>1</v>
      </c>
      <c r="K79" s="116" t="b">
        <v>1</v>
      </c>
      <c r="L79" s="117">
        <f t="shared" si="1"/>
        <v>4</v>
      </c>
      <c r="M79" s="117">
        <f t="shared" si="2"/>
        <v>16</v>
      </c>
      <c r="N79" s="106"/>
      <c r="O79" s="112"/>
    </row>
    <row r="80" ht="15.0" customHeight="1">
      <c r="A80" s="112"/>
      <c r="B80" s="112"/>
      <c r="C80" s="112"/>
      <c r="D80" s="129" t="s">
        <v>52</v>
      </c>
      <c r="E80" s="114" t="s">
        <v>211</v>
      </c>
      <c r="F80" s="115" t="s">
        <v>61</v>
      </c>
      <c r="G80" s="116" t="b">
        <v>0</v>
      </c>
      <c r="H80" s="116" t="b">
        <v>0</v>
      </c>
      <c r="I80" s="116" t="b">
        <v>0</v>
      </c>
      <c r="J80" s="116" t="b">
        <v>0</v>
      </c>
      <c r="K80" s="116" t="b">
        <v>0</v>
      </c>
      <c r="L80" s="117">
        <f t="shared" si="1"/>
        <v>0</v>
      </c>
      <c r="M80" s="117">
        <f t="shared" si="2"/>
        <v>0</v>
      </c>
      <c r="N80" s="106"/>
      <c r="O80" s="112"/>
    </row>
    <row r="81" ht="15.0" customHeight="1">
      <c r="A81" s="112"/>
      <c r="B81" s="112"/>
      <c r="C81" s="112"/>
      <c r="D81" s="129" t="s">
        <v>193</v>
      </c>
      <c r="E81" s="114" t="str">
        <f>VLOOKUP(D81,Data!H:I,2,0)</f>
        <v>Samsun</v>
      </c>
      <c r="F81" s="115" t="str">
        <f>VLOOKUP(D81,Data!H:J,3,0)</f>
        <v>Nazım Öztel</v>
      </c>
      <c r="G81" s="116" t="b">
        <v>0</v>
      </c>
      <c r="H81" s="116" t="b">
        <v>1</v>
      </c>
      <c r="I81" s="116" t="b">
        <v>1</v>
      </c>
      <c r="J81" s="116" t="b">
        <v>1</v>
      </c>
      <c r="K81" s="116" t="b">
        <v>0</v>
      </c>
      <c r="L81" s="117">
        <f t="shared" si="1"/>
        <v>3</v>
      </c>
      <c r="M81" s="117">
        <f t="shared" si="2"/>
        <v>12</v>
      </c>
      <c r="N81" s="106"/>
      <c r="O81" s="112"/>
    </row>
    <row r="82" ht="15.0" customHeight="1">
      <c r="A82" s="112"/>
      <c r="B82" s="112"/>
      <c r="C82" s="112"/>
      <c r="D82" s="129" t="s">
        <v>104</v>
      </c>
      <c r="E82" s="114" t="str">
        <f>VLOOKUP(D82,Data!H:I,2,0)</f>
        <v>Tekirdağ</v>
      </c>
      <c r="F82" s="115" t="str">
        <f>VLOOKUP(D82,Data!H:J,3,0)</f>
        <v>Freelance</v>
      </c>
      <c r="G82" s="139" t="b">
        <v>0</v>
      </c>
      <c r="H82" s="139" t="b">
        <v>0</v>
      </c>
      <c r="I82" s="139" t="b">
        <v>0</v>
      </c>
      <c r="J82" s="139" t="b">
        <v>0</v>
      </c>
      <c r="K82" s="139" t="b">
        <v>0</v>
      </c>
      <c r="L82" s="117">
        <f t="shared" si="1"/>
        <v>0</v>
      </c>
      <c r="M82" s="117">
        <f t="shared" si="2"/>
        <v>0</v>
      </c>
      <c r="N82" s="112"/>
      <c r="O82" s="112"/>
    </row>
    <row r="83" ht="15.0" customHeight="1">
      <c r="A83" s="112"/>
      <c r="B83" s="112"/>
      <c r="C83" s="112"/>
      <c r="D83" s="129" t="s">
        <v>154</v>
      </c>
      <c r="E83" s="114" t="str">
        <f>VLOOKUP(D83,Data!H:I,2,0)</f>
        <v>Uşak</v>
      </c>
      <c r="F83" s="115" t="str">
        <f>VLOOKUP(D83,Data!H:J,3,0)</f>
        <v>Nazım Öztel</v>
      </c>
      <c r="G83" s="139" t="b">
        <v>0</v>
      </c>
      <c r="H83" s="139" t="b">
        <v>1</v>
      </c>
      <c r="I83" s="139" t="b">
        <v>0</v>
      </c>
      <c r="J83" s="139" t="b">
        <v>0</v>
      </c>
      <c r="K83" s="139" t="b">
        <v>0</v>
      </c>
      <c r="L83" s="117">
        <f t="shared" si="1"/>
        <v>1</v>
      </c>
      <c r="M83" s="117">
        <f t="shared" si="2"/>
        <v>4</v>
      </c>
      <c r="N83" s="112"/>
      <c r="O83" s="112"/>
    </row>
    <row r="84" ht="15.0" customHeight="1">
      <c r="A84" s="112"/>
      <c r="B84" s="112"/>
      <c r="C84" s="112"/>
      <c r="D84" s="129" t="s">
        <v>176</v>
      </c>
      <c r="E84" s="144" t="s">
        <v>206</v>
      </c>
      <c r="F84" s="144" t="s">
        <v>61</v>
      </c>
      <c r="G84" s="139" t="b">
        <v>0</v>
      </c>
      <c r="H84" s="139" t="b">
        <v>0</v>
      </c>
      <c r="I84" s="139" t="b">
        <v>0</v>
      </c>
      <c r="J84" s="139" t="b">
        <v>0</v>
      </c>
      <c r="K84" s="139" t="b">
        <v>0</v>
      </c>
      <c r="L84" s="117">
        <f t="shared" si="1"/>
        <v>0</v>
      </c>
      <c r="M84" s="117">
        <f t="shared" si="2"/>
        <v>0</v>
      </c>
      <c r="N84" s="112"/>
      <c r="O84" s="112"/>
    </row>
    <row r="85" ht="15.0" customHeight="1">
      <c r="A85" s="112"/>
      <c r="B85" s="112"/>
      <c r="C85" s="112"/>
      <c r="D85" s="132"/>
      <c r="E85" s="132"/>
      <c r="F85" s="132"/>
      <c r="G85" s="117">
        <f t="shared" ref="G85:K85" si="3">4*(COUNTIF(G15:G84,"true"))</f>
        <v>56</v>
      </c>
      <c r="H85" s="117">
        <f t="shared" si="3"/>
        <v>80</v>
      </c>
      <c r="I85" s="117">
        <f t="shared" si="3"/>
        <v>80</v>
      </c>
      <c r="J85" s="117">
        <f t="shared" si="3"/>
        <v>68</v>
      </c>
      <c r="K85" s="117">
        <f t="shared" si="3"/>
        <v>68</v>
      </c>
      <c r="L85" s="135"/>
      <c r="M85" s="135">
        <f>SUM(G85:K85)</f>
        <v>352</v>
      </c>
      <c r="N85" s="112"/>
      <c r="O85" s="112"/>
    </row>
  </sheetData>
  <customSheetViews>
    <customSheetView guid="{90E1DF85-7252-44D2-BA7D-CC3767CD0E8B}" filter="1" showAutoFilter="1">
      <autoFilter ref="$A$14:$O$85">
        <filterColumn colId="4">
          <filters>
            <filter val="Kırklareli"/>
            <filter val="Samsun"/>
            <filter val="Burdur"/>
            <filter val="Bilecik"/>
            <filter val="Zonguldak"/>
            <filter val="Elazığ"/>
            <filter val="Düzce"/>
            <filter val="Malatya"/>
            <filter val="Denizli"/>
            <filter val="Çanakkale"/>
            <filter val="Aydın"/>
            <filter val="Osmaniye"/>
            <filter val="Edirne"/>
            <filter val="Afyon"/>
            <filter val="Muğla"/>
            <filter val="Eskişehir"/>
            <filter val="Kahramanmaraş"/>
            <filter val="Balıkesir"/>
            <filter val="Uşak"/>
          </filters>
        </filterColumn>
      </autoFilter>
    </customSheetView>
    <customSheetView guid="{70B995D3-3AEB-4DFE-A0CA-D6FFCCE596BC}" filter="1" showAutoFilter="1">
      <autoFilter ref="$D$14:$D$84"/>
    </customSheetView>
  </customSheetViews>
  <mergeCells count="4">
    <mergeCell ref="D6:K6"/>
    <mergeCell ref="D7:F7"/>
    <mergeCell ref="D9:D12"/>
    <mergeCell ref="F10:M11"/>
  </mergeCells>
  <conditionalFormatting sqref="G15:K84">
    <cfRule type="cellIs" dxfId="1" priority="1" operator="equal">
      <formula>"False"</formula>
    </cfRule>
  </conditionalFormatting>
  <conditionalFormatting sqref="G15:K84">
    <cfRule type="cellIs" dxfId="0" priority="2" operator="equal">
      <formula>"TRUE"</formula>
    </cfRule>
  </conditionalFormatting>
  <dataValidations>
    <dataValidation type="list" allowBlank="1" showErrorMessage="1" sqref="E15:E84">
      <formula1>Data!$A$2:$A$10</formula1>
    </dataValidation>
    <dataValidation type="list" allowBlank="1" showErrorMessage="1" sqref="F15:F84">
      <formula1>Data!$C$2:$C$8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3" width="2.63"/>
    <col customWidth="1" min="4" max="4" width="20.38"/>
    <col customWidth="1" min="5" max="5" width="11.38"/>
    <col customWidth="1" min="6" max="6" width="16.63"/>
    <col customWidth="1" min="7" max="11" width="8.63"/>
    <col customWidth="1" min="12" max="12" width="12.63"/>
    <col customWidth="1" min="13" max="13" width="15.13"/>
    <col customWidth="1" min="14" max="15" width="2.63"/>
  </cols>
  <sheetData>
    <row r="1" ht="7.5" customHeight="1">
      <c r="A1" s="140"/>
      <c r="B1" s="84"/>
      <c r="C1" s="84"/>
      <c r="D1" s="84"/>
      <c r="E1" s="84"/>
      <c r="F1" s="84"/>
      <c r="G1" s="84"/>
      <c r="H1" s="84"/>
      <c r="I1" s="84"/>
      <c r="J1" s="84"/>
      <c r="K1" s="84"/>
      <c r="L1" s="85"/>
      <c r="M1" s="86"/>
      <c r="N1" s="86"/>
      <c r="O1" s="86"/>
    </row>
    <row r="2" ht="15.0" customHeight="1">
      <c r="A2" s="87"/>
      <c r="B2" s="87"/>
      <c r="C2" s="87"/>
      <c r="D2" s="88"/>
      <c r="E2" s="88"/>
      <c r="F2" s="88"/>
      <c r="G2" s="88"/>
      <c r="H2" s="88"/>
      <c r="I2" s="88"/>
      <c r="J2" s="88"/>
      <c r="K2" s="88"/>
      <c r="L2" s="88"/>
      <c r="M2" s="87"/>
      <c r="N2" s="87"/>
      <c r="O2" s="87"/>
    </row>
    <row r="3" ht="3.75" customHeight="1">
      <c r="A3" s="87"/>
      <c r="B3" s="87"/>
      <c r="C3" s="87"/>
      <c r="D3" s="89"/>
      <c r="E3" s="90"/>
      <c r="F3" s="90"/>
      <c r="G3" s="90"/>
      <c r="H3" s="90"/>
      <c r="I3" s="90"/>
      <c r="J3" s="90"/>
      <c r="K3" s="90"/>
      <c r="L3" s="90"/>
      <c r="M3" s="87"/>
      <c r="N3" s="87"/>
      <c r="O3" s="87"/>
    </row>
    <row r="4" ht="15.0" customHeight="1">
      <c r="A4" s="87"/>
      <c r="B4" s="87"/>
      <c r="C4" s="87"/>
      <c r="D4" s="88"/>
      <c r="E4" s="88"/>
      <c r="F4" s="88"/>
      <c r="G4" s="91"/>
      <c r="H4" s="91"/>
      <c r="I4" s="91"/>
      <c r="J4" s="91"/>
      <c r="K4" s="91"/>
      <c r="L4" s="91"/>
      <c r="M4" s="87"/>
      <c r="N4" s="87"/>
      <c r="O4" s="87"/>
    </row>
    <row r="5" ht="15.0" customHeight="1">
      <c r="A5" s="92"/>
      <c r="B5" s="92"/>
      <c r="C5" s="92"/>
      <c r="D5" s="88"/>
      <c r="E5" s="88"/>
      <c r="F5" s="88"/>
      <c r="G5" s="93"/>
      <c r="H5" s="93"/>
      <c r="I5" s="93"/>
      <c r="J5" s="93"/>
      <c r="K5" s="93"/>
      <c r="L5" s="94"/>
      <c r="M5" s="88"/>
      <c r="N5" s="92"/>
      <c r="O5" s="92"/>
    </row>
    <row r="6" ht="15.0" customHeight="1">
      <c r="A6" s="92"/>
      <c r="B6" s="92"/>
      <c r="C6" s="92"/>
      <c r="D6" s="95" t="s">
        <v>219</v>
      </c>
      <c r="L6" s="94"/>
      <c r="M6" s="88"/>
      <c r="N6" s="92"/>
      <c r="O6" s="92"/>
    </row>
    <row r="7" ht="15.0" customHeight="1">
      <c r="A7" s="92"/>
      <c r="B7" s="92"/>
      <c r="C7" s="92"/>
      <c r="D7" s="96" t="s">
        <v>220</v>
      </c>
      <c r="G7" s="97"/>
      <c r="H7" s="97"/>
      <c r="I7" s="97"/>
      <c r="J7" s="97"/>
      <c r="K7" s="97"/>
      <c r="L7" s="92"/>
      <c r="M7" s="92"/>
      <c r="N7" s="92"/>
      <c r="O7" s="92"/>
    </row>
    <row r="8" ht="15.0" customHeight="1">
      <c r="A8" s="92"/>
      <c r="B8" s="92"/>
      <c r="C8" s="92"/>
      <c r="D8" s="97"/>
      <c r="E8" s="97"/>
      <c r="F8" s="97"/>
      <c r="G8" s="97"/>
      <c r="H8" s="97"/>
      <c r="I8" s="97"/>
      <c r="J8" s="97"/>
      <c r="K8" s="97"/>
      <c r="L8" s="92"/>
      <c r="M8" s="92"/>
      <c r="N8" s="92"/>
      <c r="O8" s="92"/>
    </row>
    <row r="9" ht="15.0" customHeight="1">
      <c r="A9" s="92"/>
      <c r="B9" s="92"/>
      <c r="C9" s="98"/>
      <c r="D9" s="99" t="s">
        <v>35</v>
      </c>
      <c r="E9" s="100"/>
      <c r="F9" s="101"/>
      <c r="G9" s="101"/>
      <c r="H9" s="101"/>
      <c r="I9" s="101"/>
      <c r="J9" s="101"/>
      <c r="K9" s="101"/>
      <c r="L9" s="101"/>
      <c r="M9" s="100"/>
      <c r="N9" s="102"/>
      <c r="O9" s="102"/>
    </row>
    <row r="10" ht="15.0" customHeight="1">
      <c r="A10" s="92"/>
      <c r="B10" s="92"/>
      <c r="C10" s="98"/>
      <c r="E10" s="100"/>
      <c r="F10" s="103" t="s">
        <v>36</v>
      </c>
      <c r="N10" s="102"/>
      <c r="O10" s="102"/>
    </row>
    <row r="11" ht="15.0" customHeight="1">
      <c r="A11" s="92"/>
      <c r="B11" s="92"/>
      <c r="C11" s="98"/>
      <c r="E11" s="100"/>
      <c r="N11" s="102"/>
      <c r="O11" s="102"/>
    </row>
    <row r="12" ht="15.0" customHeight="1">
      <c r="A12" s="88"/>
      <c r="B12" s="92"/>
      <c r="C12" s="92"/>
      <c r="E12" s="100"/>
      <c r="F12" s="100"/>
      <c r="G12" s="100"/>
      <c r="H12" s="100"/>
      <c r="I12" s="100"/>
      <c r="J12" s="100"/>
      <c r="K12" s="100"/>
      <c r="L12" s="100"/>
      <c r="M12" s="100"/>
      <c r="N12" s="102"/>
      <c r="O12" s="102"/>
    </row>
    <row r="13" ht="15.0" customHeight="1">
      <c r="A13" s="88"/>
      <c r="B13" s="104"/>
      <c r="C13" s="104"/>
      <c r="D13" s="104"/>
      <c r="E13" s="104"/>
      <c r="F13" s="105"/>
      <c r="G13" s="105"/>
      <c r="H13" s="105"/>
      <c r="I13" s="105"/>
      <c r="J13" s="105"/>
      <c r="K13" s="105"/>
      <c r="L13" s="104"/>
      <c r="M13" s="104"/>
      <c r="N13" s="104"/>
      <c r="O13" s="104"/>
    </row>
    <row r="14" ht="15.0" customHeight="1">
      <c r="A14" s="106"/>
      <c r="B14" s="106"/>
      <c r="C14" s="106"/>
      <c r="D14" s="107" t="s">
        <v>37</v>
      </c>
      <c r="E14" s="108" t="s">
        <v>38</v>
      </c>
      <c r="F14" s="109" t="s">
        <v>39</v>
      </c>
      <c r="G14" s="110">
        <v>44557.0</v>
      </c>
      <c r="H14" s="110">
        <v>44558.0</v>
      </c>
      <c r="I14" s="110">
        <v>44559.0</v>
      </c>
      <c r="J14" s="110">
        <v>44560.0</v>
      </c>
      <c r="K14" s="110">
        <v>44561.0</v>
      </c>
      <c r="L14" s="111" t="s">
        <v>40</v>
      </c>
      <c r="M14" s="111" t="s">
        <v>41</v>
      </c>
      <c r="N14" s="88"/>
      <c r="O14" s="88"/>
    </row>
    <row r="15" ht="15.0" customHeight="1">
      <c r="A15" s="112"/>
      <c r="B15" s="112"/>
      <c r="C15" s="112"/>
      <c r="D15" s="129" t="s">
        <v>42</v>
      </c>
      <c r="E15" s="114" t="str">
        <f>VLOOKUP(D15,Data!H:I,2,0)</f>
        <v>Adana</v>
      </c>
      <c r="F15" s="115" t="str">
        <f>VLOOKUP(D15,Data!H:J,3,0)</f>
        <v>Freelance</v>
      </c>
      <c r="G15" s="116" t="b">
        <v>0</v>
      </c>
      <c r="H15" s="116" t="b">
        <v>0</v>
      </c>
      <c r="I15" s="116" t="b">
        <v>1</v>
      </c>
      <c r="J15" s="116" t="b">
        <v>1</v>
      </c>
      <c r="K15" s="116" t="b">
        <v>0</v>
      </c>
      <c r="L15" s="117">
        <f t="shared" ref="L15:L84" si="1">COUNTIF(G15:K15,"TRUE")</f>
        <v>2</v>
      </c>
      <c r="M15" s="117">
        <f t="shared" ref="M15:M84" si="2">L15*4</f>
        <v>8</v>
      </c>
      <c r="N15" s="112"/>
      <c r="O15" s="88"/>
    </row>
    <row r="16" ht="15.0" customHeight="1">
      <c r="A16" s="112"/>
      <c r="B16" s="112"/>
      <c r="C16" s="112"/>
      <c r="D16" s="129" t="s">
        <v>196</v>
      </c>
      <c r="E16" s="114" t="str">
        <f>VLOOKUP(D16,Data!H:I,2,0)</f>
        <v>Afyon</v>
      </c>
      <c r="F16" s="115" t="str">
        <f>VLOOKUP(D16,Data!H:J,3,0)</f>
        <v>Nazım Öztel</v>
      </c>
      <c r="G16" s="116" t="b">
        <v>0</v>
      </c>
      <c r="H16" s="116" t="b">
        <v>0</v>
      </c>
      <c r="I16" s="116" t="b">
        <v>0</v>
      </c>
      <c r="J16" s="116" t="b">
        <v>0</v>
      </c>
      <c r="K16" s="116" t="b">
        <v>0</v>
      </c>
      <c r="L16" s="117">
        <f t="shared" si="1"/>
        <v>0</v>
      </c>
      <c r="M16" s="117">
        <f t="shared" si="2"/>
        <v>0</v>
      </c>
      <c r="N16" s="112"/>
      <c r="O16" s="88"/>
    </row>
    <row r="17" ht="15.0" customHeight="1">
      <c r="A17" s="112"/>
      <c r="B17" s="112"/>
      <c r="C17" s="112"/>
      <c r="D17" s="129" t="s">
        <v>189</v>
      </c>
      <c r="E17" s="114" t="str">
        <f>VLOOKUP(D17,Data!H:I,2,0)</f>
        <v>Ankara</v>
      </c>
      <c r="F17" s="115" t="str">
        <f>VLOOKUP(D17,Data!H:J,3,0)</f>
        <v>Nazım Öztel</v>
      </c>
      <c r="G17" s="116" t="b">
        <v>0</v>
      </c>
      <c r="H17" s="116" t="b">
        <v>0</v>
      </c>
      <c r="I17" s="116" t="b">
        <v>0</v>
      </c>
      <c r="J17" s="116" t="b">
        <v>0</v>
      </c>
      <c r="K17" s="116" t="b">
        <v>0</v>
      </c>
      <c r="L17" s="117">
        <f t="shared" si="1"/>
        <v>0</v>
      </c>
      <c r="M17" s="117">
        <f t="shared" si="2"/>
        <v>0</v>
      </c>
      <c r="N17" s="112"/>
      <c r="O17" s="88"/>
    </row>
    <row r="18" ht="15.0" customHeight="1">
      <c r="A18" s="106"/>
      <c r="B18" s="106"/>
      <c r="C18" s="106"/>
      <c r="D18" s="129" t="s">
        <v>164</v>
      </c>
      <c r="E18" s="114" t="str">
        <f>VLOOKUP(D18,Data!H:I,2,0)</f>
        <v>Antalya</v>
      </c>
      <c r="F18" s="115" t="str">
        <f>VLOOKUP(D18,Data!H:J,3,0)</f>
        <v>Nazım Öztel</v>
      </c>
      <c r="G18" s="116" t="b">
        <v>1</v>
      </c>
      <c r="H18" s="116" t="b">
        <v>0</v>
      </c>
      <c r="I18" s="116" t="b">
        <v>0</v>
      </c>
      <c r="J18" s="116" t="b">
        <v>1</v>
      </c>
      <c r="K18" s="116" t="b">
        <v>1</v>
      </c>
      <c r="L18" s="117">
        <f t="shared" si="1"/>
        <v>3</v>
      </c>
      <c r="M18" s="117">
        <f t="shared" si="2"/>
        <v>12</v>
      </c>
      <c r="N18" s="112"/>
      <c r="O18" s="106"/>
    </row>
    <row r="19" ht="15.0" customHeight="1">
      <c r="A19" s="106"/>
      <c r="B19" s="106"/>
      <c r="C19" s="106"/>
      <c r="D19" s="129" t="s">
        <v>152</v>
      </c>
      <c r="E19" s="114" t="str">
        <f>VLOOKUP(D19,Data!H:I,2,0)</f>
        <v>Antalya</v>
      </c>
      <c r="F19" s="115" t="str">
        <f>VLOOKUP(D19,Data!H:J,3,0)</f>
        <v>Nazım Öztel</v>
      </c>
      <c r="G19" s="116" t="b">
        <v>0</v>
      </c>
      <c r="H19" s="116" t="b">
        <v>0</v>
      </c>
      <c r="I19" s="116" t="b">
        <v>0</v>
      </c>
      <c r="J19" s="116" t="b">
        <v>0</v>
      </c>
      <c r="K19" s="116" t="b">
        <v>0</v>
      </c>
      <c r="L19" s="117">
        <f t="shared" si="1"/>
        <v>0</v>
      </c>
      <c r="M19" s="117">
        <f t="shared" si="2"/>
        <v>0</v>
      </c>
      <c r="N19" s="112"/>
      <c r="O19" s="106"/>
    </row>
    <row r="20" ht="15.0" customHeight="1">
      <c r="A20" s="112"/>
      <c r="B20" s="112"/>
      <c r="C20" s="112"/>
      <c r="D20" s="129" t="s">
        <v>50</v>
      </c>
      <c r="E20" s="114" t="str">
        <f>VLOOKUP(D20,Data!H:I,2,0)</f>
        <v>Antalya</v>
      </c>
      <c r="F20" s="115" t="str">
        <f>VLOOKUP(D20,Data!H:J,3,0)</f>
        <v>Freelance</v>
      </c>
      <c r="G20" s="116" t="b">
        <v>0</v>
      </c>
      <c r="H20" s="116" t="b">
        <v>0</v>
      </c>
      <c r="I20" s="116" t="b">
        <v>0</v>
      </c>
      <c r="J20" s="116" t="b">
        <v>0</v>
      </c>
      <c r="K20" s="116" t="b">
        <v>0</v>
      </c>
      <c r="L20" s="117">
        <f t="shared" si="1"/>
        <v>0</v>
      </c>
      <c r="M20" s="117">
        <f t="shared" si="2"/>
        <v>0</v>
      </c>
      <c r="N20" s="112"/>
      <c r="O20" s="112"/>
    </row>
    <row r="21" ht="15.0" customHeight="1">
      <c r="A21" s="112"/>
      <c r="B21" s="112"/>
      <c r="C21" s="112"/>
      <c r="D21" s="129" t="s">
        <v>159</v>
      </c>
      <c r="E21" s="114" t="str">
        <f>VLOOKUP(D21,Data!H:I,2,0)</f>
        <v>Aydın</v>
      </c>
      <c r="F21" s="115" t="str">
        <f>VLOOKUP(D21,Data!H:J,3,0)</f>
        <v>Nazım Öztel</v>
      </c>
      <c r="G21" s="116" t="b">
        <v>0</v>
      </c>
      <c r="H21" s="116" t="b">
        <v>0</v>
      </c>
      <c r="I21" s="116" t="b">
        <v>0</v>
      </c>
      <c r="J21" s="116" t="b">
        <v>0</v>
      </c>
      <c r="K21" s="116" t="b">
        <v>0</v>
      </c>
      <c r="L21" s="117">
        <f t="shared" si="1"/>
        <v>0</v>
      </c>
      <c r="M21" s="117">
        <f t="shared" si="2"/>
        <v>0</v>
      </c>
      <c r="N21" s="112"/>
      <c r="O21" s="112"/>
    </row>
    <row r="22" ht="15.0" customHeight="1">
      <c r="A22" s="112"/>
      <c r="B22" s="112"/>
      <c r="C22" s="112"/>
      <c r="D22" s="129" t="s">
        <v>197</v>
      </c>
      <c r="E22" s="114" t="str">
        <f>VLOOKUP(D22,Data!H:I,2,0)</f>
        <v>Aydın</v>
      </c>
      <c r="F22" s="115" t="str">
        <f>VLOOKUP(D22,Data!H:J,3,0)</f>
        <v>Nazım Öztel</v>
      </c>
      <c r="G22" s="116" t="b">
        <v>1</v>
      </c>
      <c r="H22" s="116" t="b">
        <v>1</v>
      </c>
      <c r="I22" s="116" t="b">
        <v>1</v>
      </c>
      <c r="J22" s="116" t="b">
        <v>1</v>
      </c>
      <c r="K22" s="116" t="b">
        <v>1</v>
      </c>
      <c r="L22" s="117">
        <f t="shared" si="1"/>
        <v>5</v>
      </c>
      <c r="M22" s="117">
        <f t="shared" si="2"/>
        <v>20</v>
      </c>
      <c r="N22" s="112"/>
      <c r="O22" s="112"/>
    </row>
    <row r="23" ht="15.0" customHeight="1">
      <c r="A23" s="112"/>
      <c r="B23" s="112"/>
      <c r="C23" s="112"/>
      <c r="D23" s="129" t="s">
        <v>52</v>
      </c>
      <c r="E23" s="114" t="s">
        <v>184</v>
      </c>
      <c r="F23" s="115" t="s">
        <v>61</v>
      </c>
      <c r="G23" s="116" t="b">
        <v>0</v>
      </c>
      <c r="H23" s="116" t="b">
        <v>0</v>
      </c>
      <c r="I23" s="116" t="b">
        <v>0</v>
      </c>
      <c r="J23" s="116" t="b">
        <v>0</v>
      </c>
      <c r="K23" s="116" t="b">
        <v>0</v>
      </c>
      <c r="L23" s="117">
        <f t="shared" si="1"/>
        <v>0</v>
      </c>
      <c r="M23" s="117">
        <f t="shared" si="2"/>
        <v>0</v>
      </c>
      <c r="N23" s="112"/>
      <c r="O23" s="112"/>
    </row>
    <row r="24" ht="15.0" customHeight="1">
      <c r="A24" s="112"/>
      <c r="B24" s="112"/>
      <c r="C24" s="112"/>
      <c r="D24" s="129" t="s">
        <v>198</v>
      </c>
      <c r="E24" s="114" t="s">
        <v>181</v>
      </c>
      <c r="F24" s="115" t="s">
        <v>61</v>
      </c>
      <c r="G24" s="116" t="b">
        <v>0</v>
      </c>
      <c r="H24" s="116" t="b">
        <v>0</v>
      </c>
      <c r="I24" s="116" t="b">
        <v>0</v>
      </c>
      <c r="J24" s="116" t="b">
        <v>0</v>
      </c>
      <c r="K24" s="116" t="b">
        <v>0</v>
      </c>
      <c r="L24" s="117">
        <f t="shared" si="1"/>
        <v>0</v>
      </c>
      <c r="M24" s="117">
        <f t="shared" si="2"/>
        <v>0</v>
      </c>
      <c r="N24" s="112"/>
      <c r="O24" s="112"/>
    </row>
    <row r="25" ht="15.0" customHeight="1">
      <c r="A25" s="112"/>
      <c r="B25" s="112"/>
      <c r="C25" s="112"/>
      <c r="D25" s="129" t="s">
        <v>52</v>
      </c>
      <c r="E25" s="114" t="s">
        <v>181</v>
      </c>
      <c r="F25" s="115" t="s">
        <v>61</v>
      </c>
      <c r="G25" s="116" t="b">
        <v>0</v>
      </c>
      <c r="H25" s="116" t="b">
        <v>0</v>
      </c>
      <c r="I25" s="116" t="b">
        <v>0</v>
      </c>
      <c r="J25" s="116" t="b">
        <v>0</v>
      </c>
      <c r="K25" s="116" t="b">
        <v>0</v>
      </c>
      <c r="L25" s="117">
        <f t="shared" si="1"/>
        <v>0</v>
      </c>
      <c r="M25" s="117">
        <f t="shared" si="2"/>
        <v>0</v>
      </c>
      <c r="N25" s="112"/>
      <c r="O25" s="112"/>
    </row>
    <row r="26" ht="15.0" customHeight="1">
      <c r="A26" s="112"/>
      <c r="B26" s="112"/>
      <c r="C26" s="112"/>
      <c r="D26" s="129" t="s">
        <v>160</v>
      </c>
      <c r="E26" s="114" t="str">
        <f>VLOOKUP(D26,Data!H:I,2,0)</f>
        <v>Burdur</v>
      </c>
      <c r="F26" s="115" t="str">
        <f>VLOOKUP(D26,Data!H:J,3,0)</f>
        <v>Nazım Öztel</v>
      </c>
      <c r="G26" s="116" t="b">
        <v>0</v>
      </c>
      <c r="H26" s="116" t="b">
        <v>0</v>
      </c>
      <c r="I26" s="116" t="b">
        <v>0</v>
      </c>
      <c r="J26" s="116" t="b">
        <v>0</v>
      </c>
      <c r="K26" s="116" t="b">
        <v>0</v>
      </c>
      <c r="L26" s="117">
        <f t="shared" si="1"/>
        <v>0</v>
      </c>
      <c r="M26" s="117">
        <f t="shared" si="2"/>
        <v>0</v>
      </c>
      <c r="N26" s="112"/>
      <c r="O26" s="112"/>
    </row>
    <row r="27" ht="15.0" customHeight="1">
      <c r="A27" s="112"/>
      <c r="B27" s="112"/>
      <c r="C27" s="112"/>
      <c r="D27" s="132" t="s">
        <v>52</v>
      </c>
      <c r="E27" s="114" t="str">
        <f>VLOOKUP(D27,Data!H:I,2,0)</f>
        <v>Bursa</v>
      </c>
      <c r="F27" s="115" t="str">
        <f>VLOOKUP(D27,Data!H:J,3,0)</f>
        <v>Nazım Öztel</v>
      </c>
      <c r="G27" s="116" t="b">
        <v>0</v>
      </c>
      <c r="H27" s="116" t="b">
        <v>0</v>
      </c>
      <c r="I27" s="116" t="b">
        <v>0</v>
      </c>
      <c r="J27" s="116" t="b">
        <v>0</v>
      </c>
      <c r="K27" s="116" t="b">
        <v>0</v>
      </c>
      <c r="L27" s="117">
        <f t="shared" si="1"/>
        <v>0</v>
      </c>
      <c r="M27" s="117">
        <f t="shared" si="2"/>
        <v>0</v>
      </c>
      <c r="N27" s="122"/>
      <c r="O27" s="112"/>
    </row>
    <row r="28" ht="15.0" customHeight="1">
      <c r="A28" s="112"/>
      <c r="B28" s="112"/>
      <c r="C28" s="112"/>
      <c r="D28" s="129" t="s">
        <v>53</v>
      </c>
      <c r="E28" s="114" t="str">
        <f>VLOOKUP(D28,Data!H:I,2,0)</f>
        <v>Bursa</v>
      </c>
      <c r="F28" s="115" t="str">
        <f>VLOOKUP(D28,Data!H:J,3,0)</f>
        <v>Freelance</v>
      </c>
      <c r="G28" s="116" t="b">
        <v>0</v>
      </c>
      <c r="H28" s="116" t="b">
        <v>1</v>
      </c>
      <c r="I28" s="116" t="b">
        <v>1</v>
      </c>
      <c r="J28" s="116" t="b">
        <v>1</v>
      </c>
      <c r="K28" s="116" t="b">
        <v>0</v>
      </c>
      <c r="L28" s="117">
        <f t="shared" si="1"/>
        <v>3</v>
      </c>
      <c r="M28" s="117">
        <f t="shared" si="2"/>
        <v>12</v>
      </c>
      <c r="N28" s="112"/>
      <c r="O28" s="112"/>
    </row>
    <row r="29" ht="15.0" customHeight="1">
      <c r="A29" s="112"/>
      <c r="B29" s="112"/>
      <c r="C29" s="112"/>
      <c r="D29" s="129" t="s">
        <v>190</v>
      </c>
      <c r="E29" s="114" t="str">
        <f>VLOOKUP(D29,Data!H:I,2,0)</f>
        <v>Çanakkale</v>
      </c>
      <c r="F29" s="115" t="str">
        <f>VLOOKUP(D29,Data!H:J,3,0)</f>
        <v>Nazım Öztel</v>
      </c>
      <c r="G29" s="116" t="b">
        <v>0</v>
      </c>
      <c r="H29" s="116" t="b">
        <v>0</v>
      </c>
      <c r="I29" s="116" t="b">
        <v>0</v>
      </c>
      <c r="J29" s="116" t="b">
        <v>0</v>
      </c>
      <c r="K29" s="116" t="b">
        <v>0</v>
      </c>
      <c r="L29" s="117">
        <f t="shared" si="1"/>
        <v>0</v>
      </c>
      <c r="M29" s="117">
        <f t="shared" si="2"/>
        <v>0</v>
      </c>
      <c r="N29" s="112"/>
      <c r="O29" s="112"/>
    </row>
    <row r="30" ht="15.0" customHeight="1">
      <c r="A30" s="112"/>
      <c r="B30" s="112"/>
      <c r="C30" s="112"/>
      <c r="D30" s="129" t="s">
        <v>221</v>
      </c>
      <c r="E30" s="114" t="str">
        <f>VLOOKUP(D30,Data!H:I,2,0)</f>
        <v>Çorum</v>
      </c>
      <c r="F30" s="115" t="str">
        <f>VLOOKUP(D30,Data!H:J,3,0)</f>
        <v>Nazım Öztel</v>
      </c>
      <c r="G30" s="116" t="b">
        <v>0</v>
      </c>
      <c r="H30" s="116" t="b">
        <v>0</v>
      </c>
      <c r="I30" s="116" t="b">
        <v>1</v>
      </c>
      <c r="J30" s="116" t="b">
        <v>0</v>
      </c>
      <c r="K30" s="116" t="b">
        <v>1</v>
      </c>
      <c r="L30" s="117">
        <f t="shared" si="1"/>
        <v>2</v>
      </c>
      <c r="M30" s="117">
        <f t="shared" si="2"/>
        <v>8</v>
      </c>
      <c r="N30" s="112"/>
      <c r="O30" s="112"/>
    </row>
    <row r="31" ht="15.0" customHeight="1">
      <c r="A31" s="112"/>
      <c r="B31" s="112"/>
      <c r="C31" s="112"/>
      <c r="D31" s="129" t="s">
        <v>191</v>
      </c>
      <c r="E31" s="114" t="str">
        <f>VLOOKUP(D31,Data!H:I,2,0)</f>
        <v>Denizli</v>
      </c>
      <c r="F31" s="115" t="str">
        <f>VLOOKUP(D31,Data!H:J,3,0)</f>
        <v>Nazım Öztel</v>
      </c>
      <c r="G31" s="116" t="b">
        <v>0</v>
      </c>
      <c r="H31" s="116" t="b">
        <v>0</v>
      </c>
      <c r="I31" s="116" t="b">
        <v>0</v>
      </c>
      <c r="J31" s="116" t="b">
        <v>0</v>
      </c>
      <c r="K31" s="116" t="b">
        <v>0</v>
      </c>
      <c r="L31" s="117">
        <f t="shared" si="1"/>
        <v>0</v>
      </c>
      <c r="M31" s="117">
        <f t="shared" si="2"/>
        <v>0</v>
      </c>
      <c r="N31" s="112"/>
      <c r="O31" s="112"/>
    </row>
    <row r="32" ht="15.0" customHeight="1">
      <c r="A32" s="112"/>
      <c r="B32" s="112"/>
      <c r="C32" s="112"/>
      <c r="D32" s="132" t="s">
        <v>54</v>
      </c>
      <c r="E32" s="114" t="str">
        <f>VLOOKUP(D32,Data!H:I,2,0)</f>
        <v>Diyarbakır</v>
      </c>
      <c r="F32" s="115" t="str">
        <f>VLOOKUP(D32,Data!H:J,3,0)</f>
        <v>Nazım Öztel</v>
      </c>
      <c r="G32" s="116" t="b">
        <v>0</v>
      </c>
      <c r="H32" s="116" t="b">
        <v>0</v>
      </c>
      <c r="I32" s="116" t="b">
        <v>0</v>
      </c>
      <c r="J32" s="116" t="b">
        <v>0</v>
      </c>
      <c r="K32" s="116" t="b">
        <v>0</v>
      </c>
      <c r="L32" s="117">
        <f t="shared" si="1"/>
        <v>0</v>
      </c>
      <c r="M32" s="117">
        <f t="shared" si="2"/>
        <v>0</v>
      </c>
      <c r="N32" s="112"/>
      <c r="O32" s="112"/>
    </row>
    <row r="33" ht="15.0" customHeight="1">
      <c r="A33" s="112"/>
      <c r="B33" s="112"/>
      <c r="C33" s="112"/>
      <c r="D33" s="129" t="s">
        <v>173</v>
      </c>
      <c r="E33" s="114" t="str">
        <f>VLOOKUP(D33,Data!H:I,2,0)</f>
        <v>Düzce</v>
      </c>
      <c r="F33" s="115" t="str">
        <f>VLOOKUP(D33,Data!H:J,3,0)</f>
        <v>Nazım Öztel</v>
      </c>
      <c r="G33" s="116" t="b">
        <v>0</v>
      </c>
      <c r="H33" s="116" t="b">
        <v>0</v>
      </c>
      <c r="I33" s="116" t="b">
        <v>0</v>
      </c>
      <c r="J33" s="116" t="b">
        <v>0</v>
      </c>
      <c r="K33" s="116" t="b">
        <v>0</v>
      </c>
      <c r="L33" s="117">
        <f t="shared" si="1"/>
        <v>0</v>
      </c>
      <c r="M33" s="117">
        <f t="shared" si="2"/>
        <v>0</v>
      </c>
      <c r="N33" s="112"/>
      <c r="O33" s="112"/>
    </row>
    <row r="34" ht="15.0" customHeight="1">
      <c r="A34" s="112"/>
      <c r="B34" s="112"/>
      <c r="C34" s="112"/>
      <c r="D34" s="129" t="s">
        <v>153</v>
      </c>
      <c r="E34" s="114" t="str">
        <f>VLOOKUP(D34,Data!H:I,2,0)</f>
        <v>Edirne</v>
      </c>
      <c r="F34" s="115" t="str">
        <f>VLOOKUP(D34,Data!H:J,3,0)</f>
        <v>Nazım Öztel</v>
      </c>
      <c r="G34" s="116" t="b">
        <v>0</v>
      </c>
      <c r="H34" s="116" t="b">
        <v>0</v>
      </c>
      <c r="I34" s="116" t="b">
        <v>0</v>
      </c>
      <c r="J34" s="116" t="b">
        <v>0</v>
      </c>
      <c r="K34" s="116" t="b">
        <v>0</v>
      </c>
      <c r="L34" s="117">
        <f t="shared" si="1"/>
        <v>0</v>
      </c>
      <c r="M34" s="117">
        <f t="shared" si="2"/>
        <v>0</v>
      </c>
      <c r="N34" s="112"/>
      <c r="O34" s="112"/>
    </row>
    <row r="35" ht="15.0" customHeight="1">
      <c r="A35" s="112"/>
      <c r="B35" s="112"/>
      <c r="C35" s="112"/>
      <c r="D35" s="129" t="s">
        <v>199</v>
      </c>
      <c r="E35" s="114" t="str">
        <f>VLOOKUP(D35,Data!H:I,2,0)</f>
        <v>Elazığ</v>
      </c>
      <c r="F35" s="115" t="str">
        <f>VLOOKUP(D35,Data!H:J,3,0)</f>
        <v>Nazım Öztel</v>
      </c>
      <c r="G35" s="116" t="b">
        <v>0</v>
      </c>
      <c r="H35" s="116" t="b">
        <v>0</v>
      </c>
      <c r="I35" s="116" t="b">
        <v>0</v>
      </c>
      <c r="J35" s="116" t="b">
        <v>0</v>
      </c>
      <c r="K35" s="116" t="b">
        <v>0</v>
      </c>
      <c r="L35" s="117">
        <f t="shared" si="1"/>
        <v>0</v>
      </c>
      <c r="M35" s="117">
        <f t="shared" si="2"/>
        <v>0</v>
      </c>
      <c r="N35" s="112"/>
      <c r="O35" s="112"/>
    </row>
    <row r="36" ht="15.0" customHeight="1">
      <c r="A36" s="112"/>
      <c r="B36" s="112"/>
      <c r="C36" s="112"/>
      <c r="D36" s="132" t="s">
        <v>55</v>
      </c>
      <c r="E36" s="114" t="str">
        <f>VLOOKUP(D36,Data!H:I,2,0)</f>
        <v>Erzurum</v>
      </c>
      <c r="F36" s="115" t="str">
        <f>VLOOKUP(D36,Data!H:J,3,0)</f>
        <v>Nazım Öztel</v>
      </c>
      <c r="G36" s="116" t="b">
        <v>0</v>
      </c>
      <c r="H36" s="116" t="b">
        <v>0</v>
      </c>
      <c r="I36" s="116" t="b">
        <v>0</v>
      </c>
      <c r="J36" s="116" t="b">
        <v>0</v>
      </c>
      <c r="K36" s="116" t="b">
        <v>0</v>
      </c>
      <c r="L36" s="117">
        <f t="shared" si="1"/>
        <v>0</v>
      </c>
      <c r="M36" s="117">
        <f t="shared" si="2"/>
        <v>0</v>
      </c>
      <c r="N36" s="112"/>
      <c r="O36" s="112"/>
    </row>
    <row r="37" ht="15.0" customHeight="1">
      <c r="A37" s="112"/>
      <c r="B37" s="112"/>
      <c r="C37" s="112"/>
      <c r="D37" s="129" t="s">
        <v>165</v>
      </c>
      <c r="E37" s="114" t="str">
        <f>VLOOKUP(D37,Data!H:I,2,0)</f>
        <v>Eskişehir</v>
      </c>
      <c r="F37" s="115" t="str">
        <f>VLOOKUP(D37,Data!H:J,3,0)</f>
        <v>Nazım Öztel</v>
      </c>
      <c r="G37" s="116" t="b">
        <v>1</v>
      </c>
      <c r="H37" s="116" t="b">
        <v>0</v>
      </c>
      <c r="I37" s="116" t="b">
        <v>1</v>
      </c>
      <c r="J37" s="116" t="b">
        <v>1</v>
      </c>
      <c r="K37" s="116" t="b">
        <v>0</v>
      </c>
      <c r="L37" s="117">
        <f t="shared" si="1"/>
        <v>3</v>
      </c>
      <c r="M37" s="117">
        <f t="shared" si="2"/>
        <v>12</v>
      </c>
      <c r="N37" s="112"/>
      <c r="O37" s="112"/>
    </row>
    <row r="38" ht="15.0" customHeight="1">
      <c r="A38" s="112"/>
      <c r="B38" s="112"/>
      <c r="C38" s="112"/>
      <c r="D38" s="129" t="s">
        <v>58</v>
      </c>
      <c r="E38" s="114" t="str">
        <f>VLOOKUP(D38,Data!H:I,2,0)</f>
        <v>İstanbul</v>
      </c>
      <c r="F38" s="115" t="str">
        <f>VLOOKUP(D38,Data!H:J,3,0)</f>
        <v>Freelance</v>
      </c>
      <c r="G38" s="116" t="b">
        <v>1</v>
      </c>
      <c r="H38" s="116" t="b">
        <v>1</v>
      </c>
      <c r="I38" s="116" t="b">
        <v>1</v>
      </c>
      <c r="J38" s="116" t="b">
        <v>0</v>
      </c>
      <c r="K38" s="116" t="b">
        <v>0</v>
      </c>
      <c r="L38" s="117">
        <f t="shared" si="1"/>
        <v>3</v>
      </c>
      <c r="M38" s="117">
        <f t="shared" si="2"/>
        <v>12</v>
      </c>
      <c r="N38" s="88"/>
      <c r="O38" s="112"/>
    </row>
    <row r="39" ht="15.0" customHeight="1">
      <c r="A39" s="112"/>
      <c r="B39" s="112"/>
      <c r="C39" s="112"/>
      <c r="D39" s="129" t="s">
        <v>123</v>
      </c>
      <c r="E39" s="114" t="str">
        <f>VLOOKUP(D39,Data!H:I,2,0)</f>
        <v>İstanbul</v>
      </c>
      <c r="F39" s="115" t="str">
        <f>VLOOKUP(D39,Data!H:J,3,0)</f>
        <v>Freelance</v>
      </c>
      <c r="G39" s="116" t="b">
        <v>0</v>
      </c>
      <c r="H39" s="116" t="b">
        <v>0</v>
      </c>
      <c r="I39" s="116" t="b">
        <v>0</v>
      </c>
      <c r="J39" s="116" t="b">
        <v>0</v>
      </c>
      <c r="K39" s="116" t="b">
        <v>0</v>
      </c>
      <c r="L39" s="117">
        <f t="shared" si="1"/>
        <v>0</v>
      </c>
      <c r="M39" s="117">
        <f t="shared" si="2"/>
        <v>0</v>
      </c>
      <c r="N39" s="88"/>
      <c r="O39" s="112"/>
    </row>
    <row r="40" ht="15.0" customHeight="1">
      <c r="A40" s="121"/>
      <c r="B40" s="121"/>
      <c r="C40" s="121"/>
      <c r="D40" s="129" t="s">
        <v>209</v>
      </c>
      <c r="E40" s="114" t="str">
        <f>VLOOKUP(D40,Data!H:I,2,0)</f>
        <v>İstanbul</v>
      </c>
      <c r="F40" s="115" t="str">
        <f>VLOOKUP(D40,Data!H:J,3,0)</f>
        <v>Filamingo</v>
      </c>
      <c r="G40" s="116" t="b">
        <v>0</v>
      </c>
      <c r="H40" s="116" t="b">
        <v>0</v>
      </c>
      <c r="I40" s="116" t="b">
        <v>0</v>
      </c>
      <c r="J40" s="116" t="b">
        <v>0</v>
      </c>
      <c r="K40" s="116" t="b">
        <v>0</v>
      </c>
      <c r="L40" s="117">
        <f t="shared" si="1"/>
        <v>0</v>
      </c>
      <c r="M40" s="117">
        <f t="shared" si="2"/>
        <v>0</v>
      </c>
      <c r="N40" s="121"/>
      <c r="O40" s="121"/>
    </row>
    <row r="41" ht="15.0" customHeight="1">
      <c r="A41" s="121"/>
      <c r="B41" s="121"/>
      <c r="C41" s="121"/>
      <c r="D41" s="129" t="s">
        <v>134</v>
      </c>
      <c r="E41" s="114" t="str">
        <f>VLOOKUP(D41,Data!H:I,2,0)</f>
        <v>İstanbul</v>
      </c>
      <c r="F41" s="115" t="str">
        <f>VLOOKUP(D41,Data!H:J,3,0)</f>
        <v>Filamingo</v>
      </c>
      <c r="G41" s="116" t="b">
        <v>0</v>
      </c>
      <c r="H41" s="116" t="b">
        <v>0</v>
      </c>
      <c r="I41" s="116" t="b">
        <v>0</v>
      </c>
      <c r="J41" s="116" t="b">
        <v>0</v>
      </c>
      <c r="K41" s="116" t="b">
        <v>0</v>
      </c>
      <c r="L41" s="117">
        <f t="shared" si="1"/>
        <v>0</v>
      </c>
      <c r="M41" s="117">
        <f t="shared" si="2"/>
        <v>0</v>
      </c>
      <c r="N41" s="121"/>
      <c r="O41" s="121"/>
    </row>
    <row r="42" ht="15.0" customHeight="1">
      <c r="A42" s="112"/>
      <c r="B42" s="112"/>
      <c r="C42" s="112"/>
      <c r="D42" s="132" t="s">
        <v>117</v>
      </c>
      <c r="E42" s="114" t="str">
        <f>VLOOKUP(D42,Data!H:I,2,0)</f>
        <v>İstanbul</v>
      </c>
      <c r="F42" s="115" t="str">
        <f>VLOOKUP(D42,Data!H:J,3,0)</f>
        <v>Freelance</v>
      </c>
      <c r="G42" s="116" t="b">
        <v>0</v>
      </c>
      <c r="H42" s="116" t="b">
        <v>0</v>
      </c>
      <c r="I42" s="116" t="b">
        <v>0</v>
      </c>
      <c r="J42" s="116" t="b">
        <v>0</v>
      </c>
      <c r="K42" s="116" t="b">
        <v>0</v>
      </c>
      <c r="L42" s="117">
        <f t="shared" si="1"/>
        <v>0</v>
      </c>
      <c r="M42" s="117">
        <f t="shared" si="2"/>
        <v>0</v>
      </c>
      <c r="N42" s="112"/>
      <c r="O42" s="112"/>
    </row>
    <row r="43" ht="15.0" customHeight="1">
      <c r="A43" s="112"/>
      <c r="B43" s="112"/>
      <c r="C43" s="112"/>
      <c r="D43" s="129" t="s">
        <v>135</v>
      </c>
      <c r="E43" s="114" t="str">
        <f>VLOOKUP(D43,Data!H:I,2,0)</f>
        <v>İstanbul</v>
      </c>
      <c r="F43" s="115" t="str">
        <f>VLOOKUP(D43,Data!H:J,3,0)</f>
        <v>Freelance</v>
      </c>
      <c r="G43" s="116" t="b">
        <v>0</v>
      </c>
      <c r="H43" s="116" t="b">
        <v>0</v>
      </c>
      <c r="I43" s="116" t="b">
        <v>0</v>
      </c>
      <c r="J43" s="116" t="b">
        <v>0</v>
      </c>
      <c r="K43" s="116" t="b">
        <v>0</v>
      </c>
      <c r="L43" s="117">
        <f t="shared" si="1"/>
        <v>0</v>
      </c>
      <c r="M43" s="117">
        <f t="shared" si="2"/>
        <v>0</v>
      </c>
      <c r="N43" s="112"/>
      <c r="O43" s="112"/>
    </row>
    <row r="44" ht="15.0" customHeight="1">
      <c r="A44" s="112"/>
      <c r="B44" s="112"/>
      <c r="C44" s="112"/>
      <c r="D44" s="129" t="s">
        <v>70</v>
      </c>
      <c r="E44" s="114" t="str">
        <f>VLOOKUP(D44,Data!H:I,2,0)</f>
        <v>İstanbul</v>
      </c>
      <c r="F44" s="115" t="str">
        <f>VLOOKUP(D44,Data!H:J,3,0)</f>
        <v>Freelance</v>
      </c>
      <c r="G44" s="116" t="b">
        <v>0</v>
      </c>
      <c r="H44" s="116" t="b">
        <v>0</v>
      </c>
      <c r="I44" s="116" t="b">
        <v>0</v>
      </c>
      <c r="J44" s="116" t="b">
        <v>0</v>
      </c>
      <c r="K44" s="116" t="b">
        <v>0</v>
      </c>
      <c r="L44" s="117">
        <f t="shared" si="1"/>
        <v>0</v>
      </c>
      <c r="M44" s="117">
        <f t="shared" si="2"/>
        <v>0</v>
      </c>
      <c r="N44" s="112"/>
      <c r="O44" s="112"/>
    </row>
    <row r="45" ht="15.0" customHeight="1">
      <c r="A45" s="112"/>
      <c r="B45" s="112"/>
      <c r="C45" s="112"/>
      <c r="D45" s="129" t="s">
        <v>174</v>
      </c>
      <c r="E45" s="114" t="str">
        <f>VLOOKUP(D45,Data!H:I,2,0)</f>
        <v>İstanbul</v>
      </c>
      <c r="F45" s="115" t="str">
        <f>VLOOKUP(D45,Data!H:J,3,0)</f>
        <v>Freelance</v>
      </c>
      <c r="G45" s="116" t="b">
        <v>0</v>
      </c>
      <c r="H45" s="116" t="b">
        <v>0</v>
      </c>
      <c r="I45" s="116" t="b">
        <v>0</v>
      </c>
      <c r="J45" s="116" t="b">
        <v>0</v>
      </c>
      <c r="K45" s="116" t="b">
        <v>0</v>
      </c>
      <c r="L45" s="117">
        <f t="shared" si="1"/>
        <v>0</v>
      </c>
      <c r="M45" s="117">
        <f t="shared" si="2"/>
        <v>0</v>
      </c>
      <c r="N45" s="112"/>
      <c r="O45" s="112"/>
    </row>
    <row r="46" ht="15.0" customHeight="1">
      <c r="A46" s="112"/>
      <c r="B46" s="112"/>
      <c r="C46" s="112"/>
      <c r="D46" s="129" t="s">
        <v>78</v>
      </c>
      <c r="E46" s="114" t="str">
        <f>VLOOKUP(D46,Data!H:I,2,0)</f>
        <v>İstanbul</v>
      </c>
      <c r="F46" s="115" t="str">
        <f>VLOOKUP(D46,Data!H:J,3,0)</f>
        <v>Freelance</v>
      </c>
      <c r="G46" s="116" t="b">
        <v>1</v>
      </c>
      <c r="H46" s="116" t="b">
        <v>1</v>
      </c>
      <c r="I46" s="116" t="b">
        <v>1</v>
      </c>
      <c r="J46" s="116" t="b">
        <v>1</v>
      </c>
      <c r="K46" s="116" t="b">
        <v>1</v>
      </c>
      <c r="L46" s="117">
        <f t="shared" si="1"/>
        <v>5</v>
      </c>
      <c r="M46" s="117">
        <f t="shared" si="2"/>
        <v>20</v>
      </c>
      <c r="N46" s="112"/>
      <c r="O46" s="112"/>
    </row>
    <row r="47" ht="15.0" customHeight="1">
      <c r="A47" s="112"/>
      <c r="B47" s="112"/>
      <c r="C47" s="112"/>
      <c r="D47" s="132" t="s">
        <v>72</v>
      </c>
      <c r="E47" s="114" t="str">
        <f>VLOOKUP(D47,Data!H:I,2,0)</f>
        <v>İstanbul</v>
      </c>
      <c r="F47" s="115" t="str">
        <f>VLOOKUP(D47,Data!H:J,3,0)</f>
        <v>Filamingo</v>
      </c>
      <c r="G47" s="116" t="b">
        <v>0</v>
      </c>
      <c r="H47" s="116" t="b">
        <v>0</v>
      </c>
      <c r="I47" s="116" t="b">
        <v>0</v>
      </c>
      <c r="J47" s="116" t="b">
        <v>0</v>
      </c>
      <c r="K47" s="116" t="b">
        <v>0</v>
      </c>
      <c r="L47" s="117">
        <f t="shared" si="1"/>
        <v>0</v>
      </c>
      <c r="M47" s="117">
        <f t="shared" si="2"/>
        <v>0</v>
      </c>
      <c r="N47" s="112"/>
      <c r="O47" s="112"/>
    </row>
    <row r="48" ht="15.0" customHeight="1">
      <c r="A48" s="112"/>
      <c r="B48" s="112"/>
      <c r="C48" s="112"/>
      <c r="D48" s="141" t="s">
        <v>125</v>
      </c>
      <c r="E48" s="114" t="str">
        <f>VLOOKUP(D48,Data!H:I,2,0)</f>
        <v>İstanbul</v>
      </c>
      <c r="F48" s="115" t="str">
        <f>VLOOKUP(D48,Data!H:J,3,0)</f>
        <v>Filamingo</v>
      </c>
      <c r="G48" s="116" t="b">
        <v>0</v>
      </c>
      <c r="H48" s="116" t="b">
        <v>0</v>
      </c>
      <c r="I48" s="116" t="b">
        <v>0</v>
      </c>
      <c r="J48" s="116" t="b">
        <v>0</v>
      </c>
      <c r="K48" s="116" t="b">
        <v>0</v>
      </c>
      <c r="L48" s="117">
        <f t="shared" si="1"/>
        <v>0</v>
      </c>
      <c r="M48" s="117">
        <f t="shared" si="2"/>
        <v>0</v>
      </c>
      <c r="N48" s="120"/>
      <c r="O48" s="112"/>
    </row>
    <row r="49" ht="15.0" customHeight="1">
      <c r="A49" s="112"/>
      <c r="B49" s="112"/>
      <c r="C49" s="112"/>
      <c r="D49" s="129" t="s">
        <v>200</v>
      </c>
      <c r="E49" s="114" t="str">
        <f>VLOOKUP(D49,Data!H:I,2,0)</f>
        <v>İstanbul</v>
      </c>
      <c r="F49" s="115" t="str">
        <f>VLOOKUP(D49,Data!H:J,3,0)</f>
        <v>Filamingo</v>
      </c>
      <c r="G49" s="116" t="b">
        <v>0</v>
      </c>
      <c r="H49" s="116" t="b">
        <v>0</v>
      </c>
      <c r="I49" s="116" t="b">
        <v>0</v>
      </c>
      <c r="J49" s="116" t="b">
        <v>0</v>
      </c>
      <c r="K49" s="116" t="b">
        <v>0</v>
      </c>
      <c r="L49" s="117">
        <f t="shared" si="1"/>
        <v>0</v>
      </c>
      <c r="M49" s="117">
        <f t="shared" si="2"/>
        <v>0</v>
      </c>
      <c r="N49" s="120"/>
      <c r="O49" s="112"/>
    </row>
    <row r="50" ht="15.0" customHeight="1">
      <c r="A50" s="112"/>
      <c r="B50" s="112"/>
      <c r="C50" s="112"/>
      <c r="D50" s="129" t="s">
        <v>214</v>
      </c>
      <c r="E50" s="114" t="str">
        <f>VLOOKUP(D50,Data!H:I,2,0)</f>
        <v>İstanbul</v>
      </c>
      <c r="F50" s="115" t="str">
        <f>VLOOKUP(D50,Data!H:J,3,0)</f>
        <v>Filamingo</v>
      </c>
      <c r="G50" s="116" t="b">
        <v>0</v>
      </c>
      <c r="H50" s="116" t="b">
        <v>0</v>
      </c>
      <c r="I50" s="116" t="b">
        <v>0</v>
      </c>
      <c r="J50" s="116" t="b">
        <v>0</v>
      </c>
      <c r="K50" s="116" t="b">
        <v>0</v>
      </c>
      <c r="L50" s="117">
        <f t="shared" si="1"/>
        <v>0</v>
      </c>
      <c r="M50" s="117">
        <f t="shared" si="2"/>
        <v>0</v>
      </c>
      <c r="N50" s="120"/>
      <c r="O50" s="112"/>
    </row>
    <row r="51" ht="15.0" customHeight="1">
      <c r="A51" s="122"/>
      <c r="B51" s="122"/>
      <c r="C51" s="122"/>
      <c r="D51" s="129" t="s">
        <v>79</v>
      </c>
      <c r="E51" s="114" t="str">
        <f>VLOOKUP(D51,Data!H:I,2,0)</f>
        <v>İstanbul</v>
      </c>
      <c r="F51" s="115" t="str">
        <f>VLOOKUP(D51,Data!H:J,3,0)</f>
        <v>Freelance</v>
      </c>
      <c r="G51" s="116" t="b">
        <v>0</v>
      </c>
      <c r="H51" s="116" t="b">
        <v>0</v>
      </c>
      <c r="I51" s="116" t="b">
        <v>0</v>
      </c>
      <c r="J51" s="116" t="b">
        <v>0</v>
      </c>
      <c r="K51" s="116" t="b">
        <v>0</v>
      </c>
      <c r="L51" s="117">
        <f t="shared" si="1"/>
        <v>0</v>
      </c>
      <c r="M51" s="117">
        <f t="shared" si="2"/>
        <v>0</v>
      </c>
      <c r="N51" s="112"/>
      <c r="O51" s="122"/>
    </row>
    <row r="52" ht="15.0" customHeight="1">
      <c r="A52" s="124"/>
      <c r="B52" s="124"/>
      <c r="C52" s="124"/>
      <c r="D52" s="129" t="s">
        <v>80</v>
      </c>
      <c r="E52" s="114" t="str">
        <f>VLOOKUP(D52,Data!H:I,2,0)</f>
        <v>İstanbul</v>
      </c>
      <c r="F52" s="115" t="str">
        <f>VLOOKUP(D52,Data!H:J,3,0)</f>
        <v>Freelance</v>
      </c>
      <c r="G52" s="116" t="b">
        <v>1</v>
      </c>
      <c r="H52" s="116" t="b">
        <v>1</v>
      </c>
      <c r="I52" s="116" t="b">
        <v>1</v>
      </c>
      <c r="J52" s="116" t="b">
        <v>1</v>
      </c>
      <c r="K52" s="116" t="b">
        <v>1</v>
      </c>
      <c r="L52" s="117">
        <f t="shared" si="1"/>
        <v>5</v>
      </c>
      <c r="M52" s="117">
        <f t="shared" si="2"/>
        <v>20</v>
      </c>
      <c r="N52" s="112"/>
      <c r="O52" s="124"/>
    </row>
    <row r="53" ht="15.0" customHeight="1">
      <c r="A53" s="124"/>
      <c r="B53" s="124"/>
      <c r="C53" s="124"/>
      <c r="D53" s="129" t="s">
        <v>217</v>
      </c>
      <c r="E53" s="114" t="str">
        <f>VLOOKUP(D53,Data!H:I,2,0)</f>
        <v>İstanbul</v>
      </c>
      <c r="F53" s="115" t="str">
        <f>VLOOKUP(D53,Data!H:J,3,0)</f>
        <v>Freelance</v>
      </c>
      <c r="G53" s="116" t="b">
        <v>0</v>
      </c>
      <c r="H53" s="116" t="b">
        <v>1</v>
      </c>
      <c r="I53" s="116" t="b">
        <v>0</v>
      </c>
      <c r="J53" s="116" t="b">
        <v>0</v>
      </c>
      <c r="K53" s="116" t="b">
        <v>0</v>
      </c>
      <c r="L53" s="117">
        <f t="shared" si="1"/>
        <v>1</v>
      </c>
      <c r="M53" s="117">
        <f t="shared" si="2"/>
        <v>4</v>
      </c>
      <c r="N53" s="112"/>
      <c r="O53" s="124"/>
    </row>
    <row r="54" ht="15.0" customHeight="1">
      <c r="A54" s="112"/>
      <c r="B54" s="112"/>
      <c r="C54" s="112"/>
      <c r="D54" s="129" t="s">
        <v>166</v>
      </c>
      <c r="E54" s="114" t="str">
        <f>VLOOKUP(D54,Data!H:I,2,0)</f>
        <v>İstanbul</v>
      </c>
      <c r="F54" s="115" t="str">
        <f>VLOOKUP(D54,Data!H:J,3,0)</f>
        <v>Filamingo</v>
      </c>
      <c r="G54" s="116" t="b">
        <v>0</v>
      </c>
      <c r="H54" s="116" t="b">
        <v>0</v>
      </c>
      <c r="I54" s="116" t="b">
        <v>0</v>
      </c>
      <c r="J54" s="116" t="b">
        <v>0</v>
      </c>
      <c r="K54" s="116" t="b">
        <v>0</v>
      </c>
      <c r="L54" s="117">
        <f t="shared" si="1"/>
        <v>0</v>
      </c>
      <c r="M54" s="117">
        <f t="shared" si="2"/>
        <v>0</v>
      </c>
      <c r="N54" s="124"/>
      <c r="O54" s="112"/>
    </row>
    <row r="55" ht="15.0" customHeight="1">
      <c r="A55" s="112"/>
      <c r="B55" s="112"/>
      <c r="C55" s="112"/>
      <c r="D55" s="129" t="s">
        <v>81</v>
      </c>
      <c r="E55" s="114" t="str">
        <f>VLOOKUP(D55,Data!H:I,2,0)</f>
        <v>İstanbul</v>
      </c>
      <c r="F55" s="115" t="str">
        <f>VLOOKUP(D55,Data!H:J,3,0)</f>
        <v>Freelance</v>
      </c>
      <c r="G55" s="116" t="b">
        <v>0</v>
      </c>
      <c r="H55" s="116" t="b">
        <v>0</v>
      </c>
      <c r="I55" s="116" t="b">
        <v>0</v>
      </c>
      <c r="J55" s="116" t="b">
        <v>0</v>
      </c>
      <c r="K55" s="116" t="b">
        <v>0</v>
      </c>
      <c r="L55" s="117">
        <f t="shared" si="1"/>
        <v>0</v>
      </c>
      <c r="M55" s="117">
        <f t="shared" si="2"/>
        <v>0</v>
      </c>
      <c r="N55" s="112"/>
      <c r="O55" s="112"/>
    </row>
    <row r="56" ht="15.0" customHeight="1">
      <c r="A56" s="112"/>
      <c r="B56" s="112"/>
      <c r="C56" s="112"/>
      <c r="D56" s="132" t="s">
        <v>119</v>
      </c>
      <c r="E56" s="114" t="str">
        <f>VLOOKUP(D56,Data!H:I,2,0)</f>
        <v>İstanbul</v>
      </c>
      <c r="F56" s="115" t="str">
        <f>VLOOKUP(D56,Data!H:J,3,0)</f>
        <v>Filamingo</v>
      </c>
      <c r="G56" s="116" t="b">
        <v>0</v>
      </c>
      <c r="H56" s="116" t="b">
        <v>0</v>
      </c>
      <c r="I56" s="116" t="b">
        <v>0</v>
      </c>
      <c r="J56" s="116" t="b">
        <v>0</v>
      </c>
      <c r="K56" s="116" t="b">
        <v>0</v>
      </c>
      <c r="L56" s="117">
        <f t="shared" si="1"/>
        <v>0</v>
      </c>
      <c r="M56" s="117">
        <f t="shared" si="2"/>
        <v>0</v>
      </c>
      <c r="N56" s="112"/>
      <c r="O56" s="112"/>
    </row>
    <row r="57" ht="15.0" customHeight="1">
      <c r="A57" s="112"/>
      <c r="B57" s="112"/>
      <c r="C57" s="112"/>
      <c r="D57" s="129" t="s">
        <v>185</v>
      </c>
      <c r="E57" s="114" t="str">
        <f>VLOOKUP(D57,Data!H:I,2,0)</f>
        <v>İstanbul</v>
      </c>
      <c r="F57" s="115" t="str">
        <f>VLOOKUP(D57,Data!H:J,3,0)</f>
        <v>Filamingo</v>
      </c>
      <c r="G57" s="116" t="b">
        <v>0</v>
      </c>
      <c r="H57" s="116" t="b">
        <v>0</v>
      </c>
      <c r="I57" s="116" t="b">
        <v>0</v>
      </c>
      <c r="J57" s="116" t="b">
        <v>0</v>
      </c>
      <c r="K57" s="116" t="b">
        <v>0</v>
      </c>
      <c r="L57" s="117">
        <f t="shared" si="1"/>
        <v>0</v>
      </c>
      <c r="M57" s="117">
        <f t="shared" si="2"/>
        <v>0</v>
      </c>
      <c r="N57" s="112"/>
      <c r="O57" s="112"/>
    </row>
    <row r="58" ht="15.0" customHeight="1">
      <c r="A58" s="112"/>
      <c r="B58" s="112"/>
      <c r="C58" s="112"/>
      <c r="D58" s="129" t="s">
        <v>85</v>
      </c>
      <c r="E58" s="114" t="str">
        <f>VLOOKUP(D58,Data!H:I,2,0)</f>
        <v>İstanbul</v>
      </c>
      <c r="F58" s="115" t="str">
        <f>VLOOKUP(D58,Data!H:J,3,0)</f>
        <v>Filamingo</v>
      </c>
      <c r="G58" s="116" t="b">
        <v>0</v>
      </c>
      <c r="H58" s="116" t="b">
        <v>0</v>
      </c>
      <c r="I58" s="116" t="b">
        <v>0</v>
      </c>
      <c r="J58" s="116" t="b">
        <v>0</v>
      </c>
      <c r="K58" s="116" t="b">
        <v>0</v>
      </c>
      <c r="L58" s="117">
        <f t="shared" si="1"/>
        <v>0</v>
      </c>
      <c r="M58" s="117">
        <f t="shared" si="2"/>
        <v>0</v>
      </c>
      <c r="N58" s="112"/>
      <c r="O58" s="112"/>
    </row>
    <row r="59" ht="15.0" customHeight="1">
      <c r="A59" s="112"/>
      <c r="B59" s="112"/>
      <c r="C59" s="112"/>
      <c r="D59" s="129" t="s">
        <v>201</v>
      </c>
      <c r="E59" s="114" t="str">
        <f>VLOOKUP(D59,Data!H:I,2,0)</f>
        <v>İstanbul</v>
      </c>
      <c r="F59" s="115" t="str">
        <f>VLOOKUP(D59,Data!H:J,3,0)</f>
        <v>Freelance</v>
      </c>
      <c r="G59" s="116" t="b">
        <v>1</v>
      </c>
      <c r="H59" s="116" t="b">
        <v>0</v>
      </c>
      <c r="I59" s="116" t="b">
        <v>0</v>
      </c>
      <c r="J59" s="116" t="b">
        <v>0</v>
      </c>
      <c r="K59" s="116" t="b">
        <v>1</v>
      </c>
      <c r="L59" s="117">
        <f t="shared" si="1"/>
        <v>2</v>
      </c>
      <c r="M59" s="117">
        <f t="shared" si="2"/>
        <v>8</v>
      </c>
      <c r="N59" s="125"/>
      <c r="O59" s="112"/>
    </row>
    <row r="60" ht="15.0" customHeight="1">
      <c r="A60" s="112"/>
      <c r="B60" s="112"/>
      <c r="C60" s="112"/>
      <c r="D60" s="132" t="s">
        <v>83</v>
      </c>
      <c r="E60" s="114" t="str">
        <f>VLOOKUP(D60,Data!H:I,2,0)</f>
        <v>İstanbul</v>
      </c>
      <c r="F60" s="115" t="str">
        <f>VLOOKUP(D60,Data!H:J,3,0)</f>
        <v>Nazım Öztel</v>
      </c>
      <c r="G60" s="116" t="b">
        <v>1</v>
      </c>
      <c r="H60" s="116" t="b">
        <v>1</v>
      </c>
      <c r="I60" s="116" t="b">
        <v>1</v>
      </c>
      <c r="J60" s="116" t="b">
        <v>0</v>
      </c>
      <c r="K60" s="116" t="b">
        <v>0</v>
      </c>
      <c r="L60" s="117">
        <f t="shared" si="1"/>
        <v>3</v>
      </c>
      <c r="M60" s="117">
        <f t="shared" si="2"/>
        <v>12</v>
      </c>
      <c r="N60" s="112"/>
      <c r="O60" s="112"/>
    </row>
    <row r="61" ht="15.0" customHeight="1">
      <c r="A61" s="125"/>
      <c r="B61" s="125"/>
      <c r="C61" s="125"/>
      <c r="D61" s="129" t="s">
        <v>145</v>
      </c>
      <c r="E61" s="114" t="str">
        <f>VLOOKUP(D61,Data!H:I,2,0)</f>
        <v>İstanbul</v>
      </c>
      <c r="F61" s="115" t="str">
        <f>VLOOKUP(D61,Data!H:J,3,0)</f>
        <v>Filamingo</v>
      </c>
      <c r="G61" s="116" t="b">
        <v>0</v>
      </c>
      <c r="H61" s="116" t="b">
        <v>1</v>
      </c>
      <c r="I61" s="116" t="b">
        <v>0</v>
      </c>
      <c r="J61" s="116" t="b">
        <v>1</v>
      </c>
      <c r="K61" s="116" t="b">
        <v>1</v>
      </c>
      <c r="L61" s="117">
        <f t="shared" si="1"/>
        <v>3</v>
      </c>
      <c r="M61" s="117">
        <f t="shared" si="2"/>
        <v>12</v>
      </c>
      <c r="N61" s="112"/>
      <c r="O61" s="125"/>
    </row>
    <row r="62" ht="15.0" customHeight="1">
      <c r="A62" s="125"/>
      <c r="B62" s="125"/>
      <c r="C62" s="125"/>
      <c r="D62" s="129" t="s">
        <v>210</v>
      </c>
      <c r="E62" s="114" t="str">
        <f>VLOOKUP(D62,Data!H:I,2,0)</f>
        <v>İstanbul</v>
      </c>
      <c r="F62" s="115" t="str">
        <f>VLOOKUP(D62,Data!H:J,3,0)</f>
        <v>Filamingo</v>
      </c>
      <c r="G62" s="116" t="b">
        <v>1</v>
      </c>
      <c r="H62" s="116" t="b">
        <v>1</v>
      </c>
      <c r="I62" s="116" t="b">
        <v>1</v>
      </c>
      <c r="J62" s="116" t="b">
        <v>1</v>
      </c>
      <c r="K62" s="116" t="b">
        <v>1</v>
      </c>
      <c r="L62" s="117">
        <f t="shared" si="1"/>
        <v>5</v>
      </c>
      <c r="M62" s="117">
        <f t="shared" si="2"/>
        <v>20</v>
      </c>
      <c r="N62" s="112"/>
      <c r="O62" s="125"/>
    </row>
    <row r="63" ht="15.0" customHeight="1">
      <c r="A63" s="125"/>
      <c r="B63" s="125"/>
      <c r="C63" s="125"/>
      <c r="D63" s="129" t="s">
        <v>202</v>
      </c>
      <c r="E63" s="114" t="str">
        <f>VLOOKUP(D63,Data!H:I,2,0)</f>
        <v>İstanbul</v>
      </c>
      <c r="F63" s="115" t="str">
        <f>VLOOKUP(D63,Data!H:J,3,0)</f>
        <v>Filamingo</v>
      </c>
      <c r="G63" s="116" t="b">
        <v>0</v>
      </c>
      <c r="H63" s="116" t="b">
        <v>0</v>
      </c>
      <c r="I63" s="116" t="b">
        <v>0</v>
      </c>
      <c r="J63" s="116" t="b">
        <v>0</v>
      </c>
      <c r="K63" s="116" t="b">
        <v>0</v>
      </c>
      <c r="L63" s="117">
        <f t="shared" si="1"/>
        <v>0</v>
      </c>
      <c r="M63" s="117">
        <f t="shared" si="2"/>
        <v>0</v>
      </c>
      <c r="N63" s="112"/>
      <c r="O63" s="125"/>
    </row>
    <row r="64" ht="15.0" customHeight="1">
      <c r="A64" s="125"/>
      <c r="B64" s="125"/>
      <c r="C64" s="125"/>
      <c r="D64" s="129" t="s">
        <v>186</v>
      </c>
      <c r="E64" s="114" t="str">
        <f>VLOOKUP(D64,Data!H:I,2,0)</f>
        <v>İstanbul</v>
      </c>
      <c r="F64" s="115" t="str">
        <f>VLOOKUP(D64,Data!H:J,3,0)</f>
        <v>Filamingo</v>
      </c>
      <c r="G64" s="116" t="b">
        <v>0</v>
      </c>
      <c r="H64" s="116" t="b">
        <v>0</v>
      </c>
      <c r="I64" s="116" t="b">
        <v>0</v>
      </c>
      <c r="J64" s="116" t="b">
        <v>0</v>
      </c>
      <c r="K64" s="116" t="b">
        <v>0</v>
      </c>
      <c r="L64" s="117">
        <f t="shared" si="1"/>
        <v>0</v>
      </c>
      <c r="M64" s="117">
        <f t="shared" si="2"/>
        <v>0</v>
      </c>
      <c r="N64" s="112"/>
      <c r="O64" s="125"/>
    </row>
    <row r="65" ht="15.0" customHeight="1">
      <c r="A65" s="122"/>
      <c r="B65" s="122"/>
      <c r="C65" s="122"/>
      <c r="D65" s="129" t="s">
        <v>175</v>
      </c>
      <c r="E65" s="114" t="str">
        <f>VLOOKUP(D65,Data!H:I,2,0)</f>
        <v>İstanbul</v>
      </c>
      <c r="F65" s="115" t="str">
        <f>VLOOKUP(D65,Data!H:J,3,0)</f>
        <v>Freelance</v>
      </c>
      <c r="G65" s="116" t="b">
        <v>0</v>
      </c>
      <c r="H65" s="116" t="b">
        <v>0</v>
      </c>
      <c r="I65" s="116" t="b">
        <v>0</v>
      </c>
      <c r="J65" s="116" t="b">
        <v>0</v>
      </c>
      <c r="K65" s="116" t="b">
        <v>0</v>
      </c>
      <c r="L65" s="117">
        <f t="shared" si="1"/>
        <v>0</v>
      </c>
      <c r="M65" s="117">
        <f t="shared" si="2"/>
        <v>0</v>
      </c>
      <c r="N65" s="112"/>
      <c r="O65" s="122"/>
    </row>
    <row r="66" ht="15.0" customHeight="1">
      <c r="A66" s="112"/>
      <c r="B66" s="112"/>
      <c r="C66" s="112"/>
      <c r="D66" s="132" t="s">
        <v>88</v>
      </c>
      <c r="E66" s="114" t="str">
        <f>VLOOKUP(D66,Data!H:I,2,0)</f>
        <v>İstanbul</v>
      </c>
      <c r="F66" s="115" t="str">
        <f>VLOOKUP(D66,Data!H:J,3,0)</f>
        <v>Nazım Öztel</v>
      </c>
      <c r="G66" s="116" t="b">
        <v>0</v>
      </c>
      <c r="H66" s="116" t="b">
        <v>0</v>
      </c>
      <c r="I66" s="116" t="b">
        <v>0</v>
      </c>
      <c r="J66" s="116" t="b">
        <v>0</v>
      </c>
      <c r="K66" s="116" t="b">
        <v>0</v>
      </c>
      <c r="L66" s="117">
        <f t="shared" si="1"/>
        <v>0</v>
      </c>
      <c r="M66" s="117">
        <f t="shared" si="2"/>
        <v>0</v>
      </c>
      <c r="N66" s="112"/>
      <c r="O66" s="112"/>
    </row>
    <row r="67" ht="15.0" customHeight="1">
      <c r="A67" s="112"/>
      <c r="B67" s="112"/>
      <c r="C67" s="112"/>
      <c r="D67" s="132" t="s">
        <v>89</v>
      </c>
      <c r="E67" s="114" t="str">
        <f>VLOOKUP(D67,Data!H:I,2,0)</f>
        <v>İstanbul</v>
      </c>
      <c r="F67" s="115" t="str">
        <f>VLOOKUP(D67,Data!H:J,3,0)</f>
        <v>Filamingo</v>
      </c>
      <c r="G67" s="116" t="b">
        <v>0</v>
      </c>
      <c r="H67" s="116" t="b">
        <v>0</v>
      </c>
      <c r="I67" s="116" t="b">
        <v>0</v>
      </c>
      <c r="J67" s="116" t="b">
        <v>0</v>
      </c>
      <c r="K67" s="116" t="b">
        <v>0</v>
      </c>
      <c r="L67" s="117">
        <f t="shared" si="1"/>
        <v>0</v>
      </c>
      <c r="M67" s="117">
        <f t="shared" si="2"/>
        <v>0</v>
      </c>
      <c r="N67" s="112"/>
      <c r="O67" s="112"/>
    </row>
    <row r="68" ht="15.0" customHeight="1">
      <c r="A68" s="112"/>
      <c r="B68" s="112"/>
      <c r="C68" s="112"/>
      <c r="D68" s="129" t="s">
        <v>87</v>
      </c>
      <c r="E68" s="114" t="str">
        <f>VLOOKUP(D68,Data!H:I,2,0)</f>
        <v>İstanbul</v>
      </c>
      <c r="F68" s="115" t="str">
        <f>VLOOKUP(D68,Data!H:J,3,0)</f>
        <v>Freelance</v>
      </c>
      <c r="G68" s="116" t="b">
        <v>1</v>
      </c>
      <c r="H68" s="116" t="b">
        <v>1</v>
      </c>
      <c r="I68" s="116" t="b">
        <v>0</v>
      </c>
      <c r="J68" s="116" t="b">
        <v>1</v>
      </c>
      <c r="K68" s="116" t="b">
        <v>0</v>
      </c>
      <c r="L68" s="117">
        <f t="shared" si="1"/>
        <v>3</v>
      </c>
      <c r="M68" s="117">
        <f t="shared" si="2"/>
        <v>12</v>
      </c>
      <c r="N68" s="125"/>
      <c r="O68" s="112"/>
    </row>
    <row r="69" ht="15.0" customHeight="1">
      <c r="A69" s="112"/>
      <c r="B69" s="112"/>
      <c r="C69" s="112"/>
      <c r="D69" s="132" t="s">
        <v>92</v>
      </c>
      <c r="E69" s="114" t="str">
        <f>VLOOKUP(D69,Data!H:I,2,0)</f>
        <v>İzmir</v>
      </c>
      <c r="F69" s="115" t="str">
        <f>VLOOKUP(D69,Data!H:J,3,0)</f>
        <v>Nazım Öztel</v>
      </c>
      <c r="G69" s="116" t="b">
        <v>1</v>
      </c>
      <c r="H69" s="116" t="b">
        <v>1</v>
      </c>
      <c r="I69" s="116" t="b">
        <v>1</v>
      </c>
      <c r="J69" s="116" t="b">
        <v>1</v>
      </c>
      <c r="K69" s="116" t="b">
        <v>0</v>
      </c>
      <c r="L69" s="117">
        <f t="shared" si="1"/>
        <v>4</v>
      </c>
      <c r="M69" s="117">
        <f t="shared" si="2"/>
        <v>16</v>
      </c>
      <c r="N69" s="112"/>
      <c r="O69" s="112"/>
    </row>
    <row r="70" ht="15.0" customHeight="1">
      <c r="A70" s="112"/>
      <c r="B70" s="112"/>
      <c r="C70" s="112"/>
      <c r="D70" s="129" t="s">
        <v>93</v>
      </c>
      <c r="E70" s="114" t="str">
        <f>VLOOKUP(D70,Data!H:I,2,0)</f>
        <v>İzmir</v>
      </c>
      <c r="F70" s="115" t="str">
        <f>VLOOKUP(D70,Data!H:J,3,0)</f>
        <v>Freelance</v>
      </c>
      <c r="G70" s="116" t="b">
        <v>0</v>
      </c>
      <c r="H70" s="116" t="b">
        <v>1</v>
      </c>
      <c r="I70" s="116" t="b">
        <v>1</v>
      </c>
      <c r="J70" s="116" t="b">
        <v>1</v>
      </c>
      <c r="K70" s="116" t="b">
        <v>1</v>
      </c>
      <c r="L70" s="117">
        <f t="shared" si="1"/>
        <v>4</v>
      </c>
      <c r="M70" s="117">
        <f t="shared" si="2"/>
        <v>16</v>
      </c>
      <c r="N70" s="112"/>
      <c r="O70" s="112"/>
    </row>
    <row r="71" ht="15.0" customHeight="1">
      <c r="A71" s="112"/>
      <c r="B71" s="112"/>
      <c r="C71" s="112"/>
      <c r="D71" s="129" t="s">
        <v>161</v>
      </c>
      <c r="E71" s="143" t="str">
        <f>VLOOKUP(D71,Data!H:I,2,0)</f>
        <v>Kahramanmaraş</v>
      </c>
      <c r="F71" s="115" t="str">
        <f>VLOOKUP(D71,Data!H:J,3,0)</f>
        <v>Nazım Öztel</v>
      </c>
      <c r="G71" s="116" t="b">
        <v>1</v>
      </c>
      <c r="H71" s="116" t="b">
        <v>0</v>
      </c>
      <c r="I71" s="116" t="b">
        <v>0</v>
      </c>
      <c r="J71" s="116" t="b">
        <v>0</v>
      </c>
      <c r="K71" s="116" t="b">
        <v>0</v>
      </c>
      <c r="L71" s="117">
        <f t="shared" si="1"/>
        <v>1</v>
      </c>
      <c r="M71" s="117">
        <f t="shared" si="2"/>
        <v>4</v>
      </c>
      <c r="N71" s="112"/>
      <c r="O71" s="112"/>
    </row>
    <row r="72" ht="15.0" customHeight="1">
      <c r="A72" s="112"/>
      <c r="B72" s="112"/>
      <c r="C72" s="112"/>
      <c r="D72" s="129" t="s">
        <v>218</v>
      </c>
      <c r="E72" s="114" t="str">
        <f>VLOOKUP(D72,Data!H:I,2,0)</f>
        <v>Kırklareli</v>
      </c>
      <c r="F72" s="115" t="str">
        <f>VLOOKUP(D72,Data!H:J,3,0)</f>
        <v>Nazım Öztel</v>
      </c>
      <c r="G72" s="116" t="b">
        <v>1</v>
      </c>
      <c r="H72" s="116" t="b">
        <v>1</v>
      </c>
      <c r="I72" s="116" t="b">
        <v>1</v>
      </c>
      <c r="J72" s="116" t="b">
        <v>1</v>
      </c>
      <c r="K72" s="116" t="b">
        <v>1</v>
      </c>
      <c r="L72" s="117">
        <f t="shared" si="1"/>
        <v>5</v>
      </c>
      <c r="M72" s="117">
        <f t="shared" si="2"/>
        <v>20</v>
      </c>
      <c r="N72" s="112"/>
      <c r="O72" s="112"/>
    </row>
    <row r="73" ht="15.0" customHeight="1">
      <c r="A73" s="112"/>
      <c r="B73" s="112"/>
      <c r="C73" s="112"/>
      <c r="D73" s="132" t="s">
        <v>96</v>
      </c>
      <c r="E73" s="114" t="str">
        <f>VLOOKUP(D73,Data!H:I,2,0)</f>
        <v>Kocaeli</v>
      </c>
      <c r="F73" s="115" t="str">
        <f>VLOOKUP(D73,Data!H:J,3,0)</f>
        <v>Nazım Öztel</v>
      </c>
      <c r="G73" s="116" t="b">
        <v>1</v>
      </c>
      <c r="H73" s="116" t="b">
        <v>0</v>
      </c>
      <c r="I73" s="116" t="b">
        <v>1</v>
      </c>
      <c r="J73" s="116" t="b">
        <v>0</v>
      </c>
      <c r="K73" s="116" t="b">
        <v>0</v>
      </c>
      <c r="L73" s="117">
        <f t="shared" si="1"/>
        <v>2</v>
      </c>
      <c r="M73" s="117">
        <f t="shared" si="2"/>
        <v>8</v>
      </c>
      <c r="N73" s="112"/>
      <c r="O73" s="112"/>
    </row>
    <row r="74" ht="15.0" customHeight="1">
      <c r="A74" s="112"/>
      <c r="B74" s="112"/>
      <c r="C74" s="112"/>
      <c r="D74" s="129" t="s">
        <v>147</v>
      </c>
      <c r="E74" s="114" t="str">
        <f>VLOOKUP(D74,Data!H:I,2,0)</f>
        <v>Kocaeli</v>
      </c>
      <c r="F74" s="115" t="str">
        <f>VLOOKUP(D74,Data!H:J,3,0)</f>
        <v>Nazım Öztel</v>
      </c>
      <c r="G74" s="116" t="b">
        <v>0</v>
      </c>
      <c r="H74" s="116" t="b">
        <v>0</v>
      </c>
      <c r="I74" s="116" t="b">
        <v>0</v>
      </c>
      <c r="J74" s="116" t="b">
        <v>0</v>
      </c>
      <c r="K74" s="116" t="b">
        <v>0</v>
      </c>
      <c r="L74" s="117">
        <f t="shared" si="1"/>
        <v>0</v>
      </c>
      <c r="M74" s="117">
        <f t="shared" si="2"/>
        <v>0</v>
      </c>
      <c r="N74" s="112"/>
      <c r="O74" s="112"/>
    </row>
    <row r="75" ht="15.0" customHeight="1">
      <c r="A75" s="112"/>
      <c r="B75" s="112"/>
      <c r="C75" s="112"/>
      <c r="D75" s="129" t="s">
        <v>203</v>
      </c>
      <c r="E75" s="114" t="str">
        <f>VLOOKUP(D75,Data!H:I,2,0)</f>
        <v>Malatya</v>
      </c>
      <c r="F75" s="115" t="str">
        <f>VLOOKUP(D75,Data!H:J,3,0)</f>
        <v>Nazım Öztel</v>
      </c>
      <c r="G75" s="116" t="b">
        <v>1</v>
      </c>
      <c r="H75" s="116" t="b">
        <v>1</v>
      </c>
      <c r="I75" s="116" t="b">
        <v>0</v>
      </c>
      <c r="J75" s="116" t="b">
        <v>0</v>
      </c>
      <c r="K75" s="116" t="b">
        <v>0</v>
      </c>
      <c r="L75" s="117">
        <f t="shared" si="1"/>
        <v>2</v>
      </c>
      <c r="M75" s="117">
        <f t="shared" si="2"/>
        <v>8</v>
      </c>
      <c r="N75" s="112"/>
      <c r="O75" s="112"/>
    </row>
    <row r="76" ht="15.0" customHeight="1">
      <c r="A76" s="112"/>
      <c r="B76" s="112"/>
      <c r="C76" s="112"/>
      <c r="D76" s="132" t="s">
        <v>98</v>
      </c>
      <c r="E76" s="114" t="str">
        <f>VLOOKUP(D76,Data!H:I,2,0)</f>
        <v>Manisa</v>
      </c>
      <c r="F76" s="115" t="str">
        <f>VLOOKUP(D76,Data!H:J,3,0)</f>
        <v>Nazım Öztel</v>
      </c>
      <c r="G76" s="116" t="b">
        <v>0</v>
      </c>
      <c r="H76" s="116" t="b">
        <v>0</v>
      </c>
      <c r="I76" s="116" t="b">
        <v>0</v>
      </c>
      <c r="J76" s="116" t="b">
        <v>0</v>
      </c>
      <c r="K76" s="116" t="b">
        <v>0</v>
      </c>
      <c r="L76" s="117">
        <f t="shared" si="1"/>
        <v>0</v>
      </c>
      <c r="M76" s="117">
        <f t="shared" si="2"/>
        <v>0</v>
      </c>
      <c r="N76" s="142"/>
      <c r="O76" s="112"/>
    </row>
    <row r="77" ht="15.0" customHeight="1">
      <c r="A77" s="112"/>
      <c r="B77" s="112"/>
      <c r="C77" s="112"/>
      <c r="D77" s="132" t="s">
        <v>99</v>
      </c>
      <c r="E77" s="114" t="str">
        <f>VLOOKUP(D77,Data!H:I,2,0)</f>
        <v>Mersin</v>
      </c>
      <c r="F77" s="115" t="str">
        <f>VLOOKUP(D77,Data!H:J,3,0)</f>
        <v>Nazım Öztel</v>
      </c>
      <c r="G77" s="116" t="b">
        <v>1</v>
      </c>
      <c r="H77" s="116" t="b">
        <v>1</v>
      </c>
      <c r="I77" s="116" t="b">
        <v>1</v>
      </c>
      <c r="J77" s="116" t="b">
        <v>1</v>
      </c>
      <c r="K77" s="116" t="b">
        <v>1</v>
      </c>
      <c r="L77" s="117">
        <f t="shared" si="1"/>
        <v>5</v>
      </c>
      <c r="M77" s="117">
        <f t="shared" si="2"/>
        <v>20</v>
      </c>
      <c r="N77" s="106"/>
      <c r="O77" s="112"/>
    </row>
    <row r="78" ht="15.0" customHeight="1">
      <c r="A78" s="112"/>
      <c r="B78" s="112"/>
      <c r="C78" s="112"/>
      <c r="D78" s="129" t="s">
        <v>169</v>
      </c>
      <c r="E78" s="114" t="str">
        <f>VLOOKUP(D78,Data!H:I,2,0)</f>
        <v>Mersin</v>
      </c>
      <c r="F78" s="115" t="str">
        <f>VLOOKUP(D78,Data!H:J,3,0)</f>
        <v>Nazım Öztel</v>
      </c>
      <c r="G78" s="116" t="b">
        <v>1</v>
      </c>
      <c r="H78" s="116" t="b">
        <v>0</v>
      </c>
      <c r="I78" s="116" t="b">
        <v>1</v>
      </c>
      <c r="J78" s="116" t="b">
        <v>0</v>
      </c>
      <c r="K78" s="116" t="b">
        <v>0</v>
      </c>
      <c r="L78" s="117">
        <f t="shared" si="1"/>
        <v>2</v>
      </c>
      <c r="M78" s="117">
        <f t="shared" si="2"/>
        <v>8</v>
      </c>
      <c r="N78" s="106"/>
      <c r="O78" s="112"/>
    </row>
    <row r="79" ht="15.0" customHeight="1">
      <c r="A79" s="112"/>
      <c r="B79" s="112"/>
      <c r="C79" s="112"/>
      <c r="D79" s="129" t="s">
        <v>148</v>
      </c>
      <c r="E79" s="114" t="str">
        <f>VLOOKUP(D79,Data!H:I,2,0)</f>
        <v>Muğla</v>
      </c>
      <c r="F79" s="115" t="str">
        <f>VLOOKUP(D79,Data!H:J,3,0)</f>
        <v>Nazım Öztel</v>
      </c>
      <c r="G79" s="116" t="b">
        <v>1</v>
      </c>
      <c r="H79" s="116" t="b">
        <v>1</v>
      </c>
      <c r="I79" s="116" t="b">
        <v>1</v>
      </c>
      <c r="J79" s="116" t="b">
        <v>1</v>
      </c>
      <c r="K79" s="116" t="b">
        <v>0</v>
      </c>
      <c r="L79" s="117">
        <f t="shared" si="1"/>
        <v>4</v>
      </c>
      <c r="M79" s="117">
        <f t="shared" si="2"/>
        <v>16</v>
      </c>
      <c r="N79" s="106"/>
      <c r="O79" s="112"/>
    </row>
    <row r="80" ht="15.0" customHeight="1">
      <c r="A80" s="112"/>
      <c r="B80" s="112"/>
      <c r="C80" s="112"/>
      <c r="D80" s="129" t="s">
        <v>52</v>
      </c>
      <c r="E80" s="114" t="s">
        <v>211</v>
      </c>
      <c r="F80" s="115" t="s">
        <v>61</v>
      </c>
      <c r="G80" s="116" t="b">
        <v>0</v>
      </c>
      <c r="H80" s="116" t="b">
        <v>0</v>
      </c>
      <c r="I80" s="116" t="b">
        <v>0</v>
      </c>
      <c r="J80" s="116" t="b">
        <v>0</v>
      </c>
      <c r="K80" s="116" t="b">
        <v>0</v>
      </c>
      <c r="L80" s="117">
        <f t="shared" si="1"/>
        <v>0</v>
      </c>
      <c r="M80" s="117">
        <f t="shared" si="2"/>
        <v>0</v>
      </c>
      <c r="N80" s="106"/>
      <c r="O80" s="112"/>
    </row>
    <row r="81" ht="15.0" customHeight="1">
      <c r="A81" s="112"/>
      <c r="B81" s="112"/>
      <c r="C81" s="112"/>
      <c r="D81" s="129" t="s">
        <v>193</v>
      </c>
      <c r="E81" s="114" t="str">
        <f>VLOOKUP(D81,Data!H:I,2,0)</f>
        <v>Samsun</v>
      </c>
      <c r="F81" s="115" t="str">
        <f>VLOOKUP(D81,Data!H:J,3,0)</f>
        <v>Nazım Öztel</v>
      </c>
      <c r="G81" s="116" t="b">
        <v>0</v>
      </c>
      <c r="H81" s="116" t="b">
        <v>1</v>
      </c>
      <c r="I81" s="116" t="b">
        <v>1</v>
      </c>
      <c r="J81" s="116" t="b">
        <v>1</v>
      </c>
      <c r="K81" s="116" t="b">
        <v>0</v>
      </c>
      <c r="L81" s="117">
        <f t="shared" si="1"/>
        <v>3</v>
      </c>
      <c r="M81" s="117">
        <f t="shared" si="2"/>
        <v>12</v>
      </c>
      <c r="N81" s="106"/>
      <c r="O81" s="112"/>
    </row>
    <row r="82" ht="15.0" customHeight="1">
      <c r="A82" s="112"/>
      <c r="B82" s="112"/>
      <c r="C82" s="112"/>
      <c r="D82" s="129" t="s">
        <v>104</v>
      </c>
      <c r="E82" s="114" t="str">
        <f>VLOOKUP(D82,Data!H:I,2,0)</f>
        <v>Tekirdağ</v>
      </c>
      <c r="F82" s="115" t="str">
        <f>VLOOKUP(D82,Data!H:J,3,0)</f>
        <v>Freelance</v>
      </c>
      <c r="G82" s="139" t="b">
        <v>0</v>
      </c>
      <c r="H82" s="139" t="b">
        <v>0</v>
      </c>
      <c r="I82" s="139" t="b">
        <v>0</v>
      </c>
      <c r="J82" s="139" t="b">
        <v>0</v>
      </c>
      <c r="K82" s="139" t="b">
        <v>0</v>
      </c>
      <c r="L82" s="117">
        <f t="shared" si="1"/>
        <v>0</v>
      </c>
      <c r="M82" s="117">
        <f t="shared" si="2"/>
        <v>0</v>
      </c>
      <c r="N82" s="112"/>
      <c r="O82" s="112"/>
    </row>
    <row r="83" ht="15.0" customHeight="1">
      <c r="A83" s="112"/>
      <c r="B83" s="112"/>
      <c r="C83" s="112"/>
      <c r="D83" s="129" t="s">
        <v>154</v>
      </c>
      <c r="E83" s="114" t="str">
        <f>VLOOKUP(D83,Data!H:I,2,0)</f>
        <v>Uşak</v>
      </c>
      <c r="F83" s="115" t="str">
        <f>VLOOKUP(D83,Data!H:J,3,0)</f>
        <v>Nazım Öztel</v>
      </c>
      <c r="G83" s="139" t="b">
        <v>0</v>
      </c>
      <c r="H83" s="139" t="b">
        <v>0</v>
      </c>
      <c r="I83" s="139" t="b">
        <v>0</v>
      </c>
      <c r="J83" s="139" t="b">
        <v>0</v>
      </c>
      <c r="K83" s="139" t="b">
        <v>0</v>
      </c>
      <c r="L83" s="117">
        <f t="shared" si="1"/>
        <v>0</v>
      </c>
      <c r="M83" s="117">
        <f t="shared" si="2"/>
        <v>0</v>
      </c>
      <c r="N83" s="112"/>
      <c r="O83" s="112"/>
    </row>
    <row r="84" ht="15.0" customHeight="1">
      <c r="A84" s="112"/>
      <c r="B84" s="112"/>
      <c r="C84" s="112"/>
      <c r="D84" s="129" t="s">
        <v>176</v>
      </c>
      <c r="E84" s="144" t="s">
        <v>206</v>
      </c>
      <c r="F84" s="144" t="s">
        <v>61</v>
      </c>
      <c r="G84" s="139" t="b">
        <v>0</v>
      </c>
      <c r="H84" s="139" t="b">
        <v>0</v>
      </c>
      <c r="I84" s="139" t="b">
        <v>0</v>
      </c>
      <c r="J84" s="139" t="b">
        <v>0</v>
      </c>
      <c r="K84" s="139" t="b">
        <v>0</v>
      </c>
      <c r="L84" s="117">
        <f t="shared" si="1"/>
        <v>0</v>
      </c>
      <c r="M84" s="117">
        <f t="shared" si="2"/>
        <v>0</v>
      </c>
      <c r="N84" s="112"/>
      <c r="O84" s="112"/>
    </row>
    <row r="85" ht="15.0" customHeight="1">
      <c r="A85" s="112"/>
      <c r="B85" s="112"/>
      <c r="C85" s="112"/>
      <c r="D85" s="132"/>
      <c r="E85" s="132"/>
      <c r="F85" s="132"/>
      <c r="G85" s="117">
        <f t="shared" ref="G85:K85" si="3">4*(COUNTIF(G15:G84,"true"))</f>
        <v>72</v>
      </c>
      <c r="H85" s="117">
        <f t="shared" si="3"/>
        <v>68</v>
      </c>
      <c r="I85" s="117">
        <f t="shared" si="3"/>
        <v>72</v>
      </c>
      <c r="J85" s="117">
        <f t="shared" si="3"/>
        <v>64</v>
      </c>
      <c r="K85" s="117">
        <f t="shared" si="3"/>
        <v>44</v>
      </c>
      <c r="L85" s="135"/>
      <c r="M85" s="135">
        <f>SUM(G85:K85)</f>
        <v>320</v>
      </c>
      <c r="N85" s="112"/>
      <c r="O85" s="112"/>
    </row>
  </sheetData>
  <customSheetViews>
    <customSheetView guid="{70B995D3-3AEB-4DFE-A0CA-D6FFCCE596BC}" filter="1" showAutoFilter="1">
      <autoFilter ref="$D$14:$D$84"/>
    </customSheetView>
    <customSheetView guid="{90E1DF85-7252-44D2-BA7D-CC3767CD0E8B}" filter="1" showAutoFilter="1">
      <autoFilter ref="$A$14:$O$85">
        <filterColumn colId="4">
          <filters>
            <filter val="Kırklareli"/>
            <filter val="Samsun"/>
            <filter val="Burdur"/>
            <filter val="Bilecik"/>
            <filter val="Zonguldak"/>
            <filter val="Elazığ"/>
            <filter val="Düzce"/>
            <filter val="Malatya"/>
            <filter val="Denizli"/>
            <filter val="Çanakkale"/>
            <filter val="Aydın"/>
            <filter val="Çorum"/>
            <filter val="Osmaniye"/>
            <filter val="Edirne"/>
            <filter val="Afyon"/>
            <filter val="Muğla"/>
            <filter val="Eskişehir"/>
            <filter val="Kahramanmaraş"/>
            <filter val="Balıkesir"/>
            <filter val="Uşak"/>
          </filters>
        </filterColumn>
      </autoFilter>
    </customSheetView>
  </customSheetViews>
  <mergeCells count="4">
    <mergeCell ref="D6:K6"/>
    <mergeCell ref="D7:F7"/>
    <mergeCell ref="D9:D12"/>
    <mergeCell ref="F10:M11"/>
  </mergeCells>
  <conditionalFormatting sqref="G15:K84">
    <cfRule type="cellIs" dxfId="1" priority="1" operator="equal">
      <formula>"False"</formula>
    </cfRule>
  </conditionalFormatting>
  <conditionalFormatting sqref="G15:K84">
    <cfRule type="cellIs" dxfId="0" priority="2" operator="equal">
      <formula>"TRUE"</formula>
    </cfRule>
  </conditionalFormatting>
  <dataValidations>
    <dataValidation type="list" allowBlank="1" showErrorMessage="1" sqref="E15:E84">
      <formula1>Data!$A$2:$A$100</formula1>
    </dataValidation>
    <dataValidation type="list" allowBlank="1" showErrorMessage="1" sqref="F15:F84">
      <formula1>Data!$C$2:$C$8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3" width="2.63"/>
    <col customWidth="1" min="4" max="4" width="20.38"/>
    <col customWidth="1" min="5" max="5" width="11.38"/>
    <col customWidth="1" min="6" max="6" width="16.63"/>
    <col customWidth="1" min="7" max="11" width="8.63"/>
    <col customWidth="1" min="12" max="12" width="12.63"/>
    <col customWidth="1" min="13" max="13" width="15.13"/>
    <col customWidth="1" min="14" max="15" width="2.63"/>
  </cols>
  <sheetData>
    <row r="1" ht="7.5" customHeight="1">
      <c r="A1" s="140"/>
      <c r="B1" s="84"/>
      <c r="C1" s="84"/>
      <c r="D1" s="84"/>
      <c r="E1" s="84"/>
      <c r="F1" s="84"/>
      <c r="G1" s="84"/>
      <c r="H1" s="84"/>
      <c r="I1" s="84"/>
      <c r="J1" s="84"/>
      <c r="K1" s="84"/>
      <c r="L1" s="85"/>
      <c r="M1" s="86"/>
      <c r="N1" s="86"/>
      <c r="O1" s="86"/>
    </row>
    <row r="2" ht="15.0" customHeight="1">
      <c r="A2" s="87"/>
      <c r="B2" s="87"/>
      <c r="C2" s="87"/>
      <c r="D2" s="88"/>
      <c r="E2" s="88"/>
      <c r="F2" s="88"/>
      <c r="G2" s="88"/>
      <c r="H2" s="88"/>
      <c r="I2" s="88"/>
      <c r="J2" s="88"/>
      <c r="K2" s="88"/>
      <c r="L2" s="88"/>
      <c r="M2" s="87"/>
      <c r="N2" s="87"/>
      <c r="O2" s="87"/>
    </row>
    <row r="3" ht="3.75" customHeight="1">
      <c r="A3" s="87"/>
      <c r="B3" s="87"/>
      <c r="C3" s="87"/>
      <c r="D3" s="89"/>
      <c r="E3" s="90"/>
      <c r="F3" s="90"/>
      <c r="G3" s="90"/>
      <c r="H3" s="90"/>
      <c r="I3" s="90"/>
      <c r="J3" s="90"/>
      <c r="K3" s="90"/>
      <c r="L3" s="90"/>
      <c r="M3" s="87"/>
      <c r="N3" s="87"/>
      <c r="O3" s="87"/>
    </row>
    <row r="4" ht="15.0" customHeight="1">
      <c r="A4" s="87"/>
      <c r="B4" s="87"/>
      <c r="C4" s="87"/>
      <c r="D4" s="88"/>
      <c r="E4" s="88"/>
      <c r="F4" s="88"/>
      <c r="G4" s="91"/>
      <c r="H4" s="91"/>
      <c r="I4" s="91"/>
      <c r="J4" s="91"/>
      <c r="K4" s="91"/>
      <c r="L4" s="91"/>
      <c r="M4" s="87"/>
      <c r="N4" s="87"/>
      <c r="O4" s="87"/>
    </row>
    <row r="5" ht="15.0" customHeight="1">
      <c r="A5" s="92"/>
      <c r="B5" s="92"/>
      <c r="C5" s="92"/>
      <c r="D5" s="88"/>
      <c r="E5" s="88"/>
      <c r="F5" s="88"/>
      <c r="G5" s="93"/>
      <c r="H5" s="93"/>
      <c r="I5" s="93"/>
      <c r="J5" s="93"/>
      <c r="K5" s="93"/>
      <c r="L5" s="94"/>
      <c r="M5" s="88"/>
      <c r="N5" s="92"/>
      <c r="O5" s="92"/>
    </row>
    <row r="6" ht="15.0" customHeight="1">
      <c r="A6" s="92"/>
      <c r="B6" s="92"/>
      <c r="C6" s="92"/>
      <c r="D6" s="95" t="s">
        <v>222</v>
      </c>
      <c r="L6" s="94"/>
      <c r="M6" s="88"/>
      <c r="N6" s="92"/>
      <c r="O6" s="92"/>
    </row>
    <row r="7" ht="15.0" customHeight="1">
      <c r="A7" s="92"/>
      <c r="B7" s="92"/>
      <c r="C7" s="92"/>
      <c r="D7" s="96" t="s">
        <v>223</v>
      </c>
      <c r="G7" s="97"/>
      <c r="H7" s="97"/>
      <c r="I7" s="97"/>
      <c r="J7" s="97"/>
      <c r="K7" s="97"/>
      <c r="L7" s="92"/>
      <c r="M7" s="92"/>
      <c r="N7" s="92"/>
      <c r="O7" s="92"/>
    </row>
    <row r="8" ht="15.0" customHeight="1">
      <c r="A8" s="92"/>
      <c r="B8" s="92"/>
      <c r="C8" s="92"/>
      <c r="D8" s="97"/>
      <c r="E8" s="97"/>
      <c r="F8" s="97"/>
      <c r="G8" s="97"/>
      <c r="H8" s="97"/>
      <c r="I8" s="97"/>
      <c r="J8" s="97"/>
      <c r="K8" s="97"/>
      <c r="L8" s="92"/>
      <c r="M8" s="92"/>
      <c r="N8" s="92"/>
      <c r="O8" s="92"/>
    </row>
    <row r="9" ht="15.0" customHeight="1">
      <c r="A9" s="92"/>
      <c r="B9" s="92"/>
      <c r="C9" s="98"/>
      <c r="D9" s="99" t="s">
        <v>35</v>
      </c>
      <c r="E9" s="100"/>
      <c r="F9" s="101"/>
      <c r="G9" s="101"/>
      <c r="H9" s="101"/>
      <c r="I9" s="101"/>
      <c r="J9" s="101"/>
      <c r="K9" s="101"/>
      <c r="L9" s="101"/>
      <c r="M9" s="100"/>
      <c r="N9" s="102"/>
      <c r="O9" s="102"/>
    </row>
    <row r="10" ht="15.0" customHeight="1">
      <c r="A10" s="92"/>
      <c r="B10" s="92"/>
      <c r="C10" s="98"/>
      <c r="E10" s="100"/>
      <c r="F10" s="103" t="s">
        <v>36</v>
      </c>
      <c r="N10" s="102"/>
      <c r="O10" s="102"/>
    </row>
    <row r="11" ht="15.0" customHeight="1">
      <c r="A11" s="92"/>
      <c r="B11" s="92"/>
      <c r="C11" s="98"/>
      <c r="E11" s="100"/>
      <c r="N11" s="102"/>
      <c r="O11" s="102"/>
    </row>
    <row r="12" ht="15.0" customHeight="1">
      <c r="A12" s="88"/>
      <c r="B12" s="92"/>
      <c r="C12" s="92"/>
      <c r="E12" s="100"/>
      <c r="F12" s="100"/>
      <c r="G12" s="100"/>
      <c r="H12" s="100"/>
      <c r="I12" s="100"/>
      <c r="J12" s="100"/>
      <c r="K12" s="100"/>
      <c r="L12" s="100"/>
      <c r="M12" s="100"/>
      <c r="N12" s="102"/>
      <c r="O12" s="102"/>
    </row>
    <row r="13" ht="15.0" customHeight="1">
      <c r="A13" s="88"/>
      <c r="B13" s="104"/>
      <c r="C13" s="104"/>
      <c r="D13" s="104"/>
      <c r="E13" s="104"/>
      <c r="F13" s="105"/>
      <c r="G13" s="105"/>
      <c r="H13" s="105"/>
      <c r="I13" s="105"/>
      <c r="J13" s="105"/>
      <c r="K13" s="105"/>
      <c r="L13" s="104"/>
      <c r="M13" s="104"/>
      <c r="N13" s="104"/>
      <c r="O13" s="104"/>
    </row>
    <row r="14" ht="15.0" customHeight="1">
      <c r="A14" s="106"/>
      <c r="B14" s="106"/>
      <c r="C14" s="106"/>
      <c r="D14" s="107" t="s">
        <v>37</v>
      </c>
      <c r="E14" s="108" t="s">
        <v>38</v>
      </c>
      <c r="F14" s="109" t="s">
        <v>39</v>
      </c>
      <c r="G14" s="110">
        <v>44564.0</v>
      </c>
      <c r="H14" s="110">
        <v>44565.0</v>
      </c>
      <c r="I14" s="110">
        <v>44566.0</v>
      </c>
      <c r="J14" s="110">
        <v>44567.0</v>
      </c>
      <c r="K14" s="110">
        <v>44568.0</v>
      </c>
      <c r="L14" s="111" t="s">
        <v>40</v>
      </c>
      <c r="M14" s="111" t="s">
        <v>41</v>
      </c>
      <c r="N14" s="88"/>
      <c r="O14" s="88"/>
    </row>
    <row r="15" ht="15.0" customHeight="1">
      <c r="A15" s="112"/>
      <c r="B15" s="112"/>
      <c r="C15" s="112"/>
      <c r="D15" s="129" t="s">
        <v>42</v>
      </c>
      <c r="E15" s="114" t="str">
        <f>VLOOKUP(D15,Data!H:I,2,0)</f>
        <v>Adana</v>
      </c>
      <c r="F15" s="115" t="str">
        <f>VLOOKUP(D15,Data!H:J,3,0)</f>
        <v>Freelance</v>
      </c>
      <c r="G15" s="116" t="b">
        <v>0</v>
      </c>
      <c r="H15" s="116" t="b">
        <v>0</v>
      </c>
      <c r="I15" s="116" t="b">
        <v>1</v>
      </c>
      <c r="J15" s="116" t="b">
        <v>1</v>
      </c>
      <c r="K15" s="116" t="b">
        <v>0</v>
      </c>
      <c r="L15" s="117">
        <f t="shared" ref="L15:L88" si="1">COUNTIF(G15:K15,"TRUE")</f>
        <v>2</v>
      </c>
      <c r="M15" s="117">
        <f t="shared" ref="M15:M88" si="2">L15*4</f>
        <v>8</v>
      </c>
      <c r="N15" s="112"/>
      <c r="O15" s="88"/>
    </row>
    <row r="16" ht="15.0" customHeight="1">
      <c r="A16" s="112"/>
      <c r="B16" s="112"/>
      <c r="C16" s="112"/>
      <c r="D16" s="129" t="s">
        <v>196</v>
      </c>
      <c r="E16" s="114" t="str">
        <f>VLOOKUP(D16,Data!H:I,2,0)</f>
        <v>Afyon</v>
      </c>
      <c r="F16" s="115" t="str">
        <f>VLOOKUP(D16,Data!H:J,3,0)</f>
        <v>Nazım Öztel</v>
      </c>
      <c r="G16" s="116" t="b">
        <v>0</v>
      </c>
      <c r="H16" s="116" t="b">
        <v>0</v>
      </c>
      <c r="I16" s="116" t="b">
        <v>0</v>
      </c>
      <c r="J16" s="116" t="b">
        <v>0</v>
      </c>
      <c r="K16" s="116" t="b">
        <v>0</v>
      </c>
      <c r="L16" s="117">
        <f t="shared" si="1"/>
        <v>0</v>
      </c>
      <c r="M16" s="117">
        <f t="shared" si="2"/>
        <v>0</v>
      </c>
      <c r="N16" s="112"/>
      <c r="O16" s="88"/>
    </row>
    <row r="17" ht="15.0" customHeight="1">
      <c r="A17" s="112"/>
      <c r="B17" s="112"/>
      <c r="C17" s="112"/>
      <c r="D17" s="129" t="s">
        <v>189</v>
      </c>
      <c r="E17" s="114" t="str">
        <f>VLOOKUP(D17,Data!H:I,2,0)</f>
        <v>Ankara</v>
      </c>
      <c r="F17" s="115" t="str">
        <f>VLOOKUP(D17,Data!H:J,3,0)</f>
        <v>Nazım Öztel</v>
      </c>
      <c r="G17" s="116" t="b">
        <v>0</v>
      </c>
      <c r="H17" s="116" t="b">
        <v>0</v>
      </c>
      <c r="I17" s="116" t="b">
        <v>0</v>
      </c>
      <c r="J17" s="116" t="b">
        <v>0</v>
      </c>
      <c r="K17" s="116" t="b">
        <v>0</v>
      </c>
      <c r="L17" s="117">
        <f t="shared" si="1"/>
        <v>0</v>
      </c>
      <c r="M17" s="117">
        <f t="shared" si="2"/>
        <v>0</v>
      </c>
      <c r="N17" s="112"/>
      <c r="O17" s="88"/>
    </row>
    <row r="18" ht="15.0" customHeight="1">
      <c r="A18" s="106"/>
      <c r="B18" s="106"/>
      <c r="C18" s="106"/>
      <c r="D18" s="129" t="s">
        <v>164</v>
      </c>
      <c r="E18" s="114" t="str">
        <f>VLOOKUP(D18,Data!H:I,2,0)</f>
        <v>Antalya</v>
      </c>
      <c r="F18" s="115" t="str">
        <f>VLOOKUP(D18,Data!H:J,3,0)</f>
        <v>Nazım Öztel</v>
      </c>
      <c r="G18" s="116" t="b">
        <v>0</v>
      </c>
      <c r="H18" s="116" t="b">
        <v>1</v>
      </c>
      <c r="I18" s="116" t="b">
        <v>0</v>
      </c>
      <c r="J18" s="116" t="b">
        <v>0</v>
      </c>
      <c r="K18" s="116" t="b">
        <v>1</v>
      </c>
      <c r="L18" s="117">
        <f t="shared" si="1"/>
        <v>2</v>
      </c>
      <c r="M18" s="117">
        <f t="shared" si="2"/>
        <v>8</v>
      </c>
      <c r="N18" s="112"/>
      <c r="O18" s="106"/>
    </row>
    <row r="19" ht="15.0" customHeight="1">
      <c r="A19" s="106"/>
      <c r="B19" s="106"/>
      <c r="C19" s="106"/>
      <c r="D19" s="129" t="s">
        <v>152</v>
      </c>
      <c r="E19" s="114" t="str">
        <f>VLOOKUP(D19,Data!H:I,2,0)</f>
        <v>Antalya</v>
      </c>
      <c r="F19" s="115" t="str">
        <f>VLOOKUP(D19,Data!H:J,3,0)</f>
        <v>Nazım Öztel</v>
      </c>
      <c r="G19" s="116" t="b">
        <v>0</v>
      </c>
      <c r="H19" s="116" t="b">
        <v>0</v>
      </c>
      <c r="I19" s="116" t="b">
        <v>0</v>
      </c>
      <c r="J19" s="116" t="b">
        <v>0</v>
      </c>
      <c r="K19" s="116" t="b">
        <v>0</v>
      </c>
      <c r="L19" s="117">
        <f t="shared" si="1"/>
        <v>0</v>
      </c>
      <c r="M19" s="117">
        <f t="shared" si="2"/>
        <v>0</v>
      </c>
      <c r="N19" s="112"/>
      <c r="O19" s="106"/>
    </row>
    <row r="20" ht="15.0" customHeight="1">
      <c r="A20" s="112"/>
      <c r="B20" s="112"/>
      <c r="C20" s="112"/>
      <c r="D20" s="129" t="s">
        <v>50</v>
      </c>
      <c r="E20" s="114" t="str">
        <f>VLOOKUP(D20,Data!H:I,2,0)</f>
        <v>Antalya</v>
      </c>
      <c r="F20" s="115" t="str">
        <f>VLOOKUP(D20,Data!H:J,3,0)</f>
        <v>Freelance</v>
      </c>
      <c r="G20" s="116" t="b">
        <v>0</v>
      </c>
      <c r="H20" s="116" t="b">
        <v>0</v>
      </c>
      <c r="I20" s="116" t="b">
        <v>0</v>
      </c>
      <c r="J20" s="116" t="b">
        <v>0</v>
      </c>
      <c r="K20" s="116" t="b">
        <v>0</v>
      </c>
      <c r="L20" s="117">
        <f t="shared" si="1"/>
        <v>0</v>
      </c>
      <c r="M20" s="117">
        <f t="shared" si="2"/>
        <v>0</v>
      </c>
      <c r="N20" s="112"/>
      <c r="O20" s="112"/>
    </row>
    <row r="21" ht="15.0" customHeight="1">
      <c r="A21" s="112"/>
      <c r="B21" s="112"/>
      <c r="C21" s="112"/>
      <c r="D21" s="129" t="s">
        <v>159</v>
      </c>
      <c r="E21" s="114" t="str">
        <f>VLOOKUP(D21,Data!H:I,2,0)</f>
        <v>Aydın</v>
      </c>
      <c r="F21" s="115" t="str">
        <f>VLOOKUP(D21,Data!H:J,3,0)</f>
        <v>Nazım Öztel</v>
      </c>
      <c r="G21" s="116" t="b">
        <v>0</v>
      </c>
      <c r="H21" s="116" t="b">
        <v>0</v>
      </c>
      <c r="I21" s="116" t="b">
        <v>0</v>
      </c>
      <c r="J21" s="116" t="b">
        <v>0</v>
      </c>
      <c r="K21" s="116" t="b">
        <v>0</v>
      </c>
      <c r="L21" s="117">
        <f t="shared" si="1"/>
        <v>0</v>
      </c>
      <c r="M21" s="117">
        <f t="shared" si="2"/>
        <v>0</v>
      </c>
      <c r="N21" s="112"/>
      <c r="O21" s="112"/>
    </row>
    <row r="22" ht="15.0" customHeight="1">
      <c r="A22" s="112"/>
      <c r="B22" s="112"/>
      <c r="C22" s="112"/>
      <c r="D22" s="129" t="s">
        <v>197</v>
      </c>
      <c r="E22" s="114" t="str">
        <f>VLOOKUP(D22,Data!H:I,2,0)</f>
        <v>Aydın</v>
      </c>
      <c r="F22" s="115" t="str">
        <f>VLOOKUP(D22,Data!H:J,3,0)</f>
        <v>Nazım Öztel</v>
      </c>
      <c r="G22" s="116" t="b">
        <v>1</v>
      </c>
      <c r="H22" s="116" t="b">
        <v>1</v>
      </c>
      <c r="I22" s="116" t="b">
        <v>1</v>
      </c>
      <c r="J22" s="116" t="b">
        <v>1</v>
      </c>
      <c r="K22" s="116" t="b">
        <v>1</v>
      </c>
      <c r="L22" s="117">
        <f t="shared" si="1"/>
        <v>5</v>
      </c>
      <c r="M22" s="117">
        <f t="shared" si="2"/>
        <v>20</v>
      </c>
      <c r="N22" s="112"/>
      <c r="O22" s="112"/>
    </row>
    <row r="23" ht="15.0" customHeight="1">
      <c r="A23" s="112"/>
      <c r="B23" s="112"/>
      <c r="C23" s="112"/>
      <c r="D23" s="129" t="s">
        <v>52</v>
      </c>
      <c r="E23" s="114" t="s">
        <v>184</v>
      </c>
      <c r="F23" s="115" t="s">
        <v>61</v>
      </c>
      <c r="G23" s="116" t="b">
        <v>0</v>
      </c>
      <c r="H23" s="116" t="b">
        <v>0</v>
      </c>
      <c r="I23" s="116" t="b">
        <v>0</v>
      </c>
      <c r="J23" s="116" t="b">
        <v>0</v>
      </c>
      <c r="K23" s="116" t="b">
        <v>0</v>
      </c>
      <c r="L23" s="117">
        <f t="shared" si="1"/>
        <v>0</v>
      </c>
      <c r="M23" s="117">
        <f t="shared" si="2"/>
        <v>0</v>
      </c>
      <c r="N23" s="112"/>
      <c r="O23" s="112"/>
    </row>
    <row r="24" ht="15.0" customHeight="1">
      <c r="A24" s="112"/>
      <c r="B24" s="112"/>
      <c r="C24" s="112"/>
      <c r="D24" s="129" t="s">
        <v>198</v>
      </c>
      <c r="E24" s="114" t="s">
        <v>181</v>
      </c>
      <c r="F24" s="115" t="s">
        <v>61</v>
      </c>
      <c r="G24" s="116" t="b">
        <v>0</v>
      </c>
      <c r="H24" s="116" t="b">
        <v>0</v>
      </c>
      <c r="I24" s="116" t="b">
        <v>0</v>
      </c>
      <c r="J24" s="116" t="b">
        <v>0</v>
      </c>
      <c r="K24" s="116" t="b">
        <v>0</v>
      </c>
      <c r="L24" s="117">
        <f t="shared" si="1"/>
        <v>0</v>
      </c>
      <c r="M24" s="117">
        <f t="shared" si="2"/>
        <v>0</v>
      </c>
      <c r="N24" s="112"/>
      <c r="O24" s="112"/>
    </row>
    <row r="25" ht="15.0" customHeight="1">
      <c r="A25" s="112"/>
      <c r="B25" s="112"/>
      <c r="C25" s="112"/>
      <c r="D25" s="129" t="s">
        <v>52</v>
      </c>
      <c r="E25" s="114" t="s">
        <v>181</v>
      </c>
      <c r="F25" s="115" t="s">
        <v>61</v>
      </c>
      <c r="G25" s="116" t="b">
        <v>0</v>
      </c>
      <c r="H25" s="116" t="b">
        <v>0</v>
      </c>
      <c r="I25" s="116" t="b">
        <v>0</v>
      </c>
      <c r="J25" s="116" t="b">
        <v>0</v>
      </c>
      <c r="K25" s="116" t="b">
        <v>0</v>
      </c>
      <c r="L25" s="117">
        <f t="shared" si="1"/>
        <v>0</v>
      </c>
      <c r="M25" s="117">
        <f t="shared" si="2"/>
        <v>0</v>
      </c>
      <c r="N25" s="112"/>
      <c r="O25" s="112"/>
    </row>
    <row r="26" ht="15.0" customHeight="1">
      <c r="A26" s="112"/>
      <c r="B26" s="112"/>
      <c r="C26" s="112"/>
      <c r="D26" s="129" t="s">
        <v>160</v>
      </c>
      <c r="E26" s="114" t="str">
        <f>VLOOKUP(D26,Data!H:I,2,0)</f>
        <v>Burdur</v>
      </c>
      <c r="F26" s="115" t="str">
        <f>VLOOKUP(D26,Data!H:J,3,0)</f>
        <v>Nazım Öztel</v>
      </c>
      <c r="G26" s="116" t="b">
        <v>0</v>
      </c>
      <c r="H26" s="116" t="b">
        <v>0</v>
      </c>
      <c r="I26" s="116" t="b">
        <v>0</v>
      </c>
      <c r="J26" s="116" t="b">
        <v>0</v>
      </c>
      <c r="K26" s="116" t="b">
        <v>0</v>
      </c>
      <c r="L26" s="117">
        <f t="shared" si="1"/>
        <v>0</v>
      </c>
      <c r="M26" s="117">
        <f t="shared" si="2"/>
        <v>0</v>
      </c>
      <c r="N26" s="112"/>
      <c r="O26" s="112"/>
    </row>
    <row r="27" ht="15.0" customHeight="1">
      <c r="A27" s="112"/>
      <c r="B27" s="112"/>
      <c r="C27" s="112"/>
      <c r="D27" s="132" t="s">
        <v>52</v>
      </c>
      <c r="E27" s="114" t="str">
        <f>VLOOKUP(D27,Data!H:I,2,0)</f>
        <v>Bursa</v>
      </c>
      <c r="F27" s="115" t="str">
        <f>VLOOKUP(D27,Data!H:J,3,0)</f>
        <v>Nazım Öztel</v>
      </c>
      <c r="G27" s="116" t="b">
        <v>0</v>
      </c>
      <c r="H27" s="116" t="b">
        <v>0</v>
      </c>
      <c r="I27" s="116" t="b">
        <v>0</v>
      </c>
      <c r="J27" s="116" t="b">
        <v>0</v>
      </c>
      <c r="K27" s="116" t="b">
        <v>0</v>
      </c>
      <c r="L27" s="117">
        <f t="shared" si="1"/>
        <v>0</v>
      </c>
      <c r="M27" s="117">
        <f t="shared" si="2"/>
        <v>0</v>
      </c>
      <c r="N27" s="122"/>
      <c r="O27" s="112"/>
    </row>
    <row r="28" ht="15.0" customHeight="1">
      <c r="A28" s="112"/>
      <c r="B28" s="112"/>
      <c r="C28" s="112"/>
      <c r="D28" s="129" t="s">
        <v>53</v>
      </c>
      <c r="E28" s="114" t="str">
        <f>VLOOKUP(D28,Data!H:I,2,0)</f>
        <v>Bursa</v>
      </c>
      <c r="F28" s="115" t="str">
        <f>VLOOKUP(D28,Data!H:J,3,0)</f>
        <v>Freelance</v>
      </c>
      <c r="G28" s="116" t="b">
        <v>0</v>
      </c>
      <c r="H28" s="116" t="b">
        <v>1</v>
      </c>
      <c r="I28" s="116" t="b">
        <v>1</v>
      </c>
      <c r="J28" s="116" t="b">
        <v>1</v>
      </c>
      <c r="K28" s="116" t="b">
        <v>0</v>
      </c>
      <c r="L28" s="117">
        <f t="shared" si="1"/>
        <v>3</v>
      </c>
      <c r="M28" s="117">
        <f t="shared" si="2"/>
        <v>12</v>
      </c>
      <c r="N28" s="112"/>
      <c r="O28" s="112"/>
    </row>
    <row r="29" ht="15.0" customHeight="1">
      <c r="A29" s="112"/>
      <c r="B29" s="112"/>
      <c r="C29" s="112"/>
      <c r="D29" s="129" t="s">
        <v>190</v>
      </c>
      <c r="E29" s="114" t="str">
        <f>VLOOKUP(D29,Data!H:I,2,0)</f>
        <v>Çanakkale</v>
      </c>
      <c r="F29" s="115" t="str">
        <f>VLOOKUP(D29,Data!H:J,3,0)</f>
        <v>Nazım Öztel</v>
      </c>
      <c r="G29" s="116" t="b">
        <v>0</v>
      </c>
      <c r="H29" s="116" t="b">
        <v>0</v>
      </c>
      <c r="I29" s="116" t="b">
        <v>0</v>
      </c>
      <c r="J29" s="116" t="b">
        <v>0</v>
      </c>
      <c r="K29" s="116" t="b">
        <v>0</v>
      </c>
      <c r="L29" s="117">
        <f t="shared" si="1"/>
        <v>0</v>
      </c>
      <c r="M29" s="117">
        <f t="shared" si="2"/>
        <v>0</v>
      </c>
      <c r="N29" s="112"/>
      <c r="O29" s="112"/>
    </row>
    <row r="30" ht="15.0" customHeight="1">
      <c r="A30" s="112"/>
      <c r="B30" s="112"/>
      <c r="C30" s="112"/>
      <c r="D30" s="129" t="s">
        <v>221</v>
      </c>
      <c r="E30" s="114" t="str">
        <f>VLOOKUP(D30,Data!H:I,2,0)</f>
        <v>Çorum</v>
      </c>
      <c r="F30" s="115" t="str">
        <f>VLOOKUP(D30,Data!H:J,3,0)</f>
        <v>Nazım Öztel</v>
      </c>
      <c r="G30" s="116" t="b">
        <v>1</v>
      </c>
      <c r="H30" s="116" t="b">
        <v>1</v>
      </c>
      <c r="I30" s="116" t="b">
        <v>1</v>
      </c>
      <c r="J30" s="116" t="b">
        <v>1</v>
      </c>
      <c r="K30" s="116" t="b">
        <v>0</v>
      </c>
      <c r="L30" s="117">
        <f t="shared" si="1"/>
        <v>4</v>
      </c>
      <c r="M30" s="117">
        <f t="shared" si="2"/>
        <v>16</v>
      </c>
      <c r="N30" s="112"/>
      <c r="O30" s="112"/>
    </row>
    <row r="31" ht="15.0" customHeight="1">
      <c r="A31" s="112"/>
      <c r="B31" s="112"/>
      <c r="C31" s="112"/>
      <c r="D31" s="129" t="s">
        <v>191</v>
      </c>
      <c r="E31" s="114" t="str">
        <f>VLOOKUP(D31,Data!H:I,2,0)</f>
        <v>Denizli</v>
      </c>
      <c r="F31" s="115" t="str">
        <f>VLOOKUP(D31,Data!H:J,3,0)</f>
        <v>Nazım Öztel</v>
      </c>
      <c r="G31" s="116" t="b">
        <v>0</v>
      </c>
      <c r="H31" s="116" t="b">
        <v>0</v>
      </c>
      <c r="I31" s="116" t="b">
        <v>0</v>
      </c>
      <c r="J31" s="116" t="b">
        <v>0</v>
      </c>
      <c r="K31" s="116" t="b">
        <v>0</v>
      </c>
      <c r="L31" s="117">
        <f t="shared" si="1"/>
        <v>0</v>
      </c>
      <c r="M31" s="117">
        <f t="shared" si="2"/>
        <v>0</v>
      </c>
      <c r="N31" s="112"/>
      <c r="O31" s="112"/>
    </row>
    <row r="32" ht="15.0" customHeight="1">
      <c r="A32" s="112"/>
      <c r="B32" s="112"/>
      <c r="C32" s="112"/>
      <c r="D32" s="132" t="s">
        <v>54</v>
      </c>
      <c r="E32" s="114" t="str">
        <f>VLOOKUP(D32,Data!H:I,2,0)</f>
        <v>Diyarbakır</v>
      </c>
      <c r="F32" s="115" t="str">
        <f>VLOOKUP(D32,Data!H:J,3,0)</f>
        <v>Nazım Öztel</v>
      </c>
      <c r="G32" s="116" t="b">
        <v>0</v>
      </c>
      <c r="H32" s="116" t="b">
        <v>0</v>
      </c>
      <c r="I32" s="116" t="b">
        <v>0</v>
      </c>
      <c r="J32" s="116" t="b">
        <v>0</v>
      </c>
      <c r="K32" s="116" t="b">
        <v>0</v>
      </c>
      <c r="L32" s="117">
        <f t="shared" si="1"/>
        <v>0</v>
      </c>
      <c r="M32" s="117">
        <f t="shared" si="2"/>
        <v>0</v>
      </c>
      <c r="N32" s="112"/>
      <c r="O32" s="112"/>
    </row>
    <row r="33" ht="15.0" customHeight="1">
      <c r="A33" s="112"/>
      <c r="B33" s="112"/>
      <c r="C33" s="112"/>
      <c r="D33" s="129" t="s">
        <v>173</v>
      </c>
      <c r="E33" s="114" t="str">
        <f>VLOOKUP(D33,Data!H:I,2,0)</f>
        <v>Düzce</v>
      </c>
      <c r="F33" s="115" t="str">
        <f>VLOOKUP(D33,Data!H:J,3,0)</f>
        <v>Nazım Öztel</v>
      </c>
      <c r="G33" s="116" t="b">
        <v>0</v>
      </c>
      <c r="H33" s="116" t="b">
        <v>0</v>
      </c>
      <c r="I33" s="116" t="b">
        <v>0</v>
      </c>
      <c r="J33" s="116" t="b">
        <v>0</v>
      </c>
      <c r="K33" s="116" t="b">
        <v>0</v>
      </c>
      <c r="L33" s="117">
        <f t="shared" si="1"/>
        <v>0</v>
      </c>
      <c r="M33" s="117">
        <f t="shared" si="2"/>
        <v>0</v>
      </c>
      <c r="N33" s="112"/>
      <c r="O33" s="112"/>
    </row>
    <row r="34" ht="15.0" customHeight="1">
      <c r="A34" s="112"/>
      <c r="B34" s="112"/>
      <c r="C34" s="112"/>
      <c r="D34" s="129" t="s">
        <v>153</v>
      </c>
      <c r="E34" s="114" t="str">
        <f>VLOOKUP(D34,Data!H:I,2,0)</f>
        <v>Edirne</v>
      </c>
      <c r="F34" s="115" t="str">
        <f>VLOOKUP(D34,Data!H:J,3,0)</f>
        <v>Nazım Öztel</v>
      </c>
      <c r="G34" s="116" t="b">
        <v>0</v>
      </c>
      <c r="H34" s="116" t="b">
        <v>0</v>
      </c>
      <c r="I34" s="116" t="b">
        <v>0</v>
      </c>
      <c r="J34" s="116" t="b">
        <v>0</v>
      </c>
      <c r="K34" s="116" t="b">
        <v>0</v>
      </c>
      <c r="L34" s="117">
        <f t="shared" si="1"/>
        <v>0</v>
      </c>
      <c r="M34" s="117">
        <f t="shared" si="2"/>
        <v>0</v>
      </c>
      <c r="N34" s="112"/>
      <c r="O34" s="112"/>
    </row>
    <row r="35" ht="15.0" customHeight="1">
      <c r="A35" s="112"/>
      <c r="B35" s="112"/>
      <c r="C35" s="112"/>
      <c r="D35" s="129" t="s">
        <v>199</v>
      </c>
      <c r="E35" s="114" t="str">
        <f>VLOOKUP(D35,Data!H:I,2,0)</f>
        <v>Elazığ</v>
      </c>
      <c r="F35" s="115" t="str">
        <f>VLOOKUP(D35,Data!H:J,3,0)</f>
        <v>Nazım Öztel</v>
      </c>
      <c r="G35" s="116" t="b">
        <v>0</v>
      </c>
      <c r="H35" s="116" t="b">
        <v>0</v>
      </c>
      <c r="I35" s="116" t="b">
        <v>0</v>
      </c>
      <c r="J35" s="116" t="b">
        <v>0</v>
      </c>
      <c r="K35" s="116" t="b">
        <v>0</v>
      </c>
      <c r="L35" s="117">
        <f t="shared" si="1"/>
        <v>0</v>
      </c>
      <c r="M35" s="117">
        <f t="shared" si="2"/>
        <v>0</v>
      </c>
      <c r="N35" s="112"/>
      <c r="O35" s="112"/>
    </row>
    <row r="36" ht="15.0" customHeight="1">
      <c r="A36" s="112"/>
      <c r="B36" s="112"/>
      <c r="C36" s="112"/>
      <c r="D36" s="132" t="s">
        <v>55</v>
      </c>
      <c r="E36" s="114" t="str">
        <f>VLOOKUP(D36,Data!H:I,2,0)</f>
        <v>Erzurum</v>
      </c>
      <c r="F36" s="115" t="str">
        <f>VLOOKUP(D36,Data!H:J,3,0)</f>
        <v>Nazım Öztel</v>
      </c>
      <c r="G36" s="116" t="b">
        <v>0</v>
      </c>
      <c r="H36" s="116" t="b">
        <v>0</v>
      </c>
      <c r="I36" s="116" t="b">
        <v>0</v>
      </c>
      <c r="J36" s="116" t="b">
        <v>0</v>
      </c>
      <c r="K36" s="116" t="b">
        <v>0</v>
      </c>
      <c r="L36" s="117">
        <f t="shared" si="1"/>
        <v>0</v>
      </c>
      <c r="M36" s="117">
        <f t="shared" si="2"/>
        <v>0</v>
      </c>
      <c r="N36" s="112"/>
      <c r="O36" s="112"/>
    </row>
    <row r="37" ht="15.0" customHeight="1">
      <c r="A37" s="112"/>
      <c r="B37" s="112"/>
      <c r="C37" s="112"/>
      <c r="D37" s="129" t="s">
        <v>165</v>
      </c>
      <c r="E37" s="114" t="str">
        <f>VLOOKUP(D37,Data!H:I,2,0)</f>
        <v>Eskişehir</v>
      </c>
      <c r="F37" s="115" t="str">
        <f>VLOOKUP(D37,Data!H:J,3,0)</f>
        <v>Nazım Öztel</v>
      </c>
      <c r="G37" s="116" t="b">
        <v>0</v>
      </c>
      <c r="H37" s="116" t="b">
        <v>1</v>
      </c>
      <c r="I37" s="116" t="b">
        <v>1</v>
      </c>
      <c r="J37" s="116" t="b">
        <v>1</v>
      </c>
      <c r="K37" s="116" t="b">
        <v>1</v>
      </c>
      <c r="L37" s="117">
        <f t="shared" si="1"/>
        <v>4</v>
      </c>
      <c r="M37" s="117">
        <f t="shared" si="2"/>
        <v>16</v>
      </c>
      <c r="N37" s="112"/>
      <c r="O37" s="112"/>
    </row>
    <row r="38" ht="15.0" customHeight="1">
      <c r="A38" s="112"/>
      <c r="B38" s="112"/>
      <c r="C38" s="112"/>
      <c r="D38" s="129" t="s">
        <v>58</v>
      </c>
      <c r="E38" s="114" t="str">
        <f>VLOOKUP(D38,Data!H:I,2,0)</f>
        <v>İstanbul</v>
      </c>
      <c r="F38" s="115" t="str">
        <f>VLOOKUP(D38,Data!H:J,3,0)</f>
        <v>Freelance</v>
      </c>
      <c r="G38" s="116" t="b">
        <v>0</v>
      </c>
      <c r="H38" s="116" t="b">
        <v>0</v>
      </c>
      <c r="I38" s="116" t="b">
        <v>0</v>
      </c>
      <c r="J38" s="116" t="b">
        <v>1</v>
      </c>
      <c r="K38" s="116" t="b">
        <v>1</v>
      </c>
      <c r="L38" s="117">
        <f t="shared" si="1"/>
        <v>2</v>
      </c>
      <c r="M38" s="117">
        <f t="shared" si="2"/>
        <v>8</v>
      </c>
      <c r="N38" s="88"/>
      <c r="O38" s="112"/>
    </row>
    <row r="39" ht="15.0" customHeight="1">
      <c r="A39" s="112"/>
      <c r="B39" s="112"/>
      <c r="C39" s="112"/>
      <c r="D39" s="129" t="s">
        <v>123</v>
      </c>
      <c r="E39" s="114" t="str">
        <f>VLOOKUP(D39,Data!H:I,2,0)</f>
        <v>İstanbul</v>
      </c>
      <c r="F39" s="115" t="str">
        <f>VLOOKUP(D39,Data!H:J,3,0)</f>
        <v>Freelance</v>
      </c>
      <c r="G39" s="116" t="b">
        <v>0</v>
      </c>
      <c r="H39" s="116" t="b">
        <v>0</v>
      </c>
      <c r="I39" s="116" t="b">
        <v>0</v>
      </c>
      <c r="J39" s="116" t="b">
        <v>0</v>
      </c>
      <c r="K39" s="116" t="b">
        <v>0</v>
      </c>
      <c r="L39" s="117">
        <f t="shared" si="1"/>
        <v>0</v>
      </c>
      <c r="M39" s="117">
        <f t="shared" si="2"/>
        <v>0</v>
      </c>
      <c r="N39" s="88"/>
      <c r="O39" s="112"/>
    </row>
    <row r="40" ht="15.0" customHeight="1">
      <c r="A40" s="121"/>
      <c r="B40" s="121"/>
      <c r="C40" s="121"/>
      <c r="D40" s="129" t="s">
        <v>209</v>
      </c>
      <c r="E40" s="114" t="str">
        <f>VLOOKUP(D40,Data!H:I,2,0)</f>
        <v>İstanbul</v>
      </c>
      <c r="F40" s="115" t="str">
        <f>VLOOKUP(D40,Data!H:J,3,0)</f>
        <v>Filamingo</v>
      </c>
      <c r="G40" s="116" t="b">
        <v>0</v>
      </c>
      <c r="H40" s="116" t="b">
        <v>0</v>
      </c>
      <c r="I40" s="116" t="b">
        <v>0</v>
      </c>
      <c r="J40" s="116" t="b">
        <v>0</v>
      </c>
      <c r="K40" s="116" t="b">
        <v>0</v>
      </c>
      <c r="L40" s="117">
        <f t="shared" si="1"/>
        <v>0</v>
      </c>
      <c r="M40" s="117">
        <f t="shared" si="2"/>
        <v>0</v>
      </c>
      <c r="N40" s="121"/>
      <c r="O40" s="121"/>
    </row>
    <row r="41" ht="15.0" customHeight="1">
      <c r="A41" s="121"/>
      <c r="B41" s="121"/>
      <c r="C41" s="121"/>
      <c r="D41" s="129" t="s">
        <v>134</v>
      </c>
      <c r="E41" s="114" t="str">
        <f>VLOOKUP(D41,Data!H:I,2,0)</f>
        <v>İstanbul</v>
      </c>
      <c r="F41" s="115" t="str">
        <f>VLOOKUP(D41,Data!H:J,3,0)</f>
        <v>Filamingo</v>
      </c>
      <c r="G41" s="116" t="b">
        <v>0</v>
      </c>
      <c r="H41" s="116" t="b">
        <v>0</v>
      </c>
      <c r="I41" s="116" t="b">
        <v>0</v>
      </c>
      <c r="J41" s="116" t="b">
        <v>0</v>
      </c>
      <c r="K41" s="116" t="b">
        <v>0</v>
      </c>
      <c r="L41" s="117">
        <f t="shared" si="1"/>
        <v>0</v>
      </c>
      <c r="M41" s="117">
        <f t="shared" si="2"/>
        <v>0</v>
      </c>
      <c r="N41" s="121"/>
      <c r="O41" s="121"/>
    </row>
    <row r="42" ht="15.0" customHeight="1">
      <c r="A42" s="112"/>
      <c r="B42" s="112"/>
      <c r="C42" s="112"/>
      <c r="D42" s="132" t="s">
        <v>117</v>
      </c>
      <c r="E42" s="114" t="str">
        <f>VLOOKUP(D42,Data!H:I,2,0)</f>
        <v>İstanbul</v>
      </c>
      <c r="F42" s="115" t="str">
        <f>VLOOKUP(D42,Data!H:J,3,0)</f>
        <v>Freelance</v>
      </c>
      <c r="G42" s="116" t="b">
        <v>0</v>
      </c>
      <c r="H42" s="116" t="b">
        <v>0</v>
      </c>
      <c r="I42" s="116" t="b">
        <v>0</v>
      </c>
      <c r="J42" s="116" t="b">
        <v>0</v>
      </c>
      <c r="K42" s="116" t="b">
        <v>0</v>
      </c>
      <c r="L42" s="117">
        <f t="shared" si="1"/>
        <v>0</v>
      </c>
      <c r="M42" s="117">
        <f t="shared" si="2"/>
        <v>0</v>
      </c>
      <c r="N42" s="112"/>
      <c r="O42" s="112"/>
    </row>
    <row r="43" ht="15.0" customHeight="1">
      <c r="A43" s="112"/>
      <c r="B43" s="112"/>
      <c r="C43" s="112"/>
      <c r="D43" s="129" t="s">
        <v>135</v>
      </c>
      <c r="E43" s="114" t="str">
        <f>VLOOKUP(D43,Data!H:I,2,0)</f>
        <v>İstanbul</v>
      </c>
      <c r="F43" s="115" t="str">
        <f>VLOOKUP(D43,Data!H:J,3,0)</f>
        <v>Freelance</v>
      </c>
      <c r="G43" s="116" t="b">
        <v>1</v>
      </c>
      <c r="H43" s="116" t="b">
        <v>1</v>
      </c>
      <c r="I43" s="116" t="b">
        <v>1</v>
      </c>
      <c r="J43" s="116" t="b">
        <v>0</v>
      </c>
      <c r="K43" s="116" t="b">
        <v>0</v>
      </c>
      <c r="L43" s="117">
        <f t="shared" si="1"/>
        <v>3</v>
      </c>
      <c r="M43" s="117">
        <f t="shared" si="2"/>
        <v>12</v>
      </c>
      <c r="N43" s="112"/>
      <c r="O43" s="112"/>
    </row>
    <row r="44" ht="15.0" customHeight="1">
      <c r="A44" s="112"/>
      <c r="B44" s="112"/>
      <c r="C44" s="112"/>
      <c r="D44" s="129" t="s">
        <v>70</v>
      </c>
      <c r="E44" s="114" t="str">
        <f>VLOOKUP(D44,Data!H:I,2,0)</f>
        <v>İstanbul</v>
      </c>
      <c r="F44" s="115" t="str">
        <f>VLOOKUP(D44,Data!H:J,3,0)</f>
        <v>Freelance</v>
      </c>
      <c r="G44" s="116" t="b">
        <v>0</v>
      </c>
      <c r="H44" s="116" t="b">
        <v>1</v>
      </c>
      <c r="I44" s="116" t="b">
        <v>0</v>
      </c>
      <c r="J44" s="116" t="b">
        <v>0</v>
      </c>
      <c r="K44" s="116" t="b">
        <v>0</v>
      </c>
      <c r="L44" s="117">
        <f t="shared" si="1"/>
        <v>1</v>
      </c>
      <c r="M44" s="117">
        <f t="shared" si="2"/>
        <v>4</v>
      </c>
      <c r="N44" s="112"/>
      <c r="O44" s="112"/>
    </row>
    <row r="45" ht="15.0" customHeight="1">
      <c r="A45" s="112"/>
      <c r="B45" s="112"/>
      <c r="C45" s="112"/>
      <c r="D45" s="129" t="s">
        <v>174</v>
      </c>
      <c r="E45" s="114" t="str">
        <f>VLOOKUP(D45,Data!H:I,2,0)</f>
        <v>İstanbul</v>
      </c>
      <c r="F45" s="115" t="str">
        <f>VLOOKUP(D45,Data!H:J,3,0)</f>
        <v>Freelance</v>
      </c>
      <c r="G45" s="116" t="b">
        <v>0</v>
      </c>
      <c r="H45" s="116" t="b">
        <v>0</v>
      </c>
      <c r="I45" s="116" t="b">
        <v>0</v>
      </c>
      <c r="J45" s="116" t="b">
        <v>0</v>
      </c>
      <c r="K45" s="116" t="b">
        <v>0</v>
      </c>
      <c r="L45" s="117">
        <f t="shared" si="1"/>
        <v>0</v>
      </c>
      <c r="M45" s="117">
        <f t="shared" si="2"/>
        <v>0</v>
      </c>
      <c r="N45" s="112"/>
      <c r="O45" s="112"/>
    </row>
    <row r="46" ht="15.0" customHeight="1">
      <c r="A46" s="112"/>
      <c r="B46" s="112"/>
      <c r="C46" s="112"/>
      <c r="D46" s="129" t="s">
        <v>78</v>
      </c>
      <c r="E46" s="114" t="str">
        <f>VLOOKUP(D46,Data!H:I,2,0)</f>
        <v>İstanbul</v>
      </c>
      <c r="F46" s="115" t="str">
        <f>VLOOKUP(D46,Data!H:J,3,0)</f>
        <v>Freelance</v>
      </c>
      <c r="G46" s="116" t="b">
        <v>1</v>
      </c>
      <c r="H46" s="116" t="b">
        <v>1</v>
      </c>
      <c r="I46" s="116" t="b">
        <v>1</v>
      </c>
      <c r="J46" s="116" t="b">
        <v>1</v>
      </c>
      <c r="K46" s="116" t="b">
        <v>0</v>
      </c>
      <c r="L46" s="117">
        <f t="shared" si="1"/>
        <v>4</v>
      </c>
      <c r="M46" s="117">
        <f t="shared" si="2"/>
        <v>16</v>
      </c>
      <c r="N46" s="112"/>
      <c r="O46" s="112"/>
    </row>
    <row r="47" ht="15.0" customHeight="1">
      <c r="A47" s="112"/>
      <c r="B47" s="112"/>
      <c r="C47" s="112"/>
      <c r="D47" s="132" t="s">
        <v>72</v>
      </c>
      <c r="E47" s="114" t="str">
        <f>VLOOKUP(D47,Data!H:I,2,0)</f>
        <v>İstanbul</v>
      </c>
      <c r="F47" s="115" t="str">
        <f>VLOOKUP(D47,Data!H:J,3,0)</f>
        <v>Filamingo</v>
      </c>
      <c r="G47" s="116" t="b">
        <v>0</v>
      </c>
      <c r="H47" s="116" t="b">
        <v>0</v>
      </c>
      <c r="I47" s="116" t="b">
        <v>0</v>
      </c>
      <c r="J47" s="116" t="b">
        <v>0</v>
      </c>
      <c r="K47" s="116" t="b">
        <v>0</v>
      </c>
      <c r="L47" s="117">
        <f t="shared" si="1"/>
        <v>0</v>
      </c>
      <c r="M47" s="117">
        <f t="shared" si="2"/>
        <v>0</v>
      </c>
      <c r="N47" s="112"/>
      <c r="O47" s="112"/>
    </row>
    <row r="48" ht="15.0" customHeight="1">
      <c r="A48" s="112"/>
      <c r="B48" s="112"/>
      <c r="C48" s="112"/>
      <c r="D48" s="141" t="s">
        <v>125</v>
      </c>
      <c r="E48" s="114" t="str">
        <f>VLOOKUP(D48,Data!H:I,2,0)</f>
        <v>İstanbul</v>
      </c>
      <c r="F48" s="115" t="str">
        <f>VLOOKUP(D48,Data!H:J,3,0)</f>
        <v>Filamingo</v>
      </c>
      <c r="G48" s="116" t="b">
        <v>0</v>
      </c>
      <c r="H48" s="116" t="b">
        <v>0</v>
      </c>
      <c r="I48" s="116" t="b">
        <v>0</v>
      </c>
      <c r="J48" s="116" t="b">
        <v>0</v>
      </c>
      <c r="K48" s="116" t="b">
        <v>0</v>
      </c>
      <c r="L48" s="117">
        <f t="shared" si="1"/>
        <v>0</v>
      </c>
      <c r="M48" s="117">
        <f t="shared" si="2"/>
        <v>0</v>
      </c>
      <c r="N48" s="120"/>
      <c r="O48" s="112"/>
    </row>
    <row r="49" ht="15.0" customHeight="1">
      <c r="A49" s="112"/>
      <c r="B49" s="112"/>
      <c r="C49" s="112"/>
      <c r="D49" s="129" t="s">
        <v>200</v>
      </c>
      <c r="E49" s="114" t="str">
        <f>VLOOKUP(D49,Data!H:I,2,0)</f>
        <v>İstanbul</v>
      </c>
      <c r="F49" s="115" t="str">
        <f>VLOOKUP(D49,Data!H:J,3,0)</f>
        <v>Filamingo</v>
      </c>
      <c r="G49" s="116" t="b">
        <v>0</v>
      </c>
      <c r="H49" s="116" t="b">
        <v>0</v>
      </c>
      <c r="I49" s="116" t="b">
        <v>0</v>
      </c>
      <c r="J49" s="116" t="b">
        <v>0</v>
      </c>
      <c r="K49" s="116" t="b">
        <v>0</v>
      </c>
      <c r="L49" s="117">
        <f t="shared" si="1"/>
        <v>0</v>
      </c>
      <c r="M49" s="117">
        <f t="shared" si="2"/>
        <v>0</v>
      </c>
      <c r="N49" s="120"/>
      <c r="O49" s="112"/>
    </row>
    <row r="50" ht="15.0" customHeight="1">
      <c r="A50" s="112"/>
      <c r="B50" s="112"/>
      <c r="C50" s="112"/>
      <c r="D50" s="129" t="s">
        <v>214</v>
      </c>
      <c r="E50" s="114" t="str">
        <f>VLOOKUP(D50,Data!H:I,2,0)</f>
        <v>İstanbul</v>
      </c>
      <c r="F50" s="115" t="str">
        <f>VLOOKUP(D50,Data!H:J,3,0)</f>
        <v>Filamingo</v>
      </c>
      <c r="G50" s="116" t="b">
        <v>0</v>
      </c>
      <c r="H50" s="116" t="b">
        <v>0</v>
      </c>
      <c r="I50" s="116" t="b">
        <v>0</v>
      </c>
      <c r="J50" s="116" t="b">
        <v>0</v>
      </c>
      <c r="K50" s="116" t="b">
        <v>0</v>
      </c>
      <c r="L50" s="117">
        <f t="shared" si="1"/>
        <v>0</v>
      </c>
      <c r="M50" s="117">
        <f t="shared" si="2"/>
        <v>0</v>
      </c>
      <c r="N50" s="120"/>
      <c r="O50" s="112"/>
    </row>
    <row r="51" ht="15.0" customHeight="1">
      <c r="A51" s="122"/>
      <c r="B51" s="122"/>
      <c r="C51" s="122"/>
      <c r="D51" s="129" t="s">
        <v>79</v>
      </c>
      <c r="E51" s="114" t="str">
        <f>VLOOKUP(D51,Data!H:I,2,0)</f>
        <v>İstanbul</v>
      </c>
      <c r="F51" s="115" t="str">
        <f>VLOOKUP(D51,Data!H:J,3,0)</f>
        <v>Freelance</v>
      </c>
      <c r="G51" s="116" t="b">
        <v>1</v>
      </c>
      <c r="H51" s="116" t="b">
        <v>1</v>
      </c>
      <c r="I51" s="116" t="b">
        <v>0</v>
      </c>
      <c r="J51" s="116" t="b">
        <v>0</v>
      </c>
      <c r="K51" s="116" t="b">
        <v>0</v>
      </c>
      <c r="L51" s="117">
        <f t="shared" si="1"/>
        <v>2</v>
      </c>
      <c r="M51" s="117">
        <f t="shared" si="2"/>
        <v>8</v>
      </c>
      <c r="N51" s="112"/>
      <c r="O51" s="122"/>
    </row>
    <row r="52" ht="15.0" customHeight="1">
      <c r="A52" s="124"/>
      <c r="B52" s="124"/>
      <c r="C52" s="124"/>
      <c r="D52" s="129" t="s">
        <v>80</v>
      </c>
      <c r="E52" s="114" t="str">
        <f>VLOOKUP(D52,Data!H:I,2,0)</f>
        <v>İstanbul</v>
      </c>
      <c r="F52" s="115" t="str">
        <f>VLOOKUP(D52,Data!H:J,3,0)</f>
        <v>Freelance</v>
      </c>
      <c r="G52" s="116" t="b">
        <v>1</v>
      </c>
      <c r="H52" s="116" t="b">
        <v>1</v>
      </c>
      <c r="I52" s="116" t="b">
        <v>1</v>
      </c>
      <c r="J52" s="116" t="b">
        <v>1</v>
      </c>
      <c r="K52" s="116" t="b">
        <v>0</v>
      </c>
      <c r="L52" s="117">
        <f t="shared" si="1"/>
        <v>4</v>
      </c>
      <c r="M52" s="117">
        <f t="shared" si="2"/>
        <v>16</v>
      </c>
      <c r="N52" s="112"/>
      <c r="O52" s="124"/>
    </row>
    <row r="53" ht="15.0" customHeight="1">
      <c r="A53" s="124"/>
      <c r="B53" s="124"/>
      <c r="C53" s="124"/>
      <c r="D53" s="129" t="s">
        <v>217</v>
      </c>
      <c r="E53" s="114" t="str">
        <f>VLOOKUP(D53,Data!H:I,2,0)</f>
        <v>İstanbul</v>
      </c>
      <c r="F53" s="115" t="str">
        <f>VLOOKUP(D53,Data!H:J,3,0)</f>
        <v>Freelance</v>
      </c>
      <c r="G53" s="116" t="b">
        <v>0</v>
      </c>
      <c r="H53" s="116" t="b">
        <v>0</v>
      </c>
      <c r="I53" s="116" t="b">
        <v>0</v>
      </c>
      <c r="J53" s="116" t="b">
        <v>1</v>
      </c>
      <c r="K53" s="116" t="b">
        <v>0</v>
      </c>
      <c r="L53" s="117">
        <f t="shared" si="1"/>
        <v>1</v>
      </c>
      <c r="M53" s="117">
        <f t="shared" si="2"/>
        <v>4</v>
      </c>
      <c r="N53" s="112"/>
      <c r="O53" s="124"/>
    </row>
    <row r="54" ht="15.0" customHeight="1">
      <c r="A54" s="112"/>
      <c r="B54" s="112"/>
      <c r="C54" s="112"/>
      <c r="D54" s="129" t="s">
        <v>166</v>
      </c>
      <c r="E54" s="114" t="str">
        <f>VLOOKUP(D54,Data!H:I,2,0)</f>
        <v>İstanbul</v>
      </c>
      <c r="F54" s="115" t="str">
        <f>VLOOKUP(D54,Data!H:J,3,0)</f>
        <v>Filamingo</v>
      </c>
      <c r="G54" s="116" t="b">
        <v>0</v>
      </c>
      <c r="H54" s="116" t="b">
        <v>0</v>
      </c>
      <c r="I54" s="116" t="b">
        <v>0</v>
      </c>
      <c r="J54" s="116" t="b">
        <v>0</v>
      </c>
      <c r="K54" s="116" t="b">
        <v>0</v>
      </c>
      <c r="L54" s="117">
        <f t="shared" si="1"/>
        <v>0</v>
      </c>
      <c r="M54" s="117">
        <f t="shared" si="2"/>
        <v>0</v>
      </c>
      <c r="N54" s="124"/>
      <c r="O54" s="112"/>
    </row>
    <row r="55" ht="15.0" customHeight="1">
      <c r="A55" s="112"/>
      <c r="B55" s="112"/>
      <c r="C55" s="112"/>
      <c r="D55" s="129" t="s">
        <v>81</v>
      </c>
      <c r="E55" s="114" t="str">
        <f>VLOOKUP(D55,Data!H:I,2,0)</f>
        <v>İstanbul</v>
      </c>
      <c r="F55" s="115" t="str">
        <f>VLOOKUP(D55,Data!H:J,3,0)</f>
        <v>Freelance</v>
      </c>
      <c r="G55" s="116" t="b">
        <v>0</v>
      </c>
      <c r="H55" s="116" t="b">
        <v>0</v>
      </c>
      <c r="I55" s="116" t="b">
        <v>0</v>
      </c>
      <c r="J55" s="116" t="b">
        <v>0</v>
      </c>
      <c r="K55" s="116" t="b">
        <v>0</v>
      </c>
      <c r="L55" s="117">
        <f t="shared" si="1"/>
        <v>0</v>
      </c>
      <c r="M55" s="117">
        <f t="shared" si="2"/>
        <v>0</v>
      </c>
      <c r="N55" s="112"/>
      <c r="O55" s="112"/>
    </row>
    <row r="56" ht="15.0" customHeight="1">
      <c r="A56" s="112"/>
      <c r="B56" s="112"/>
      <c r="C56" s="112"/>
      <c r="D56" s="132" t="s">
        <v>119</v>
      </c>
      <c r="E56" s="114" t="str">
        <f>VLOOKUP(D56,Data!H:I,2,0)</f>
        <v>İstanbul</v>
      </c>
      <c r="F56" s="115" t="str">
        <f>VLOOKUP(D56,Data!H:J,3,0)</f>
        <v>Filamingo</v>
      </c>
      <c r="G56" s="116" t="b">
        <v>1</v>
      </c>
      <c r="H56" s="116" t="b">
        <v>1</v>
      </c>
      <c r="I56" s="116" t="b">
        <v>1</v>
      </c>
      <c r="J56" s="116" t="b">
        <v>1</v>
      </c>
      <c r="K56" s="116" t="b">
        <v>0</v>
      </c>
      <c r="L56" s="117">
        <f t="shared" si="1"/>
        <v>4</v>
      </c>
      <c r="M56" s="117">
        <f t="shared" si="2"/>
        <v>16</v>
      </c>
      <c r="N56" s="112"/>
      <c r="O56" s="112"/>
    </row>
    <row r="57" ht="15.0" customHeight="1">
      <c r="A57" s="112"/>
      <c r="B57" s="112"/>
      <c r="C57" s="112"/>
      <c r="D57" s="129" t="s">
        <v>185</v>
      </c>
      <c r="E57" s="114" t="str">
        <f>VLOOKUP(D57,Data!H:I,2,0)</f>
        <v>İstanbul</v>
      </c>
      <c r="F57" s="115" t="str">
        <f>VLOOKUP(D57,Data!H:J,3,0)</f>
        <v>Filamingo</v>
      </c>
      <c r="G57" s="116" t="b">
        <v>0</v>
      </c>
      <c r="H57" s="116" t="b">
        <v>0</v>
      </c>
      <c r="I57" s="116" t="b">
        <v>0</v>
      </c>
      <c r="J57" s="116" t="b">
        <v>0</v>
      </c>
      <c r="K57" s="116" t="b">
        <v>0</v>
      </c>
      <c r="L57" s="117">
        <f t="shared" si="1"/>
        <v>0</v>
      </c>
      <c r="M57" s="117">
        <f t="shared" si="2"/>
        <v>0</v>
      </c>
      <c r="N57" s="112"/>
      <c r="O57" s="112"/>
    </row>
    <row r="58" ht="15.0" customHeight="1">
      <c r="A58" s="112"/>
      <c r="B58" s="112"/>
      <c r="C58" s="112"/>
      <c r="D58" s="129" t="s">
        <v>224</v>
      </c>
      <c r="E58" s="145" t="str">
        <f>VLOOKUP(D58,Data!H:I,2,0)</f>
        <v>İstanbul</v>
      </c>
      <c r="F58" s="145" t="str">
        <f>VLOOKUP(D58,Data!H:J,3,0)</f>
        <v>Filamingo</v>
      </c>
      <c r="G58" s="116" t="b">
        <v>1</v>
      </c>
      <c r="H58" s="116" t="b">
        <v>1</v>
      </c>
      <c r="I58" s="116" t="b">
        <v>0</v>
      </c>
      <c r="J58" s="116" t="b">
        <v>1</v>
      </c>
      <c r="K58" s="116" t="b">
        <v>1</v>
      </c>
      <c r="L58" s="146">
        <f t="shared" si="1"/>
        <v>4</v>
      </c>
      <c r="M58" s="146">
        <f t="shared" si="2"/>
        <v>16</v>
      </c>
      <c r="N58" s="112"/>
      <c r="O58" s="112"/>
    </row>
    <row r="59" ht="15.0" customHeight="1">
      <c r="A59" s="112"/>
      <c r="B59" s="112"/>
      <c r="C59" s="112"/>
      <c r="D59" s="129" t="s">
        <v>85</v>
      </c>
      <c r="E59" s="114" t="str">
        <f>VLOOKUP(D59,Data!H:I,2,0)</f>
        <v>İstanbul</v>
      </c>
      <c r="F59" s="115" t="str">
        <f>VLOOKUP(D59,Data!H:J,3,0)</f>
        <v>Filamingo</v>
      </c>
      <c r="G59" s="116" t="b">
        <v>0</v>
      </c>
      <c r="H59" s="116" t="b">
        <v>0</v>
      </c>
      <c r="I59" s="116" t="b">
        <v>0</v>
      </c>
      <c r="J59" s="116" t="b">
        <v>0</v>
      </c>
      <c r="K59" s="116" t="b">
        <v>0</v>
      </c>
      <c r="L59" s="117">
        <f t="shared" si="1"/>
        <v>0</v>
      </c>
      <c r="M59" s="117">
        <f t="shared" si="2"/>
        <v>0</v>
      </c>
      <c r="N59" s="112"/>
      <c r="O59" s="112"/>
    </row>
    <row r="60" ht="15.0" customHeight="1">
      <c r="A60" s="112"/>
      <c r="B60" s="112"/>
      <c r="C60" s="112"/>
      <c r="D60" s="129" t="s">
        <v>225</v>
      </c>
      <c r="E60" s="114" t="str">
        <f>VLOOKUP(D60,Data!H:I,2,0)</f>
        <v>İstanbul</v>
      </c>
      <c r="F60" s="115" t="str">
        <f>VLOOKUP(D60,Data!H:J,3,0)</f>
        <v>Filamingo</v>
      </c>
      <c r="G60" s="116" t="b">
        <v>0</v>
      </c>
      <c r="H60" s="116" t="b">
        <v>0</v>
      </c>
      <c r="I60" s="116" t="b">
        <v>1</v>
      </c>
      <c r="J60" s="116" t="b">
        <v>1</v>
      </c>
      <c r="K60" s="116" t="b">
        <v>1</v>
      </c>
      <c r="L60" s="117">
        <f t="shared" si="1"/>
        <v>3</v>
      </c>
      <c r="M60" s="117">
        <f t="shared" si="2"/>
        <v>12</v>
      </c>
      <c r="N60" s="112"/>
      <c r="O60" s="112"/>
    </row>
    <row r="61" ht="15.0" customHeight="1">
      <c r="A61" s="112"/>
      <c r="B61" s="112"/>
      <c r="C61" s="112"/>
      <c r="D61" s="129" t="s">
        <v>201</v>
      </c>
      <c r="E61" s="114" t="str">
        <f>VLOOKUP(D61,Data!H:I,2,0)</f>
        <v>İstanbul</v>
      </c>
      <c r="F61" s="115" t="str">
        <f>VLOOKUP(D61,Data!H:J,3,0)</f>
        <v>Freelance</v>
      </c>
      <c r="G61" s="116" t="b">
        <v>0</v>
      </c>
      <c r="H61" s="116" t="b">
        <v>0</v>
      </c>
      <c r="I61" s="116" t="b">
        <v>0</v>
      </c>
      <c r="J61" s="116" t="b">
        <v>1</v>
      </c>
      <c r="K61" s="116" t="b">
        <v>1</v>
      </c>
      <c r="L61" s="117">
        <f t="shared" si="1"/>
        <v>2</v>
      </c>
      <c r="M61" s="117">
        <f t="shared" si="2"/>
        <v>8</v>
      </c>
      <c r="N61" s="125"/>
      <c r="O61" s="112"/>
    </row>
    <row r="62" ht="15.0" customHeight="1">
      <c r="A62" s="112"/>
      <c r="B62" s="112"/>
      <c r="C62" s="112"/>
      <c r="D62" s="132" t="s">
        <v>83</v>
      </c>
      <c r="E62" s="114" t="str">
        <f>VLOOKUP(D62,Data!H:I,2,0)</f>
        <v>İstanbul</v>
      </c>
      <c r="F62" s="115" t="str">
        <f>VLOOKUP(D62,Data!H:J,3,0)</f>
        <v>Nazım Öztel</v>
      </c>
      <c r="G62" s="116" t="b">
        <v>1</v>
      </c>
      <c r="H62" s="116" t="b">
        <v>1</v>
      </c>
      <c r="I62" s="116" t="b">
        <v>1</v>
      </c>
      <c r="J62" s="116" t="b">
        <v>1</v>
      </c>
      <c r="K62" s="116" t="b">
        <v>1</v>
      </c>
      <c r="L62" s="117">
        <f t="shared" si="1"/>
        <v>5</v>
      </c>
      <c r="M62" s="117">
        <f t="shared" si="2"/>
        <v>20</v>
      </c>
      <c r="N62" s="112"/>
      <c r="O62" s="112"/>
    </row>
    <row r="63" ht="15.0" customHeight="1">
      <c r="A63" s="125"/>
      <c r="B63" s="125"/>
      <c r="C63" s="125"/>
      <c r="D63" s="129" t="s">
        <v>145</v>
      </c>
      <c r="E63" s="114" t="str">
        <f>VLOOKUP(D63,Data!H:I,2,0)</f>
        <v>İstanbul</v>
      </c>
      <c r="F63" s="115" t="str">
        <f>VLOOKUP(D63,Data!H:J,3,0)</f>
        <v>Filamingo</v>
      </c>
      <c r="G63" s="116" t="b">
        <v>1</v>
      </c>
      <c r="H63" s="116" t="b">
        <v>1</v>
      </c>
      <c r="I63" s="116" t="b">
        <v>1</v>
      </c>
      <c r="J63" s="116" t="b">
        <v>1</v>
      </c>
      <c r="K63" s="116" t="b">
        <v>1</v>
      </c>
      <c r="L63" s="117">
        <f t="shared" si="1"/>
        <v>5</v>
      </c>
      <c r="M63" s="117">
        <f t="shared" si="2"/>
        <v>20</v>
      </c>
      <c r="N63" s="112"/>
      <c r="O63" s="125"/>
    </row>
    <row r="64" ht="15.0" customHeight="1">
      <c r="A64" s="125"/>
      <c r="B64" s="125"/>
      <c r="C64" s="125"/>
      <c r="D64" s="129" t="s">
        <v>210</v>
      </c>
      <c r="E64" s="114" t="str">
        <f>VLOOKUP(D64,Data!H:I,2,0)</f>
        <v>İstanbul</v>
      </c>
      <c r="F64" s="115" t="str">
        <f>VLOOKUP(D64,Data!H:J,3,0)</f>
        <v>Filamingo</v>
      </c>
      <c r="G64" s="116" t="b">
        <v>0</v>
      </c>
      <c r="H64" s="116" t="b">
        <v>0</v>
      </c>
      <c r="I64" s="116" t="b">
        <v>0</v>
      </c>
      <c r="J64" s="116" t="b">
        <v>0</v>
      </c>
      <c r="K64" s="116" t="b">
        <v>0</v>
      </c>
      <c r="L64" s="117">
        <f t="shared" si="1"/>
        <v>0</v>
      </c>
      <c r="M64" s="117">
        <f t="shared" si="2"/>
        <v>0</v>
      </c>
      <c r="N64" s="112"/>
      <c r="O64" s="125"/>
    </row>
    <row r="65" ht="15.0" customHeight="1">
      <c r="A65" s="125"/>
      <c r="B65" s="125"/>
      <c r="C65" s="125"/>
      <c r="D65" s="129" t="s">
        <v>202</v>
      </c>
      <c r="E65" s="114" t="str">
        <f>VLOOKUP(D65,Data!H:I,2,0)</f>
        <v>İstanbul</v>
      </c>
      <c r="F65" s="115" t="str">
        <f>VLOOKUP(D65,Data!H:J,3,0)</f>
        <v>Filamingo</v>
      </c>
      <c r="G65" s="116" t="b">
        <v>0</v>
      </c>
      <c r="H65" s="116" t="b">
        <v>0</v>
      </c>
      <c r="I65" s="116" t="b">
        <v>0</v>
      </c>
      <c r="J65" s="116" t="b">
        <v>0</v>
      </c>
      <c r="K65" s="116" t="b">
        <v>0</v>
      </c>
      <c r="L65" s="117">
        <f t="shared" si="1"/>
        <v>0</v>
      </c>
      <c r="M65" s="117">
        <f t="shared" si="2"/>
        <v>0</v>
      </c>
      <c r="N65" s="112"/>
      <c r="O65" s="125"/>
    </row>
    <row r="66" ht="15.0" customHeight="1">
      <c r="A66" s="125"/>
      <c r="B66" s="125"/>
      <c r="C66" s="125"/>
      <c r="D66" s="129" t="s">
        <v>186</v>
      </c>
      <c r="E66" s="114" t="str">
        <f>VLOOKUP(D66,Data!H:I,2,0)</f>
        <v>İstanbul</v>
      </c>
      <c r="F66" s="115" t="str">
        <f>VLOOKUP(D66,Data!H:J,3,0)</f>
        <v>Filamingo</v>
      </c>
      <c r="G66" s="116" t="b">
        <v>0</v>
      </c>
      <c r="H66" s="116" t="b">
        <v>0</v>
      </c>
      <c r="I66" s="116" t="b">
        <v>0</v>
      </c>
      <c r="J66" s="116" t="b">
        <v>0</v>
      </c>
      <c r="K66" s="116" t="b">
        <v>0</v>
      </c>
      <c r="L66" s="117">
        <f t="shared" si="1"/>
        <v>0</v>
      </c>
      <c r="M66" s="117">
        <f t="shared" si="2"/>
        <v>0</v>
      </c>
      <c r="N66" s="112"/>
      <c r="O66" s="125"/>
    </row>
    <row r="67" ht="15.0" customHeight="1">
      <c r="A67" s="122"/>
      <c r="B67" s="122"/>
      <c r="C67" s="122"/>
      <c r="D67" s="129" t="s">
        <v>175</v>
      </c>
      <c r="E67" s="114" t="str">
        <f>VLOOKUP(D67,Data!H:I,2,0)</f>
        <v>İstanbul</v>
      </c>
      <c r="F67" s="115" t="str">
        <f>VLOOKUP(D67,Data!H:J,3,0)</f>
        <v>Freelance</v>
      </c>
      <c r="G67" s="116" t="b">
        <v>0</v>
      </c>
      <c r="H67" s="116" t="b">
        <v>0</v>
      </c>
      <c r="I67" s="116" t="b">
        <v>0</v>
      </c>
      <c r="J67" s="116" t="b">
        <v>0</v>
      </c>
      <c r="K67" s="116" t="b">
        <v>0</v>
      </c>
      <c r="L67" s="117">
        <f t="shared" si="1"/>
        <v>0</v>
      </c>
      <c r="M67" s="117">
        <f t="shared" si="2"/>
        <v>0</v>
      </c>
      <c r="N67" s="112"/>
      <c r="O67" s="122"/>
    </row>
    <row r="68" ht="15.0" customHeight="1">
      <c r="A68" s="112"/>
      <c r="B68" s="112"/>
      <c r="C68" s="112"/>
      <c r="D68" s="132" t="s">
        <v>88</v>
      </c>
      <c r="E68" s="114" t="str">
        <f>VLOOKUP(D68,Data!H:I,2,0)</f>
        <v>İstanbul</v>
      </c>
      <c r="F68" s="115" t="str">
        <f>VLOOKUP(D68,Data!H:J,3,0)</f>
        <v>Nazım Öztel</v>
      </c>
      <c r="G68" s="116" t="b">
        <v>0</v>
      </c>
      <c r="H68" s="116" t="b">
        <v>0</v>
      </c>
      <c r="I68" s="116" t="b">
        <v>0</v>
      </c>
      <c r="J68" s="116" t="b">
        <v>0</v>
      </c>
      <c r="K68" s="116" t="b">
        <v>0</v>
      </c>
      <c r="L68" s="117">
        <f t="shared" si="1"/>
        <v>0</v>
      </c>
      <c r="M68" s="117">
        <f t="shared" si="2"/>
        <v>0</v>
      </c>
      <c r="N68" s="112"/>
      <c r="O68" s="112"/>
    </row>
    <row r="69" ht="15.0" customHeight="1">
      <c r="A69" s="112"/>
      <c r="B69" s="112"/>
      <c r="C69" s="112"/>
      <c r="D69" s="132" t="s">
        <v>89</v>
      </c>
      <c r="E69" s="114" t="str">
        <f>VLOOKUP(D69,Data!H:I,2,0)</f>
        <v>İstanbul</v>
      </c>
      <c r="F69" s="115" t="str">
        <f>VLOOKUP(D69,Data!H:J,3,0)</f>
        <v>Filamingo</v>
      </c>
      <c r="G69" s="116" t="b">
        <v>0</v>
      </c>
      <c r="H69" s="116" t="b">
        <v>0</v>
      </c>
      <c r="I69" s="116" t="b">
        <v>0</v>
      </c>
      <c r="J69" s="116" t="b">
        <v>0</v>
      </c>
      <c r="K69" s="116" t="b">
        <v>0</v>
      </c>
      <c r="L69" s="117">
        <f t="shared" si="1"/>
        <v>0</v>
      </c>
      <c r="M69" s="117">
        <f t="shared" si="2"/>
        <v>0</v>
      </c>
      <c r="N69" s="112"/>
      <c r="O69" s="112"/>
    </row>
    <row r="70" ht="15.0" customHeight="1">
      <c r="A70" s="112"/>
      <c r="B70" s="112"/>
      <c r="C70" s="112"/>
      <c r="D70" s="129" t="s">
        <v>226</v>
      </c>
      <c r="E70" s="114" t="str">
        <f>VLOOKUP(D70,Data!H:I,2,0)</f>
        <v>İstanbul</v>
      </c>
      <c r="F70" s="115" t="str">
        <f>VLOOKUP(D70,Data!H:J,3,0)</f>
        <v>Filamingo</v>
      </c>
      <c r="G70" s="116" t="b">
        <v>1</v>
      </c>
      <c r="H70" s="116" t="b">
        <v>1</v>
      </c>
      <c r="I70" s="116" t="b">
        <v>1</v>
      </c>
      <c r="J70" s="116" t="b">
        <v>1</v>
      </c>
      <c r="K70" s="116" t="b">
        <v>0</v>
      </c>
      <c r="L70" s="117">
        <f t="shared" si="1"/>
        <v>4</v>
      </c>
      <c r="M70" s="117">
        <f t="shared" si="2"/>
        <v>16</v>
      </c>
      <c r="N70" s="112"/>
      <c r="O70" s="112"/>
    </row>
    <row r="71" ht="15.0" customHeight="1">
      <c r="A71" s="112"/>
      <c r="B71" s="112"/>
      <c r="C71" s="112"/>
      <c r="D71" s="129" t="s">
        <v>87</v>
      </c>
      <c r="E71" s="114" t="str">
        <f>VLOOKUP(D71,Data!H:I,2,0)</f>
        <v>İstanbul</v>
      </c>
      <c r="F71" s="115" t="str">
        <f>VLOOKUP(D71,Data!H:J,3,0)</f>
        <v>Freelance</v>
      </c>
      <c r="G71" s="116" t="b">
        <v>0</v>
      </c>
      <c r="H71" s="116" t="b">
        <v>1</v>
      </c>
      <c r="I71" s="116" t="b">
        <v>0</v>
      </c>
      <c r="J71" s="116" t="b">
        <v>1</v>
      </c>
      <c r="K71" s="116" t="b">
        <v>1</v>
      </c>
      <c r="L71" s="117">
        <f t="shared" si="1"/>
        <v>3</v>
      </c>
      <c r="M71" s="117">
        <f t="shared" si="2"/>
        <v>12</v>
      </c>
      <c r="N71" s="125"/>
      <c r="O71" s="112"/>
    </row>
    <row r="72" ht="15.0" customHeight="1">
      <c r="A72" s="112"/>
      <c r="B72" s="112"/>
      <c r="C72" s="112"/>
      <c r="D72" s="132" t="s">
        <v>92</v>
      </c>
      <c r="E72" s="114" t="str">
        <f>VLOOKUP(D72,Data!H:I,2,0)</f>
        <v>İzmir</v>
      </c>
      <c r="F72" s="115" t="str">
        <f>VLOOKUP(D72,Data!H:J,3,0)</f>
        <v>Nazım Öztel</v>
      </c>
      <c r="G72" s="116" t="b">
        <v>1</v>
      </c>
      <c r="H72" s="116" t="b">
        <v>0</v>
      </c>
      <c r="I72" s="116" t="b">
        <v>1</v>
      </c>
      <c r="J72" s="116" t="b">
        <v>1</v>
      </c>
      <c r="K72" s="116" t="b">
        <v>1</v>
      </c>
      <c r="L72" s="117">
        <f t="shared" si="1"/>
        <v>4</v>
      </c>
      <c r="M72" s="117">
        <f t="shared" si="2"/>
        <v>16</v>
      </c>
      <c r="N72" s="112"/>
      <c r="O72" s="112"/>
    </row>
    <row r="73" ht="15.0" customHeight="1">
      <c r="A73" s="112"/>
      <c r="B73" s="112"/>
      <c r="C73" s="112"/>
      <c r="D73" s="129" t="s">
        <v>93</v>
      </c>
      <c r="E73" s="114" t="str">
        <f>VLOOKUP(D73,Data!H:I,2,0)</f>
        <v>İzmir</v>
      </c>
      <c r="F73" s="115" t="str">
        <f>VLOOKUP(D73,Data!H:J,3,0)</f>
        <v>Freelance</v>
      </c>
      <c r="G73" s="116" t="b">
        <v>1</v>
      </c>
      <c r="H73" s="116" t="b">
        <v>1</v>
      </c>
      <c r="I73" s="116" t="b">
        <v>1</v>
      </c>
      <c r="J73" s="116" t="b">
        <v>1</v>
      </c>
      <c r="K73" s="116" t="b">
        <v>0</v>
      </c>
      <c r="L73" s="117">
        <f t="shared" si="1"/>
        <v>4</v>
      </c>
      <c r="M73" s="117">
        <f t="shared" si="2"/>
        <v>16</v>
      </c>
      <c r="N73" s="112"/>
      <c r="O73" s="112"/>
    </row>
    <row r="74" ht="15.0" customHeight="1">
      <c r="A74" s="112"/>
      <c r="B74" s="112"/>
      <c r="C74" s="112"/>
      <c r="D74" s="129" t="s">
        <v>161</v>
      </c>
      <c r="E74" s="143" t="str">
        <f>VLOOKUP(D74,Data!H:I,2,0)</f>
        <v>Kahramanmaraş</v>
      </c>
      <c r="F74" s="115" t="str">
        <f>VLOOKUP(D74,Data!H:J,3,0)</f>
        <v>Nazım Öztel</v>
      </c>
      <c r="G74" s="116" t="b">
        <v>1</v>
      </c>
      <c r="H74" s="116" t="b">
        <v>1</v>
      </c>
      <c r="I74" s="116" t="b">
        <v>0</v>
      </c>
      <c r="J74" s="116" t="b">
        <v>0</v>
      </c>
      <c r="K74" s="116" t="b">
        <v>0</v>
      </c>
      <c r="L74" s="117">
        <f t="shared" si="1"/>
        <v>2</v>
      </c>
      <c r="M74" s="117">
        <f t="shared" si="2"/>
        <v>8</v>
      </c>
      <c r="N74" s="112"/>
      <c r="O74" s="112"/>
    </row>
    <row r="75" ht="15.0" customHeight="1">
      <c r="A75" s="112"/>
      <c r="B75" s="112"/>
      <c r="C75" s="112"/>
      <c r="D75" s="129" t="s">
        <v>218</v>
      </c>
      <c r="E75" s="114" t="str">
        <f>VLOOKUP(D75,Data!H:I,2,0)</f>
        <v>Kırklareli</v>
      </c>
      <c r="F75" s="115" t="str">
        <f>VLOOKUP(D75,Data!H:J,3,0)</f>
        <v>Nazım Öztel</v>
      </c>
      <c r="G75" s="116" t="b">
        <v>1</v>
      </c>
      <c r="H75" s="116" t="b">
        <v>1</v>
      </c>
      <c r="I75" s="116" t="b">
        <v>1</v>
      </c>
      <c r="J75" s="116" t="b">
        <v>1</v>
      </c>
      <c r="K75" s="116" t="b">
        <v>1</v>
      </c>
      <c r="L75" s="117">
        <f t="shared" si="1"/>
        <v>5</v>
      </c>
      <c r="M75" s="117">
        <f t="shared" si="2"/>
        <v>20</v>
      </c>
      <c r="N75" s="112"/>
      <c r="O75" s="112"/>
    </row>
    <row r="76" ht="15.0" customHeight="1">
      <c r="A76" s="112"/>
      <c r="B76" s="112"/>
      <c r="C76" s="112"/>
      <c r="D76" s="132" t="s">
        <v>96</v>
      </c>
      <c r="E76" s="114" t="str">
        <f>VLOOKUP(D76,Data!H:I,2,0)</f>
        <v>Kocaeli</v>
      </c>
      <c r="F76" s="115" t="str">
        <f>VLOOKUP(D76,Data!H:J,3,0)</f>
        <v>Nazım Öztel</v>
      </c>
      <c r="G76" s="116" t="b">
        <v>0</v>
      </c>
      <c r="H76" s="116" t="b">
        <v>0</v>
      </c>
      <c r="I76" s="116" t="b">
        <v>0</v>
      </c>
      <c r="J76" s="116" t="b">
        <v>1</v>
      </c>
      <c r="K76" s="116" t="b">
        <v>0</v>
      </c>
      <c r="L76" s="117">
        <f t="shared" si="1"/>
        <v>1</v>
      </c>
      <c r="M76" s="117">
        <f t="shared" si="2"/>
        <v>4</v>
      </c>
      <c r="N76" s="112"/>
      <c r="O76" s="112"/>
    </row>
    <row r="77" ht="15.0" customHeight="1">
      <c r="A77" s="112"/>
      <c r="B77" s="112"/>
      <c r="C77" s="112"/>
      <c r="D77" s="129" t="s">
        <v>147</v>
      </c>
      <c r="E77" s="114" t="str">
        <f>VLOOKUP(D77,Data!H:I,2,0)</f>
        <v>Kocaeli</v>
      </c>
      <c r="F77" s="115" t="str">
        <f>VLOOKUP(D77,Data!H:J,3,0)</f>
        <v>Nazım Öztel</v>
      </c>
      <c r="G77" s="116" t="b">
        <v>0</v>
      </c>
      <c r="H77" s="116" t="b">
        <v>0</v>
      </c>
      <c r="I77" s="116" t="b">
        <v>0</v>
      </c>
      <c r="J77" s="116" t="b">
        <v>0</v>
      </c>
      <c r="K77" s="116" t="b">
        <v>0</v>
      </c>
      <c r="L77" s="117">
        <f t="shared" si="1"/>
        <v>0</v>
      </c>
      <c r="M77" s="117">
        <f t="shared" si="2"/>
        <v>0</v>
      </c>
      <c r="N77" s="112"/>
      <c r="O77" s="112"/>
    </row>
    <row r="78" ht="15.0" customHeight="1">
      <c r="A78" s="112"/>
      <c r="B78" s="112"/>
      <c r="C78" s="112"/>
      <c r="D78" s="129" t="s">
        <v>227</v>
      </c>
      <c r="E78" s="114" t="str">
        <f>VLOOKUP(D78,Data!H:I,2,0)</f>
        <v>Konya</v>
      </c>
      <c r="F78" s="115" t="str">
        <f>VLOOKUP(D78,Data!H:J,3,0)</f>
        <v>Nazım Öztel</v>
      </c>
      <c r="G78" s="116" t="b">
        <v>1</v>
      </c>
      <c r="H78" s="116" t="b">
        <v>1</v>
      </c>
      <c r="I78" s="116" t="b">
        <v>1</v>
      </c>
      <c r="J78" s="116" t="b">
        <v>1</v>
      </c>
      <c r="K78" s="116" t="b">
        <v>1</v>
      </c>
      <c r="L78" s="117">
        <f t="shared" si="1"/>
        <v>5</v>
      </c>
      <c r="M78" s="117">
        <f t="shared" si="2"/>
        <v>20</v>
      </c>
      <c r="N78" s="112"/>
      <c r="O78" s="112"/>
    </row>
    <row r="79" ht="15.0" customHeight="1">
      <c r="A79" s="112"/>
      <c r="B79" s="112"/>
      <c r="C79" s="112"/>
      <c r="D79" s="129" t="s">
        <v>203</v>
      </c>
      <c r="E79" s="114" t="str">
        <f>VLOOKUP(D79,Data!H:I,2,0)</f>
        <v>Malatya</v>
      </c>
      <c r="F79" s="115" t="str">
        <f>VLOOKUP(D79,Data!H:J,3,0)</f>
        <v>Nazım Öztel</v>
      </c>
      <c r="G79" s="116" t="b">
        <v>1</v>
      </c>
      <c r="H79" s="116" t="b">
        <v>1</v>
      </c>
      <c r="I79" s="116" t="b">
        <v>1</v>
      </c>
      <c r="J79" s="116" t="b">
        <v>0</v>
      </c>
      <c r="K79" s="116" t="b">
        <v>0</v>
      </c>
      <c r="L79" s="117">
        <f t="shared" si="1"/>
        <v>3</v>
      </c>
      <c r="M79" s="117">
        <f t="shared" si="2"/>
        <v>12</v>
      </c>
      <c r="N79" s="112"/>
      <c r="O79" s="112"/>
    </row>
    <row r="80" ht="15.0" customHeight="1">
      <c r="A80" s="112"/>
      <c r="B80" s="112"/>
      <c r="C80" s="112"/>
      <c r="D80" s="132" t="s">
        <v>98</v>
      </c>
      <c r="E80" s="114" t="str">
        <f>VLOOKUP(D80,Data!H:I,2,0)</f>
        <v>Manisa</v>
      </c>
      <c r="F80" s="115" t="str">
        <f>VLOOKUP(D80,Data!H:J,3,0)</f>
        <v>Nazım Öztel</v>
      </c>
      <c r="G80" s="116" t="b">
        <v>0</v>
      </c>
      <c r="H80" s="116" t="b">
        <v>0</v>
      </c>
      <c r="I80" s="116" t="b">
        <v>0</v>
      </c>
      <c r="J80" s="116" t="b">
        <v>0</v>
      </c>
      <c r="K80" s="116" t="b">
        <v>0</v>
      </c>
      <c r="L80" s="117">
        <f t="shared" si="1"/>
        <v>0</v>
      </c>
      <c r="M80" s="117">
        <f t="shared" si="2"/>
        <v>0</v>
      </c>
      <c r="N80" s="142"/>
      <c r="O80" s="112"/>
    </row>
    <row r="81" ht="15.0" customHeight="1">
      <c r="A81" s="112"/>
      <c r="B81" s="112"/>
      <c r="C81" s="112"/>
      <c r="D81" s="132" t="s">
        <v>99</v>
      </c>
      <c r="E81" s="114" t="str">
        <f>VLOOKUP(D81,Data!H:I,2,0)</f>
        <v>Mersin</v>
      </c>
      <c r="F81" s="115" t="str">
        <f>VLOOKUP(D81,Data!H:J,3,0)</f>
        <v>Nazım Öztel</v>
      </c>
      <c r="G81" s="116" t="b">
        <v>0</v>
      </c>
      <c r="H81" s="116" t="b">
        <v>0</v>
      </c>
      <c r="I81" s="116" t="b">
        <v>0</v>
      </c>
      <c r="J81" s="116" t="b">
        <v>0</v>
      </c>
      <c r="K81" s="116" t="b">
        <v>0</v>
      </c>
      <c r="L81" s="117">
        <f t="shared" si="1"/>
        <v>0</v>
      </c>
      <c r="M81" s="117">
        <f t="shared" si="2"/>
        <v>0</v>
      </c>
      <c r="N81" s="106"/>
      <c r="O81" s="112"/>
    </row>
    <row r="82" ht="15.0" customHeight="1">
      <c r="A82" s="112"/>
      <c r="B82" s="112"/>
      <c r="C82" s="112"/>
      <c r="D82" s="129" t="s">
        <v>169</v>
      </c>
      <c r="E82" s="114" t="str">
        <f>VLOOKUP(D82,Data!H:I,2,0)</f>
        <v>Mersin</v>
      </c>
      <c r="F82" s="115" t="str">
        <f>VLOOKUP(D82,Data!H:J,3,0)</f>
        <v>Nazım Öztel</v>
      </c>
      <c r="G82" s="116" t="b">
        <v>0</v>
      </c>
      <c r="H82" s="116" t="b">
        <v>1</v>
      </c>
      <c r="I82" s="116" t="b">
        <v>0</v>
      </c>
      <c r="J82" s="116" t="b">
        <v>1</v>
      </c>
      <c r="K82" s="116" t="b">
        <v>1</v>
      </c>
      <c r="L82" s="117">
        <f t="shared" si="1"/>
        <v>3</v>
      </c>
      <c r="M82" s="117">
        <f t="shared" si="2"/>
        <v>12</v>
      </c>
      <c r="N82" s="106"/>
      <c r="O82" s="112"/>
    </row>
    <row r="83" ht="15.0" customHeight="1">
      <c r="A83" s="112"/>
      <c r="B83" s="112"/>
      <c r="C83" s="112"/>
      <c r="D83" s="129" t="s">
        <v>148</v>
      </c>
      <c r="E83" s="114" t="str">
        <f>VLOOKUP(D83,Data!H:I,2,0)</f>
        <v>Muğla</v>
      </c>
      <c r="F83" s="115" t="str">
        <f>VLOOKUP(D83,Data!H:J,3,0)</f>
        <v>Nazım Öztel</v>
      </c>
      <c r="G83" s="116" t="b">
        <v>0</v>
      </c>
      <c r="H83" s="116" t="b">
        <v>0</v>
      </c>
      <c r="I83" s="116" t="b">
        <v>1</v>
      </c>
      <c r="J83" s="116" t="b">
        <v>1</v>
      </c>
      <c r="K83" s="116" t="b">
        <v>1</v>
      </c>
      <c r="L83" s="117">
        <f t="shared" si="1"/>
        <v>3</v>
      </c>
      <c r="M83" s="117">
        <f t="shared" si="2"/>
        <v>12</v>
      </c>
      <c r="N83" s="106"/>
      <c r="O83" s="112"/>
    </row>
    <row r="84" ht="15.0" customHeight="1">
      <c r="A84" s="112"/>
      <c r="B84" s="112"/>
      <c r="C84" s="112"/>
      <c r="D84" s="129" t="s">
        <v>52</v>
      </c>
      <c r="E84" s="114" t="s">
        <v>211</v>
      </c>
      <c r="F84" s="115" t="s">
        <v>61</v>
      </c>
      <c r="G84" s="116" t="b">
        <v>0</v>
      </c>
      <c r="H84" s="116" t="b">
        <v>0</v>
      </c>
      <c r="I84" s="116" t="b">
        <v>0</v>
      </c>
      <c r="J84" s="116" t="b">
        <v>0</v>
      </c>
      <c r="K84" s="116" t="b">
        <v>0</v>
      </c>
      <c r="L84" s="117">
        <f t="shared" si="1"/>
        <v>0</v>
      </c>
      <c r="M84" s="117">
        <f t="shared" si="2"/>
        <v>0</v>
      </c>
      <c r="N84" s="106"/>
      <c r="O84" s="112"/>
    </row>
    <row r="85" ht="15.0" customHeight="1">
      <c r="A85" s="112"/>
      <c r="B85" s="112"/>
      <c r="C85" s="112"/>
      <c r="D85" s="129" t="s">
        <v>193</v>
      </c>
      <c r="E85" s="114" t="str">
        <f>VLOOKUP(D85,Data!H:I,2,0)</f>
        <v>Samsun</v>
      </c>
      <c r="F85" s="115" t="str">
        <f>VLOOKUP(D85,Data!H:J,3,0)</f>
        <v>Nazım Öztel</v>
      </c>
      <c r="G85" s="116" t="b">
        <v>0</v>
      </c>
      <c r="H85" s="116" t="b">
        <v>1</v>
      </c>
      <c r="I85" s="116" t="b">
        <v>1</v>
      </c>
      <c r="J85" s="116" t="b">
        <v>1</v>
      </c>
      <c r="K85" s="116" t="b">
        <v>0</v>
      </c>
      <c r="L85" s="117">
        <f t="shared" si="1"/>
        <v>3</v>
      </c>
      <c r="M85" s="117">
        <f t="shared" si="2"/>
        <v>12</v>
      </c>
      <c r="N85" s="106"/>
      <c r="O85" s="112"/>
    </row>
    <row r="86" ht="15.0" customHeight="1">
      <c r="A86" s="112"/>
      <c r="B86" s="112"/>
      <c r="C86" s="112"/>
      <c r="D86" s="129" t="s">
        <v>104</v>
      </c>
      <c r="E86" s="114" t="str">
        <f>VLOOKUP(D86,Data!H:I,2,0)</f>
        <v>Tekirdağ</v>
      </c>
      <c r="F86" s="115" t="str">
        <f>VLOOKUP(D86,Data!H:J,3,0)</f>
        <v>Freelance</v>
      </c>
      <c r="G86" s="116" t="b">
        <v>0</v>
      </c>
      <c r="H86" s="116" t="b">
        <v>0</v>
      </c>
      <c r="I86" s="116" t="b">
        <v>0</v>
      </c>
      <c r="J86" s="116" t="b">
        <v>0</v>
      </c>
      <c r="K86" s="116" t="b">
        <v>0</v>
      </c>
      <c r="L86" s="117">
        <f t="shared" si="1"/>
        <v>0</v>
      </c>
      <c r="M86" s="117">
        <f t="shared" si="2"/>
        <v>0</v>
      </c>
      <c r="N86" s="112"/>
      <c r="O86" s="112"/>
    </row>
    <row r="87" ht="15.0" customHeight="1">
      <c r="A87" s="112"/>
      <c r="B87" s="112"/>
      <c r="C87" s="112"/>
      <c r="D87" s="129" t="s">
        <v>154</v>
      </c>
      <c r="E87" s="114" t="str">
        <f>VLOOKUP(D87,Data!H:I,2,0)</f>
        <v>Uşak</v>
      </c>
      <c r="F87" s="115" t="str">
        <f>VLOOKUP(D87,Data!H:J,3,0)</f>
        <v>Nazım Öztel</v>
      </c>
      <c r="G87" s="116" t="b">
        <v>0</v>
      </c>
      <c r="H87" s="116" t="b">
        <v>1</v>
      </c>
      <c r="I87" s="116" t="b">
        <v>0</v>
      </c>
      <c r="J87" s="116" t="b">
        <v>0</v>
      </c>
      <c r="K87" s="116" t="b">
        <v>0</v>
      </c>
      <c r="L87" s="117">
        <f t="shared" si="1"/>
        <v>1</v>
      </c>
      <c r="M87" s="117">
        <f t="shared" si="2"/>
        <v>4</v>
      </c>
      <c r="N87" s="112"/>
      <c r="O87" s="112"/>
    </row>
    <row r="88" ht="15.0" customHeight="1">
      <c r="A88" s="112"/>
      <c r="B88" s="112"/>
      <c r="C88" s="112"/>
      <c r="D88" s="129" t="s">
        <v>176</v>
      </c>
      <c r="E88" s="144" t="s">
        <v>206</v>
      </c>
      <c r="F88" s="144" t="s">
        <v>61</v>
      </c>
      <c r="G88" s="116" t="b">
        <v>0</v>
      </c>
      <c r="H88" s="116" t="b">
        <v>0</v>
      </c>
      <c r="I88" s="116" t="b">
        <v>0</v>
      </c>
      <c r="J88" s="116" t="b">
        <v>0</v>
      </c>
      <c r="K88" s="116" t="b">
        <v>0</v>
      </c>
      <c r="L88" s="117">
        <f t="shared" si="1"/>
        <v>0</v>
      </c>
      <c r="M88" s="117">
        <f t="shared" si="2"/>
        <v>0</v>
      </c>
      <c r="N88" s="112"/>
      <c r="O88" s="112"/>
    </row>
    <row r="89" ht="15.0" customHeight="1">
      <c r="A89" s="112"/>
      <c r="B89" s="112"/>
      <c r="C89" s="112"/>
      <c r="D89" s="132"/>
      <c r="E89" s="132"/>
      <c r="F89" s="132"/>
      <c r="G89" s="117">
        <f t="shared" ref="G89:K89" si="3">4*(COUNTIF(G15:G88,"true"))</f>
        <v>68</v>
      </c>
      <c r="H89" s="117">
        <f t="shared" si="3"/>
        <v>96</v>
      </c>
      <c r="I89" s="117">
        <f t="shared" si="3"/>
        <v>80</v>
      </c>
      <c r="J89" s="117">
        <f t="shared" si="3"/>
        <v>100</v>
      </c>
      <c r="K89" s="117">
        <f t="shared" si="3"/>
        <v>60</v>
      </c>
      <c r="L89" s="135"/>
      <c r="M89" s="135">
        <f>SUM(G89:K89)</f>
        <v>404</v>
      </c>
      <c r="N89" s="112"/>
      <c r="O89" s="112"/>
    </row>
  </sheetData>
  <customSheetViews>
    <customSheetView guid="{90E1DF85-7252-44D2-BA7D-CC3767CD0E8B}" filter="1" showAutoFilter="1">
      <autoFilter ref="$A$14:$O$89">
        <filterColumn colId="4">
          <filters>
            <filter val="Kırklareli"/>
            <filter val="Samsun"/>
            <filter val="Burdur"/>
            <filter val="Bilecik"/>
            <filter val="Zonguldak"/>
            <filter val="Elazığ"/>
            <filter val="Düzce"/>
            <filter val="Malatya"/>
            <filter val="Denizli"/>
            <filter val="Çanakkale"/>
            <filter val="Aydın"/>
            <filter val="Çorum"/>
            <filter val="Osmaniye"/>
            <filter val="Edirne"/>
            <filter val="Afyon"/>
            <filter val="Muğla"/>
            <filter val="Eskişehir"/>
            <filter val="Kahramanmaraş"/>
            <filter val="Balıkesir"/>
            <filter val="Uşak"/>
          </filters>
        </filterColumn>
      </autoFilter>
    </customSheetView>
    <customSheetView guid="{70B995D3-3AEB-4DFE-A0CA-D6FFCCE596BC}" filter="1" showAutoFilter="1">
      <autoFilter ref="$D$14:$D$88"/>
    </customSheetView>
  </customSheetViews>
  <mergeCells count="4">
    <mergeCell ref="D6:K6"/>
    <mergeCell ref="D7:F7"/>
    <mergeCell ref="D9:D12"/>
    <mergeCell ref="F10:M11"/>
  </mergeCells>
  <conditionalFormatting sqref="G15:K88">
    <cfRule type="cellIs" dxfId="1" priority="1" operator="equal">
      <formula>"False"</formula>
    </cfRule>
  </conditionalFormatting>
  <conditionalFormatting sqref="G15:K88">
    <cfRule type="cellIs" dxfId="0" priority="2" operator="equal">
      <formula>"TRUE"</formula>
    </cfRule>
  </conditionalFormatting>
  <dataValidations>
    <dataValidation type="list" allowBlank="1" showErrorMessage="1" sqref="E15:E88">
      <formula1>Data!$A$2:$A$100</formula1>
    </dataValidation>
    <dataValidation type="list" allowBlank="1" showErrorMessage="1" sqref="F15:F88">
      <formula1>Data!$C$2:$C$8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3" width="2.63"/>
    <col customWidth="1" min="4" max="4" width="20.38"/>
    <col customWidth="1" min="5" max="5" width="11.38"/>
    <col customWidth="1" min="6" max="6" width="16.63"/>
    <col customWidth="1" min="7" max="11" width="8.63"/>
    <col customWidth="1" min="12" max="12" width="12.63"/>
    <col customWidth="1" min="13" max="13" width="15.13"/>
    <col customWidth="1" min="14" max="15" width="2.63"/>
  </cols>
  <sheetData>
    <row r="1" ht="7.5" customHeight="1">
      <c r="A1" s="140"/>
      <c r="B1" s="84"/>
      <c r="C1" s="84"/>
      <c r="D1" s="84"/>
      <c r="E1" s="84"/>
      <c r="F1" s="84"/>
      <c r="G1" s="84"/>
      <c r="H1" s="84"/>
      <c r="I1" s="84"/>
      <c r="J1" s="84"/>
      <c r="K1" s="84"/>
      <c r="L1" s="85"/>
      <c r="M1" s="86"/>
      <c r="N1" s="86"/>
      <c r="O1" s="86"/>
    </row>
    <row r="2" ht="15.0" customHeight="1">
      <c r="A2" s="87"/>
      <c r="B2" s="87"/>
      <c r="C2" s="87"/>
      <c r="D2" s="88"/>
      <c r="E2" s="88"/>
      <c r="F2" s="88"/>
      <c r="G2" s="88"/>
      <c r="H2" s="88"/>
      <c r="I2" s="88"/>
      <c r="J2" s="88"/>
      <c r="K2" s="88"/>
      <c r="L2" s="88"/>
      <c r="M2" s="87"/>
      <c r="N2" s="87"/>
      <c r="O2" s="87"/>
    </row>
    <row r="3" ht="3.75" customHeight="1">
      <c r="A3" s="87"/>
      <c r="B3" s="87"/>
      <c r="C3" s="87"/>
      <c r="D3" s="89"/>
      <c r="E3" s="90"/>
      <c r="F3" s="90"/>
      <c r="G3" s="90"/>
      <c r="H3" s="90"/>
      <c r="I3" s="90"/>
      <c r="J3" s="90"/>
      <c r="K3" s="90"/>
      <c r="L3" s="90"/>
      <c r="M3" s="87"/>
      <c r="N3" s="87"/>
      <c r="O3" s="87"/>
    </row>
    <row r="4" ht="15.0" customHeight="1">
      <c r="A4" s="87"/>
      <c r="B4" s="87"/>
      <c r="C4" s="87"/>
      <c r="D4" s="88"/>
      <c r="E4" s="88"/>
      <c r="F4" s="88"/>
      <c r="G4" s="91"/>
      <c r="H4" s="91"/>
      <c r="I4" s="91"/>
      <c r="J4" s="91"/>
      <c r="K4" s="91"/>
      <c r="L4" s="91"/>
      <c r="M4" s="87"/>
      <c r="N4" s="87"/>
      <c r="O4" s="87"/>
    </row>
    <row r="5" ht="15.0" customHeight="1">
      <c r="A5" s="92"/>
      <c r="B5" s="92"/>
      <c r="C5" s="92"/>
      <c r="D5" s="88"/>
      <c r="E5" s="88"/>
      <c r="F5" s="88"/>
      <c r="G5" s="93"/>
      <c r="H5" s="93"/>
      <c r="I5" s="93"/>
      <c r="J5" s="93"/>
      <c r="K5" s="93"/>
      <c r="L5" s="94"/>
      <c r="M5" s="88"/>
      <c r="N5" s="92"/>
      <c r="O5" s="92"/>
    </row>
    <row r="6" ht="15.0" customHeight="1">
      <c r="A6" s="92"/>
      <c r="B6" s="92"/>
      <c r="C6" s="92"/>
      <c r="D6" s="95" t="s">
        <v>228</v>
      </c>
      <c r="L6" s="94"/>
      <c r="M6" s="88"/>
      <c r="N6" s="92"/>
      <c r="O6" s="92"/>
    </row>
    <row r="7" ht="15.0" customHeight="1">
      <c r="A7" s="92"/>
      <c r="B7" s="92"/>
      <c r="C7" s="92"/>
      <c r="D7" s="96" t="s">
        <v>229</v>
      </c>
      <c r="G7" s="97"/>
      <c r="H7" s="97"/>
      <c r="I7" s="97"/>
      <c r="J7" s="97"/>
      <c r="K7" s="97"/>
      <c r="L7" s="92"/>
      <c r="M7" s="92"/>
      <c r="N7" s="92"/>
      <c r="O7" s="92"/>
    </row>
    <row r="8" ht="15.0" customHeight="1">
      <c r="A8" s="92"/>
      <c r="B8" s="92"/>
      <c r="C8" s="92"/>
      <c r="D8" s="97"/>
      <c r="E8" s="97"/>
      <c r="F8" s="97"/>
      <c r="G8" s="97"/>
      <c r="H8" s="97"/>
      <c r="I8" s="97"/>
      <c r="J8" s="97"/>
      <c r="K8" s="97"/>
      <c r="L8" s="92"/>
      <c r="M8" s="92"/>
      <c r="N8" s="92"/>
      <c r="O8" s="92"/>
    </row>
    <row r="9" ht="15.0" customHeight="1">
      <c r="A9" s="92"/>
      <c r="B9" s="92"/>
      <c r="C9" s="98"/>
      <c r="D9" s="99" t="s">
        <v>35</v>
      </c>
      <c r="E9" s="100"/>
      <c r="F9" s="101"/>
      <c r="G9" s="101"/>
      <c r="H9" s="101"/>
      <c r="I9" s="101"/>
      <c r="J9" s="101"/>
      <c r="K9" s="101"/>
      <c r="L9" s="101"/>
      <c r="M9" s="100"/>
      <c r="N9" s="102"/>
      <c r="O9" s="102"/>
    </row>
    <row r="10" ht="15.0" customHeight="1">
      <c r="A10" s="92"/>
      <c r="B10" s="92"/>
      <c r="C10" s="98"/>
      <c r="E10" s="100"/>
      <c r="F10" s="103" t="s">
        <v>36</v>
      </c>
      <c r="N10" s="102"/>
      <c r="O10" s="102"/>
    </row>
    <row r="11" ht="15.0" customHeight="1">
      <c r="A11" s="92"/>
      <c r="B11" s="92"/>
      <c r="C11" s="98"/>
      <c r="E11" s="100"/>
      <c r="N11" s="102"/>
      <c r="O11" s="102"/>
    </row>
    <row r="12" ht="15.0" customHeight="1">
      <c r="A12" s="88"/>
      <c r="B12" s="92"/>
      <c r="C12" s="92"/>
      <c r="E12" s="100"/>
      <c r="F12" s="100"/>
      <c r="G12" s="100"/>
      <c r="H12" s="100"/>
      <c r="I12" s="100"/>
      <c r="J12" s="100"/>
      <c r="K12" s="100"/>
      <c r="L12" s="100"/>
      <c r="M12" s="100"/>
      <c r="N12" s="102"/>
      <c r="O12" s="102"/>
    </row>
    <row r="13" ht="15.0" customHeight="1">
      <c r="A13" s="88"/>
      <c r="B13" s="104"/>
      <c r="C13" s="104"/>
      <c r="D13" s="104"/>
      <c r="E13" s="104"/>
      <c r="F13" s="105"/>
      <c r="G13" s="105"/>
      <c r="H13" s="105"/>
      <c r="I13" s="105"/>
      <c r="J13" s="105"/>
      <c r="K13" s="105"/>
      <c r="L13" s="104"/>
      <c r="M13" s="104"/>
      <c r="N13" s="104"/>
      <c r="O13" s="104"/>
    </row>
    <row r="14" ht="15.0" customHeight="1">
      <c r="A14" s="106"/>
      <c r="B14" s="106"/>
      <c r="C14" s="106"/>
      <c r="D14" s="107" t="s">
        <v>37</v>
      </c>
      <c r="E14" s="108" t="s">
        <v>38</v>
      </c>
      <c r="F14" s="109" t="s">
        <v>39</v>
      </c>
      <c r="G14" s="110">
        <v>44571.0</v>
      </c>
      <c r="H14" s="110">
        <v>44572.0</v>
      </c>
      <c r="I14" s="110">
        <v>44573.0</v>
      </c>
      <c r="J14" s="110">
        <v>44574.0</v>
      </c>
      <c r="K14" s="110">
        <v>44575.0</v>
      </c>
      <c r="L14" s="111" t="s">
        <v>40</v>
      </c>
      <c r="M14" s="111" t="s">
        <v>41</v>
      </c>
      <c r="N14" s="88"/>
      <c r="O14" s="88"/>
    </row>
    <row r="15" ht="15.0" customHeight="1">
      <c r="A15" s="112"/>
      <c r="B15" s="112"/>
      <c r="C15" s="112"/>
      <c r="D15" s="129" t="s">
        <v>42</v>
      </c>
      <c r="E15" s="114" t="str">
        <f>VLOOKUP(D15,Data!H:I,2,0)</f>
        <v>Adana</v>
      </c>
      <c r="F15" s="115" t="str">
        <f>VLOOKUP(D15,Data!H:J,3,0)</f>
        <v>Freelance</v>
      </c>
      <c r="G15" s="116" t="b">
        <v>0</v>
      </c>
      <c r="H15" s="116" t="b">
        <v>0</v>
      </c>
      <c r="I15" s="116" t="b">
        <v>0</v>
      </c>
      <c r="J15" s="116" t="b">
        <v>0</v>
      </c>
      <c r="K15" s="116" t="b">
        <v>0</v>
      </c>
      <c r="L15" s="117">
        <f t="shared" ref="L15:L91" si="1">COUNTIF(G15:K15,"TRUE")</f>
        <v>0</v>
      </c>
      <c r="M15" s="117">
        <f t="shared" ref="M15:M91" si="2">L15*4</f>
        <v>0</v>
      </c>
      <c r="N15" s="112"/>
      <c r="O15" s="88"/>
    </row>
    <row r="16" ht="15.0" customHeight="1">
      <c r="A16" s="112"/>
      <c r="B16" s="112"/>
      <c r="C16" s="112"/>
      <c r="D16" s="129" t="s">
        <v>196</v>
      </c>
      <c r="E16" s="114" t="str">
        <f>VLOOKUP(D16,Data!H:I,2,0)</f>
        <v>Afyon</v>
      </c>
      <c r="F16" s="115" t="str">
        <f>VLOOKUP(D16,Data!H:J,3,0)</f>
        <v>Nazım Öztel</v>
      </c>
      <c r="G16" s="116" t="b">
        <v>0</v>
      </c>
      <c r="H16" s="116" t="b">
        <v>0</v>
      </c>
      <c r="I16" s="116" t="b">
        <v>0</v>
      </c>
      <c r="J16" s="116" t="b">
        <v>0</v>
      </c>
      <c r="K16" s="116" t="b">
        <v>0</v>
      </c>
      <c r="L16" s="117">
        <f t="shared" si="1"/>
        <v>0</v>
      </c>
      <c r="M16" s="117">
        <f t="shared" si="2"/>
        <v>0</v>
      </c>
      <c r="N16" s="112"/>
      <c r="O16" s="88"/>
    </row>
    <row r="17" ht="15.0" customHeight="1">
      <c r="A17" s="112"/>
      <c r="B17" s="112"/>
      <c r="C17" s="112"/>
      <c r="D17" s="129" t="s">
        <v>230</v>
      </c>
      <c r="E17" s="114" t="str">
        <f>VLOOKUP(D17,Data!H:I,2,0)</f>
        <v>Ankara</v>
      </c>
      <c r="F17" s="115" t="str">
        <f>VLOOKUP(D17,Data!H:J,3,0)</f>
        <v>Nazım Öztel</v>
      </c>
      <c r="G17" s="116" t="b">
        <v>0</v>
      </c>
      <c r="H17" s="116" t="b">
        <v>1</v>
      </c>
      <c r="I17" s="116" t="b">
        <v>0</v>
      </c>
      <c r="J17" s="116" t="b">
        <v>1</v>
      </c>
      <c r="K17" s="116" t="b">
        <v>0</v>
      </c>
      <c r="L17" s="117">
        <f t="shared" si="1"/>
        <v>2</v>
      </c>
      <c r="M17" s="117">
        <f t="shared" si="2"/>
        <v>8</v>
      </c>
      <c r="N17" s="112"/>
      <c r="O17" s="88"/>
    </row>
    <row r="18" ht="15.0" customHeight="1">
      <c r="A18" s="106"/>
      <c r="B18" s="106"/>
      <c r="C18" s="106"/>
      <c r="D18" s="129" t="s">
        <v>164</v>
      </c>
      <c r="E18" s="114" t="str">
        <f>VLOOKUP(D18,Data!H:I,2,0)</f>
        <v>Antalya</v>
      </c>
      <c r="F18" s="115" t="str">
        <f>VLOOKUP(D18,Data!H:J,3,0)</f>
        <v>Nazım Öztel</v>
      </c>
      <c r="G18" s="116" t="b">
        <v>0</v>
      </c>
      <c r="H18" s="116" t="b">
        <v>0</v>
      </c>
      <c r="I18" s="116" t="b">
        <v>1</v>
      </c>
      <c r="J18" s="116" t="b">
        <v>1</v>
      </c>
      <c r="K18" s="116" t="b">
        <v>0</v>
      </c>
      <c r="L18" s="117">
        <f t="shared" si="1"/>
        <v>2</v>
      </c>
      <c r="M18" s="117">
        <f t="shared" si="2"/>
        <v>8</v>
      </c>
      <c r="N18" s="112"/>
      <c r="O18" s="106"/>
    </row>
    <row r="19" ht="15.0" customHeight="1">
      <c r="A19" s="106"/>
      <c r="B19" s="106"/>
      <c r="C19" s="106"/>
      <c r="D19" s="129" t="s">
        <v>152</v>
      </c>
      <c r="E19" s="114" t="str">
        <f>VLOOKUP(D19,Data!H:I,2,0)</f>
        <v>Antalya</v>
      </c>
      <c r="F19" s="115" t="str">
        <f>VLOOKUP(D19,Data!H:J,3,0)</f>
        <v>Nazım Öztel</v>
      </c>
      <c r="G19" s="116" t="b">
        <v>0</v>
      </c>
      <c r="H19" s="116" t="b">
        <v>0</v>
      </c>
      <c r="I19" s="116" t="b">
        <v>0</v>
      </c>
      <c r="J19" s="116" t="b">
        <v>0</v>
      </c>
      <c r="K19" s="116" t="b">
        <v>0</v>
      </c>
      <c r="L19" s="117">
        <f t="shared" si="1"/>
        <v>0</v>
      </c>
      <c r="M19" s="117">
        <f t="shared" si="2"/>
        <v>0</v>
      </c>
      <c r="N19" s="112"/>
      <c r="O19" s="106"/>
    </row>
    <row r="20" ht="15.0" customHeight="1">
      <c r="A20" s="112"/>
      <c r="B20" s="112"/>
      <c r="C20" s="112"/>
      <c r="D20" s="129" t="s">
        <v>50</v>
      </c>
      <c r="E20" s="114" t="str">
        <f>VLOOKUP(D20,Data!H:I,2,0)</f>
        <v>Antalya</v>
      </c>
      <c r="F20" s="115" t="str">
        <f>VLOOKUP(D20,Data!H:J,3,0)</f>
        <v>Freelance</v>
      </c>
      <c r="G20" s="116" t="b">
        <v>0</v>
      </c>
      <c r="H20" s="116" t="b">
        <v>0</v>
      </c>
      <c r="I20" s="116" t="b">
        <v>0</v>
      </c>
      <c r="J20" s="116" t="b">
        <v>0</v>
      </c>
      <c r="K20" s="116" t="b">
        <v>0</v>
      </c>
      <c r="L20" s="117">
        <f t="shared" si="1"/>
        <v>0</v>
      </c>
      <c r="M20" s="117">
        <f t="shared" si="2"/>
        <v>0</v>
      </c>
      <c r="N20" s="112"/>
      <c r="O20" s="112"/>
    </row>
    <row r="21" ht="15.0" customHeight="1">
      <c r="A21" s="112"/>
      <c r="B21" s="112"/>
      <c r="C21" s="112"/>
      <c r="D21" s="129" t="s">
        <v>159</v>
      </c>
      <c r="E21" s="114" t="str">
        <f>VLOOKUP(D21,Data!H:I,2,0)</f>
        <v>Aydın</v>
      </c>
      <c r="F21" s="115" t="str">
        <f>VLOOKUP(D21,Data!H:J,3,0)</f>
        <v>Nazım Öztel</v>
      </c>
      <c r="G21" s="116" t="b">
        <v>0</v>
      </c>
      <c r="H21" s="116" t="b">
        <v>0</v>
      </c>
      <c r="I21" s="116" t="b">
        <v>0</v>
      </c>
      <c r="J21" s="116" t="b">
        <v>0</v>
      </c>
      <c r="K21" s="116" t="b">
        <v>0</v>
      </c>
      <c r="L21" s="117">
        <f t="shared" si="1"/>
        <v>0</v>
      </c>
      <c r="M21" s="117">
        <f t="shared" si="2"/>
        <v>0</v>
      </c>
      <c r="N21" s="112"/>
      <c r="O21" s="112"/>
    </row>
    <row r="22" ht="15.0" customHeight="1">
      <c r="A22" s="112"/>
      <c r="B22" s="112"/>
      <c r="C22" s="112"/>
      <c r="D22" s="129" t="s">
        <v>197</v>
      </c>
      <c r="E22" s="114" t="str">
        <f>VLOOKUP(D22,Data!H:I,2,0)</f>
        <v>Aydın</v>
      </c>
      <c r="F22" s="115" t="str">
        <f>VLOOKUP(D22,Data!H:J,3,0)</f>
        <v>Nazım Öztel</v>
      </c>
      <c r="G22" s="116" t="b">
        <v>0</v>
      </c>
      <c r="H22" s="116" t="b">
        <v>0</v>
      </c>
      <c r="I22" s="116" t="b">
        <v>0</v>
      </c>
      <c r="J22" s="116" t="b">
        <v>0</v>
      </c>
      <c r="K22" s="116" t="b">
        <v>0</v>
      </c>
      <c r="L22" s="117">
        <f t="shared" si="1"/>
        <v>0</v>
      </c>
      <c r="M22" s="117">
        <f t="shared" si="2"/>
        <v>0</v>
      </c>
      <c r="N22" s="112"/>
      <c r="O22" s="112"/>
    </row>
    <row r="23" ht="15.0" customHeight="1">
      <c r="A23" s="112"/>
      <c r="B23" s="112"/>
      <c r="C23" s="112"/>
      <c r="D23" s="129" t="s">
        <v>52</v>
      </c>
      <c r="E23" s="114" t="s">
        <v>184</v>
      </c>
      <c r="F23" s="115" t="s">
        <v>61</v>
      </c>
      <c r="G23" s="116" t="b">
        <v>0</v>
      </c>
      <c r="H23" s="116" t="b">
        <v>0</v>
      </c>
      <c r="I23" s="116" t="b">
        <v>0</v>
      </c>
      <c r="J23" s="116" t="b">
        <v>0</v>
      </c>
      <c r="K23" s="116" t="b">
        <v>0</v>
      </c>
      <c r="L23" s="117">
        <f t="shared" si="1"/>
        <v>0</v>
      </c>
      <c r="M23" s="117">
        <f t="shared" si="2"/>
        <v>0</v>
      </c>
      <c r="N23" s="112"/>
      <c r="O23" s="112"/>
    </row>
    <row r="24" ht="15.0" customHeight="1">
      <c r="A24" s="112"/>
      <c r="B24" s="112"/>
      <c r="C24" s="112"/>
      <c r="D24" s="129" t="s">
        <v>176</v>
      </c>
      <c r="E24" s="114" t="s">
        <v>231</v>
      </c>
      <c r="F24" s="115" t="s">
        <v>61</v>
      </c>
      <c r="G24" s="116" t="b">
        <v>1</v>
      </c>
      <c r="H24" s="116" t="b">
        <v>0</v>
      </c>
      <c r="I24" s="116" t="b">
        <v>0</v>
      </c>
      <c r="J24" s="116" t="b">
        <v>0</v>
      </c>
      <c r="K24" s="116" t="b">
        <v>0</v>
      </c>
      <c r="L24" s="117">
        <f t="shared" si="1"/>
        <v>1</v>
      </c>
      <c r="M24" s="117">
        <f t="shared" si="2"/>
        <v>4</v>
      </c>
      <c r="N24" s="112"/>
      <c r="O24" s="112"/>
    </row>
    <row r="25" ht="15.0" customHeight="1">
      <c r="A25" s="112"/>
      <c r="B25" s="112"/>
      <c r="C25" s="112"/>
      <c r="D25" s="129" t="s">
        <v>198</v>
      </c>
      <c r="E25" s="114" t="s">
        <v>181</v>
      </c>
      <c r="F25" s="115" t="s">
        <v>61</v>
      </c>
      <c r="G25" s="116" t="b">
        <v>0</v>
      </c>
      <c r="H25" s="116" t="b">
        <v>0</v>
      </c>
      <c r="I25" s="116" t="b">
        <v>0</v>
      </c>
      <c r="J25" s="116" t="b">
        <v>0</v>
      </c>
      <c r="K25" s="116" t="b">
        <v>0</v>
      </c>
      <c r="L25" s="117">
        <f t="shared" si="1"/>
        <v>0</v>
      </c>
      <c r="M25" s="117">
        <f t="shared" si="2"/>
        <v>0</v>
      </c>
      <c r="N25" s="112"/>
      <c r="O25" s="112"/>
    </row>
    <row r="26" ht="15.0" customHeight="1">
      <c r="A26" s="112"/>
      <c r="B26" s="112"/>
      <c r="C26" s="112"/>
      <c r="D26" s="129" t="s">
        <v>52</v>
      </c>
      <c r="E26" s="114" t="s">
        <v>181</v>
      </c>
      <c r="F26" s="115" t="s">
        <v>61</v>
      </c>
      <c r="G26" s="116" t="b">
        <v>0</v>
      </c>
      <c r="H26" s="116" t="b">
        <v>0</v>
      </c>
      <c r="I26" s="116" t="b">
        <v>0</v>
      </c>
      <c r="J26" s="116" t="b">
        <v>0</v>
      </c>
      <c r="K26" s="116" t="b">
        <v>0</v>
      </c>
      <c r="L26" s="117">
        <f t="shared" si="1"/>
        <v>0</v>
      </c>
      <c r="M26" s="117">
        <f t="shared" si="2"/>
        <v>0</v>
      </c>
      <c r="N26" s="112"/>
      <c r="O26" s="112"/>
    </row>
    <row r="27" ht="15.0" customHeight="1">
      <c r="A27" s="112"/>
      <c r="B27" s="112"/>
      <c r="C27" s="112"/>
      <c r="D27" s="129" t="s">
        <v>160</v>
      </c>
      <c r="E27" s="114" t="str">
        <f>VLOOKUP(D27,Data!H:I,2,0)</f>
        <v>Burdur</v>
      </c>
      <c r="F27" s="115" t="str">
        <f>VLOOKUP(D27,Data!H:J,3,0)</f>
        <v>Nazım Öztel</v>
      </c>
      <c r="G27" s="116" t="b">
        <v>0</v>
      </c>
      <c r="H27" s="116" t="b">
        <v>0</v>
      </c>
      <c r="I27" s="116" t="b">
        <v>0</v>
      </c>
      <c r="J27" s="116" t="b">
        <v>0</v>
      </c>
      <c r="K27" s="116" t="b">
        <v>0</v>
      </c>
      <c r="L27" s="117">
        <f t="shared" si="1"/>
        <v>0</v>
      </c>
      <c r="M27" s="117">
        <f t="shared" si="2"/>
        <v>0</v>
      </c>
      <c r="N27" s="112"/>
      <c r="O27" s="112"/>
    </row>
    <row r="28" ht="15.0" customHeight="1">
      <c r="A28" s="112"/>
      <c r="B28" s="112"/>
      <c r="C28" s="112"/>
      <c r="D28" s="132" t="s">
        <v>52</v>
      </c>
      <c r="E28" s="114" t="str">
        <f>VLOOKUP(D28,Data!H:I,2,0)</f>
        <v>Bursa</v>
      </c>
      <c r="F28" s="115" t="str">
        <f>VLOOKUP(D28,Data!H:J,3,0)</f>
        <v>Nazım Öztel</v>
      </c>
      <c r="G28" s="116" t="b">
        <v>0</v>
      </c>
      <c r="H28" s="116" t="b">
        <v>0</v>
      </c>
      <c r="I28" s="116" t="b">
        <v>0</v>
      </c>
      <c r="J28" s="116" t="b">
        <v>0</v>
      </c>
      <c r="K28" s="116" t="b">
        <v>0</v>
      </c>
      <c r="L28" s="117">
        <f t="shared" si="1"/>
        <v>0</v>
      </c>
      <c r="M28" s="117">
        <f t="shared" si="2"/>
        <v>0</v>
      </c>
      <c r="N28" s="122"/>
      <c r="O28" s="112"/>
    </row>
    <row r="29" ht="15.0" customHeight="1">
      <c r="A29" s="112"/>
      <c r="B29" s="112"/>
      <c r="C29" s="112"/>
      <c r="D29" s="129" t="s">
        <v>53</v>
      </c>
      <c r="E29" s="114" t="str">
        <f>VLOOKUP(D29,Data!H:I,2,0)</f>
        <v>Bursa</v>
      </c>
      <c r="F29" s="115" t="str">
        <f>VLOOKUP(D29,Data!H:J,3,0)</f>
        <v>Freelance</v>
      </c>
      <c r="G29" s="116" t="b">
        <v>0</v>
      </c>
      <c r="H29" s="116" t="b">
        <v>0</v>
      </c>
      <c r="I29" s="116" t="b">
        <v>0</v>
      </c>
      <c r="J29" s="116" t="b">
        <v>0</v>
      </c>
      <c r="K29" s="116" t="b">
        <v>0</v>
      </c>
      <c r="L29" s="117">
        <f t="shared" si="1"/>
        <v>0</v>
      </c>
      <c r="M29" s="117">
        <f t="shared" si="2"/>
        <v>0</v>
      </c>
      <c r="N29" s="112"/>
      <c r="O29" s="112"/>
    </row>
    <row r="30" ht="15.0" customHeight="1">
      <c r="A30" s="112"/>
      <c r="B30" s="112"/>
      <c r="C30" s="112"/>
      <c r="D30" s="129" t="s">
        <v>190</v>
      </c>
      <c r="E30" s="114" t="str">
        <f>VLOOKUP(D30,Data!H:I,2,0)</f>
        <v>Çanakkale</v>
      </c>
      <c r="F30" s="115" t="str">
        <f>VLOOKUP(D30,Data!H:J,3,0)</f>
        <v>Nazım Öztel</v>
      </c>
      <c r="G30" s="116" t="b">
        <v>0</v>
      </c>
      <c r="H30" s="116" t="b">
        <v>0</v>
      </c>
      <c r="I30" s="116" t="b">
        <v>0</v>
      </c>
      <c r="J30" s="116" t="b">
        <v>0</v>
      </c>
      <c r="K30" s="116" t="b">
        <v>0</v>
      </c>
      <c r="L30" s="117">
        <f t="shared" si="1"/>
        <v>0</v>
      </c>
      <c r="M30" s="117">
        <f t="shared" si="2"/>
        <v>0</v>
      </c>
      <c r="N30" s="112"/>
      <c r="O30" s="112"/>
    </row>
    <row r="31" ht="15.0" customHeight="1">
      <c r="A31" s="112"/>
      <c r="B31" s="112"/>
      <c r="C31" s="112"/>
      <c r="D31" s="129" t="s">
        <v>221</v>
      </c>
      <c r="E31" s="114" t="str">
        <f>VLOOKUP(D31,Data!H:I,2,0)</f>
        <v>Çorum</v>
      </c>
      <c r="F31" s="115" t="str">
        <f>VLOOKUP(D31,Data!H:J,3,0)</f>
        <v>Nazım Öztel</v>
      </c>
      <c r="G31" s="116" t="b">
        <v>0</v>
      </c>
      <c r="H31" s="116" t="b">
        <v>0</v>
      </c>
      <c r="I31" s="116" t="b">
        <v>0</v>
      </c>
      <c r="J31" s="116" t="b">
        <v>1</v>
      </c>
      <c r="K31" s="116" t="b">
        <v>1</v>
      </c>
      <c r="L31" s="117">
        <f t="shared" si="1"/>
        <v>2</v>
      </c>
      <c r="M31" s="117">
        <f t="shared" si="2"/>
        <v>8</v>
      </c>
      <c r="N31" s="112"/>
      <c r="O31" s="112"/>
    </row>
    <row r="32" ht="15.0" customHeight="1">
      <c r="A32" s="112"/>
      <c r="B32" s="112"/>
      <c r="C32" s="112"/>
      <c r="D32" s="129" t="s">
        <v>191</v>
      </c>
      <c r="E32" s="114" t="str">
        <f>VLOOKUP(D32,Data!H:I,2,0)</f>
        <v>Denizli</v>
      </c>
      <c r="F32" s="115" t="str">
        <f>VLOOKUP(D32,Data!H:J,3,0)</f>
        <v>Nazım Öztel</v>
      </c>
      <c r="G32" s="116" t="b">
        <v>0</v>
      </c>
      <c r="H32" s="116" t="b">
        <v>0</v>
      </c>
      <c r="I32" s="116" t="b">
        <v>0</v>
      </c>
      <c r="J32" s="116" t="b">
        <v>0</v>
      </c>
      <c r="K32" s="116" t="b">
        <v>0</v>
      </c>
      <c r="L32" s="117">
        <f t="shared" si="1"/>
        <v>0</v>
      </c>
      <c r="M32" s="117">
        <f t="shared" si="2"/>
        <v>0</v>
      </c>
      <c r="N32" s="112"/>
      <c r="O32" s="112"/>
    </row>
    <row r="33" ht="15.0" customHeight="1">
      <c r="A33" s="112"/>
      <c r="B33" s="112"/>
      <c r="C33" s="112"/>
      <c r="D33" s="132" t="s">
        <v>54</v>
      </c>
      <c r="E33" s="114" t="str">
        <f>VLOOKUP(D33,Data!H:I,2,0)</f>
        <v>Diyarbakır</v>
      </c>
      <c r="F33" s="115" t="str">
        <f>VLOOKUP(D33,Data!H:J,3,0)</f>
        <v>Nazım Öztel</v>
      </c>
      <c r="G33" s="116" t="b">
        <v>0</v>
      </c>
      <c r="H33" s="116" t="b">
        <v>0</v>
      </c>
      <c r="I33" s="116" t="b">
        <v>0</v>
      </c>
      <c r="J33" s="116" t="b">
        <v>0</v>
      </c>
      <c r="K33" s="116" t="b">
        <v>0</v>
      </c>
      <c r="L33" s="117">
        <f t="shared" si="1"/>
        <v>0</v>
      </c>
      <c r="M33" s="117">
        <f t="shared" si="2"/>
        <v>0</v>
      </c>
      <c r="N33" s="112"/>
      <c r="O33" s="112"/>
    </row>
    <row r="34" ht="15.0" customHeight="1">
      <c r="A34" s="112"/>
      <c r="B34" s="112"/>
      <c r="C34" s="112"/>
      <c r="D34" s="129" t="s">
        <v>173</v>
      </c>
      <c r="E34" s="114" t="str">
        <f>VLOOKUP(D34,Data!H:I,2,0)</f>
        <v>Düzce</v>
      </c>
      <c r="F34" s="115" t="str">
        <f>VLOOKUP(D34,Data!H:J,3,0)</f>
        <v>Nazım Öztel</v>
      </c>
      <c r="G34" s="116" t="b">
        <v>0</v>
      </c>
      <c r="H34" s="116" t="b">
        <v>0</v>
      </c>
      <c r="I34" s="116" t="b">
        <v>0</v>
      </c>
      <c r="J34" s="116" t="b">
        <v>0</v>
      </c>
      <c r="K34" s="116" t="b">
        <v>0</v>
      </c>
      <c r="L34" s="117">
        <f t="shared" si="1"/>
        <v>0</v>
      </c>
      <c r="M34" s="117">
        <f t="shared" si="2"/>
        <v>0</v>
      </c>
      <c r="N34" s="112"/>
      <c r="O34" s="112"/>
    </row>
    <row r="35" ht="15.0" customHeight="1">
      <c r="A35" s="112"/>
      <c r="B35" s="112"/>
      <c r="C35" s="112"/>
      <c r="D35" s="129" t="s">
        <v>153</v>
      </c>
      <c r="E35" s="114" t="str">
        <f>VLOOKUP(D35,Data!H:I,2,0)</f>
        <v>Edirne</v>
      </c>
      <c r="F35" s="115" t="str">
        <f>VLOOKUP(D35,Data!H:J,3,0)</f>
        <v>Nazım Öztel</v>
      </c>
      <c r="G35" s="116" t="b">
        <v>0</v>
      </c>
      <c r="H35" s="116" t="b">
        <v>0</v>
      </c>
      <c r="I35" s="116" t="b">
        <v>0</v>
      </c>
      <c r="J35" s="116" t="b">
        <v>0</v>
      </c>
      <c r="K35" s="116" t="b">
        <v>0</v>
      </c>
      <c r="L35" s="117">
        <f t="shared" si="1"/>
        <v>0</v>
      </c>
      <c r="M35" s="117">
        <f t="shared" si="2"/>
        <v>0</v>
      </c>
      <c r="N35" s="112"/>
      <c r="O35" s="112"/>
    </row>
    <row r="36" ht="15.0" customHeight="1">
      <c r="A36" s="112"/>
      <c r="B36" s="112"/>
      <c r="C36" s="112"/>
      <c r="D36" s="129" t="s">
        <v>199</v>
      </c>
      <c r="E36" s="114" t="str">
        <f>VLOOKUP(D36,Data!H:I,2,0)</f>
        <v>Elazığ</v>
      </c>
      <c r="F36" s="115" t="str">
        <f>VLOOKUP(D36,Data!H:J,3,0)</f>
        <v>Nazım Öztel</v>
      </c>
      <c r="G36" s="116" t="b">
        <v>0</v>
      </c>
      <c r="H36" s="116" t="b">
        <v>0</v>
      </c>
      <c r="I36" s="116" t="b">
        <v>0</v>
      </c>
      <c r="J36" s="116" t="b">
        <v>0</v>
      </c>
      <c r="K36" s="116" t="b">
        <v>0</v>
      </c>
      <c r="L36" s="117">
        <f t="shared" si="1"/>
        <v>0</v>
      </c>
      <c r="M36" s="117">
        <f t="shared" si="2"/>
        <v>0</v>
      </c>
      <c r="N36" s="112"/>
      <c r="O36" s="112"/>
    </row>
    <row r="37" ht="15.0" customHeight="1">
      <c r="A37" s="112"/>
      <c r="B37" s="112"/>
      <c r="C37" s="112"/>
      <c r="D37" s="132" t="s">
        <v>55</v>
      </c>
      <c r="E37" s="114" t="str">
        <f>VLOOKUP(D37,Data!H:I,2,0)</f>
        <v>Erzurum</v>
      </c>
      <c r="F37" s="115" t="str">
        <f>VLOOKUP(D37,Data!H:J,3,0)</f>
        <v>Nazım Öztel</v>
      </c>
      <c r="G37" s="116" t="b">
        <v>0</v>
      </c>
      <c r="H37" s="116" t="b">
        <v>0</v>
      </c>
      <c r="I37" s="116" t="b">
        <v>0</v>
      </c>
      <c r="J37" s="116" t="b">
        <v>0</v>
      </c>
      <c r="K37" s="116" t="b">
        <v>0</v>
      </c>
      <c r="L37" s="117">
        <f t="shared" si="1"/>
        <v>0</v>
      </c>
      <c r="M37" s="117">
        <f t="shared" si="2"/>
        <v>0</v>
      </c>
      <c r="N37" s="112"/>
      <c r="O37" s="112"/>
    </row>
    <row r="38" ht="15.0" customHeight="1">
      <c r="A38" s="112"/>
      <c r="B38" s="112"/>
      <c r="C38" s="112"/>
      <c r="D38" s="129" t="s">
        <v>165</v>
      </c>
      <c r="E38" s="114" t="str">
        <f>VLOOKUP(D38,Data!H:I,2,0)</f>
        <v>Eskişehir</v>
      </c>
      <c r="F38" s="115" t="str">
        <f>VLOOKUP(D38,Data!H:J,3,0)</f>
        <v>Nazım Öztel</v>
      </c>
      <c r="G38" s="116" t="b">
        <v>1</v>
      </c>
      <c r="H38" s="116" t="b">
        <v>1</v>
      </c>
      <c r="I38" s="116" t="b">
        <v>1</v>
      </c>
      <c r="J38" s="116" t="b">
        <v>1</v>
      </c>
      <c r="K38" s="116" t="b">
        <v>0</v>
      </c>
      <c r="L38" s="117">
        <f t="shared" si="1"/>
        <v>4</v>
      </c>
      <c r="M38" s="117">
        <f t="shared" si="2"/>
        <v>16</v>
      </c>
      <c r="N38" s="112"/>
      <c r="O38" s="112"/>
    </row>
    <row r="39" ht="15.0" customHeight="1">
      <c r="A39" s="112"/>
      <c r="B39" s="112"/>
      <c r="C39" s="112"/>
      <c r="D39" s="129" t="s">
        <v>58</v>
      </c>
      <c r="E39" s="114" t="str">
        <f>VLOOKUP(D39,Data!H:I,2,0)</f>
        <v>İstanbul</v>
      </c>
      <c r="F39" s="115" t="str">
        <f>VLOOKUP(D39,Data!H:J,3,0)</f>
        <v>Freelance</v>
      </c>
      <c r="G39" s="116" t="b">
        <v>0</v>
      </c>
      <c r="H39" s="116" t="b">
        <v>1</v>
      </c>
      <c r="I39" s="116" t="b">
        <v>1</v>
      </c>
      <c r="J39" s="116" t="b">
        <v>1</v>
      </c>
      <c r="K39" s="116" t="b">
        <v>1</v>
      </c>
      <c r="L39" s="117">
        <f t="shared" si="1"/>
        <v>4</v>
      </c>
      <c r="M39" s="117">
        <f t="shared" si="2"/>
        <v>16</v>
      </c>
      <c r="N39" s="88"/>
      <c r="O39" s="112"/>
    </row>
    <row r="40" ht="15.0" customHeight="1">
      <c r="A40" s="112"/>
      <c r="B40" s="112"/>
      <c r="C40" s="112"/>
      <c r="D40" s="129" t="s">
        <v>123</v>
      </c>
      <c r="E40" s="114" t="str">
        <f>VLOOKUP(D40,Data!H:I,2,0)</f>
        <v>İstanbul</v>
      </c>
      <c r="F40" s="115" t="str">
        <f>VLOOKUP(D40,Data!H:J,3,0)</f>
        <v>Freelance</v>
      </c>
      <c r="G40" s="116" t="b">
        <v>0</v>
      </c>
      <c r="H40" s="116" t="b">
        <v>0</v>
      </c>
      <c r="I40" s="116" t="b">
        <v>0</v>
      </c>
      <c r="J40" s="116" t="b">
        <v>0</v>
      </c>
      <c r="K40" s="116" t="b">
        <v>0</v>
      </c>
      <c r="L40" s="117">
        <f t="shared" si="1"/>
        <v>0</v>
      </c>
      <c r="M40" s="117">
        <f t="shared" si="2"/>
        <v>0</v>
      </c>
      <c r="N40" s="88"/>
      <c r="O40" s="112"/>
    </row>
    <row r="41" ht="15.0" customHeight="1">
      <c r="A41" s="121"/>
      <c r="B41" s="121"/>
      <c r="C41" s="121"/>
      <c r="D41" s="129" t="s">
        <v>209</v>
      </c>
      <c r="E41" s="114" t="str">
        <f>VLOOKUP(D41,Data!H:I,2,0)</f>
        <v>İstanbul</v>
      </c>
      <c r="F41" s="115" t="str">
        <f>VLOOKUP(D41,Data!H:J,3,0)</f>
        <v>Filamingo</v>
      </c>
      <c r="G41" s="116" t="b">
        <v>0</v>
      </c>
      <c r="H41" s="116" t="b">
        <v>0</v>
      </c>
      <c r="I41" s="116" t="b">
        <v>0</v>
      </c>
      <c r="J41" s="116" t="b">
        <v>0</v>
      </c>
      <c r="K41" s="116" t="b">
        <v>0</v>
      </c>
      <c r="L41" s="117">
        <f t="shared" si="1"/>
        <v>0</v>
      </c>
      <c r="M41" s="117">
        <f t="shared" si="2"/>
        <v>0</v>
      </c>
      <c r="N41" s="121"/>
      <c r="O41" s="121"/>
    </row>
    <row r="42" ht="15.0" customHeight="1">
      <c r="A42" s="121"/>
      <c r="B42" s="121"/>
      <c r="C42" s="121"/>
      <c r="D42" s="129" t="s">
        <v>134</v>
      </c>
      <c r="E42" s="114" t="str">
        <f>VLOOKUP(D42,Data!H:I,2,0)</f>
        <v>İstanbul</v>
      </c>
      <c r="F42" s="115" t="str">
        <f>VLOOKUP(D42,Data!H:J,3,0)</f>
        <v>Filamingo</v>
      </c>
      <c r="G42" s="116" t="b">
        <v>0</v>
      </c>
      <c r="H42" s="116" t="b">
        <v>0</v>
      </c>
      <c r="I42" s="116" t="b">
        <v>0</v>
      </c>
      <c r="J42" s="116" t="b">
        <v>0</v>
      </c>
      <c r="K42" s="116" t="b">
        <v>0</v>
      </c>
      <c r="L42" s="117">
        <f t="shared" si="1"/>
        <v>0</v>
      </c>
      <c r="M42" s="117">
        <f t="shared" si="2"/>
        <v>0</v>
      </c>
      <c r="N42" s="121"/>
      <c r="O42" s="121"/>
    </row>
    <row r="43" ht="15.0" customHeight="1">
      <c r="A43" s="112"/>
      <c r="B43" s="112"/>
      <c r="C43" s="112"/>
      <c r="D43" s="132" t="s">
        <v>117</v>
      </c>
      <c r="E43" s="114" t="str">
        <f>VLOOKUP(D43,Data!H:I,2,0)</f>
        <v>İstanbul</v>
      </c>
      <c r="F43" s="115" t="str">
        <f>VLOOKUP(D43,Data!H:J,3,0)</f>
        <v>Freelance</v>
      </c>
      <c r="G43" s="116" t="b">
        <v>0</v>
      </c>
      <c r="H43" s="116" t="b">
        <v>0</v>
      </c>
      <c r="I43" s="116" t="b">
        <v>0</v>
      </c>
      <c r="J43" s="116" t="b">
        <v>0</v>
      </c>
      <c r="K43" s="116" t="b">
        <v>0</v>
      </c>
      <c r="L43" s="117">
        <f t="shared" si="1"/>
        <v>0</v>
      </c>
      <c r="M43" s="117">
        <f t="shared" si="2"/>
        <v>0</v>
      </c>
      <c r="N43" s="112"/>
      <c r="O43" s="112"/>
    </row>
    <row r="44" ht="15.0" customHeight="1">
      <c r="A44" s="112"/>
      <c r="B44" s="112"/>
      <c r="C44" s="112"/>
      <c r="D44" s="129" t="s">
        <v>135</v>
      </c>
      <c r="E44" s="114" t="str">
        <f>VLOOKUP(D44,Data!H:I,2,0)</f>
        <v>İstanbul</v>
      </c>
      <c r="F44" s="115" t="str">
        <f>VLOOKUP(D44,Data!H:J,3,0)</f>
        <v>Freelance</v>
      </c>
      <c r="G44" s="116" t="b">
        <v>0</v>
      </c>
      <c r="H44" s="116" t="b">
        <v>0</v>
      </c>
      <c r="I44" s="116" t="b">
        <v>0</v>
      </c>
      <c r="J44" s="116" t="b">
        <v>0</v>
      </c>
      <c r="K44" s="116" t="b">
        <v>0</v>
      </c>
      <c r="L44" s="117">
        <f t="shared" si="1"/>
        <v>0</v>
      </c>
      <c r="M44" s="117">
        <f t="shared" si="2"/>
        <v>0</v>
      </c>
      <c r="N44" s="112"/>
      <c r="O44" s="112"/>
    </row>
    <row r="45" ht="15.0" customHeight="1">
      <c r="A45" s="112"/>
      <c r="B45" s="112"/>
      <c r="C45" s="112"/>
      <c r="D45" s="129" t="s">
        <v>70</v>
      </c>
      <c r="E45" s="114" t="str">
        <f>VLOOKUP(D45,Data!H:I,2,0)</f>
        <v>İstanbul</v>
      </c>
      <c r="F45" s="115" t="str">
        <f>VLOOKUP(D45,Data!H:J,3,0)</f>
        <v>Freelance</v>
      </c>
      <c r="G45" s="116" t="b">
        <v>0</v>
      </c>
      <c r="H45" s="116" t="b">
        <v>0</v>
      </c>
      <c r="I45" s="116" t="b">
        <v>0</v>
      </c>
      <c r="J45" s="116" t="b">
        <v>0</v>
      </c>
      <c r="K45" s="116" t="b">
        <v>0</v>
      </c>
      <c r="L45" s="117">
        <f t="shared" si="1"/>
        <v>0</v>
      </c>
      <c r="M45" s="117">
        <f t="shared" si="2"/>
        <v>0</v>
      </c>
      <c r="N45" s="112"/>
      <c r="O45" s="112"/>
    </row>
    <row r="46" ht="15.0" customHeight="1">
      <c r="A46" s="112"/>
      <c r="B46" s="112"/>
      <c r="C46" s="112"/>
      <c r="D46" s="129" t="s">
        <v>174</v>
      </c>
      <c r="E46" s="114" t="str">
        <f>VLOOKUP(D46,Data!H:I,2,0)</f>
        <v>İstanbul</v>
      </c>
      <c r="F46" s="115" t="str">
        <f>VLOOKUP(D46,Data!H:J,3,0)</f>
        <v>Freelance</v>
      </c>
      <c r="G46" s="116" t="b">
        <v>0</v>
      </c>
      <c r="H46" s="116" t="b">
        <v>0</v>
      </c>
      <c r="I46" s="116" t="b">
        <v>0</v>
      </c>
      <c r="J46" s="116" t="b">
        <v>0</v>
      </c>
      <c r="K46" s="116" t="b">
        <v>0</v>
      </c>
      <c r="L46" s="117">
        <f t="shared" si="1"/>
        <v>0</v>
      </c>
      <c r="M46" s="117">
        <f t="shared" si="2"/>
        <v>0</v>
      </c>
      <c r="N46" s="112"/>
      <c r="O46" s="112"/>
    </row>
    <row r="47" ht="15.0" customHeight="1">
      <c r="A47" s="112"/>
      <c r="B47" s="112"/>
      <c r="C47" s="112"/>
      <c r="D47" s="129" t="s">
        <v>78</v>
      </c>
      <c r="E47" s="114" t="str">
        <f>VLOOKUP(D47,Data!H:I,2,0)</f>
        <v>İstanbul</v>
      </c>
      <c r="F47" s="115" t="str">
        <f>VLOOKUP(D47,Data!H:J,3,0)</f>
        <v>Freelance</v>
      </c>
      <c r="G47" s="116" t="b">
        <v>0</v>
      </c>
      <c r="H47" s="116" t="b">
        <v>1</v>
      </c>
      <c r="I47" s="116" t="b">
        <v>1</v>
      </c>
      <c r="J47" s="116" t="b">
        <v>1</v>
      </c>
      <c r="K47" s="116" t="b">
        <v>0</v>
      </c>
      <c r="L47" s="117">
        <f t="shared" si="1"/>
        <v>3</v>
      </c>
      <c r="M47" s="117">
        <f t="shared" si="2"/>
        <v>12</v>
      </c>
      <c r="N47" s="112"/>
      <c r="O47" s="112"/>
    </row>
    <row r="48" ht="15.0" customHeight="1">
      <c r="A48" s="112"/>
      <c r="B48" s="112"/>
      <c r="C48" s="112"/>
      <c r="D48" s="132" t="s">
        <v>72</v>
      </c>
      <c r="E48" s="114" t="str">
        <f>VLOOKUP(D48,Data!H:I,2,0)</f>
        <v>İstanbul</v>
      </c>
      <c r="F48" s="115" t="str">
        <f>VLOOKUP(D48,Data!H:J,3,0)</f>
        <v>Filamingo</v>
      </c>
      <c r="G48" s="116" t="b">
        <v>0</v>
      </c>
      <c r="H48" s="116" t="b">
        <v>0</v>
      </c>
      <c r="I48" s="116" t="b">
        <v>0</v>
      </c>
      <c r="J48" s="116" t="b">
        <v>0</v>
      </c>
      <c r="K48" s="116" t="b">
        <v>0</v>
      </c>
      <c r="L48" s="117">
        <f t="shared" si="1"/>
        <v>0</v>
      </c>
      <c r="M48" s="117">
        <f t="shared" si="2"/>
        <v>0</v>
      </c>
      <c r="N48" s="112"/>
      <c r="O48" s="112"/>
    </row>
    <row r="49" ht="15.0" customHeight="1">
      <c r="A49" s="112"/>
      <c r="B49" s="112"/>
      <c r="C49" s="112"/>
      <c r="D49" s="141" t="s">
        <v>125</v>
      </c>
      <c r="E49" s="114" t="str">
        <f>VLOOKUP(D49,Data!H:I,2,0)</f>
        <v>İstanbul</v>
      </c>
      <c r="F49" s="115" t="str">
        <f>VLOOKUP(D49,Data!H:J,3,0)</f>
        <v>Filamingo</v>
      </c>
      <c r="G49" s="116" t="b">
        <v>0</v>
      </c>
      <c r="H49" s="116" t="b">
        <v>0</v>
      </c>
      <c r="I49" s="116" t="b">
        <v>0</v>
      </c>
      <c r="J49" s="116" t="b">
        <v>0</v>
      </c>
      <c r="K49" s="116" t="b">
        <v>0</v>
      </c>
      <c r="L49" s="117">
        <f t="shared" si="1"/>
        <v>0</v>
      </c>
      <c r="M49" s="117">
        <f t="shared" si="2"/>
        <v>0</v>
      </c>
      <c r="N49" s="120"/>
      <c r="O49" s="112"/>
    </row>
    <row r="50" ht="15.0" customHeight="1">
      <c r="A50" s="112"/>
      <c r="B50" s="112"/>
      <c r="C50" s="112"/>
      <c r="D50" s="129" t="s">
        <v>200</v>
      </c>
      <c r="E50" s="114" t="str">
        <f>VLOOKUP(D50,Data!H:I,2,0)</f>
        <v>İstanbul</v>
      </c>
      <c r="F50" s="115" t="str">
        <f>VLOOKUP(D50,Data!H:J,3,0)</f>
        <v>Filamingo</v>
      </c>
      <c r="G50" s="116" t="b">
        <v>0</v>
      </c>
      <c r="H50" s="116" t="b">
        <v>0</v>
      </c>
      <c r="I50" s="116" t="b">
        <v>0</v>
      </c>
      <c r="J50" s="116" t="b">
        <v>0</v>
      </c>
      <c r="K50" s="116" t="b">
        <v>0</v>
      </c>
      <c r="L50" s="117">
        <f t="shared" si="1"/>
        <v>0</v>
      </c>
      <c r="M50" s="117">
        <f t="shared" si="2"/>
        <v>0</v>
      </c>
      <c r="N50" s="120"/>
      <c r="O50" s="112"/>
    </row>
    <row r="51" ht="15.0" customHeight="1">
      <c r="A51" s="112"/>
      <c r="B51" s="112"/>
      <c r="C51" s="112"/>
      <c r="D51" s="129" t="s">
        <v>214</v>
      </c>
      <c r="E51" s="114" t="str">
        <f>VLOOKUP(D51,Data!H:I,2,0)</f>
        <v>İstanbul</v>
      </c>
      <c r="F51" s="115" t="str">
        <f>VLOOKUP(D51,Data!H:J,3,0)</f>
        <v>Filamingo</v>
      </c>
      <c r="G51" s="116" t="b">
        <v>0</v>
      </c>
      <c r="H51" s="116" t="b">
        <v>0</v>
      </c>
      <c r="I51" s="116" t="b">
        <v>0</v>
      </c>
      <c r="J51" s="116" t="b">
        <v>0</v>
      </c>
      <c r="K51" s="116" t="b">
        <v>0</v>
      </c>
      <c r="L51" s="117">
        <f t="shared" si="1"/>
        <v>0</v>
      </c>
      <c r="M51" s="117">
        <f t="shared" si="2"/>
        <v>0</v>
      </c>
      <c r="N51" s="120"/>
      <c r="O51" s="112"/>
    </row>
    <row r="52" ht="15.0" customHeight="1">
      <c r="A52" s="112"/>
      <c r="B52" s="112"/>
      <c r="C52" s="112"/>
      <c r="D52" s="129" t="s">
        <v>232</v>
      </c>
      <c r="E52" s="114" t="str">
        <f>VLOOKUP(D52,Data!H:I,2,0)</f>
        <v>İstanbul</v>
      </c>
      <c r="F52" s="115" t="str">
        <f>VLOOKUP(D52,Data!H:J,3,0)</f>
        <v>Filamingo</v>
      </c>
      <c r="G52" s="116" t="b">
        <v>0</v>
      </c>
      <c r="H52" s="116" t="b">
        <v>0</v>
      </c>
      <c r="I52" s="116" t="b">
        <v>1</v>
      </c>
      <c r="J52" s="116" t="b">
        <v>0</v>
      </c>
      <c r="K52" s="116" t="b">
        <v>0</v>
      </c>
      <c r="L52" s="117">
        <f t="shared" si="1"/>
        <v>1</v>
      </c>
      <c r="M52" s="117">
        <f t="shared" si="2"/>
        <v>4</v>
      </c>
      <c r="N52" s="120"/>
      <c r="O52" s="112"/>
    </row>
    <row r="53" ht="15.0" customHeight="1">
      <c r="A53" s="122"/>
      <c r="B53" s="122"/>
      <c r="C53" s="122"/>
      <c r="D53" s="129" t="s">
        <v>79</v>
      </c>
      <c r="E53" s="114" t="str">
        <f>VLOOKUP(D53,Data!H:I,2,0)</f>
        <v>İstanbul</v>
      </c>
      <c r="F53" s="115" t="str">
        <f>VLOOKUP(D53,Data!H:J,3,0)</f>
        <v>Freelance</v>
      </c>
      <c r="G53" s="116" t="b">
        <v>0</v>
      </c>
      <c r="H53" s="116" t="b">
        <v>0</v>
      </c>
      <c r="I53" s="116" t="b">
        <v>1</v>
      </c>
      <c r="J53" s="116" t="b">
        <v>0</v>
      </c>
      <c r="K53" s="116" t="b">
        <v>0</v>
      </c>
      <c r="L53" s="117">
        <f t="shared" si="1"/>
        <v>1</v>
      </c>
      <c r="M53" s="117">
        <f t="shared" si="2"/>
        <v>4</v>
      </c>
      <c r="N53" s="112"/>
      <c r="O53" s="122"/>
    </row>
    <row r="54" ht="15.0" customHeight="1">
      <c r="A54" s="124"/>
      <c r="B54" s="124"/>
      <c r="C54" s="124"/>
      <c r="D54" s="129" t="s">
        <v>80</v>
      </c>
      <c r="E54" s="114" t="str">
        <f>VLOOKUP(D54,Data!H:I,2,0)</f>
        <v>İstanbul</v>
      </c>
      <c r="F54" s="115" t="str">
        <f>VLOOKUP(D54,Data!H:J,3,0)</f>
        <v>Freelance</v>
      </c>
      <c r="G54" s="116" t="b">
        <v>1</v>
      </c>
      <c r="H54" s="116" t="b">
        <v>1</v>
      </c>
      <c r="I54" s="116" t="b">
        <v>1</v>
      </c>
      <c r="J54" s="116" t="b">
        <v>1</v>
      </c>
      <c r="K54" s="116" t="b">
        <v>1</v>
      </c>
      <c r="L54" s="117">
        <f t="shared" si="1"/>
        <v>5</v>
      </c>
      <c r="M54" s="117">
        <f t="shared" si="2"/>
        <v>20</v>
      </c>
      <c r="N54" s="112"/>
      <c r="O54" s="124"/>
    </row>
    <row r="55" ht="15.0" customHeight="1">
      <c r="A55" s="124"/>
      <c r="B55" s="124"/>
      <c r="C55" s="124"/>
      <c r="D55" s="129" t="s">
        <v>217</v>
      </c>
      <c r="E55" s="114" t="str">
        <f>VLOOKUP(D55,Data!H:I,2,0)</f>
        <v>İstanbul</v>
      </c>
      <c r="F55" s="115" t="str">
        <f>VLOOKUP(D55,Data!H:J,3,0)</f>
        <v>Freelance</v>
      </c>
      <c r="G55" s="116" t="b">
        <v>0</v>
      </c>
      <c r="H55" s="116" t="b">
        <v>0</v>
      </c>
      <c r="I55" s="116" t="b">
        <v>0</v>
      </c>
      <c r="J55" s="116" t="b">
        <v>1</v>
      </c>
      <c r="K55" s="116" t="b">
        <v>0</v>
      </c>
      <c r="L55" s="117">
        <f t="shared" si="1"/>
        <v>1</v>
      </c>
      <c r="M55" s="117">
        <f t="shared" si="2"/>
        <v>4</v>
      </c>
      <c r="N55" s="112"/>
      <c r="O55" s="124"/>
    </row>
    <row r="56" ht="15.0" customHeight="1">
      <c r="A56" s="112"/>
      <c r="B56" s="112"/>
      <c r="C56" s="112"/>
      <c r="D56" s="129" t="s">
        <v>166</v>
      </c>
      <c r="E56" s="114" t="str">
        <f>VLOOKUP(D56,Data!H:I,2,0)</f>
        <v>İstanbul</v>
      </c>
      <c r="F56" s="115" t="str">
        <f>VLOOKUP(D56,Data!H:J,3,0)</f>
        <v>Filamingo</v>
      </c>
      <c r="G56" s="116" t="b">
        <v>0</v>
      </c>
      <c r="H56" s="116" t="b">
        <v>0</v>
      </c>
      <c r="I56" s="116" t="b">
        <v>0</v>
      </c>
      <c r="J56" s="116" t="b">
        <v>0</v>
      </c>
      <c r="K56" s="116" t="b">
        <v>0</v>
      </c>
      <c r="L56" s="117">
        <f t="shared" si="1"/>
        <v>0</v>
      </c>
      <c r="M56" s="117">
        <f t="shared" si="2"/>
        <v>0</v>
      </c>
      <c r="N56" s="124"/>
      <c r="O56" s="112"/>
    </row>
    <row r="57" ht="15.0" customHeight="1">
      <c r="A57" s="112"/>
      <c r="B57" s="112"/>
      <c r="C57" s="112"/>
      <c r="D57" s="129" t="s">
        <v>81</v>
      </c>
      <c r="E57" s="114" t="str">
        <f>VLOOKUP(D57,Data!H:I,2,0)</f>
        <v>İstanbul</v>
      </c>
      <c r="F57" s="115" t="str">
        <f>VLOOKUP(D57,Data!H:J,3,0)</f>
        <v>Freelance</v>
      </c>
      <c r="G57" s="116" t="b">
        <v>0</v>
      </c>
      <c r="H57" s="116" t="b">
        <v>0</v>
      </c>
      <c r="I57" s="116" t="b">
        <v>0</v>
      </c>
      <c r="J57" s="116" t="b">
        <v>0</v>
      </c>
      <c r="K57" s="116" t="b">
        <v>0</v>
      </c>
      <c r="L57" s="117">
        <f t="shared" si="1"/>
        <v>0</v>
      </c>
      <c r="M57" s="117">
        <f t="shared" si="2"/>
        <v>0</v>
      </c>
      <c r="N57" s="112"/>
      <c r="O57" s="112"/>
    </row>
    <row r="58" ht="15.0" customHeight="1">
      <c r="A58" s="112"/>
      <c r="B58" s="112"/>
      <c r="C58" s="112"/>
      <c r="D58" s="132" t="s">
        <v>119</v>
      </c>
      <c r="E58" s="114" t="str">
        <f>VLOOKUP(D58,Data!H:I,2,0)</f>
        <v>İstanbul</v>
      </c>
      <c r="F58" s="115" t="str">
        <f>VLOOKUP(D58,Data!H:J,3,0)</f>
        <v>Filamingo</v>
      </c>
      <c r="G58" s="116" t="b">
        <v>0</v>
      </c>
      <c r="H58" s="116" t="b">
        <v>1</v>
      </c>
      <c r="I58" s="116" t="b">
        <v>1</v>
      </c>
      <c r="J58" s="116" t="b">
        <v>0</v>
      </c>
      <c r="K58" s="116" t="b">
        <v>0</v>
      </c>
      <c r="L58" s="117">
        <f t="shared" si="1"/>
        <v>2</v>
      </c>
      <c r="M58" s="117">
        <f t="shared" si="2"/>
        <v>8</v>
      </c>
      <c r="N58" s="112"/>
      <c r="O58" s="112"/>
    </row>
    <row r="59" ht="15.0" customHeight="1">
      <c r="A59" s="112"/>
      <c r="B59" s="112"/>
      <c r="C59" s="112"/>
      <c r="D59" s="129" t="s">
        <v>185</v>
      </c>
      <c r="E59" s="114" t="str">
        <f>VLOOKUP(D59,Data!H:I,2,0)</f>
        <v>İstanbul</v>
      </c>
      <c r="F59" s="115" t="str">
        <f>VLOOKUP(D59,Data!H:J,3,0)</f>
        <v>Filamingo</v>
      </c>
      <c r="G59" s="116" t="b">
        <v>0</v>
      </c>
      <c r="H59" s="116" t="b">
        <v>0</v>
      </c>
      <c r="I59" s="116" t="b">
        <v>0</v>
      </c>
      <c r="J59" s="116" t="b">
        <v>0</v>
      </c>
      <c r="K59" s="116" t="b">
        <v>0</v>
      </c>
      <c r="L59" s="117">
        <f t="shared" si="1"/>
        <v>0</v>
      </c>
      <c r="M59" s="117">
        <f t="shared" si="2"/>
        <v>0</v>
      </c>
      <c r="N59" s="112"/>
      <c r="O59" s="112"/>
    </row>
    <row r="60" ht="15.0" customHeight="1">
      <c r="A60" s="112"/>
      <c r="B60" s="112"/>
      <c r="C60" s="112"/>
      <c r="D60" s="129" t="s">
        <v>224</v>
      </c>
      <c r="E60" s="145" t="str">
        <f>VLOOKUP(D60,Data!H:I,2,0)</f>
        <v>İstanbul</v>
      </c>
      <c r="F60" s="145" t="str">
        <f>VLOOKUP(D60,Data!H:J,3,0)</f>
        <v>Filamingo</v>
      </c>
      <c r="G60" s="116" t="b">
        <v>0</v>
      </c>
      <c r="H60" s="116" t="b">
        <v>0</v>
      </c>
      <c r="I60" s="116" t="b">
        <v>0</v>
      </c>
      <c r="J60" s="116" t="b">
        <v>1</v>
      </c>
      <c r="K60" s="116" t="b">
        <v>0</v>
      </c>
      <c r="L60" s="146">
        <f t="shared" si="1"/>
        <v>1</v>
      </c>
      <c r="M60" s="146">
        <f t="shared" si="2"/>
        <v>4</v>
      </c>
      <c r="N60" s="112"/>
      <c r="O60" s="112"/>
    </row>
    <row r="61" ht="15.0" customHeight="1">
      <c r="A61" s="112"/>
      <c r="B61" s="112"/>
      <c r="C61" s="112"/>
      <c r="D61" s="129" t="s">
        <v>85</v>
      </c>
      <c r="E61" s="114" t="str">
        <f>VLOOKUP(D61,Data!H:I,2,0)</f>
        <v>İstanbul</v>
      </c>
      <c r="F61" s="115" t="str">
        <f>VLOOKUP(D61,Data!H:J,3,0)</f>
        <v>Filamingo</v>
      </c>
      <c r="G61" s="116" t="b">
        <v>0</v>
      </c>
      <c r="H61" s="116" t="b">
        <v>0</v>
      </c>
      <c r="I61" s="116" t="b">
        <v>0</v>
      </c>
      <c r="J61" s="116" t="b">
        <v>0</v>
      </c>
      <c r="K61" s="116" t="b">
        <v>0</v>
      </c>
      <c r="L61" s="117">
        <f t="shared" si="1"/>
        <v>0</v>
      </c>
      <c r="M61" s="117">
        <f t="shared" si="2"/>
        <v>0</v>
      </c>
      <c r="N61" s="112"/>
      <c r="O61" s="112"/>
    </row>
    <row r="62" ht="15.0" customHeight="1">
      <c r="A62" s="112"/>
      <c r="B62" s="112"/>
      <c r="C62" s="112"/>
      <c r="D62" s="129" t="s">
        <v>225</v>
      </c>
      <c r="E62" s="114" t="str">
        <f>VLOOKUP(D62,Data!H:I,2,0)</f>
        <v>İstanbul</v>
      </c>
      <c r="F62" s="115" t="str">
        <f>VLOOKUP(D62,Data!H:J,3,0)</f>
        <v>Filamingo</v>
      </c>
      <c r="G62" s="116" t="b">
        <v>1</v>
      </c>
      <c r="H62" s="116" t="b">
        <v>1</v>
      </c>
      <c r="I62" s="116" t="b">
        <v>1</v>
      </c>
      <c r="J62" s="116" t="b">
        <v>1</v>
      </c>
      <c r="K62" s="116" t="b">
        <v>0</v>
      </c>
      <c r="L62" s="117">
        <f t="shared" si="1"/>
        <v>4</v>
      </c>
      <c r="M62" s="117">
        <f t="shared" si="2"/>
        <v>16</v>
      </c>
      <c r="N62" s="112"/>
      <c r="O62" s="112"/>
    </row>
    <row r="63" ht="15.0" customHeight="1">
      <c r="A63" s="112"/>
      <c r="B63" s="112"/>
      <c r="C63" s="112"/>
      <c r="D63" s="129" t="s">
        <v>201</v>
      </c>
      <c r="E63" s="114" t="str">
        <f>VLOOKUP(D63,Data!H:I,2,0)</f>
        <v>İstanbul</v>
      </c>
      <c r="F63" s="115" t="str">
        <f>VLOOKUP(D63,Data!H:J,3,0)</f>
        <v>Freelance</v>
      </c>
      <c r="G63" s="116" t="b">
        <v>0</v>
      </c>
      <c r="H63" s="116" t="b">
        <v>0</v>
      </c>
      <c r="I63" s="116" t="b">
        <v>0</v>
      </c>
      <c r="J63" s="116" t="b">
        <v>1</v>
      </c>
      <c r="K63" s="116" t="b">
        <v>1</v>
      </c>
      <c r="L63" s="117">
        <f t="shared" si="1"/>
        <v>2</v>
      </c>
      <c r="M63" s="117">
        <f t="shared" si="2"/>
        <v>8</v>
      </c>
      <c r="N63" s="125"/>
      <c r="O63" s="112"/>
    </row>
    <row r="64" ht="15.0" customHeight="1">
      <c r="A64" s="112"/>
      <c r="B64" s="112"/>
      <c r="C64" s="112"/>
      <c r="D64" s="132" t="s">
        <v>83</v>
      </c>
      <c r="E64" s="114" t="str">
        <f>VLOOKUP(D64,Data!H:I,2,0)</f>
        <v>İstanbul</v>
      </c>
      <c r="F64" s="115" t="str">
        <f>VLOOKUP(D64,Data!H:J,3,0)</f>
        <v>Nazım Öztel</v>
      </c>
      <c r="G64" s="116" t="b">
        <v>1</v>
      </c>
      <c r="H64" s="116" t="b">
        <v>1</v>
      </c>
      <c r="I64" s="116" t="b">
        <v>1</v>
      </c>
      <c r="J64" s="116" t="b">
        <v>1</v>
      </c>
      <c r="K64" s="116" t="b">
        <v>1</v>
      </c>
      <c r="L64" s="117">
        <f t="shared" si="1"/>
        <v>5</v>
      </c>
      <c r="M64" s="117">
        <f t="shared" si="2"/>
        <v>20</v>
      </c>
      <c r="N64" s="112"/>
      <c r="O64" s="112"/>
    </row>
    <row r="65" ht="15.0" customHeight="1">
      <c r="A65" s="125"/>
      <c r="B65" s="125"/>
      <c r="C65" s="125"/>
      <c r="D65" s="129" t="s">
        <v>145</v>
      </c>
      <c r="E65" s="114" t="str">
        <f>VLOOKUP(D65,Data!H:I,2,0)</f>
        <v>İstanbul</v>
      </c>
      <c r="F65" s="115" t="str">
        <f>VLOOKUP(D65,Data!H:J,3,0)</f>
        <v>Filamingo</v>
      </c>
      <c r="G65" s="116" t="b">
        <v>1</v>
      </c>
      <c r="H65" s="116" t="b">
        <v>1</v>
      </c>
      <c r="I65" s="116" t="b">
        <v>1</v>
      </c>
      <c r="J65" s="116" t="b">
        <v>1</v>
      </c>
      <c r="K65" s="116" t="b">
        <v>0</v>
      </c>
      <c r="L65" s="117">
        <f t="shared" si="1"/>
        <v>4</v>
      </c>
      <c r="M65" s="117">
        <f t="shared" si="2"/>
        <v>16</v>
      </c>
      <c r="N65" s="112"/>
      <c r="O65" s="125"/>
    </row>
    <row r="66" ht="15.0" customHeight="1">
      <c r="A66" s="125"/>
      <c r="B66" s="125"/>
      <c r="C66" s="125"/>
      <c r="D66" s="129" t="s">
        <v>210</v>
      </c>
      <c r="E66" s="114" t="str">
        <f>VLOOKUP(D66,Data!H:I,2,0)</f>
        <v>İstanbul</v>
      </c>
      <c r="F66" s="115" t="str">
        <f>VLOOKUP(D66,Data!H:J,3,0)</f>
        <v>Filamingo</v>
      </c>
      <c r="G66" s="116" t="b">
        <v>0</v>
      </c>
      <c r="H66" s="116" t="b">
        <v>0</v>
      </c>
      <c r="I66" s="116" t="b">
        <v>0</v>
      </c>
      <c r="J66" s="116" t="b">
        <v>0</v>
      </c>
      <c r="K66" s="116" t="b">
        <v>0</v>
      </c>
      <c r="L66" s="117">
        <f t="shared" si="1"/>
        <v>0</v>
      </c>
      <c r="M66" s="117">
        <f t="shared" si="2"/>
        <v>0</v>
      </c>
      <c r="N66" s="112"/>
      <c r="O66" s="125"/>
    </row>
    <row r="67" ht="15.0" customHeight="1">
      <c r="A67" s="125"/>
      <c r="B67" s="125"/>
      <c r="C67" s="125"/>
      <c r="D67" s="129" t="s">
        <v>202</v>
      </c>
      <c r="E67" s="114" t="str">
        <f>VLOOKUP(D67,Data!H:I,2,0)</f>
        <v>İstanbul</v>
      </c>
      <c r="F67" s="115" t="str">
        <f>VLOOKUP(D67,Data!H:J,3,0)</f>
        <v>Filamingo</v>
      </c>
      <c r="G67" s="116" t="b">
        <v>0</v>
      </c>
      <c r="H67" s="116" t="b">
        <v>0</v>
      </c>
      <c r="I67" s="116" t="b">
        <v>0</v>
      </c>
      <c r="J67" s="116" t="b">
        <v>0</v>
      </c>
      <c r="K67" s="116" t="b">
        <v>0</v>
      </c>
      <c r="L67" s="117">
        <f t="shared" si="1"/>
        <v>0</v>
      </c>
      <c r="M67" s="117">
        <f t="shared" si="2"/>
        <v>0</v>
      </c>
      <c r="N67" s="112"/>
      <c r="O67" s="125"/>
    </row>
    <row r="68" ht="15.0" customHeight="1">
      <c r="A68" s="125"/>
      <c r="B68" s="125"/>
      <c r="C68" s="125"/>
      <c r="D68" s="129" t="s">
        <v>186</v>
      </c>
      <c r="E68" s="114" t="str">
        <f>VLOOKUP(D68,Data!H:I,2,0)</f>
        <v>İstanbul</v>
      </c>
      <c r="F68" s="115" t="str">
        <f>VLOOKUP(D68,Data!H:J,3,0)</f>
        <v>Filamingo</v>
      </c>
      <c r="G68" s="116" t="b">
        <v>0</v>
      </c>
      <c r="H68" s="116" t="b">
        <v>0</v>
      </c>
      <c r="I68" s="116" t="b">
        <v>0</v>
      </c>
      <c r="J68" s="116" t="b">
        <v>0</v>
      </c>
      <c r="K68" s="116" t="b">
        <v>0</v>
      </c>
      <c r="L68" s="117">
        <f t="shared" si="1"/>
        <v>0</v>
      </c>
      <c r="M68" s="117">
        <f t="shared" si="2"/>
        <v>0</v>
      </c>
      <c r="N68" s="112"/>
      <c r="O68" s="125"/>
    </row>
    <row r="69" ht="15.0" customHeight="1">
      <c r="A69" s="122"/>
      <c r="B69" s="122"/>
      <c r="C69" s="122"/>
      <c r="D69" s="129" t="s">
        <v>175</v>
      </c>
      <c r="E69" s="114" t="str">
        <f>VLOOKUP(D69,Data!H:I,2,0)</f>
        <v>İstanbul</v>
      </c>
      <c r="F69" s="115" t="str">
        <f>VLOOKUP(D69,Data!H:J,3,0)</f>
        <v>Freelance</v>
      </c>
      <c r="G69" s="116" t="b">
        <v>0</v>
      </c>
      <c r="H69" s="116" t="b">
        <v>0</v>
      </c>
      <c r="I69" s="116" t="b">
        <v>0</v>
      </c>
      <c r="J69" s="116" t="b">
        <v>0</v>
      </c>
      <c r="K69" s="116" t="b">
        <v>0</v>
      </c>
      <c r="L69" s="117">
        <f t="shared" si="1"/>
        <v>0</v>
      </c>
      <c r="M69" s="117">
        <f t="shared" si="2"/>
        <v>0</v>
      </c>
      <c r="N69" s="112"/>
      <c r="O69" s="122"/>
    </row>
    <row r="70" ht="15.0" customHeight="1">
      <c r="A70" s="112"/>
      <c r="B70" s="112"/>
      <c r="C70" s="112"/>
      <c r="D70" s="132" t="s">
        <v>88</v>
      </c>
      <c r="E70" s="114" t="str">
        <f>VLOOKUP(D70,Data!H:I,2,0)</f>
        <v>İstanbul</v>
      </c>
      <c r="F70" s="115" t="str">
        <f>VLOOKUP(D70,Data!H:J,3,0)</f>
        <v>Nazım Öztel</v>
      </c>
      <c r="G70" s="116" t="b">
        <v>0</v>
      </c>
      <c r="H70" s="116" t="b">
        <v>0</v>
      </c>
      <c r="I70" s="116" t="b">
        <v>0</v>
      </c>
      <c r="J70" s="116" t="b">
        <v>0</v>
      </c>
      <c r="K70" s="116" t="b">
        <v>0</v>
      </c>
      <c r="L70" s="117">
        <f t="shared" si="1"/>
        <v>0</v>
      </c>
      <c r="M70" s="117">
        <f t="shared" si="2"/>
        <v>0</v>
      </c>
      <c r="N70" s="112"/>
      <c r="O70" s="112"/>
    </row>
    <row r="71" ht="15.0" customHeight="1">
      <c r="A71" s="112"/>
      <c r="B71" s="112"/>
      <c r="C71" s="112"/>
      <c r="D71" s="132" t="s">
        <v>89</v>
      </c>
      <c r="E71" s="114" t="str">
        <f>VLOOKUP(D71,Data!H:I,2,0)</f>
        <v>İstanbul</v>
      </c>
      <c r="F71" s="115" t="str">
        <f>VLOOKUP(D71,Data!H:J,3,0)</f>
        <v>Filamingo</v>
      </c>
      <c r="G71" s="116" t="b">
        <v>0</v>
      </c>
      <c r="H71" s="116" t="b">
        <v>0</v>
      </c>
      <c r="I71" s="116" t="b">
        <v>0</v>
      </c>
      <c r="J71" s="116" t="b">
        <v>0</v>
      </c>
      <c r="K71" s="116" t="b">
        <v>0</v>
      </c>
      <c r="L71" s="117">
        <f t="shared" si="1"/>
        <v>0</v>
      </c>
      <c r="M71" s="117">
        <f t="shared" si="2"/>
        <v>0</v>
      </c>
      <c r="N71" s="112"/>
      <c r="O71" s="112"/>
    </row>
    <row r="72" ht="15.0" customHeight="1">
      <c r="A72" s="112"/>
      <c r="B72" s="112"/>
      <c r="C72" s="112"/>
      <c r="D72" s="129" t="s">
        <v>226</v>
      </c>
      <c r="E72" s="114" t="str">
        <f>VLOOKUP(D72,Data!H:I,2,0)</f>
        <v>İstanbul</v>
      </c>
      <c r="F72" s="115" t="str">
        <f>VLOOKUP(D72,Data!H:J,3,0)</f>
        <v>Filamingo</v>
      </c>
      <c r="G72" s="116" t="b">
        <v>1</v>
      </c>
      <c r="H72" s="116" t="b">
        <v>0</v>
      </c>
      <c r="I72" s="116" t="b">
        <v>1</v>
      </c>
      <c r="J72" s="116" t="b">
        <v>0</v>
      </c>
      <c r="K72" s="116" t="b">
        <v>0</v>
      </c>
      <c r="L72" s="117">
        <f t="shared" si="1"/>
        <v>2</v>
      </c>
      <c r="M72" s="117">
        <f t="shared" si="2"/>
        <v>8</v>
      </c>
      <c r="N72" s="112"/>
      <c r="O72" s="112"/>
    </row>
    <row r="73" ht="15.0" customHeight="1">
      <c r="A73" s="112"/>
      <c r="B73" s="112"/>
      <c r="C73" s="112"/>
      <c r="D73" s="129" t="s">
        <v>87</v>
      </c>
      <c r="E73" s="114" t="str">
        <f>VLOOKUP(D73,Data!H:I,2,0)</f>
        <v>İstanbul</v>
      </c>
      <c r="F73" s="115" t="str">
        <f>VLOOKUP(D73,Data!H:J,3,0)</f>
        <v>Freelance</v>
      </c>
      <c r="G73" s="116" t="b">
        <v>0</v>
      </c>
      <c r="H73" s="116" t="b">
        <v>1</v>
      </c>
      <c r="I73" s="116" t="b">
        <v>0</v>
      </c>
      <c r="J73" s="116" t="b">
        <v>1</v>
      </c>
      <c r="K73" s="116" t="b">
        <v>1</v>
      </c>
      <c r="L73" s="117">
        <f t="shared" si="1"/>
        <v>3</v>
      </c>
      <c r="M73" s="117">
        <f t="shared" si="2"/>
        <v>12</v>
      </c>
      <c r="N73" s="125"/>
      <c r="O73" s="112"/>
    </row>
    <row r="74" ht="15.0" customHeight="1">
      <c r="A74" s="112"/>
      <c r="B74" s="112"/>
      <c r="C74" s="112"/>
      <c r="D74" s="132" t="s">
        <v>92</v>
      </c>
      <c r="E74" s="114" t="str">
        <f>VLOOKUP(D74,Data!H:I,2,0)</f>
        <v>İzmir</v>
      </c>
      <c r="F74" s="115" t="str">
        <f>VLOOKUP(D74,Data!H:J,3,0)</f>
        <v>Nazım Öztel</v>
      </c>
      <c r="G74" s="116" t="b">
        <v>1</v>
      </c>
      <c r="H74" s="116" t="b">
        <v>1</v>
      </c>
      <c r="I74" s="116" t="b">
        <v>1</v>
      </c>
      <c r="J74" s="116" t="b">
        <v>1</v>
      </c>
      <c r="K74" s="116" t="b">
        <v>0</v>
      </c>
      <c r="L74" s="117">
        <f t="shared" si="1"/>
        <v>4</v>
      </c>
      <c r="M74" s="117">
        <f t="shared" si="2"/>
        <v>16</v>
      </c>
      <c r="N74" s="112"/>
      <c r="O74" s="112"/>
    </row>
    <row r="75" ht="15.0" customHeight="1">
      <c r="A75" s="112"/>
      <c r="B75" s="112"/>
      <c r="C75" s="112"/>
      <c r="D75" s="129" t="s">
        <v>93</v>
      </c>
      <c r="E75" s="114" t="str">
        <f>VLOOKUP(D75,Data!H:I,2,0)</f>
        <v>İzmir</v>
      </c>
      <c r="F75" s="115" t="str">
        <f>VLOOKUP(D75,Data!H:J,3,0)</f>
        <v>Freelance</v>
      </c>
      <c r="G75" s="116" t="b">
        <v>0</v>
      </c>
      <c r="H75" s="116" t="b">
        <v>1</v>
      </c>
      <c r="I75" s="116" t="b">
        <v>1</v>
      </c>
      <c r="J75" s="116" t="b">
        <v>1</v>
      </c>
      <c r="K75" s="116" t="b">
        <v>1</v>
      </c>
      <c r="L75" s="117">
        <f t="shared" si="1"/>
        <v>4</v>
      </c>
      <c r="M75" s="117">
        <f t="shared" si="2"/>
        <v>16</v>
      </c>
      <c r="N75" s="112"/>
      <c r="O75" s="112"/>
    </row>
    <row r="76" ht="15.0" customHeight="1">
      <c r="A76" s="112"/>
      <c r="B76" s="112"/>
      <c r="C76" s="112"/>
      <c r="D76" s="129" t="s">
        <v>161</v>
      </c>
      <c r="E76" s="143" t="str">
        <f>VLOOKUP(D76,Data!H:I,2,0)</f>
        <v>Kahramanmaraş</v>
      </c>
      <c r="F76" s="115" t="str">
        <f>VLOOKUP(D76,Data!H:J,3,0)</f>
        <v>Nazım Öztel</v>
      </c>
      <c r="G76" s="116" t="b">
        <v>1</v>
      </c>
      <c r="H76" s="116" t="b">
        <v>1</v>
      </c>
      <c r="I76" s="116" t="b">
        <v>0</v>
      </c>
      <c r="J76" s="116" t="b">
        <v>0</v>
      </c>
      <c r="K76" s="116" t="b">
        <v>0</v>
      </c>
      <c r="L76" s="117">
        <f t="shared" si="1"/>
        <v>2</v>
      </c>
      <c r="M76" s="117">
        <f t="shared" si="2"/>
        <v>8</v>
      </c>
      <c r="N76" s="112"/>
      <c r="O76" s="112"/>
    </row>
    <row r="77" ht="15.0" customHeight="1">
      <c r="A77" s="112"/>
      <c r="B77" s="112"/>
      <c r="C77" s="112"/>
      <c r="D77" s="129" t="s">
        <v>233</v>
      </c>
      <c r="E77" s="114" t="str">
        <f>VLOOKUP(D77,Data!H:I,2,0)</f>
        <v>Kayseri</v>
      </c>
      <c r="F77" s="115" t="str">
        <f>VLOOKUP(D77,Data!H:J,3,0)</f>
        <v>Nazım Öztel</v>
      </c>
      <c r="G77" s="116" t="b">
        <v>0</v>
      </c>
      <c r="H77" s="116" t="b">
        <v>1</v>
      </c>
      <c r="I77" s="116" t="b">
        <v>0</v>
      </c>
      <c r="J77" s="116" t="b">
        <v>0</v>
      </c>
      <c r="K77" s="116" t="b">
        <v>0</v>
      </c>
      <c r="L77" s="117">
        <f t="shared" si="1"/>
        <v>1</v>
      </c>
      <c r="M77" s="117">
        <f t="shared" si="2"/>
        <v>4</v>
      </c>
      <c r="N77" s="112"/>
      <c r="O77" s="112"/>
    </row>
    <row r="78" ht="15.0" customHeight="1">
      <c r="A78" s="112"/>
      <c r="B78" s="112"/>
      <c r="C78" s="112"/>
      <c r="D78" s="129" t="s">
        <v>218</v>
      </c>
      <c r="E78" s="114" t="str">
        <f>VLOOKUP(D78,Data!H:I,2,0)</f>
        <v>Kırklareli</v>
      </c>
      <c r="F78" s="115" t="str">
        <f>VLOOKUP(D78,Data!H:J,3,0)</f>
        <v>Nazım Öztel</v>
      </c>
      <c r="G78" s="116" t="b">
        <v>1</v>
      </c>
      <c r="H78" s="116" t="b">
        <v>0</v>
      </c>
      <c r="I78" s="116" t="b">
        <v>0</v>
      </c>
      <c r="J78" s="116" t="b">
        <v>0</v>
      </c>
      <c r="K78" s="116" t="b">
        <v>0</v>
      </c>
      <c r="L78" s="117">
        <f t="shared" si="1"/>
        <v>1</v>
      </c>
      <c r="M78" s="117">
        <f t="shared" si="2"/>
        <v>4</v>
      </c>
      <c r="N78" s="112"/>
      <c r="O78" s="112"/>
    </row>
    <row r="79" ht="15.0" customHeight="1">
      <c r="A79" s="112"/>
      <c r="B79" s="112"/>
      <c r="C79" s="112"/>
      <c r="D79" s="132" t="s">
        <v>96</v>
      </c>
      <c r="E79" s="114" t="str">
        <f>VLOOKUP(D79,Data!H:I,2,0)</f>
        <v>Kocaeli</v>
      </c>
      <c r="F79" s="115" t="str">
        <f>VLOOKUP(D79,Data!H:J,3,0)</f>
        <v>Nazım Öztel</v>
      </c>
      <c r="G79" s="116" t="b">
        <v>0</v>
      </c>
      <c r="H79" s="116" t="b">
        <v>1</v>
      </c>
      <c r="I79" s="116" t="b">
        <v>0</v>
      </c>
      <c r="J79" s="116" t="b">
        <v>0</v>
      </c>
      <c r="K79" s="116" t="b">
        <v>0</v>
      </c>
      <c r="L79" s="117">
        <f t="shared" si="1"/>
        <v>1</v>
      </c>
      <c r="M79" s="117">
        <f t="shared" si="2"/>
        <v>4</v>
      </c>
      <c r="N79" s="112"/>
      <c r="O79" s="112"/>
    </row>
    <row r="80" ht="15.0" customHeight="1">
      <c r="A80" s="112"/>
      <c r="B80" s="112"/>
      <c r="C80" s="112"/>
      <c r="D80" s="129" t="s">
        <v>147</v>
      </c>
      <c r="E80" s="114" t="str">
        <f>VLOOKUP(D80,Data!H:I,2,0)</f>
        <v>Kocaeli</v>
      </c>
      <c r="F80" s="115" t="str">
        <f>VLOOKUP(D80,Data!H:J,3,0)</f>
        <v>Nazım Öztel</v>
      </c>
      <c r="G80" s="116" t="b">
        <v>0</v>
      </c>
      <c r="H80" s="116" t="b">
        <v>0</v>
      </c>
      <c r="I80" s="116" t="b">
        <v>1</v>
      </c>
      <c r="J80" s="116" t="b">
        <v>1</v>
      </c>
      <c r="K80" s="116" t="b">
        <v>0</v>
      </c>
      <c r="L80" s="117">
        <f t="shared" si="1"/>
        <v>2</v>
      </c>
      <c r="M80" s="117">
        <f t="shared" si="2"/>
        <v>8</v>
      </c>
      <c r="N80" s="112"/>
      <c r="O80" s="112"/>
    </row>
    <row r="81" ht="15.0" customHeight="1">
      <c r="A81" s="112"/>
      <c r="B81" s="112"/>
      <c r="C81" s="112"/>
      <c r="D81" s="129" t="s">
        <v>227</v>
      </c>
      <c r="E81" s="114" t="str">
        <f>VLOOKUP(D81,Data!H:I,2,0)</f>
        <v>Konya</v>
      </c>
      <c r="F81" s="115" t="str">
        <f>VLOOKUP(D81,Data!H:J,3,0)</f>
        <v>Nazım Öztel</v>
      </c>
      <c r="G81" s="116" t="b">
        <v>0</v>
      </c>
      <c r="H81" s="116" t="b">
        <v>0</v>
      </c>
      <c r="I81" s="116" t="b">
        <v>0</v>
      </c>
      <c r="J81" s="116" t="b">
        <v>0</v>
      </c>
      <c r="K81" s="116" t="b">
        <v>0</v>
      </c>
      <c r="L81" s="117">
        <f t="shared" si="1"/>
        <v>0</v>
      </c>
      <c r="M81" s="117">
        <f t="shared" si="2"/>
        <v>0</v>
      </c>
      <c r="N81" s="112"/>
      <c r="O81" s="112"/>
    </row>
    <row r="82" ht="15.0" customHeight="1">
      <c r="A82" s="112"/>
      <c r="B82" s="112"/>
      <c r="C82" s="112"/>
      <c r="D82" s="129" t="s">
        <v>203</v>
      </c>
      <c r="E82" s="114" t="str">
        <f>VLOOKUP(D82,Data!H:I,2,0)</f>
        <v>Malatya</v>
      </c>
      <c r="F82" s="115" t="str">
        <f>VLOOKUP(D82,Data!H:J,3,0)</f>
        <v>Nazım Öztel</v>
      </c>
      <c r="G82" s="116" t="b">
        <v>0</v>
      </c>
      <c r="H82" s="116" t="b">
        <v>1</v>
      </c>
      <c r="I82" s="116" t="b">
        <v>1</v>
      </c>
      <c r="J82" s="116" t="b">
        <v>1</v>
      </c>
      <c r="K82" s="116" t="b">
        <v>1</v>
      </c>
      <c r="L82" s="117">
        <f t="shared" si="1"/>
        <v>4</v>
      </c>
      <c r="M82" s="117">
        <f t="shared" si="2"/>
        <v>16</v>
      </c>
      <c r="N82" s="112"/>
      <c r="O82" s="112"/>
    </row>
    <row r="83" ht="15.0" customHeight="1">
      <c r="A83" s="112"/>
      <c r="B83" s="112"/>
      <c r="C83" s="112"/>
      <c r="D83" s="132" t="s">
        <v>98</v>
      </c>
      <c r="E83" s="114" t="str">
        <f>VLOOKUP(D83,Data!H:I,2,0)</f>
        <v>Manisa</v>
      </c>
      <c r="F83" s="115" t="str">
        <f>VLOOKUP(D83,Data!H:J,3,0)</f>
        <v>Nazım Öztel</v>
      </c>
      <c r="G83" s="116" t="b">
        <v>0</v>
      </c>
      <c r="H83" s="116" t="b">
        <v>0</v>
      </c>
      <c r="I83" s="116" t="b">
        <v>0</v>
      </c>
      <c r="J83" s="116" t="b">
        <v>0</v>
      </c>
      <c r="K83" s="116" t="b">
        <v>0</v>
      </c>
      <c r="L83" s="117">
        <f t="shared" si="1"/>
        <v>0</v>
      </c>
      <c r="M83" s="117">
        <f t="shared" si="2"/>
        <v>0</v>
      </c>
      <c r="N83" s="142"/>
      <c r="O83" s="112"/>
    </row>
    <row r="84" ht="15.0" customHeight="1">
      <c r="A84" s="112"/>
      <c r="B84" s="112"/>
      <c r="C84" s="112"/>
      <c r="D84" s="132" t="s">
        <v>99</v>
      </c>
      <c r="E84" s="114" t="str">
        <f>VLOOKUP(D84,Data!H:I,2,0)</f>
        <v>Mersin</v>
      </c>
      <c r="F84" s="115" t="str">
        <f>VLOOKUP(D84,Data!H:J,3,0)</f>
        <v>Nazım Öztel</v>
      </c>
      <c r="G84" s="116" t="b">
        <v>0</v>
      </c>
      <c r="H84" s="116" t="b">
        <v>0</v>
      </c>
      <c r="I84" s="116" t="b">
        <v>0</v>
      </c>
      <c r="J84" s="116" t="b">
        <v>0</v>
      </c>
      <c r="K84" s="116" t="b">
        <v>0</v>
      </c>
      <c r="L84" s="117">
        <f t="shared" si="1"/>
        <v>0</v>
      </c>
      <c r="M84" s="117">
        <f t="shared" si="2"/>
        <v>0</v>
      </c>
      <c r="N84" s="106"/>
      <c r="O84" s="112"/>
    </row>
    <row r="85" ht="15.0" customHeight="1">
      <c r="A85" s="112"/>
      <c r="B85" s="112"/>
      <c r="C85" s="112"/>
      <c r="D85" s="129" t="s">
        <v>169</v>
      </c>
      <c r="E85" s="114" t="str">
        <f>VLOOKUP(D85,Data!H:I,2,0)</f>
        <v>Mersin</v>
      </c>
      <c r="F85" s="115" t="str">
        <f>VLOOKUP(D85,Data!H:J,3,0)</f>
        <v>Nazım Öztel</v>
      </c>
      <c r="G85" s="116" t="b">
        <v>0</v>
      </c>
      <c r="H85" s="116" t="b">
        <v>0</v>
      </c>
      <c r="I85" s="116" t="b">
        <v>0</v>
      </c>
      <c r="J85" s="116" t="b">
        <v>1</v>
      </c>
      <c r="K85" s="116" t="b">
        <v>0</v>
      </c>
      <c r="L85" s="117">
        <f t="shared" si="1"/>
        <v>1</v>
      </c>
      <c r="M85" s="117">
        <f t="shared" si="2"/>
        <v>4</v>
      </c>
      <c r="N85" s="106"/>
      <c r="O85" s="112"/>
    </row>
    <row r="86" ht="15.0" customHeight="1">
      <c r="A86" s="112"/>
      <c r="B86" s="112"/>
      <c r="C86" s="112"/>
      <c r="D86" s="129" t="s">
        <v>148</v>
      </c>
      <c r="E86" s="114" t="str">
        <f>VLOOKUP(D86,Data!H:I,2,0)</f>
        <v>Muğla</v>
      </c>
      <c r="F86" s="115" t="str">
        <f>VLOOKUP(D86,Data!H:J,3,0)</f>
        <v>Nazım Öztel</v>
      </c>
      <c r="G86" s="116" t="b">
        <v>0</v>
      </c>
      <c r="H86" s="116" t="b">
        <v>1</v>
      </c>
      <c r="I86" s="116" t="b">
        <v>1</v>
      </c>
      <c r="J86" s="116" t="b">
        <v>1</v>
      </c>
      <c r="K86" s="116" t="b">
        <v>1</v>
      </c>
      <c r="L86" s="117">
        <f t="shared" si="1"/>
        <v>4</v>
      </c>
      <c r="M86" s="117">
        <f t="shared" si="2"/>
        <v>16</v>
      </c>
      <c r="N86" s="106"/>
      <c r="O86" s="112"/>
    </row>
    <row r="87" ht="15.0" customHeight="1">
      <c r="A87" s="112"/>
      <c r="B87" s="112"/>
      <c r="C87" s="112"/>
      <c r="D87" s="129" t="s">
        <v>52</v>
      </c>
      <c r="E87" s="114" t="s">
        <v>211</v>
      </c>
      <c r="F87" s="115" t="s">
        <v>61</v>
      </c>
      <c r="G87" s="116" t="b">
        <v>0</v>
      </c>
      <c r="H87" s="116" t="b">
        <v>0</v>
      </c>
      <c r="I87" s="116" t="b">
        <v>0</v>
      </c>
      <c r="J87" s="116" t="b">
        <v>0</v>
      </c>
      <c r="K87" s="116" t="b">
        <v>0</v>
      </c>
      <c r="L87" s="117">
        <f t="shared" si="1"/>
        <v>0</v>
      </c>
      <c r="M87" s="117">
        <f t="shared" si="2"/>
        <v>0</v>
      </c>
      <c r="N87" s="106"/>
      <c r="O87" s="112"/>
    </row>
    <row r="88" ht="15.0" customHeight="1">
      <c r="A88" s="112"/>
      <c r="B88" s="112"/>
      <c r="C88" s="112"/>
      <c r="D88" s="129" t="s">
        <v>193</v>
      </c>
      <c r="E88" s="114" t="str">
        <f>VLOOKUP(D88,Data!H:I,2,0)</f>
        <v>Samsun</v>
      </c>
      <c r="F88" s="115" t="str">
        <f>VLOOKUP(D88,Data!H:J,3,0)</f>
        <v>Nazım Öztel</v>
      </c>
      <c r="G88" s="116" t="b">
        <v>1</v>
      </c>
      <c r="H88" s="116" t="b">
        <v>0</v>
      </c>
      <c r="I88" s="116" t="b">
        <v>1</v>
      </c>
      <c r="J88" s="116" t="b">
        <v>0</v>
      </c>
      <c r="K88" s="116" t="b">
        <v>0</v>
      </c>
      <c r="L88" s="117">
        <f t="shared" si="1"/>
        <v>2</v>
      </c>
      <c r="M88" s="117">
        <f t="shared" si="2"/>
        <v>8</v>
      </c>
      <c r="N88" s="106"/>
      <c r="O88" s="112"/>
    </row>
    <row r="89" ht="15.0" customHeight="1">
      <c r="A89" s="112"/>
      <c r="B89" s="112"/>
      <c r="C89" s="112"/>
      <c r="D89" s="129" t="s">
        <v>104</v>
      </c>
      <c r="E89" s="114" t="str">
        <f>VLOOKUP(D89,Data!H:I,2,0)</f>
        <v>Tekirdağ</v>
      </c>
      <c r="F89" s="115" t="str">
        <f>VLOOKUP(D89,Data!H:J,3,0)</f>
        <v>Freelance</v>
      </c>
      <c r="G89" s="116" t="b">
        <v>0</v>
      </c>
      <c r="H89" s="116" t="b">
        <v>0</v>
      </c>
      <c r="I89" s="116" t="b">
        <v>0</v>
      </c>
      <c r="J89" s="116" t="b">
        <v>0</v>
      </c>
      <c r="K89" s="116" t="b">
        <v>0</v>
      </c>
      <c r="L89" s="117">
        <f t="shared" si="1"/>
        <v>0</v>
      </c>
      <c r="M89" s="117">
        <f t="shared" si="2"/>
        <v>0</v>
      </c>
      <c r="N89" s="112"/>
      <c r="O89" s="112"/>
    </row>
    <row r="90" ht="15.0" customHeight="1">
      <c r="A90" s="112"/>
      <c r="B90" s="112"/>
      <c r="C90" s="112"/>
      <c r="D90" s="129" t="s">
        <v>154</v>
      </c>
      <c r="E90" s="114" t="str">
        <f>VLOOKUP(D90,Data!H:I,2,0)</f>
        <v>Uşak</v>
      </c>
      <c r="F90" s="115" t="str">
        <f>VLOOKUP(D90,Data!H:J,3,0)</f>
        <v>Nazım Öztel</v>
      </c>
      <c r="G90" s="116" t="b">
        <v>0</v>
      </c>
      <c r="H90" s="116" t="b">
        <v>1</v>
      </c>
      <c r="I90" s="116" t="b">
        <v>0</v>
      </c>
      <c r="J90" s="116" t="b">
        <v>0</v>
      </c>
      <c r="K90" s="116" t="b">
        <v>0</v>
      </c>
      <c r="L90" s="117">
        <f t="shared" si="1"/>
        <v>1</v>
      </c>
      <c r="M90" s="117">
        <f t="shared" si="2"/>
        <v>4</v>
      </c>
      <c r="N90" s="112"/>
      <c r="O90" s="112"/>
    </row>
    <row r="91" ht="15.0" customHeight="1">
      <c r="A91" s="112"/>
      <c r="B91" s="112"/>
      <c r="C91" s="112"/>
      <c r="D91" s="129" t="s">
        <v>176</v>
      </c>
      <c r="E91" s="144" t="s">
        <v>206</v>
      </c>
      <c r="F91" s="144" t="s">
        <v>61</v>
      </c>
      <c r="G91" s="116" t="b">
        <v>0</v>
      </c>
      <c r="H91" s="116" t="b">
        <v>0</v>
      </c>
      <c r="I91" s="116" t="b">
        <v>0</v>
      </c>
      <c r="J91" s="116" t="b">
        <v>0</v>
      </c>
      <c r="K91" s="116" t="b">
        <v>0</v>
      </c>
      <c r="L91" s="117">
        <f t="shared" si="1"/>
        <v>0</v>
      </c>
      <c r="M91" s="117">
        <f t="shared" si="2"/>
        <v>0</v>
      </c>
      <c r="N91" s="112"/>
      <c r="O91" s="112"/>
    </row>
    <row r="92" ht="15.0" customHeight="1">
      <c r="A92" s="112"/>
      <c r="B92" s="112"/>
      <c r="C92" s="112"/>
      <c r="D92" s="132"/>
      <c r="E92" s="132"/>
      <c r="F92" s="132"/>
      <c r="G92" s="117">
        <f t="shared" ref="G92:K92" si="3">4*(COUNTIF(G15:G91,"true"))</f>
        <v>44</v>
      </c>
      <c r="H92" s="117">
        <f t="shared" si="3"/>
        <v>72</v>
      </c>
      <c r="I92" s="117">
        <f t="shared" si="3"/>
        <v>72</v>
      </c>
      <c r="J92" s="117">
        <f t="shared" si="3"/>
        <v>80</v>
      </c>
      <c r="K92" s="117">
        <f t="shared" si="3"/>
        <v>36</v>
      </c>
      <c r="L92" s="135"/>
      <c r="M92" s="135">
        <f>SUM(G92:K92)</f>
        <v>304</v>
      </c>
      <c r="N92" s="112"/>
      <c r="O92" s="112"/>
    </row>
  </sheetData>
  <customSheetViews>
    <customSheetView guid="{90E1DF85-7252-44D2-BA7D-CC3767CD0E8B}" filter="1" showAutoFilter="1">
      <autoFilter ref="$A$14:$O$92">
        <filterColumn colId="4">
          <filters>
            <filter val="Kırklareli"/>
            <filter val="Samsun"/>
            <filter val="Burdur"/>
            <filter val="Bilecik"/>
            <filter val="Zonguldak"/>
            <filter val="Elazığ"/>
            <filter val="Bartın"/>
            <filter val="Kayseri"/>
            <filter val="Düzce"/>
            <filter val="Malatya"/>
            <filter val="Denizli"/>
            <filter val="Çanakkale"/>
            <filter val="Aydın"/>
            <filter val="Çorum"/>
            <filter val="Osmaniye"/>
            <filter val="Edirne"/>
            <filter val="Afyon"/>
            <filter val="Muğla"/>
            <filter val="Eskişehir"/>
            <filter val="Kahramanmaraş"/>
            <filter val="Balıkesir"/>
            <filter val="Uşak"/>
          </filters>
        </filterColumn>
      </autoFilter>
    </customSheetView>
    <customSheetView guid="{70B995D3-3AEB-4DFE-A0CA-D6FFCCE596BC}" filter="1" showAutoFilter="1">
      <autoFilter ref="$D$14:$D$91"/>
    </customSheetView>
  </customSheetViews>
  <mergeCells count="4">
    <mergeCell ref="D6:K6"/>
    <mergeCell ref="D7:F7"/>
    <mergeCell ref="D9:D12"/>
    <mergeCell ref="F10:M11"/>
  </mergeCells>
  <conditionalFormatting sqref="G15:K91">
    <cfRule type="cellIs" dxfId="1" priority="1" operator="equal">
      <formula>"False"</formula>
    </cfRule>
  </conditionalFormatting>
  <conditionalFormatting sqref="G15:K91">
    <cfRule type="cellIs" dxfId="0" priority="2" operator="equal">
      <formula>"TRUE"</formula>
    </cfRule>
  </conditionalFormatting>
  <dataValidations>
    <dataValidation type="list" allowBlank="1" showErrorMessage="1" sqref="E15:E91">
      <formula1>Data!$A$2:$A$100</formula1>
    </dataValidation>
    <dataValidation type="list" allowBlank="1" showErrorMessage="1" sqref="F15:F91">
      <formula1>Data!$C$2:$C$8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3" width="2.63"/>
    <col customWidth="1" min="4" max="4" width="20.38"/>
    <col customWidth="1" min="5" max="5" width="11.38"/>
    <col customWidth="1" min="6" max="6" width="16.63"/>
    <col customWidth="1" min="7" max="11" width="8.63"/>
    <col customWidth="1" min="12" max="12" width="12.63"/>
    <col customWidth="1" min="13" max="13" width="15.13"/>
    <col customWidth="1" min="14" max="15" width="2.63"/>
  </cols>
  <sheetData>
    <row r="1" ht="7.5" customHeight="1">
      <c r="A1" s="140"/>
      <c r="B1" s="84"/>
      <c r="C1" s="84"/>
      <c r="D1" s="84"/>
      <c r="E1" s="84"/>
      <c r="F1" s="84"/>
      <c r="G1" s="84"/>
      <c r="H1" s="84"/>
      <c r="I1" s="84"/>
      <c r="J1" s="84"/>
      <c r="K1" s="84"/>
      <c r="L1" s="85"/>
      <c r="M1" s="86"/>
      <c r="N1" s="86"/>
      <c r="O1" s="86"/>
    </row>
    <row r="2" ht="15.0" customHeight="1">
      <c r="A2" s="87"/>
      <c r="B2" s="87"/>
      <c r="C2" s="87"/>
      <c r="D2" s="88"/>
      <c r="E2" s="88"/>
      <c r="F2" s="88"/>
      <c r="G2" s="88"/>
      <c r="H2" s="88"/>
      <c r="I2" s="88"/>
      <c r="J2" s="88"/>
      <c r="K2" s="88"/>
      <c r="L2" s="88"/>
      <c r="M2" s="87"/>
      <c r="N2" s="87"/>
      <c r="O2" s="87"/>
    </row>
    <row r="3" ht="3.75" customHeight="1">
      <c r="A3" s="87"/>
      <c r="B3" s="87"/>
      <c r="C3" s="87"/>
      <c r="D3" s="89"/>
      <c r="E3" s="90"/>
      <c r="F3" s="90"/>
      <c r="G3" s="90"/>
      <c r="H3" s="90"/>
      <c r="I3" s="90"/>
      <c r="J3" s="90"/>
      <c r="K3" s="90"/>
      <c r="L3" s="90"/>
      <c r="M3" s="87"/>
      <c r="N3" s="87"/>
      <c r="O3" s="87"/>
    </row>
    <row r="4" ht="15.0" customHeight="1">
      <c r="A4" s="87"/>
      <c r="B4" s="87"/>
      <c r="C4" s="87"/>
      <c r="D4" s="88"/>
      <c r="E4" s="88"/>
      <c r="F4" s="88"/>
      <c r="G4" s="91"/>
      <c r="H4" s="91"/>
      <c r="I4" s="91"/>
      <c r="J4" s="91"/>
      <c r="K4" s="91"/>
      <c r="L4" s="91"/>
      <c r="M4" s="87"/>
      <c r="N4" s="87"/>
      <c r="O4" s="87"/>
    </row>
    <row r="5" ht="15.0" customHeight="1">
      <c r="A5" s="92"/>
      <c r="B5" s="92"/>
      <c r="C5" s="92"/>
      <c r="D5" s="88"/>
      <c r="E5" s="88"/>
      <c r="F5" s="88"/>
      <c r="G5" s="93"/>
      <c r="H5" s="93"/>
      <c r="I5" s="93"/>
      <c r="J5" s="93"/>
      <c r="K5" s="93"/>
      <c r="L5" s="94"/>
      <c r="M5" s="88"/>
      <c r="N5" s="92"/>
      <c r="O5" s="92"/>
    </row>
    <row r="6" ht="15.0" customHeight="1">
      <c r="A6" s="92"/>
      <c r="B6" s="92"/>
      <c r="C6" s="92"/>
      <c r="D6" s="95" t="s">
        <v>234</v>
      </c>
      <c r="L6" s="94"/>
      <c r="M6" s="88"/>
      <c r="N6" s="92"/>
      <c r="O6" s="92"/>
    </row>
    <row r="7" ht="15.0" customHeight="1">
      <c r="A7" s="92"/>
      <c r="B7" s="92"/>
      <c r="C7" s="92"/>
      <c r="D7" s="96" t="s">
        <v>235</v>
      </c>
      <c r="G7" s="97"/>
      <c r="H7" s="97"/>
      <c r="I7" s="97"/>
      <c r="J7" s="97"/>
      <c r="K7" s="97"/>
      <c r="L7" s="92"/>
      <c r="M7" s="92"/>
      <c r="N7" s="92"/>
      <c r="O7" s="92"/>
    </row>
    <row r="8" ht="15.0" customHeight="1">
      <c r="A8" s="92"/>
      <c r="B8" s="92"/>
      <c r="C8" s="92"/>
      <c r="D8" s="97"/>
      <c r="E8" s="97"/>
      <c r="F8" s="97"/>
      <c r="G8" s="97"/>
      <c r="H8" s="97"/>
      <c r="I8" s="97"/>
      <c r="J8" s="97"/>
      <c r="K8" s="97"/>
      <c r="L8" s="92"/>
      <c r="M8" s="92"/>
      <c r="N8" s="92"/>
      <c r="O8" s="92"/>
    </row>
    <row r="9" ht="15.0" customHeight="1">
      <c r="A9" s="92"/>
      <c r="B9" s="92"/>
      <c r="C9" s="98"/>
      <c r="D9" s="99" t="s">
        <v>35</v>
      </c>
      <c r="E9" s="100"/>
      <c r="F9" s="101"/>
      <c r="G9" s="101"/>
      <c r="H9" s="101"/>
      <c r="I9" s="101"/>
      <c r="J9" s="101"/>
      <c r="K9" s="101"/>
      <c r="L9" s="101"/>
      <c r="M9" s="100"/>
      <c r="N9" s="102"/>
      <c r="O9" s="102"/>
    </row>
    <row r="10" ht="15.0" customHeight="1">
      <c r="A10" s="92"/>
      <c r="B10" s="92"/>
      <c r="C10" s="98"/>
      <c r="E10" s="100"/>
      <c r="F10" s="103" t="s">
        <v>36</v>
      </c>
      <c r="N10" s="102"/>
      <c r="O10" s="102"/>
    </row>
    <row r="11" ht="15.0" customHeight="1">
      <c r="A11" s="92"/>
      <c r="B11" s="92"/>
      <c r="C11" s="98"/>
      <c r="E11" s="100"/>
      <c r="N11" s="102"/>
      <c r="O11" s="102"/>
    </row>
    <row r="12" ht="15.0" customHeight="1">
      <c r="A12" s="88"/>
      <c r="B12" s="92"/>
      <c r="C12" s="92"/>
      <c r="E12" s="100"/>
      <c r="F12" s="100"/>
      <c r="G12" s="100"/>
      <c r="H12" s="100"/>
      <c r="I12" s="100"/>
      <c r="J12" s="100"/>
      <c r="K12" s="100"/>
      <c r="L12" s="100"/>
      <c r="M12" s="100"/>
      <c r="N12" s="102"/>
      <c r="O12" s="102"/>
    </row>
    <row r="13" ht="15.0" customHeight="1">
      <c r="A13" s="88"/>
      <c r="B13" s="104"/>
      <c r="C13" s="104"/>
      <c r="D13" s="104"/>
      <c r="E13" s="104"/>
      <c r="F13" s="105"/>
      <c r="G13" s="105"/>
      <c r="H13" s="105"/>
      <c r="I13" s="105"/>
      <c r="J13" s="105"/>
      <c r="K13" s="105"/>
      <c r="L13" s="104"/>
      <c r="M13" s="104"/>
      <c r="N13" s="104"/>
      <c r="O13" s="104"/>
    </row>
    <row r="14" ht="15.0" customHeight="1">
      <c r="A14" s="106"/>
      <c r="B14" s="106"/>
      <c r="C14" s="106"/>
      <c r="D14" s="107" t="s">
        <v>37</v>
      </c>
      <c r="E14" s="108" t="s">
        <v>38</v>
      </c>
      <c r="F14" s="109" t="s">
        <v>39</v>
      </c>
      <c r="G14" s="110">
        <v>44578.0</v>
      </c>
      <c r="H14" s="110">
        <v>44579.0</v>
      </c>
      <c r="I14" s="110">
        <v>44580.0</v>
      </c>
      <c r="J14" s="110">
        <v>44581.0</v>
      </c>
      <c r="K14" s="110">
        <v>44582.0</v>
      </c>
      <c r="L14" s="111" t="s">
        <v>40</v>
      </c>
      <c r="M14" s="111" t="s">
        <v>41</v>
      </c>
      <c r="N14" s="88"/>
      <c r="O14" s="88"/>
    </row>
    <row r="15" ht="15.0" customHeight="1">
      <c r="A15" s="112"/>
      <c r="B15" s="112"/>
      <c r="C15" s="112"/>
      <c r="D15" s="129" t="s">
        <v>42</v>
      </c>
      <c r="E15" s="114" t="str">
        <f>VLOOKUP(D15,Data!H:I,2,0)</f>
        <v>Adana</v>
      </c>
      <c r="F15" s="115" t="str">
        <f>VLOOKUP(D15,Data!H:J,3,0)</f>
        <v>Freelance</v>
      </c>
      <c r="G15" s="116" t="b">
        <v>0</v>
      </c>
      <c r="H15" s="116" t="b">
        <v>0</v>
      </c>
      <c r="I15" s="116" t="b">
        <v>0</v>
      </c>
      <c r="J15" s="116" t="b">
        <v>0</v>
      </c>
      <c r="K15" s="116" t="b">
        <v>0</v>
      </c>
      <c r="L15" s="117">
        <f t="shared" ref="L15:L87" si="1">COUNTIF(G15:K15,"TRUE")</f>
        <v>0</v>
      </c>
      <c r="M15" s="117">
        <f t="shared" ref="M15:M87" si="2">L15*4</f>
        <v>0</v>
      </c>
      <c r="N15" s="112"/>
      <c r="O15" s="88"/>
    </row>
    <row r="16" ht="15.0" customHeight="1">
      <c r="A16" s="112"/>
      <c r="B16" s="112"/>
      <c r="C16" s="112"/>
      <c r="D16" s="129" t="s">
        <v>196</v>
      </c>
      <c r="E16" s="114" t="str">
        <f>VLOOKUP(D16,Data!H:I,2,0)</f>
        <v>Afyon</v>
      </c>
      <c r="F16" s="115" t="str">
        <f>VLOOKUP(D16,Data!H:J,3,0)</f>
        <v>Nazım Öztel</v>
      </c>
      <c r="G16" s="116" t="b">
        <v>0</v>
      </c>
      <c r="H16" s="116" t="b">
        <v>0</v>
      </c>
      <c r="I16" s="116" t="b">
        <v>0</v>
      </c>
      <c r="J16" s="116" t="b">
        <v>0</v>
      </c>
      <c r="K16" s="116" t="b">
        <v>0</v>
      </c>
      <c r="L16" s="117">
        <f t="shared" si="1"/>
        <v>0</v>
      </c>
      <c r="M16" s="117">
        <f t="shared" si="2"/>
        <v>0</v>
      </c>
      <c r="N16" s="112"/>
      <c r="O16" s="88"/>
    </row>
    <row r="17" ht="15.0" customHeight="1">
      <c r="A17" s="112"/>
      <c r="B17" s="112"/>
      <c r="C17" s="112"/>
      <c r="D17" s="129" t="s">
        <v>230</v>
      </c>
      <c r="E17" s="114" t="str">
        <f>VLOOKUP(D17,Data!H:I,2,0)</f>
        <v>Ankara</v>
      </c>
      <c r="F17" s="115" t="str">
        <f>VLOOKUP(D17,Data!H:J,3,0)</f>
        <v>Nazım Öztel</v>
      </c>
      <c r="G17" s="116" t="b">
        <v>1</v>
      </c>
      <c r="H17" s="116" t="b">
        <v>0</v>
      </c>
      <c r="I17" s="116" t="b">
        <v>0</v>
      </c>
      <c r="J17" s="116" t="b">
        <v>0</v>
      </c>
      <c r="K17" s="116" t="b">
        <v>0</v>
      </c>
      <c r="L17" s="117">
        <f t="shared" si="1"/>
        <v>1</v>
      </c>
      <c r="M17" s="117">
        <f t="shared" si="2"/>
        <v>4</v>
      </c>
      <c r="N17" s="112"/>
      <c r="O17" s="88"/>
    </row>
    <row r="18" ht="15.0" customHeight="1">
      <c r="A18" s="106"/>
      <c r="B18" s="106"/>
      <c r="C18" s="106"/>
      <c r="D18" s="129" t="s">
        <v>164</v>
      </c>
      <c r="E18" s="114" t="str">
        <f>VLOOKUP(D18,Data!H:I,2,0)</f>
        <v>Antalya</v>
      </c>
      <c r="F18" s="115" t="str">
        <f>VLOOKUP(D18,Data!H:J,3,0)</f>
        <v>Nazım Öztel</v>
      </c>
      <c r="G18" s="116" t="b">
        <v>1</v>
      </c>
      <c r="H18" s="116" t="b">
        <v>1</v>
      </c>
      <c r="I18" s="116" t="b">
        <v>1</v>
      </c>
      <c r="J18" s="116" t="b">
        <v>1</v>
      </c>
      <c r="K18" s="116" t="b">
        <v>1</v>
      </c>
      <c r="L18" s="117">
        <f t="shared" si="1"/>
        <v>5</v>
      </c>
      <c r="M18" s="117">
        <f t="shared" si="2"/>
        <v>20</v>
      </c>
      <c r="N18" s="112"/>
      <c r="O18" s="106"/>
    </row>
    <row r="19" ht="15.0" customHeight="1">
      <c r="A19" s="106"/>
      <c r="B19" s="106"/>
      <c r="C19" s="106"/>
      <c r="D19" s="129" t="s">
        <v>152</v>
      </c>
      <c r="E19" s="114" t="str">
        <f>VLOOKUP(D19,Data!H:I,2,0)</f>
        <v>Antalya</v>
      </c>
      <c r="F19" s="115" t="str">
        <f>VLOOKUP(D19,Data!H:J,3,0)</f>
        <v>Nazım Öztel</v>
      </c>
      <c r="G19" s="116" t="b">
        <v>0</v>
      </c>
      <c r="H19" s="116" t="b">
        <v>0</v>
      </c>
      <c r="I19" s="116" t="b">
        <v>0</v>
      </c>
      <c r="J19" s="116" t="b">
        <v>0</v>
      </c>
      <c r="K19" s="116" t="b">
        <v>0</v>
      </c>
      <c r="L19" s="117">
        <f t="shared" si="1"/>
        <v>0</v>
      </c>
      <c r="M19" s="117">
        <f t="shared" si="2"/>
        <v>0</v>
      </c>
      <c r="N19" s="112"/>
      <c r="O19" s="106"/>
    </row>
    <row r="20" ht="15.0" customHeight="1">
      <c r="A20" s="112"/>
      <c r="B20" s="112"/>
      <c r="C20" s="112"/>
      <c r="D20" s="129" t="s">
        <v>50</v>
      </c>
      <c r="E20" s="114" t="str">
        <f>VLOOKUP(D20,Data!H:I,2,0)</f>
        <v>Antalya</v>
      </c>
      <c r="F20" s="115" t="str">
        <f>VLOOKUP(D20,Data!H:J,3,0)</f>
        <v>Freelance</v>
      </c>
      <c r="G20" s="116" t="b">
        <v>0</v>
      </c>
      <c r="H20" s="116" t="b">
        <v>0</v>
      </c>
      <c r="I20" s="116" t="b">
        <v>0</v>
      </c>
      <c r="J20" s="116" t="b">
        <v>0</v>
      </c>
      <c r="K20" s="116" t="b">
        <v>0</v>
      </c>
      <c r="L20" s="117">
        <f t="shared" si="1"/>
        <v>0</v>
      </c>
      <c r="M20" s="117">
        <f t="shared" si="2"/>
        <v>0</v>
      </c>
      <c r="N20" s="112"/>
      <c r="O20" s="112"/>
    </row>
    <row r="21" ht="15.0" customHeight="1">
      <c r="A21" s="112"/>
      <c r="B21" s="112"/>
      <c r="C21" s="112"/>
      <c r="D21" s="129" t="s">
        <v>159</v>
      </c>
      <c r="E21" s="114" t="str">
        <f>VLOOKUP(D21,Data!H:I,2,0)</f>
        <v>Aydın</v>
      </c>
      <c r="F21" s="115" t="str">
        <f>VLOOKUP(D21,Data!H:J,3,0)</f>
        <v>Nazım Öztel</v>
      </c>
      <c r="G21" s="116" t="b">
        <v>0</v>
      </c>
      <c r="H21" s="116" t="b">
        <v>0</v>
      </c>
      <c r="I21" s="116" t="b">
        <v>0</v>
      </c>
      <c r="J21" s="116" t="b">
        <v>0</v>
      </c>
      <c r="K21" s="116" t="b">
        <v>0</v>
      </c>
      <c r="L21" s="117">
        <f t="shared" si="1"/>
        <v>0</v>
      </c>
      <c r="M21" s="117">
        <f t="shared" si="2"/>
        <v>0</v>
      </c>
      <c r="N21" s="112"/>
      <c r="O21" s="112"/>
    </row>
    <row r="22" ht="15.0" customHeight="1">
      <c r="A22" s="112"/>
      <c r="B22" s="112"/>
      <c r="C22" s="112"/>
      <c r="D22" s="129" t="s">
        <v>197</v>
      </c>
      <c r="E22" s="114" t="str">
        <f>VLOOKUP(D22,Data!H:I,2,0)</f>
        <v>Aydın</v>
      </c>
      <c r="F22" s="115" t="str">
        <f>VLOOKUP(D22,Data!H:J,3,0)</f>
        <v>Nazım Öztel</v>
      </c>
      <c r="G22" s="116" t="b">
        <v>0</v>
      </c>
      <c r="H22" s="116" t="b">
        <v>0</v>
      </c>
      <c r="I22" s="116" t="b">
        <v>0</v>
      </c>
      <c r="J22" s="116" t="b">
        <v>0</v>
      </c>
      <c r="K22" s="116" t="b">
        <v>0</v>
      </c>
      <c r="L22" s="117">
        <f t="shared" si="1"/>
        <v>0</v>
      </c>
      <c r="M22" s="117">
        <f t="shared" si="2"/>
        <v>0</v>
      </c>
      <c r="N22" s="112"/>
      <c r="O22" s="112"/>
    </row>
    <row r="23" ht="15.0" customHeight="1">
      <c r="A23" s="112"/>
      <c r="B23" s="112"/>
      <c r="C23" s="112"/>
      <c r="D23" s="129" t="s">
        <v>52</v>
      </c>
      <c r="E23" s="114" t="s">
        <v>184</v>
      </c>
      <c r="F23" s="115" t="s">
        <v>61</v>
      </c>
      <c r="G23" s="116" t="b">
        <v>0</v>
      </c>
      <c r="H23" s="116" t="b">
        <v>0</v>
      </c>
      <c r="I23" s="116" t="b">
        <v>0</v>
      </c>
      <c r="J23" s="116" t="b">
        <v>0</v>
      </c>
      <c r="K23" s="116" t="b">
        <v>0</v>
      </c>
      <c r="L23" s="117">
        <f t="shared" si="1"/>
        <v>0</v>
      </c>
      <c r="M23" s="117">
        <f t="shared" si="2"/>
        <v>0</v>
      </c>
      <c r="N23" s="112"/>
      <c r="O23" s="112"/>
    </row>
    <row r="24" ht="15.0" customHeight="1">
      <c r="A24" s="112"/>
      <c r="B24" s="112"/>
      <c r="C24" s="112"/>
      <c r="D24" s="129" t="s">
        <v>176</v>
      </c>
      <c r="E24" s="114" t="s">
        <v>231</v>
      </c>
      <c r="F24" s="115" t="s">
        <v>61</v>
      </c>
      <c r="G24" s="116" t="b">
        <v>0</v>
      </c>
      <c r="H24" s="116" t="b">
        <v>0</v>
      </c>
      <c r="I24" s="116" t="b">
        <v>0</v>
      </c>
      <c r="J24" s="116" t="b">
        <v>0</v>
      </c>
      <c r="K24" s="116" t="b">
        <v>0</v>
      </c>
      <c r="L24" s="117">
        <f t="shared" si="1"/>
        <v>0</v>
      </c>
      <c r="M24" s="117">
        <f t="shared" si="2"/>
        <v>0</v>
      </c>
      <c r="N24" s="112"/>
      <c r="O24" s="112"/>
    </row>
    <row r="25" ht="15.0" customHeight="1">
      <c r="A25" s="112"/>
      <c r="B25" s="112"/>
      <c r="C25" s="112"/>
      <c r="D25" s="129" t="s">
        <v>198</v>
      </c>
      <c r="E25" s="114" t="s">
        <v>181</v>
      </c>
      <c r="F25" s="115" t="s">
        <v>61</v>
      </c>
      <c r="G25" s="116" t="b">
        <v>0</v>
      </c>
      <c r="H25" s="116" t="b">
        <v>0</v>
      </c>
      <c r="I25" s="116" t="b">
        <v>0</v>
      </c>
      <c r="J25" s="116" t="b">
        <v>0</v>
      </c>
      <c r="K25" s="116" t="b">
        <v>0</v>
      </c>
      <c r="L25" s="117">
        <f t="shared" si="1"/>
        <v>0</v>
      </c>
      <c r="M25" s="117">
        <f t="shared" si="2"/>
        <v>0</v>
      </c>
      <c r="N25" s="112"/>
      <c r="O25" s="112"/>
    </row>
    <row r="26" ht="15.0" customHeight="1">
      <c r="A26" s="112"/>
      <c r="B26" s="112"/>
      <c r="C26" s="112"/>
      <c r="D26" s="129" t="s">
        <v>52</v>
      </c>
      <c r="E26" s="114" t="s">
        <v>181</v>
      </c>
      <c r="F26" s="115" t="s">
        <v>61</v>
      </c>
      <c r="G26" s="116" t="b">
        <v>0</v>
      </c>
      <c r="H26" s="116" t="b">
        <v>0</v>
      </c>
      <c r="I26" s="116" t="b">
        <v>0</v>
      </c>
      <c r="J26" s="116" t="b">
        <v>0</v>
      </c>
      <c r="K26" s="116" t="b">
        <v>0</v>
      </c>
      <c r="L26" s="117">
        <f t="shared" si="1"/>
        <v>0</v>
      </c>
      <c r="M26" s="117">
        <f t="shared" si="2"/>
        <v>0</v>
      </c>
      <c r="N26" s="112"/>
      <c r="O26" s="112"/>
    </row>
    <row r="27" ht="15.0" customHeight="1">
      <c r="A27" s="112"/>
      <c r="B27" s="112"/>
      <c r="C27" s="112"/>
      <c r="D27" s="129" t="s">
        <v>160</v>
      </c>
      <c r="E27" s="114" t="str">
        <f>VLOOKUP(D27,Data!H:I,2,0)</f>
        <v>Burdur</v>
      </c>
      <c r="F27" s="115" t="str">
        <f>VLOOKUP(D27,Data!H:J,3,0)</f>
        <v>Nazım Öztel</v>
      </c>
      <c r="G27" s="116" t="b">
        <v>0</v>
      </c>
      <c r="H27" s="116" t="b">
        <v>0</v>
      </c>
      <c r="I27" s="116" t="b">
        <v>0</v>
      </c>
      <c r="J27" s="116" t="b">
        <v>0</v>
      </c>
      <c r="K27" s="116" t="b">
        <v>0</v>
      </c>
      <c r="L27" s="117">
        <f t="shared" si="1"/>
        <v>0</v>
      </c>
      <c r="M27" s="117">
        <f t="shared" si="2"/>
        <v>0</v>
      </c>
      <c r="N27" s="112"/>
      <c r="O27" s="112"/>
    </row>
    <row r="28" ht="15.0" customHeight="1">
      <c r="A28" s="112"/>
      <c r="B28" s="112"/>
      <c r="C28" s="112"/>
      <c r="D28" s="132" t="s">
        <v>52</v>
      </c>
      <c r="E28" s="114" t="str">
        <f>VLOOKUP(D28,Data!H:I,2,0)</f>
        <v>Bursa</v>
      </c>
      <c r="F28" s="115" t="str">
        <f>VLOOKUP(D28,Data!H:J,3,0)</f>
        <v>Nazım Öztel</v>
      </c>
      <c r="G28" s="116" t="b">
        <v>0</v>
      </c>
      <c r="H28" s="116" t="b">
        <v>0</v>
      </c>
      <c r="I28" s="116" t="b">
        <v>0</v>
      </c>
      <c r="J28" s="116" t="b">
        <v>0</v>
      </c>
      <c r="K28" s="116" t="b">
        <v>0</v>
      </c>
      <c r="L28" s="117">
        <f t="shared" si="1"/>
        <v>0</v>
      </c>
      <c r="M28" s="117">
        <f t="shared" si="2"/>
        <v>0</v>
      </c>
      <c r="N28" s="122"/>
      <c r="O28" s="112"/>
    </row>
    <row r="29" ht="15.0" customHeight="1">
      <c r="A29" s="112"/>
      <c r="B29" s="112"/>
      <c r="C29" s="112"/>
      <c r="D29" s="129" t="s">
        <v>53</v>
      </c>
      <c r="E29" s="114" t="str">
        <f>VLOOKUP(D29,Data!H:I,2,0)</f>
        <v>Bursa</v>
      </c>
      <c r="F29" s="115" t="str">
        <f>VLOOKUP(D29,Data!H:J,3,0)</f>
        <v>Freelance</v>
      </c>
      <c r="G29" s="116" t="b">
        <v>1</v>
      </c>
      <c r="H29" s="116" t="b">
        <v>1</v>
      </c>
      <c r="I29" s="116" t="b">
        <v>0</v>
      </c>
      <c r="J29" s="116" t="b">
        <v>0</v>
      </c>
      <c r="K29" s="116" t="b">
        <v>0</v>
      </c>
      <c r="L29" s="117">
        <f t="shared" si="1"/>
        <v>2</v>
      </c>
      <c r="M29" s="117">
        <f t="shared" si="2"/>
        <v>8</v>
      </c>
      <c r="N29" s="112"/>
      <c r="O29" s="112"/>
    </row>
    <row r="30" ht="15.0" customHeight="1">
      <c r="A30" s="112"/>
      <c r="B30" s="112"/>
      <c r="C30" s="112"/>
      <c r="D30" s="129" t="s">
        <v>190</v>
      </c>
      <c r="E30" s="114" t="str">
        <f>VLOOKUP(D30,Data!H:I,2,0)</f>
        <v>Çanakkale</v>
      </c>
      <c r="F30" s="115" t="str">
        <f>VLOOKUP(D30,Data!H:J,3,0)</f>
        <v>Nazım Öztel</v>
      </c>
      <c r="G30" s="116" t="b">
        <v>0</v>
      </c>
      <c r="H30" s="116" t="b">
        <v>0</v>
      </c>
      <c r="I30" s="116" t="b">
        <v>0</v>
      </c>
      <c r="J30" s="116" t="b">
        <v>0</v>
      </c>
      <c r="K30" s="116" t="b">
        <v>0</v>
      </c>
      <c r="L30" s="117">
        <f t="shared" si="1"/>
        <v>0</v>
      </c>
      <c r="M30" s="117">
        <f t="shared" si="2"/>
        <v>0</v>
      </c>
      <c r="N30" s="112"/>
      <c r="O30" s="112"/>
    </row>
    <row r="31" ht="15.0" customHeight="1">
      <c r="A31" s="112"/>
      <c r="B31" s="112"/>
      <c r="C31" s="112"/>
      <c r="D31" s="129" t="s">
        <v>221</v>
      </c>
      <c r="E31" s="114" t="str">
        <f>VLOOKUP(D31,Data!H:I,2,0)</f>
        <v>Çorum</v>
      </c>
      <c r="F31" s="115" t="str">
        <f>VLOOKUP(D31,Data!H:J,3,0)</f>
        <v>Nazım Öztel</v>
      </c>
      <c r="G31" s="116" t="b">
        <v>1</v>
      </c>
      <c r="H31" s="116" t="b">
        <v>0</v>
      </c>
      <c r="I31" s="116" t="b">
        <v>0</v>
      </c>
      <c r="J31" s="116" t="b">
        <v>0</v>
      </c>
      <c r="K31" s="116" t="b">
        <v>0</v>
      </c>
      <c r="L31" s="117">
        <f t="shared" si="1"/>
        <v>1</v>
      </c>
      <c r="M31" s="117">
        <f t="shared" si="2"/>
        <v>4</v>
      </c>
      <c r="N31" s="112"/>
      <c r="O31" s="112"/>
    </row>
    <row r="32" ht="15.0" customHeight="1">
      <c r="A32" s="112"/>
      <c r="B32" s="112"/>
      <c r="C32" s="112"/>
      <c r="D32" s="129" t="s">
        <v>191</v>
      </c>
      <c r="E32" s="114" t="str">
        <f>VLOOKUP(D32,Data!H:I,2,0)</f>
        <v>Denizli</v>
      </c>
      <c r="F32" s="115" t="str">
        <f>VLOOKUP(D32,Data!H:J,3,0)</f>
        <v>Nazım Öztel</v>
      </c>
      <c r="G32" s="116" t="b">
        <v>0</v>
      </c>
      <c r="H32" s="116" t="b">
        <v>0</v>
      </c>
      <c r="I32" s="116" t="b">
        <v>0</v>
      </c>
      <c r="J32" s="116" t="b">
        <v>0</v>
      </c>
      <c r="K32" s="116" t="b">
        <v>0</v>
      </c>
      <c r="L32" s="117">
        <f t="shared" si="1"/>
        <v>0</v>
      </c>
      <c r="M32" s="117">
        <f t="shared" si="2"/>
        <v>0</v>
      </c>
      <c r="N32" s="112"/>
      <c r="O32" s="112"/>
    </row>
    <row r="33" ht="15.0" customHeight="1">
      <c r="A33" s="112"/>
      <c r="B33" s="112"/>
      <c r="C33" s="112"/>
      <c r="D33" s="132" t="s">
        <v>54</v>
      </c>
      <c r="E33" s="114" t="str">
        <f>VLOOKUP(D33,Data!H:I,2,0)</f>
        <v>Diyarbakır</v>
      </c>
      <c r="F33" s="115" t="str">
        <f>VLOOKUP(D33,Data!H:J,3,0)</f>
        <v>Nazım Öztel</v>
      </c>
      <c r="G33" s="116" t="b">
        <v>0</v>
      </c>
      <c r="H33" s="116" t="b">
        <v>0</v>
      </c>
      <c r="I33" s="116" t="b">
        <v>0</v>
      </c>
      <c r="J33" s="116" t="b">
        <v>0</v>
      </c>
      <c r="K33" s="116" t="b">
        <v>0</v>
      </c>
      <c r="L33" s="117">
        <f t="shared" si="1"/>
        <v>0</v>
      </c>
      <c r="M33" s="117">
        <f t="shared" si="2"/>
        <v>0</v>
      </c>
      <c r="N33" s="112"/>
      <c r="O33" s="112"/>
    </row>
    <row r="34" ht="15.0" customHeight="1">
      <c r="A34" s="112"/>
      <c r="B34" s="112"/>
      <c r="C34" s="112"/>
      <c r="D34" s="129" t="s">
        <v>173</v>
      </c>
      <c r="E34" s="114" t="str">
        <f>VLOOKUP(D34,Data!H:I,2,0)</f>
        <v>Düzce</v>
      </c>
      <c r="F34" s="115" t="str">
        <f>VLOOKUP(D34,Data!H:J,3,0)</f>
        <v>Nazım Öztel</v>
      </c>
      <c r="G34" s="116" t="b">
        <v>0</v>
      </c>
      <c r="H34" s="116" t="b">
        <v>0</v>
      </c>
      <c r="I34" s="116" t="b">
        <v>0</v>
      </c>
      <c r="J34" s="116" t="b">
        <v>0</v>
      </c>
      <c r="K34" s="116" t="b">
        <v>0</v>
      </c>
      <c r="L34" s="117">
        <f t="shared" si="1"/>
        <v>0</v>
      </c>
      <c r="M34" s="117">
        <f t="shared" si="2"/>
        <v>0</v>
      </c>
      <c r="N34" s="112"/>
      <c r="O34" s="112"/>
    </row>
    <row r="35" ht="15.0" customHeight="1">
      <c r="A35" s="112"/>
      <c r="B35" s="112"/>
      <c r="C35" s="112"/>
      <c r="D35" s="129" t="s">
        <v>153</v>
      </c>
      <c r="E35" s="114" t="str">
        <f>VLOOKUP(D35,Data!H:I,2,0)</f>
        <v>Edirne</v>
      </c>
      <c r="F35" s="115" t="str">
        <f>VLOOKUP(D35,Data!H:J,3,0)</f>
        <v>Nazım Öztel</v>
      </c>
      <c r="G35" s="116" t="b">
        <v>0</v>
      </c>
      <c r="H35" s="116" t="b">
        <v>0</v>
      </c>
      <c r="I35" s="116" t="b">
        <v>0</v>
      </c>
      <c r="J35" s="116" t="b">
        <v>0</v>
      </c>
      <c r="K35" s="116" t="b">
        <v>0</v>
      </c>
      <c r="L35" s="117">
        <f t="shared" si="1"/>
        <v>0</v>
      </c>
      <c r="M35" s="117">
        <f t="shared" si="2"/>
        <v>0</v>
      </c>
      <c r="N35" s="112"/>
      <c r="O35" s="112"/>
    </row>
    <row r="36" ht="15.0" customHeight="1">
      <c r="A36" s="112"/>
      <c r="B36" s="112"/>
      <c r="C36" s="112"/>
      <c r="D36" s="129" t="s">
        <v>199</v>
      </c>
      <c r="E36" s="114" t="str">
        <f>VLOOKUP(D36,Data!H:I,2,0)</f>
        <v>Elazığ</v>
      </c>
      <c r="F36" s="115" t="str">
        <f>VLOOKUP(D36,Data!H:J,3,0)</f>
        <v>Nazım Öztel</v>
      </c>
      <c r="G36" s="116" t="b">
        <v>0</v>
      </c>
      <c r="H36" s="116" t="b">
        <v>0</v>
      </c>
      <c r="I36" s="116" t="b">
        <v>0</v>
      </c>
      <c r="J36" s="116" t="b">
        <v>0</v>
      </c>
      <c r="K36" s="116" t="b">
        <v>0</v>
      </c>
      <c r="L36" s="117">
        <f t="shared" si="1"/>
        <v>0</v>
      </c>
      <c r="M36" s="117">
        <f t="shared" si="2"/>
        <v>0</v>
      </c>
      <c r="N36" s="112"/>
      <c r="O36" s="112"/>
    </row>
    <row r="37" ht="15.0" customHeight="1">
      <c r="A37" s="112"/>
      <c r="B37" s="112"/>
      <c r="C37" s="112"/>
      <c r="D37" s="132" t="s">
        <v>55</v>
      </c>
      <c r="E37" s="114" t="str">
        <f>VLOOKUP(D37,Data!H:I,2,0)</f>
        <v>Erzurum</v>
      </c>
      <c r="F37" s="115" t="str">
        <f>VLOOKUP(D37,Data!H:J,3,0)</f>
        <v>Nazım Öztel</v>
      </c>
      <c r="G37" s="116" t="b">
        <v>0</v>
      </c>
      <c r="H37" s="116" t="b">
        <v>0</v>
      </c>
      <c r="I37" s="116" t="b">
        <v>0</v>
      </c>
      <c r="J37" s="116" t="b">
        <v>0</v>
      </c>
      <c r="K37" s="116" t="b">
        <v>0</v>
      </c>
      <c r="L37" s="117">
        <f t="shared" si="1"/>
        <v>0</v>
      </c>
      <c r="M37" s="117">
        <f t="shared" si="2"/>
        <v>0</v>
      </c>
      <c r="N37" s="112"/>
      <c r="O37" s="112"/>
    </row>
    <row r="38" ht="15.0" customHeight="1">
      <c r="A38" s="112"/>
      <c r="B38" s="112"/>
      <c r="C38" s="112"/>
      <c r="D38" s="129" t="s">
        <v>165</v>
      </c>
      <c r="E38" s="114" t="str">
        <f>VLOOKUP(D38,Data!H:I,2,0)</f>
        <v>Eskişehir</v>
      </c>
      <c r="F38" s="115" t="str">
        <f>VLOOKUP(D38,Data!H:J,3,0)</f>
        <v>Nazım Öztel</v>
      </c>
      <c r="G38" s="116" t="b">
        <v>0</v>
      </c>
      <c r="H38" s="116" t="b">
        <v>0</v>
      </c>
      <c r="I38" s="116" t="b">
        <v>1</v>
      </c>
      <c r="J38" s="116" t="b">
        <v>1</v>
      </c>
      <c r="K38" s="116" t="b">
        <v>1</v>
      </c>
      <c r="L38" s="117">
        <f t="shared" si="1"/>
        <v>3</v>
      </c>
      <c r="M38" s="117">
        <f t="shared" si="2"/>
        <v>12</v>
      </c>
      <c r="N38" s="112"/>
      <c r="O38" s="112"/>
    </row>
    <row r="39" ht="15.0" customHeight="1">
      <c r="A39" s="112"/>
      <c r="B39" s="112"/>
      <c r="C39" s="112"/>
      <c r="D39" s="129" t="s">
        <v>58</v>
      </c>
      <c r="E39" s="114" t="str">
        <f>VLOOKUP(D39,Data!H:I,2,0)</f>
        <v>İstanbul</v>
      </c>
      <c r="F39" s="115" t="str">
        <f>VLOOKUP(D39,Data!H:J,3,0)</f>
        <v>Freelance</v>
      </c>
      <c r="G39" s="116" t="b">
        <v>1</v>
      </c>
      <c r="H39" s="116" t="b">
        <v>1</v>
      </c>
      <c r="I39" s="116" t="b">
        <v>1</v>
      </c>
      <c r="J39" s="116" t="b">
        <v>1</v>
      </c>
      <c r="K39" s="116" t="b">
        <v>0</v>
      </c>
      <c r="L39" s="117">
        <f t="shared" si="1"/>
        <v>4</v>
      </c>
      <c r="M39" s="117">
        <f t="shared" si="2"/>
        <v>16</v>
      </c>
      <c r="N39" s="88"/>
      <c r="O39" s="112"/>
    </row>
    <row r="40" ht="15.0" customHeight="1">
      <c r="A40" s="121"/>
      <c r="B40" s="121"/>
      <c r="C40" s="121"/>
      <c r="D40" s="129" t="s">
        <v>123</v>
      </c>
      <c r="E40" s="114" t="str">
        <f>VLOOKUP(D40,Data!H:I,2,0)</f>
        <v>İstanbul</v>
      </c>
      <c r="F40" s="115" t="str">
        <f>VLOOKUP(D40,Data!H:J,3,0)</f>
        <v>Freelance</v>
      </c>
      <c r="G40" s="116" t="b">
        <v>0</v>
      </c>
      <c r="H40" s="116" t="b">
        <v>0</v>
      </c>
      <c r="I40" s="116" t="b">
        <v>0</v>
      </c>
      <c r="J40" s="116" t="b">
        <v>0</v>
      </c>
      <c r="K40" s="116" t="b">
        <v>0</v>
      </c>
      <c r="L40" s="117">
        <f t="shared" si="1"/>
        <v>0</v>
      </c>
      <c r="M40" s="117">
        <f t="shared" si="2"/>
        <v>0</v>
      </c>
      <c r="N40" s="121"/>
      <c r="O40" s="121"/>
    </row>
    <row r="41" ht="15.0" customHeight="1">
      <c r="A41" s="112"/>
      <c r="B41" s="112"/>
      <c r="C41" s="112"/>
      <c r="D41" s="132" t="s">
        <v>117</v>
      </c>
      <c r="E41" s="114" t="str">
        <f>VLOOKUP(D41,Data!H:I,2,0)</f>
        <v>İstanbul</v>
      </c>
      <c r="F41" s="115" t="str">
        <f>VLOOKUP(D41,Data!H:J,3,0)</f>
        <v>Freelance</v>
      </c>
      <c r="G41" s="116" t="b">
        <v>0</v>
      </c>
      <c r="H41" s="116" t="b">
        <v>0</v>
      </c>
      <c r="I41" s="116" t="b">
        <v>0</v>
      </c>
      <c r="J41" s="116" t="b">
        <v>0</v>
      </c>
      <c r="K41" s="116" t="b">
        <v>0</v>
      </c>
      <c r="L41" s="117">
        <f t="shared" si="1"/>
        <v>0</v>
      </c>
      <c r="M41" s="117">
        <f t="shared" si="2"/>
        <v>0</v>
      </c>
      <c r="N41" s="112"/>
      <c r="O41" s="112"/>
    </row>
    <row r="42" ht="15.0" customHeight="1">
      <c r="A42" s="112"/>
      <c r="B42" s="112"/>
      <c r="C42" s="112"/>
      <c r="D42" s="129" t="s">
        <v>135</v>
      </c>
      <c r="E42" s="114" t="str">
        <f>VLOOKUP(D42,Data!H:I,2,0)</f>
        <v>İstanbul</v>
      </c>
      <c r="F42" s="115" t="str">
        <f>VLOOKUP(D42,Data!H:J,3,0)</f>
        <v>Freelance</v>
      </c>
      <c r="G42" s="116" t="b">
        <v>0</v>
      </c>
      <c r="H42" s="116" t="b">
        <v>1</v>
      </c>
      <c r="I42" s="116" t="b">
        <v>1</v>
      </c>
      <c r="J42" s="116" t="b">
        <v>0</v>
      </c>
      <c r="K42" s="116" t="b">
        <v>0</v>
      </c>
      <c r="L42" s="117">
        <f t="shared" si="1"/>
        <v>2</v>
      </c>
      <c r="M42" s="117">
        <f t="shared" si="2"/>
        <v>8</v>
      </c>
      <c r="N42" s="112"/>
      <c r="O42" s="112"/>
    </row>
    <row r="43" ht="15.0" customHeight="1">
      <c r="A43" s="112"/>
      <c r="B43" s="112"/>
      <c r="C43" s="112"/>
      <c r="D43" s="129" t="s">
        <v>70</v>
      </c>
      <c r="E43" s="114" t="str">
        <f>VLOOKUP(D43,Data!H:I,2,0)</f>
        <v>İstanbul</v>
      </c>
      <c r="F43" s="115" t="str">
        <f>VLOOKUP(D43,Data!H:J,3,0)</f>
        <v>Freelance</v>
      </c>
      <c r="G43" s="116" t="b">
        <v>0</v>
      </c>
      <c r="H43" s="116" t="b">
        <v>1</v>
      </c>
      <c r="I43" s="116" t="b">
        <v>0</v>
      </c>
      <c r="J43" s="116" t="b">
        <v>0</v>
      </c>
      <c r="K43" s="116" t="b">
        <v>0</v>
      </c>
      <c r="L43" s="117">
        <f t="shared" si="1"/>
        <v>1</v>
      </c>
      <c r="M43" s="117">
        <f t="shared" si="2"/>
        <v>4</v>
      </c>
      <c r="N43" s="112"/>
      <c r="O43" s="112"/>
    </row>
    <row r="44" ht="15.0" customHeight="1">
      <c r="A44" s="112"/>
      <c r="B44" s="112"/>
      <c r="C44" s="112"/>
      <c r="D44" s="129" t="s">
        <v>174</v>
      </c>
      <c r="E44" s="114" t="str">
        <f>VLOOKUP(D44,Data!H:I,2,0)</f>
        <v>İstanbul</v>
      </c>
      <c r="F44" s="115" t="str">
        <f>VLOOKUP(D44,Data!H:J,3,0)</f>
        <v>Freelance</v>
      </c>
      <c r="G44" s="116" t="b">
        <v>0</v>
      </c>
      <c r="H44" s="116" t="b">
        <v>0</v>
      </c>
      <c r="I44" s="116" t="b">
        <v>0</v>
      </c>
      <c r="J44" s="116" t="b">
        <v>0</v>
      </c>
      <c r="K44" s="116" t="b">
        <v>0</v>
      </c>
      <c r="L44" s="117">
        <f t="shared" si="1"/>
        <v>0</v>
      </c>
      <c r="M44" s="117">
        <f t="shared" si="2"/>
        <v>0</v>
      </c>
      <c r="N44" s="112"/>
      <c r="O44" s="112"/>
    </row>
    <row r="45" ht="15.0" customHeight="1">
      <c r="A45" s="112"/>
      <c r="B45" s="112"/>
      <c r="C45" s="112"/>
      <c r="D45" s="129" t="s">
        <v>236</v>
      </c>
      <c r="E45" s="114" t="str">
        <f>VLOOKUP(D45,Data!H:I,2,0)</f>
        <v>İstanbul</v>
      </c>
      <c r="F45" s="115" t="str">
        <f>VLOOKUP(D45,Data!H:J,3,0)</f>
        <v>Filamingo</v>
      </c>
      <c r="G45" s="116" t="b">
        <v>1</v>
      </c>
      <c r="H45" s="116" t="b">
        <v>1</v>
      </c>
      <c r="I45" s="116" t="b">
        <v>1</v>
      </c>
      <c r="J45" s="116" t="b">
        <v>1</v>
      </c>
      <c r="K45" s="116" t="b">
        <v>1</v>
      </c>
      <c r="L45" s="117">
        <f t="shared" si="1"/>
        <v>5</v>
      </c>
      <c r="M45" s="117">
        <f t="shared" si="2"/>
        <v>20</v>
      </c>
      <c r="N45" s="120"/>
      <c r="O45" s="112"/>
    </row>
    <row r="46" ht="15.0" customHeight="1">
      <c r="A46" s="112"/>
      <c r="B46" s="112"/>
      <c r="C46" s="112"/>
      <c r="D46" s="129" t="s">
        <v>200</v>
      </c>
      <c r="E46" s="114" t="str">
        <f>VLOOKUP(D46,Data!H:I,2,0)</f>
        <v>İstanbul</v>
      </c>
      <c r="F46" s="115" t="str">
        <f>VLOOKUP(D46,Data!H:J,3,0)</f>
        <v>Filamingo</v>
      </c>
      <c r="G46" s="116" t="b">
        <v>0</v>
      </c>
      <c r="H46" s="116" t="b">
        <v>0</v>
      </c>
      <c r="I46" s="116" t="b">
        <v>0</v>
      </c>
      <c r="J46" s="116" t="b">
        <v>0</v>
      </c>
      <c r="K46" s="116" t="b">
        <v>0</v>
      </c>
      <c r="L46" s="117">
        <f t="shared" si="1"/>
        <v>0</v>
      </c>
      <c r="M46" s="117">
        <f t="shared" si="2"/>
        <v>0</v>
      </c>
      <c r="N46" s="120"/>
      <c r="O46" s="112"/>
    </row>
    <row r="47" ht="15.0" customHeight="1">
      <c r="A47" s="112"/>
      <c r="B47" s="112"/>
      <c r="C47" s="112"/>
      <c r="D47" s="129" t="s">
        <v>78</v>
      </c>
      <c r="E47" s="114" t="str">
        <f>VLOOKUP(D47,Data!H:I,2,0)</f>
        <v>İstanbul</v>
      </c>
      <c r="F47" s="115" t="str">
        <f>VLOOKUP(D47,Data!H:J,3,0)</f>
        <v>Freelance</v>
      </c>
      <c r="G47" s="116" t="b">
        <v>1</v>
      </c>
      <c r="H47" s="116" t="b">
        <v>1</v>
      </c>
      <c r="I47" s="116" t="b">
        <v>1</v>
      </c>
      <c r="J47" s="116" t="b">
        <v>1</v>
      </c>
      <c r="K47" s="116" t="b">
        <v>1</v>
      </c>
      <c r="L47" s="117">
        <f t="shared" si="1"/>
        <v>5</v>
      </c>
      <c r="M47" s="117">
        <f t="shared" si="2"/>
        <v>20</v>
      </c>
      <c r="N47" s="120"/>
      <c r="O47" s="112"/>
    </row>
    <row r="48" ht="15.0" customHeight="1">
      <c r="A48" s="112"/>
      <c r="B48" s="112"/>
      <c r="C48" s="112"/>
      <c r="D48" s="129" t="s">
        <v>79</v>
      </c>
      <c r="E48" s="114" t="str">
        <f>VLOOKUP(D48,Data!H:I,2,0)</f>
        <v>İstanbul</v>
      </c>
      <c r="F48" s="115" t="str">
        <f>VLOOKUP(D48,Data!H:J,3,0)</f>
        <v>Freelance</v>
      </c>
      <c r="G48" s="116" t="b">
        <v>0</v>
      </c>
      <c r="H48" s="116" t="b">
        <v>1</v>
      </c>
      <c r="I48" s="116" t="b">
        <v>1</v>
      </c>
      <c r="J48" s="116" t="b">
        <v>0</v>
      </c>
      <c r="K48" s="116" t="b">
        <v>0</v>
      </c>
      <c r="L48" s="117">
        <f t="shared" si="1"/>
        <v>2</v>
      </c>
      <c r="M48" s="117">
        <f t="shared" si="2"/>
        <v>8</v>
      </c>
      <c r="N48" s="120"/>
      <c r="O48" s="112"/>
    </row>
    <row r="49" ht="15.0" customHeight="1">
      <c r="A49" s="122"/>
      <c r="B49" s="122"/>
      <c r="C49" s="122"/>
      <c r="D49" s="129" t="s">
        <v>80</v>
      </c>
      <c r="E49" s="114" t="str">
        <f>VLOOKUP(D49,Data!H:I,2,0)</f>
        <v>İstanbul</v>
      </c>
      <c r="F49" s="115" t="str">
        <f>VLOOKUP(D49,Data!H:J,3,0)</f>
        <v>Freelance</v>
      </c>
      <c r="G49" s="116" t="b">
        <v>1</v>
      </c>
      <c r="H49" s="116" t="b">
        <v>1</v>
      </c>
      <c r="I49" s="116" t="b">
        <v>1</v>
      </c>
      <c r="J49" s="116" t="b">
        <v>1</v>
      </c>
      <c r="K49" s="116" t="b">
        <v>1</v>
      </c>
      <c r="L49" s="117">
        <f t="shared" si="1"/>
        <v>5</v>
      </c>
      <c r="M49" s="117">
        <f t="shared" si="2"/>
        <v>20</v>
      </c>
      <c r="N49" s="112"/>
      <c r="O49" s="122"/>
    </row>
    <row r="50" ht="15.0" customHeight="1">
      <c r="A50" s="124"/>
      <c r="B50" s="124"/>
      <c r="C50" s="124"/>
      <c r="D50" s="129" t="s">
        <v>232</v>
      </c>
      <c r="E50" s="114" t="str">
        <f>VLOOKUP(D50,Data!H:I,2,0)</f>
        <v>İstanbul</v>
      </c>
      <c r="F50" s="115" t="str">
        <f>VLOOKUP(D50,Data!H:J,3,0)</f>
        <v>Filamingo</v>
      </c>
      <c r="G50" s="116" t="b">
        <v>0</v>
      </c>
      <c r="H50" s="116" t="b">
        <v>0</v>
      </c>
      <c r="I50" s="116" t="b">
        <v>0</v>
      </c>
      <c r="J50" s="116" t="b">
        <v>0</v>
      </c>
      <c r="K50" s="116" t="b">
        <v>0</v>
      </c>
      <c r="L50" s="117">
        <f t="shared" si="1"/>
        <v>0</v>
      </c>
      <c r="M50" s="117">
        <f t="shared" si="2"/>
        <v>0</v>
      </c>
      <c r="N50" s="112"/>
      <c r="O50" s="124"/>
    </row>
    <row r="51" ht="15.0" customHeight="1">
      <c r="A51" s="124"/>
      <c r="B51" s="124"/>
      <c r="C51" s="124"/>
      <c r="D51" s="129" t="s">
        <v>166</v>
      </c>
      <c r="E51" s="114" t="str">
        <f>VLOOKUP(D51,Data!H:I,2,0)</f>
        <v>İstanbul</v>
      </c>
      <c r="F51" s="115" t="str">
        <f>VLOOKUP(D51,Data!H:J,3,0)</f>
        <v>Filamingo</v>
      </c>
      <c r="G51" s="116" t="b">
        <v>0</v>
      </c>
      <c r="H51" s="116" t="b">
        <v>0</v>
      </c>
      <c r="I51" s="116" t="b">
        <v>0</v>
      </c>
      <c r="J51" s="116" t="b">
        <v>0</v>
      </c>
      <c r="K51" s="116" t="b">
        <v>0</v>
      </c>
      <c r="L51" s="117">
        <f t="shared" si="1"/>
        <v>0</v>
      </c>
      <c r="M51" s="117">
        <f t="shared" si="2"/>
        <v>0</v>
      </c>
      <c r="N51" s="112"/>
      <c r="O51" s="124"/>
    </row>
    <row r="52" ht="15.0" customHeight="1">
      <c r="A52" s="112"/>
      <c r="B52" s="112"/>
      <c r="C52" s="112"/>
      <c r="D52" s="132" t="s">
        <v>119</v>
      </c>
      <c r="E52" s="114" t="str">
        <f>VLOOKUP(D52,Data!H:I,2,0)</f>
        <v>İstanbul</v>
      </c>
      <c r="F52" s="115" t="str">
        <f>VLOOKUP(D52,Data!H:J,3,0)</f>
        <v>Filamingo</v>
      </c>
      <c r="G52" s="116" t="b">
        <v>0</v>
      </c>
      <c r="H52" s="116" t="b">
        <v>0</v>
      </c>
      <c r="I52" s="116" t="b">
        <v>1</v>
      </c>
      <c r="J52" s="116" t="b">
        <v>0</v>
      </c>
      <c r="K52" s="116" t="b">
        <v>0</v>
      </c>
      <c r="L52" s="117">
        <f t="shared" si="1"/>
        <v>1</v>
      </c>
      <c r="M52" s="117">
        <f t="shared" si="2"/>
        <v>4</v>
      </c>
      <c r="N52" s="124"/>
      <c r="O52" s="112"/>
    </row>
    <row r="53" ht="15.0" customHeight="1">
      <c r="A53" s="112"/>
      <c r="B53" s="112"/>
      <c r="C53" s="112"/>
      <c r="D53" s="129" t="s">
        <v>96</v>
      </c>
      <c r="E53" s="114" t="s">
        <v>237</v>
      </c>
      <c r="F53" s="115" t="s">
        <v>61</v>
      </c>
      <c r="G53" s="116" t="b">
        <v>0</v>
      </c>
      <c r="H53" s="116" t="b">
        <v>0</v>
      </c>
      <c r="I53" s="116" t="b">
        <v>0</v>
      </c>
      <c r="J53" s="116" t="b">
        <v>1</v>
      </c>
      <c r="K53" s="116" t="b">
        <v>1</v>
      </c>
      <c r="L53" s="117">
        <f t="shared" si="1"/>
        <v>2</v>
      </c>
      <c r="M53" s="117">
        <f t="shared" si="2"/>
        <v>8</v>
      </c>
      <c r="N53" s="124"/>
      <c r="O53" s="112"/>
    </row>
    <row r="54" ht="15.0" customHeight="1">
      <c r="A54" s="112"/>
      <c r="B54" s="112"/>
      <c r="C54" s="112"/>
      <c r="D54" s="129" t="s">
        <v>185</v>
      </c>
      <c r="E54" s="114" t="str">
        <f>VLOOKUP(D54,Data!H:I,2,0)</f>
        <v>İstanbul</v>
      </c>
      <c r="F54" s="115" t="str">
        <f>VLOOKUP(D54,Data!H:J,3,0)</f>
        <v>Filamingo</v>
      </c>
      <c r="G54" s="116" t="b">
        <v>0</v>
      </c>
      <c r="H54" s="116" t="b">
        <v>0</v>
      </c>
      <c r="I54" s="116" t="b">
        <v>0</v>
      </c>
      <c r="J54" s="116" t="b">
        <v>0</v>
      </c>
      <c r="K54" s="116" t="b">
        <v>0</v>
      </c>
      <c r="L54" s="117">
        <f t="shared" si="1"/>
        <v>0</v>
      </c>
      <c r="M54" s="117">
        <f t="shared" si="2"/>
        <v>0</v>
      </c>
      <c r="N54" s="112"/>
      <c r="O54" s="112"/>
    </row>
    <row r="55" ht="15.0" customHeight="1">
      <c r="A55" s="112"/>
      <c r="B55" s="112"/>
      <c r="C55" s="112"/>
      <c r="D55" s="129" t="s">
        <v>217</v>
      </c>
      <c r="E55" s="114" t="str">
        <f>VLOOKUP(D55,Data!H:I,2,0)</f>
        <v>İstanbul</v>
      </c>
      <c r="F55" s="115" t="str">
        <f>VLOOKUP(D55,Data!H:J,3,0)</f>
        <v>Freelance</v>
      </c>
      <c r="G55" s="116" t="b">
        <v>0</v>
      </c>
      <c r="H55" s="116" t="b">
        <v>0</v>
      </c>
      <c r="I55" s="116" t="b">
        <v>0</v>
      </c>
      <c r="J55" s="116" t="b">
        <v>0</v>
      </c>
      <c r="K55" s="116" t="b">
        <v>0</v>
      </c>
      <c r="L55" s="117">
        <f t="shared" si="1"/>
        <v>0</v>
      </c>
      <c r="M55" s="117">
        <f t="shared" si="2"/>
        <v>0</v>
      </c>
      <c r="N55" s="112"/>
      <c r="O55" s="112"/>
    </row>
    <row r="56" ht="15.0" customHeight="1">
      <c r="A56" s="112"/>
      <c r="B56" s="112"/>
      <c r="C56" s="112"/>
      <c r="D56" s="129" t="s">
        <v>81</v>
      </c>
      <c r="E56" s="114" t="str">
        <f>VLOOKUP(D56,Data!H:I,2,0)</f>
        <v>İstanbul</v>
      </c>
      <c r="F56" s="115" t="str">
        <f>VLOOKUP(D56,Data!H:J,3,0)</f>
        <v>Freelance</v>
      </c>
      <c r="G56" s="116" t="b">
        <v>0</v>
      </c>
      <c r="H56" s="116" t="b">
        <v>0</v>
      </c>
      <c r="I56" s="116" t="b">
        <v>0</v>
      </c>
      <c r="J56" s="116" t="b">
        <v>0</v>
      </c>
      <c r="K56" s="116" t="b">
        <v>0</v>
      </c>
      <c r="L56" s="117">
        <f t="shared" si="1"/>
        <v>0</v>
      </c>
      <c r="M56" s="117">
        <f t="shared" si="2"/>
        <v>0</v>
      </c>
      <c r="N56" s="112"/>
      <c r="O56" s="112"/>
    </row>
    <row r="57" ht="15.0" customHeight="1">
      <c r="A57" s="112"/>
      <c r="B57" s="112"/>
      <c r="C57" s="112"/>
      <c r="D57" s="129" t="s">
        <v>201</v>
      </c>
      <c r="E57" s="114" t="str">
        <f>VLOOKUP(D57,Data!H:I,2,0)</f>
        <v>İstanbul</v>
      </c>
      <c r="F57" s="114" t="str">
        <f>VLOOKUP(D57,Data!H:J,3,0)</f>
        <v>Freelance</v>
      </c>
      <c r="G57" s="116" t="b">
        <v>1</v>
      </c>
      <c r="H57" s="116" t="b">
        <v>0</v>
      </c>
      <c r="I57" s="116" t="b">
        <v>0</v>
      </c>
      <c r="J57" s="116" t="b">
        <v>0</v>
      </c>
      <c r="K57" s="116" t="b">
        <v>1</v>
      </c>
      <c r="L57" s="117">
        <f t="shared" si="1"/>
        <v>2</v>
      </c>
      <c r="M57" s="117">
        <f t="shared" si="2"/>
        <v>8</v>
      </c>
      <c r="N57" s="112"/>
      <c r="O57" s="112"/>
    </row>
    <row r="58" ht="15.0" customHeight="1">
      <c r="A58" s="112"/>
      <c r="B58" s="112"/>
      <c r="C58" s="112"/>
      <c r="D58" s="129" t="s">
        <v>175</v>
      </c>
      <c r="E58" s="114" t="str">
        <f>VLOOKUP(D58,Data!H:I,2,0)</f>
        <v>İstanbul</v>
      </c>
      <c r="F58" s="115" t="str">
        <f>VLOOKUP(D58,Data!H:J,3,0)</f>
        <v>Freelance</v>
      </c>
      <c r="G58" s="116" t="b">
        <v>0</v>
      </c>
      <c r="H58" s="116" t="b">
        <v>0</v>
      </c>
      <c r="I58" s="116" t="b">
        <v>0</v>
      </c>
      <c r="J58" s="116" t="b">
        <v>0</v>
      </c>
      <c r="K58" s="116" t="b">
        <v>0</v>
      </c>
      <c r="L58" s="117">
        <f t="shared" si="1"/>
        <v>0</v>
      </c>
      <c r="M58" s="117">
        <f t="shared" si="2"/>
        <v>0</v>
      </c>
      <c r="N58" s="112"/>
      <c r="O58" s="112"/>
    </row>
    <row r="59" ht="15.0" customHeight="1">
      <c r="A59" s="112"/>
      <c r="B59" s="112"/>
      <c r="C59" s="112"/>
      <c r="D59" s="132" t="s">
        <v>83</v>
      </c>
      <c r="E59" s="114" t="str">
        <f>VLOOKUP(D59,Data!H:I,2,0)</f>
        <v>İstanbul</v>
      </c>
      <c r="F59" s="115" t="str">
        <f>VLOOKUP(D59,Data!H:J,3,0)</f>
        <v>Nazım Öztel</v>
      </c>
      <c r="G59" s="116" t="b">
        <v>0</v>
      </c>
      <c r="H59" s="116" t="b">
        <v>0</v>
      </c>
      <c r="I59" s="116" t="b">
        <v>0</v>
      </c>
      <c r="J59" s="116" t="b">
        <v>0</v>
      </c>
      <c r="K59" s="116" t="b">
        <v>0</v>
      </c>
      <c r="L59" s="117">
        <f t="shared" si="1"/>
        <v>0</v>
      </c>
      <c r="M59" s="117">
        <f t="shared" si="2"/>
        <v>0</v>
      </c>
      <c r="N59" s="112"/>
      <c r="O59" s="112"/>
    </row>
    <row r="60" ht="15.0" customHeight="1">
      <c r="A60" s="112"/>
      <c r="B60" s="112"/>
      <c r="C60" s="112"/>
      <c r="D60" s="129" t="s">
        <v>224</v>
      </c>
      <c r="E60" s="145" t="str">
        <f>VLOOKUP(D60,Data!H:I,2,0)</f>
        <v>İstanbul</v>
      </c>
      <c r="F60" s="147" t="str">
        <f>VLOOKUP(D60,Data!H:J,3,0)</f>
        <v>Filamingo</v>
      </c>
      <c r="G60" s="116" t="b">
        <v>1</v>
      </c>
      <c r="H60" s="116" t="b">
        <v>1</v>
      </c>
      <c r="I60" s="116" t="b">
        <v>1</v>
      </c>
      <c r="J60" s="116" t="b">
        <v>1</v>
      </c>
      <c r="K60" s="116" t="b">
        <v>1</v>
      </c>
      <c r="L60" s="146">
        <f t="shared" si="1"/>
        <v>5</v>
      </c>
      <c r="M60" s="146">
        <f t="shared" si="2"/>
        <v>20</v>
      </c>
      <c r="N60" s="125"/>
      <c r="O60" s="112"/>
    </row>
    <row r="61" ht="15.0" customHeight="1">
      <c r="A61" s="112"/>
      <c r="B61" s="112"/>
      <c r="C61" s="112"/>
      <c r="D61" s="129" t="s">
        <v>85</v>
      </c>
      <c r="E61" s="114" t="str">
        <f>VLOOKUP(D61,Data!H:I,2,0)</f>
        <v>İstanbul</v>
      </c>
      <c r="F61" s="115" t="str">
        <f>VLOOKUP(D61,Data!H:J,3,0)</f>
        <v>Filamingo</v>
      </c>
      <c r="G61" s="116" t="b">
        <v>0</v>
      </c>
      <c r="H61" s="116" t="b">
        <v>0</v>
      </c>
      <c r="I61" s="116" t="b">
        <v>0</v>
      </c>
      <c r="J61" s="116" t="b">
        <v>0</v>
      </c>
      <c r="K61" s="116" t="b">
        <v>0</v>
      </c>
      <c r="L61" s="117">
        <f t="shared" si="1"/>
        <v>0</v>
      </c>
      <c r="M61" s="117">
        <f t="shared" si="2"/>
        <v>0</v>
      </c>
      <c r="N61" s="112"/>
      <c r="O61" s="112"/>
    </row>
    <row r="62" ht="15.0" customHeight="1">
      <c r="A62" s="125"/>
      <c r="B62" s="125"/>
      <c r="C62" s="125"/>
      <c r="D62" s="129" t="s">
        <v>225</v>
      </c>
      <c r="E62" s="114" t="str">
        <f>VLOOKUP(D62,Data!H:I,2,0)</f>
        <v>İstanbul</v>
      </c>
      <c r="F62" s="115" t="str">
        <f>VLOOKUP(D62,Data!H:J,3,0)</f>
        <v>Filamingo</v>
      </c>
      <c r="G62" s="116" t="b">
        <v>0</v>
      </c>
      <c r="H62" s="116" t="b">
        <v>0</v>
      </c>
      <c r="I62" s="116" t="b">
        <v>0</v>
      </c>
      <c r="J62" s="116" t="b">
        <v>1</v>
      </c>
      <c r="K62" s="116" t="b">
        <v>1</v>
      </c>
      <c r="L62" s="117">
        <f t="shared" si="1"/>
        <v>2</v>
      </c>
      <c r="M62" s="117">
        <f t="shared" si="2"/>
        <v>8</v>
      </c>
      <c r="N62" s="112"/>
      <c r="O62" s="125"/>
    </row>
    <row r="63" ht="15.0" customHeight="1">
      <c r="A63" s="125"/>
      <c r="B63" s="125"/>
      <c r="C63" s="125"/>
      <c r="D63" s="129" t="s">
        <v>238</v>
      </c>
      <c r="E63" s="114" t="str">
        <f>VLOOKUP(D63,Data!H:I,2,0)</f>
        <v>İstanbul</v>
      </c>
      <c r="F63" s="115" t="str">
        <f>VLOOKUP(D63,Data!H:J,3,0)</f>
        <v>Filamingo</v>
      </c>
      <c r="G63" s="116" t="b">
        <v>0</v>
      </c>
      <c r="H63" s="116" t="b">
        <v>0</v>
      </c>
      <c r="I63" s="116" t="b">
        <v>0</v>
      </c>
      <c r="J63" s="116" t="b">
        <v>0</v>
      </c>
      <c r="K63" s="116" t="b">
        <v>1</v>
      </c>
      <c r="L63" s="117">
        <f t="shared" si="1"/>
        <v>1</v>
      </c>
      <c r="M63" s="117">
        <f t="shared" si="2"/>
        <v>4</v>
      </c>
      <c r="N63" s="112"/>
      <c r="O63" s="125"/>
    </row>
    <row r="64" ht="15.0" customHeight="1">
      <c r="A64" s="125"/>
      <c r="B64" s="125"/>
      <c r="C64" s="125"/>
      <c r="D64" s="129" t="s">
        <v>145</v>
      </c>
      <c r="E64" s="114" t="str">
        <f>VLOOKUP(D64,Data!H:I,2,0)</f>
        <v>İstanbul</v>
      </c>
      <c r="F64" s="115" t="str">
        <f>VLOOKUP(D64,Data!H:J,3,0)</f>
        <v>Filamingo</v>
      </c>
      <c r="G64" s="116" t="b">
        <v>1</v>
      </c>
      <c r="H64" s="116" t="b">
        <v>1</v>
      </c>
      <c r="I64" s="116" t="b">
        <v>1</v>
      </c>
      <c r="J64" s="116" t="b">
        <v>1</v>
      </c>
      <c r="K64" s="116" t="b">
        <v>0</v>
      </c>
      <c r="L64" s="117">
        <f t="shared" si="1"/>
        <v>4</v>
      </c>
      <c r="M64" s="117">
        <f t="shared" si="2"/>
        <v>16</v>
      </c>
      <c r="N64" s="112"/>
      <c r="O64" s="125"/>
    </row>
    <row r="65" ht="15.0" customHeight="1">
      <c r="A65" s="125"/>
      <c r="B65" s="125"/>
      <c r="C65" s="125"/>
      <c r="D65" s="129" t="s">
        <v>87</v>
      </c>
      <c r="E65" s="114" t="str">
        <f>VLOOKUP(D65,Data!H:I,2,0)</f>
        <v>İstanbul</v>
      </c>
      <c r="F65" s="115" t="str">
        <f>VLOOKUP(D65,Data!H:J,3,0)</f>
        <v>Freelance</v>
      </c>
      <c r="G65" s="116" t="b">
        <v>0</v>
      </c>
      <c r="H65" s="116" t="b">
        <v>0</v>
      </c>
      <c r="I65" s="116" t="b">
        <v>0</v>
      </c>
      <c r="J65" s="116" t="b">
        <v>0</v>
      </c>
      <c r="K65" s="116" t="b">
        <v>0</v>
      </c>
      <c r="L65" s="117">
        <f t="shared" si="1"/>
        <v>0</v>
      </c>
      <c r="M65" s="117">
        <f t="shared" si="2"/>
        <v>0</v>
      </c>
      <c r="N65" s="112"/>
      <c r="O65" s="125"/>
    </row>
    <row r="66" ht="15.0" customHeight="1">
      <c r="A66" s="122"/>
      <c r="B66" s="122"/>
      <c r="C66" s="122"/>
      <c r="D66" s="129" t="s">
        <v>202</v>
      </c>
      <c r="E66" s="114" t="str">
        <f>VLOOKUP(D66,Data!H:I,2,0)</f>
        <v>İstanbul</v>
      </c>
      <c r="F66" s="115" t="str">
        <f>VLOOKUP(D66,Data!H:J,3,0)</f>
        <v>Filamingo</v>
      </c>
      <c r="G66" s="116" t="b">
        <v>0</v>
      </c>
      <c r="H66" s="116" t="b">
        <v>0</v>
      </c>
      <c r="I66" s="116" t="b">
        <v>0</v>
      </c>
      <c r="J66" s="116" t="b">
        <v>0</v>
      </c>
      <c r="K66" s="116" t="b">
        <v>0</v>
      </c>
      <c r="L66" s="117">
        <f t="shared" si="1"/>
        <v>0</v>
      </c>
      <c r="M66" s="117">
        <f t="shared" si="2"/>
        <v>0</v>
      </c>
      <c r="N66" s="112"/>
      <c r="O66" s="122"/>
    </row>
    <row r="67" ht="15.0" customHeight="1">
      <c r="A67" s="112"/>
      <c r="B67" s="112"/>
      <c r="C67" s="112"/>
      <c r="D67" s="132" t="s">
        <v>88</v>
      </c>
      <c r="E67" s="114" t="str">
        <f>VLOOKUP(D67,Data!H:I,2,0)</f>
        <v>İstanbul</v>
      </c>
      <c r="F67" s="115" t="str">
        <f>VLOOKUP(D67,Data!H:J,3,0)</f>
        <v>Nazım Öztel</v>
      </c>
      <c r="G67" s="116" t="b">
        <v>0</v>
      </c>
      <c r="H67" s="116" t="b">
        <v>0</v>
      </c>
      <c r="I67" s="116" t="b">
        <v>0</v>
      </c>
      <c r="J67" s="116" t="b">
        <v>0</v>
      </c>
      <c r="K67" s="116" t="b">
        <v>0</v>
      </c>
      <c r="L67" s="117">
        <f t="shared" si="1"/>
        <v>0</v>
      </c>
      <c r="M67" s="117">
        <f t="shared" si="2"/>
        <v>0</v>
      </c>
      <c r="N67" s="112"/>
      <c r="O67" s="112"/>
    </row>
    <row r="68" ht="15.0" customHeight="1">
      <c r="A68" s="112"/>
      <c r="B68" s="112"/>
      <c r="C68" s="112"/>
      <c r="D68" s="132" t="s">
        <v>89</v>
      </c>
      <c r="E68" s="114" t="str">
        <f>VLOOKUP(D68,Data!H:I,2,0)</f>
        <v>İstanbul</v>
      </c>
      <c r="F68" s="115" t="str">
        <f>VLOOKUP(D68,Data!H:J,3,0)</f>
        <v>Filamingo</v>
      </c>
      <c r="G68" s="116" t="b">
        <v>0</v>
      </c>
      <c r="H68" s="116" t="b">
        <v>0</v>
      </c>
      <c r="I68" s="116" t="b">
        <v>0</v>
      </c>
      <c r="J68" s="116" t="b">
        <v>0</v>
      </c>
      <c r="K68" s="116" t="b">
        <v>0</v>
      </c>
      <c r="L68" s="117">
        <f t="shared" si="1"/>
        <v>0</v>
      </c>
      <c r="M68" s="117">
        <f t="shared" si="2"/>
        <v>0</v>
      </c>
      <c r="N68" s="112"/>
      <c r="O68" s="112"/>
    </row>
    <row r="69" ht="15.0" customHeight="1">
      <c r="A69" s="112"/>
      <c r="B69" s="112"/>
      <c r="C69" s="112"/>
      <c r="D69" s="129" t="s">
        <v>226</v>
      </c>
      <c r="E69" s="114" t="str">
        <f>VLOOKUP(D69,Data!H:I,2,0)</f>
        <v>İstanbul</v>
      </c>
      <c r="F69" s="115" t="str">
        <f>VLOOKUP(D69,Data!H:J,3,0)</f>
        <v>Filamingo</v>
      </c>
      <c r="G69" s="116" t="b">
        <v>0</v>
      </c>
      <c r="H69" s="116" t="b">
        <v>1</v>
      </c>
      <c r="I69" s="116" t="b">
        <v>1</v>
      </c>
      <c r="J69" s="116" t="b">
        <v>1</v>
      </c>
      <c r="K69" s="116" t="b">
        <v>1</v>
      </c>
      <c r="L69" s="117">
        <f t="shared" si="1"/>
        <v>4</v>
      </c>
      <c r="M69" s="117">
        <f t="shared" si="2"/>
        <v>16</v>
      </c>
      <c r="N69" s="125"/>
      <c r="O69" s="112"/>
    </row>
    <row r="70" ht="15.0" customHeight="1">
      <c r="A70" s="112"/>
      <c r="B70" s="112"/>
      <c r="C70" s="112"/>
      <c r="D70" s="132" t="s">
        <v>92</v>
      </c>
      <c r="E70" s="114" t="str">
        <f>VLOOKUP(D70,Data!H:I,2,0)</f>
        <v>İzmir</v>
      </c>
      <c r="F70" s="115" t="str">
        <f>VLOOKUP(D70,Data!H:J,3,0)</f>
        <v>Nazım Öztel</v>
      </c>
      <c r="G70" s="116" t="b">
        <v>1</v>
      </c>
      <c r="H70" s="116" t="b">
        <v>1</v>
      </c>
      <c r="I70" s="116" t="b">
        <v>1</v>
      </c>
      <c r="J70" s="116" t="b">
        <v>1</v>
      </c>
      <c r="K70" s="116" t="b">
        <v>0</v>
      </c>
      <c r="L70" s="117">
        <f t="shared" si="1"/>
        <v>4</v>
      </c>
      <c r="M70" s="117">
        <f t="shared" si="2"/>
        <v>16</v>
      </c>
      <c r="N70" s="112"/>
      <c r="O70" s="112"/>
    </row>
    <row r="71" ht="15.0" customHeight="1">
      <c r="A71" s="112"/>
      <c r="B71" s="112"/>
      <c r="C71" s="112"/>
      <c r="D71" s="129" t="s">
        <v>93</v>
      </c>
      <c r="E71" s="114" t="str">
        <f>VLOOKUP(D71,Data!H:I,2,0)</f>
        <v>İzmir</v>
      </c>
      <c r="F71" s="115" t="str">
        <f>VLOOKUP(D71,Data!H:J,3,0)</f>
        <v>Freelance</v>
      </c>
      <c r="G71" s="116" t="b">
        <v>1</v>
      </c>
      <c r="H71" s="116" t="b">
        <v>1</v>
      </c>
      <c r="I71" s="116" t="b">
        <v>1</v>
      </c>
      <c r="J71" s="116" t="b">
        <v>1</v>
      </c>
      <c r="K71" s="116" t="b">
        <v>1</v>
      </c>
      <c r="L71" s="117">
        <f t="shared" si="1"/>
        <v>5</v>
      </c>
      <c r="M71" s="117">
        <f t="shared" si="2"/>
        <v>20</v>
      </c>
      <c r="N71" s="112"/>
      <c r="O71" s="112"/>
    </row>
    <row r="72" ht="15.0" customHeight="1">
      <c r="A72" s="112"/>
      <c r="B72" s="112"/>
      <c r="C72" s="112"/>
      <c r="D72" s="129" t="s">
        <v>161</v>
      </c>
      <c r="E72" s="143" t="str">
        <f>VLOOKUP(D72,Data!H:I,2,0)</f>
        <v>Kahramanmaraş</v>
      </c>
      <c r="F72" s="115" t="str">
        <f>VLOOKUP(D72,Data!H:J,3,0)</f>
        <v>Nazım Öztel</v>
      </c>
      <c r="G72" s="116" t="b">
        <v>0</v>
      </c>
      <c r="H72" s="116" t="b">
        <v>1</v>
      </c>
      <c r="I72" s="116" t="b">
        <v>1</v>
      </c>
      <c r="J72" s="116" t="b">
        <v>0</v>
      </c>
      <c r="K72" s="116" t="b">
        <v>0</v>
      </c>
      <c r="L72" s="117">
        <f t="shared" si="1"/>
        <v>2</v>
      </c>
      <c r="M72" s="117">
        <f t="shared" si="2"/>
        <v>8</v>
      </c>
      <c r="N72" s="112"/>
      <c r="O72" s="112"/>
    </row>
    <row r="73" ht="15.0" customHeight="1">
      <c r="A73" s="112"/>
      <c r="B73" s="112"/>
      <c r="C73" s="112"/>
      <c r="D73" s="129" t="s">
        <v>233</v>
      </c>
      <c r="E73" s="114" t="str">
        <f>VLOOKUP(D73,Data!H:I,2,0)</f>
        <v>Kayseri</v>
      </c>
      <c r="F73" s="115" t="str">
        <f>VLOOKUP(D73,Data!H:J,3,0)</f>
        <v>Nazım Öztel</v>
      </c>
      <c r="G73" s="116" t="b">
        <v>0</v>
      </c>
      <c r="H73" s="116" t="b">
        <v>1</v>
      </c>
      <c r="I73" s="116" t="b">
        <v>0</v>
      </c>
      <c r="J73" s="116" t="b">
        <v>0</v>
      </c>
      <c r="K73" s="116" t="b">
        <v>0</v>
      </c>
      <c r="L73" s="117">
        <f t="shared" si="1"/>
        <v>1</v>
      </c>
      <c r="M73" s="117">
        <f t="shared" si="2"/>
        <v>4</v>
      </c>
      <c r="N73" s="112"/>
      <c r="O73" s="112"/>
    </row>
    <row r="74" ht="15.0" customHeight="1">
      <c r="A74" s="112"/>
      <c r="B74" s="112"/>
      <c r="C74" s="112"/>
      <c r="D74" s="129" t="s">
        <v>218</v>
      </c>
      <c r="E74" s="114" t="str">
        <f>VLOOKUP(D74,Data!H:I,2,0)</f>
        <v>Kırklareli</v>
      </c>
      <c r="F74" s="115" t="str">
        <f>VLOOKUP(D74,Data!H:J,3,0)</f>
        <v>Nazım Öztel</v>
      </c>
      <c r="G74" s="116" t="b">
        <v>1</v>
      </c>
      <c r="H74" s="116" t="b">
        <v>1</v>
      </c>
      <c r="I74" s="116" t="b">
        <v>1</v>
      </c>
      <c r="J74" s="116" t="b">
        <v>0</v>
      </c>
      <c r="K74" s="116" t="b">
        <v>0</v>
      </c>
      <c r="L74" s="117">
        <f t="shared" si="1"/>
        <v>3</v>
      </c>
      <c r="M74" s="117">
        <f t="shared" si="2"/>
        <v>12</v>
      </c>
      <c r="N74" s="112"/>
      <c r="O74" s="112"/>
    </row>
    <row r="75" ht="15.0" customHeight="1">
      <c r="A75" s="112"/>
      <c r="B75" s="112"/>
      <c r="C75" s="112"/>
      <c r="D75" s="132" t="s">
        <v>96</v>
      </c>
      <c r="E75" s="114" t="str">
        <f>VLOOKUP(D75,Data!H:I,2,0)</f>
        <v>Kocaeli</v>
      </c>
      <c r="F75" s="115" t="str">
        <f>VLOOKUP(D75,Data!H:J,3,0)</f>
        <v>Nazım Öztel</v>
      </c>
      <c r="G75" s="116" t="b">
        <v>0</v>
      </c>
      <c r="H75" s="116" t="b">
        <v>0</v>
      </c>
      <c r="I75" s="116" t="b">
        <v>1</v>
      </c>
      <c r="J75" s="116" t="b">
        <v>0</v>
      </c>
      <c r="K75" s="116" t="b">
        <v>0</v>
      </c>
      <c r="L75" s="117">
        <f t="shared" si="1"/>
        <v>1</v>
      </c>
      <c r="M75" s="117">
        <f t="shared" si="2"/>
        <v>4</v>
      </c>
      <c r="N75" s="112"/>
      <c r="O75" s="112"/>
    </row>
    <row r="76" ht="15.0" customHeight="1">
      <c r="A76" s="112"/>
      <c r="B76" s="112"/>
      <c r="C76" s="112"/>
      <c r="D76" s="129" t="s">
        <v>147</v>
      </c>
      <c r="E76" s="114" t="str">
        <f>VLOOKUP(D76,Data!H:I,2,0)</f>
        <v>Kocaeli</v>
      </c>
      <c r="F76" s="115" t="str">
        <f>VLOOKUP(D76,Data!H:J,3,0)</f>
        <v>Nazım Öztel</v>
      </c>
      <c r="G76" s="116" t="b">
        <v>0</v>
      </c>
      <c r="H76" s="116" t="b">
        <v>0</v>
      </c>
      <c r="I76" s="116" t="b">
        <v>1</v>
      </c>
      <c r="J76" s="116" t="b">
        <v>0</v>
      </c>
      <c r="K76" s="116" t="b">
        <v>0</v>
      </c>
      <c r="L76" s="117">
        <f t="shared" si="1"/>
        <v>1</v>
      </c>
      <c r="M76" s="117">
        <f t="shared" si="2"/>
        <v>4</v>
      </c>
      <c r="N76" s="112"/>
      <c r="O76" s="112"/>
    </row>
    <row r="77" ht="15.0" customHeight="1">
      <c r="A77" s="112"/>
      <c r="B77" s="112"/>
      <c r="C77" s="112"/>
      <c r="D77" s="129" t="s">
        <v>227</v>
      </c>
      <c r="E77" s="114" t="str">
        <f>VLOOKUP(D77,Data!H:I,2,0)</f>
        <v>Konya</v>
      </c>
      <c r="F77" s="115" t="str">
        <f>VLOOKUP(D77,Data!H:J,3,0)</f>
        <v>Nazım Öztel</v>
      </c>
      <c r="G77" s="116" t="b">
        <v>0</v>
      </c>
      <c r="H77" s="116" t="b">
        <v>0</v>
      </c>
      <c r="I77" s="116" t="b">
        <v>1</v>
      </c>
      <c r="J77" s="116" t="b">
        <v>1</v>
      </c>
      <c r="K77" s="116" t="b">
        <v>1</v>
      </c>
      <c r="L77" s="117">
        <f t="shared" si="1"/>
        <v>3</v>
      </c>
      <c r="M77" s="117">
        <f t="shared" si="2"/>
        <v>12</v>
      </c>
      <c r="N77" s="112"/>
      <c r="O77" s="112"/>
    </row>
    <row r="78" ht="15.0" customHeight="1">
      <c r="A78" s="112"/>
      <c r="B78" s="112"/>
      <c r="C78" s="112"/>
      <c r="D78" s="129" t="s">
        <v>203</v>
      </c>
      <c r="E78" s="114" t="str">
        <f>VLOOKUP(D78,Data!H:I,2,0)</f>
        <v>Malatya</v>
      </c>
      <c r="F78" s="115" t="str">
        <f>VLOOKUP(D78,Data!H:J,3,0)</f>
        <v>Nazım Öztel</v>
      </c>
      <c r="G78" s="116" t="b">
        <v>0</v>
      </c>
      <c r="H78" s="116" t="b">
        <v>0</v>
      </c>
      <c r="I78" s="116" t="b">
        <v>0</v>
      </c>
      <c r="J78" s="116" t="b">
        <v>0</v>
      </c>
      <c r="K78" s="116" t="b">
        <v>0</v>
      </c>
      <c r="L78" s="117">
        <f t="shared" si="1"/>
        <v>0</v>
      </c>
      <c r="M78" s="117">
        <f t="shared" si="2"/>
        <v>0</v>
      </c>
      <c r="N78" s="112"/>
      <c r="O78" s="112"/>
    </row>
    <row r="79" ht="15.0" customHeight="1">
      <c r="A79" s="112"/>
      <c r="B79" s="112"/>
      <c r="C79" s="112"/>
      <c r="D79" s="132" t="s">
        <v>98</v>
      </c>
      <c r="E79" s="114" t="str">
        <f>VLOOKUP(D79,Data!H:I,2,0)</f>
        <v>Manisa</v>
      </c>
      <c r="F79" s="115" t="str">
        <f>VLOOKUP(D79,Data!H:J,3,0)</f>
        <v>Nazım Öztel</v>
      </c>
      <c r="G79" s="116" t="b">
        <v>0</v>
      </c>
      <c r="H79" s="116" t="b">
        <v>0</v>
      </c>
      <c r="I79" s="116" t="b">
        <v>0</v>
      </c>
      <c r="J79" s="116" t="b">
        <v>0</v>
      </c>
      <c r="K79" s="116" t="b">
        <v>0</v>
      </c>
      <c r="L79" s="117">
        <f t="shared" si="1"/>
        <v>0</v>
      </c>
      <c r="M79" s="117">
        <f t="shared" si="2"/>
        <v>0</v>
      </c>
      <c r="N79" s="142"/>
      <c r="O79" s="112"/>
    </row>
    <row r="80" ht="15.0" customHeight="1">
      <c r="A80" s="112"/>
      <c r="B80" s="112"/>
      <c r="C80" s="112"/>
      <c r="D80" s="132" t="s">
        <v>99</v>
      </c>
      <c r="E80" s="114" t="str">
        <f>VLOOKUP(D80,Data!H:I,2,0)</f>
        <v>Mersin</v>
      </c>
      <c r="F80" s="115" t="str">
        <f>VLOOKUP(D80,Data!H:J,3,0)</f>
        <v>Nazım Öztel</v>
      </c>
      <c r="G80" s="116" t="b">
        <v>0</v>
      </c>
      <c r="H80" s="116" t="b">
        <v>0</v>
      </c>
      <c r="I80" s="116" t="b">
        <v>0</v>
      </c>
      <c r="J80" s="116" t="b">
        <v>0</v>
      </c>
      <c r="K80" s="116" t="b">
        <v>0</v>
      </c>
      <c r="L80" s="117">
        <f t="shared" si="1"/>
        <v>0</v>
      </c>
      <c r="M80" s="117">
        <f t="shared" si="2"/>
        <v>0</v>
      </c>
      <c r="N80" s="106"/>
      <c r="O80" s="112"/>
    </row>
    <row r="81" ht="15.0" customHeight="1">
      <c r="A81" s="112"/>
      <c r="B81" s="112"/>
      <c r="C81" s="112"/>
      <c r="D81" s="129" t="s">
        <v>169</v>
      </c>
      <c r="E81" s="114" t="str">
        <f>VLOOKUP(D81,Data!H:I,2,0)</f>
        <v>Mersin</v>
      </c>
      <c r="F81" s="115" t="str">
        <f>VLOOKUP(D81,Data!H:J,3,0)</f>
        <v>Nazım Öztel</v>
      </c>
      <c r="G81" s="116" t="b">
        <v>0</v>
      </c>
      <c r="H81" s="116" t="b">
        <v>0</v>
      </c>
      <c r="I81" s="116" t="b">
        <v>0</v>
      </c>
      <c r="J81" s="116" t="b">
        <v>0</v>
      </c>
      <c r="K81" s="116" t="b">
        <v>0</v>
      </c>
      <c r="L81" s="117">
        <f t="shared" si="1"/>
        <v>0</v>
      </c>
      <c r="M81" s="117">
        <f t="shared" si="2"/>
        <v>0</v>
      </c>
      <c r="N81" s="106"/>
      <c r="O81" s="112"/>
    </row>
    <row r="82" ht="15.0" customHeight="1">
      <c r="A82" s="112"/>
      <c r="B82" s="112"/>
      <c r="C82" s="112"/>
      <c r="D82" s="129" t="s">
        <v>148</v>
      </c>
      <c r="E82" s="114" t="str">
        <f>VLOOKUP(D82,Data!H:I,2,0)</f>
        <v>Muğla</v>
      </c>
      <c r="F82" s="115" t="str">
        <f>VLOOKUP(D82,Data!H:J,3,0)</f>
        <v>Nazım Öztel</v>
      </c>
      <c r="G82" s="116" t="b">
        <v>1</v>
      </c>
      <c r="H82" s="116" t="b">
        <v>0</v>
      </c>
      <c r="I82" s="116" t="b">
        <v>1</v>
      </c>
      <c r="J82" s="116" t="b">
        <v>1</v>
      </c>
      <c r="K82" s="116" t="b">
        <v>0</v>
      </c>
      <c r="L82" s="117">
        <f t="shared" si="1"/>
        <v>3</v>
      </c>
      <c r="M82" s="117">
        <f t="shared" si="2"/>
        <v>12</v>
      </c>
      <c r="N82" s="106"/>
      <c r="O82" s="112"/>
    </row>
    <row r="83" ht="15.0" customHeight="1">
      <c r="A83" s="112"/>
      <c r="B83" s="112"/>
      <c r="C83" s="112"/>
      <c r="D83" s="129" t="s">
        <v>52</v>
      </c>
      <c r="E83" s="114" t="s">
        <v>211</v>
      </c>
      <c r="F83" s="115" t="s">
        <v>61</v>
      </c>
      <c r="G83" s="116" t="b">
        <v>0</v>
      </c>
      <c r="H83" s="116" t="b">
        <v>0</v>
      </c>
      <c r="I83" s="116" t="b">
        <v>0</v>
      </c>
      <c r="J83" s="116" t="b">
        <v>0</v>
      </c>
      <c r="K83" s="116" t="b">
        <v>0</v>
      </c>
      <c r="L83" s="117">
        <f t="shared" si="1"/>
        <v>0</v>
      </c>
      <c r="M83" s="117">
        <f t="shared" si="2"/>
        <v>0</v>
      </c>
      <c r="N83" s="106"/>
      <c r="O83" s="112"/>
    </row>
    <row r="84" ht="15.0" customHeight="1">
      <c r="A84" s="112"/>
      <c r="B84" s="112"/>
      <c r="C84" s="112"/>
      <c r="D84" s="129" t="s">
        <v>193</v>
      </c>
      <c r="E84" s="114" t="str">
        <f>VLOOKUP(D84,Data!H:I,2,0)</f>
        <v>Samsun</v>
      </c>
      <c r="F84" s="115" t="str">
        <f>VLOOKUP(D84,Data!H:J,3,0)</f>
        <v>Nazım Öztel</v>
      </c>
      <c r="G84" s="116" t="b">
        <v>0</v>
      </c>
      <c r="H84" s="116" t="b">
        <v>0</v>
      </c>
      <c r="I84" s="116" t="b">
        <v>0</v>
      </c>
      <c r="J84" s="116" t="b">
        <v>0</v>
      </c>
      <c r="K84" s="116" t="b">
        <v>0</v>
      </c>
      <c r="L84" s="117">
        <f t="shared" si="1"/>
        <v>0</v>
      </c>
      <c r="M84" s="117">
        <f t="shared" si="2"/>
        <v>0</v>
      </c>
      <c r="N84" s="106"/>
      <c r="O84" s="112"/>
    </row>
    <row r="85" ht="15.0" customHeight="1">
      <c r="A85" s="112"/>
      <c r="B85" s="112"/>
      <c r="C85" s="112"/>
      <c r="D85" s="129" t="s">
        <v>104</v>
      </c>
      <c r="E85" s="114" t="str">
        <f>VLOOKUP(D85,Data!H:I,2,0)</f>
        <v>Tekirdağ</v>
      </c>
      <c r="F85" s="115" t="str">
        <f>VLOOKUP(D85,Data!H:J,3,0)</f>
        <v>Freelance</v>
      </c>
      <c r="G85" s="116" t="b">
        <v>0</v>
      </c>
      <c r="H85" s="116" t="b">
        <v>0</v>
      </c>
      <c r="I85" s="116" t="b">
        <v>0</v>
      </c>
      <c r="J85" s="116" t="b">
        <v>1</v>
      </c>
      <c r="K85" s="116" t="b">
        <v>1</v>
      </c>
      <c r="L85" s="117">
        <f t="shared" si="1"/>
        <v>2</v>
      </c>
      <c r="M85" s="117">
        <f t="shared" si="2"/>
        <v>8</v>
      </c>
      <c r="N85" s="112"/>
      <c r="O85" s="112"/>
    </row>
    <row r="86" ht="15.0" customHeight="1">
      <c r="A86" s="112"/>
      <c r="B86" s="112"/>
      <c r="C86" s="112"/>
      <c r="D86" s="129" t="s">
        <v>154</v>
      </c>
      <c r="E86" s="114" t="str">
        <f>VLOOKUP(D86,Data!H:I,2,0)</f>
        <v>Uşak</v>
      </c>
      <c r="F86" s="115" t="str">
        <f>VLOOKUP(D86,Data!H:J,3,0)</f>
        <v>Nazım Öztel</v>
      </c>
      <c r="G86" s="116" t="b">
        <v>0</v>
      </c>
      <c r="H86" s="116" t="b">
        <v>1</v>
      </c>
      <c r="I86" s="116" t="b">
        <v>0</v>
      </c>
      <c r="J86" s="116" t="b">
        <v>0</v>
      </c>
      <c r="K86" s="116" t="b">
        <v>0</v>
      </c>
      <c r="L86" s="117">
        <f t="shared" si="1"/>
        <v>1</v>
      </c>
      <c r="M86" s="117">
        <f t="shared" si="2"/>
        <v>4</v>
      </c>
      <c r="N86" s="112"/>
      <c r="O86" s="112"/>
    </row>
    <row r="87" ht="15.0" customHeight="1">
      <c r="A87" s="112"/>
      <c r="B87" s="112"/>
      <c r="C87" s="112"/>
      <c r="D87" s="129" t="s">
        <v>176</v>
      </c>
      <c r="E87" s="144" t="s">
        <v>206</v>
      </c>
      <c r="F87" s="144" t="s">
        <v>61</v>
      </c>
      <c r="G87" s="116" t="b">
        <v>0</v>
      </c>
      <c r="H87" s="116" t="b">
        <v>0</v>
      </c>
      <c r="I87" s="116" t="b">
        <v>0</v>
      </c>
      <c r="J87" s="116" t="b">
        <v>0</v>
      </c>
      <c r="K87" s="116" t="b">
        <v>0</v>
      </c>
      <c r="L87" s="117">
        <f t="shared" si="1"/>
        <v>0</v>
      </c>
      <c r="M87" s="117">
        <f t="shared" si="2"/>
        <v>0</v>
      </c>
      <c r="N87" s="112"/>
      <c r="O87" s="112"/>
    </row>
    <row r="88" ht="15.0" customHeight="1">
      <c r="A88" s="112"/>
      <c r="B88" s="112"/>
      <c r="C88" s="112"/>
      <c r="D88" s="132"/>
      <c r="E88" s="132"/>
      <c r="F88" s="132"/>
      <c r="G88" s="117">
        <f t="shared" ref="G88:K88" si="3">4*(COUNTIF(G15:G87,"true"))</f>
        <v>60</v>
      </c>
      <c r="H88" s="117">
        <f t="shared" si="3"/>
        <v>72</v>
      </c>
      <c r="I88" s="117">
        <f t="shared" si="3"/>
        <v>80</v>
      </c>
      <c r="J88" s="117">
        <f t="shared" si="3"/>
        <v>64</v>
      </c>
      <c r="K88" s="117">
        <f t="shared" si="3"/>
        <v>56</v>
      </c>
      <c r="L88" s="135"/>
      <c r="M88" s="135">
        <f>SUM(G88:K88)</f>
        <v>332</v>
      </c>
      <c r="N88" s="112"/>
      <c r="O88" s="112"/>
    </row>
  </sheetData>
  <customSheetViews>
    <customSheetView guid="{70B995D3-3AEB-4DFE-A0CA-D6FFCCE596BC}" filter="1" showAutoFilter="1">
      <autoFilter ref="$D$14:$D$87"/>
    </customSheetView>
    <customSheetView guid="{90E1DF85-7252-44D2-BA7D-CC3767CD0E8B}" filter="1" showAutoFilter="1">
      <autoFilter ref="$A$14:$O$88">
        <filterColumn colId="4">
          <filters>
            <filter val="Kırklareli"/>
            <filter val="Samsun"/>
            <filter val="Burdur"/>
            <filter val="Bilecik"/>
            <filter val="Zonguldak"/>
            <filter val="Elazığ"/>
            <filter val="Bartın"/>
            <filter val="Kayseri"/>
            <filter val="Düzce"/>
            <filter val="Malatya"/>
            <filter val="Denizli"/>
            <filter val="Çanakkale"/>
            <filter val="Aydın"/>
            <filter val="Çorum"/>
            <filter val="Osmaniye"/>
            <filter val="Edirne"/>
            <filter val="Afyon"/>
            <filter val="Muğla"/>
            <filter val="Eskişehir"/>
            <filter val="Kahramanmaraş"/>
            <filter val="Balıkesir"/>
            <filter val="Uşak"/>
          </filters>
        </filterColumn>
      </autoFilter>
    </customSheetView>
  </customSheetViews>
  <mergeCells count="4">
    <mergeCell ref="D6:K6"/>
    <mergeCell ref="D7:F7"/>
    <mergeCell ref="D9:D12"/>
    <mergeCell ref="F10:M11"/>
  </mergeCells>
  <conditionalFormatting sqref="G15:K87">
    <cfRule type="cellIs" dxfId="1" priority="1" operator="equal">
      <formula>"False"</formula>
    </cfRule>
  </conditionalFormatting>
  <conditionalFormatting sqref="G15:K87">
    <cfRule type="cellIs" dxfId="0" priority="2" operator="equal">
      <formula>"TRUE"</formula>
    </cfRule>
  </conditionalFormatting>
  <dataValidations>
    <dataValidation type="list" allowBlank="1" showErrorMessage="1" sqref="E15:E87">
      <formula1>Data!$A$2:$A$100</formula1>
    </dataValidation>
    <dataValidation type="list" allowBlank="1" showErrorMessage="1" sqref="F15:F87">
      <formula1>Data!$C$2:$C$8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3" width="2.63"/>
    <col customWidth="1" min="4" max="4" width="20.38"/>
    <col customWidth="1" min="5" max="5" width="11.38"/>
    <col customWidth="1" min="6" max="6" width="16.63"/>
    <col customWidth="1" min="7" max="11" width="8.63"/>
    <col customWidth="1" min="12" max="12" width="12.63"/>
    <col customWidth="1" min="13" max="13" width="15.13"/>
    <col customWidth="1" min="14" max="15" width="2.63"/>
  </cols>
  <sheetData>
    <row r="1" ht="7.5" customHeight="1">
      <c r="A1" s="140"/>
      <c r="B1" s="84"/>
      <c r="C1" s="84"/>
      <c r="D1" s="84"/>
      <c r="E1" s="84"/>
      <c r="F1" s="84"/>
      <c r="G1" s="84"/>
      <c r="H1" s="84"/>
      <c r="I1" s="84"/>
      <c r="J1" s="84"/>
      <c r="K1" s="84"/>
      <c r="L1" s="85"/>
      <c r="M1" s="86"/>
      <c r="N1" s="86"/>
      <c r="O1" s="86"/>
    </row>
    <row r="2" ht="15.0" customHeight="1">
      <c r="A2" s="87"/>
      <c r="B2" s="87"/>
      <c r="C2" s="87"/>
      <c r="D2" s="88"/>
      <c r="E2" s="88"/>
      <c r="F2" s="88"/>
      <c r="G2" s="88"/>
      <c r="H2" s="88"/>
      <c r="I2" s="88"/>
      <c r="J2" s="88"/>
      <c r="K2" s="88"/>
      <c r="L2" s="88"/>
      <c r="M2" s="87"/>
      <c r="N2" s="87"/>
      <c r="O2" s="87"/>
    </row>
    <row r="3" ht="3.75" customHeight="1">
      <c r="A3" s="87"/>
      <c r="B3" s="87"/>
      <c r="C3" s="87"/>
      <c r="D3" s="89"/>
      <c r="E3" s="90"/>
      <c r="F3" s="90"/>
      <c r="G3" s="90"/>
      <c r="H3" s="90"/>
      <c r="I3" s="90"/>
      <c r="J3" s="90"/>
      <c r="K3" s="90"/>
      <c r="L3" s="90"/>
      <c r="M3" s="87"/>
      <c r="N3" s="87"/>
      <c r="O3" s="87"/>
    </row>
    <row r="4" ht="15.0" customHeight="1">
      <c r="A4" s="87"/>
      <c r="B4" s="87"/>
      <c r="C4" s="87"/>
      <c r="D4" s="88"/>
      <c r="E4" s="88"/>
      <c r="F4" s="88"/>
      <c r="G4" s="91"/>
      <c r="H4" s="91"/>
      <c r="I4" s="91"/>
      <c r="J4" s="91"/>
      <c r="K4" s="91"/>
      <c r="L4" s="91"/>
      <c r="M4" s="87"/>
      <c r="N4" s="87"/>
      <c r="O4" s="87"/>
    </row>
    <row r="5" ht="15.0" customHeight="1">
      <c r="A5" s="92"/>
      <c r="B5" s="92"/>
      <c r="C5" s="92"/>
      <c r="D5" s="88"/>
      <c r="E5" s="88"/>
      <c r="F5" s="88"/>
      <c r="G5" s="93"/>
      <c r="H5" s="93"/>
      <c r="I5" s="93"/>
      <c r="J5" s="93"/>
      <c r="K5" s="93"/>
      <c r="L5" s="94"/>
      <c r="M5" s="88"/>
      <c r="N5" s="92"/>
      <c r="O5" s="92"/>
    </row>
    <row r="6" ht="15.0" customHeight="1">
      <c r="A6" s="92"/>
      <c r="B6" s="92"/>
      <c r="C6" s="92"/>
      <c r="D6" s="95" t="s">
        <v>239</v>
      </c>
      <c r="L6" s="94"/>
      <c r="M6" s="88"/>
      <c r="N6" s="92"/>
      <c r="O6" s="92"/>
    </row>
    <row r="7" ht="15.0" customHeight="1">
      <c r="A7" s="92"/>
      <c r="B7" s="92"/>
      <c r="C7" s="92"/>
      <c r="D7" s="96" t="s">
        <v>240</v>
      </c>
      <c r="G7" s="97"/>
      <c r="H7" s="97"/>
      <c r="I7" s="97"/>
      <c r="J7" s="97"/>
      <c r="K7" s="97"/>
      <c r="L7" s="92"/>
      <c r="M7" s="92"/>
      <c r="N7" s="92"/>
      <c r="O7" s="92"/>
    </row>
    <row r="8" ht="15.0" customHeight="1">
      <c r="A8" s="92"/>
      <c r="B8" s="92"/>
      <c r="C8" s="92"/>
      <c r="D8" s="97"/>
      <c r="E8" s="97"/>
      <c r="F8" s="97"/>
      <c r="G8" s="97"/>
      <c r="H8" s="97"/>
      <c r="I8" s="97"/>
      <c r="J8" s="97"/>
      <c r="K8" s="97"/>
      <c r="L8" s="92"/>
      <c r="M8" s="92"/>
      <c r="N8" s="92"/>
      <c r="O8" s="92"/>
    </row>
    <row r="9" ht="15.0" customHeight="1">
      <c r="A9" s="92"/>
      <c r="B9" s="92"/>
      <c r="C9" s="98"/>
      <c r="D9" s="99" t="s">
        <v>35</v>
      </c>
      <c r="E9" s="100"/>
      <c r="F9" s="101"/>
      <c r="G9" s="101"/>
      <c r="H9" s="101"/>
      <c r="I9" s="101"/>
      <c r="J9" s="101"/>
      <c r="K9" s="101"/>
      <c r="L9" s="101"/>
      <c r="M9" s="100"/>
      <c r="N9" s="102"/>
      <c r="O9" s="102"/>
    </row>
    <row r="10" ht="15.0" customHeight="1">
      <c r="A10" s="92"/>
      <c r="B10" s="92"/>
      <c r="C10" s="98"/>
      <c r="E10" s="100"/>
      <c r="F10" s="103" t="s">
        <v>36</v>
      </c>
      <c r="N10" s="102"/>
      <c r="O10" s="102"/>
    </row>
    <row r="11" ht="15.0" customHeight="1">
      <c r="A11" s="92"/>
      <c r="B11" s="92"/>
      <c r="C11" s="98"/>
      <c r="E11" s="100"/>
      <c r="N11" s="102"/>
      <c r="O11" s="102"/>
    </row>
    <row r="12" ht="15.0" customHeight="1">
      <c r="A12" s="88"/>
      <c r="B12" s="92"/>
      <c r="C12" s="92"/>
      <c r="E12" s="100"/>
      <c r="F12" s="100"/>
      <c r="G12" s="100"/>
      <c r="H12" s="100"/>
      <c r="I12" s="100"/>
      <c r="J12" s="100"/>
      <c r="K12" s="100"/>
      <c r="L12" s="100"/>
      <c r="M12" s="100"/>
      <c r="N12" s="102"/>
      <c r="O12" s="102"/>
    </row>
    <row r="13" ht="15.0" customHeight="1">
      <c r="A13" s="88"/>
      <c r="B13" s="104"/>
      <c r="C13" s="104"/>
      <c r="D13" s="104"/>
      <c r="E13" s="104"/>
      <c r="F13" s="105"/>
      <c r="G13" s="105"/>
      <c r="H13" s="105"/>
      <c r="I13" s="105"/>
      <c r="J13" s="105"/>
      <c r="K13" s="105"/>
      <c r="L13" s="104"/>
      <c r="M13" s="104"/>
      <c r="N13" s="104"/>
      <c r="O13" s="104"/>
    </row>
    <row r="14" ht="15.0" customHeight="1">
      <c r="A14" s="106"/>
      <c r="B14" s="106"/>
      <c r="C14" s="106"/>
      <c r="D14" s="107" t="s">
        <v>37</v>
      </c>
      <c r="E14" s="108" t="s">
        <v>38</v>
      </c>
      <c r="F14" s="109" t="s">
        <v>39</v>
      </c>
      <c r="G14" s="110">
        <v>44585.0</v>
      </c>
      <c r="H14" s="110">
        <v>44586.0</v>
      </c>
      <c r="I14" s="110">
        <v>44587.0</v>
      </c>
      <c r="J14" s="110">
        <v>44588.0</v>
      </c>
      <c r="K14" s="110">
        <v>44589.0</v>
      </c>
      <c r="L14" s="111" t="s">
        <v>40</v>
      </c>
      <c r="M14" s="111" t="s">
        <v>41</v>
      </c>
      <c r="N14" s="88"/>
      <c r="O14" s="88"/>
    </row>
    <row r="15" ht="15.0" customHeight="1">
      <c r="A15" s="112"/>
      <c r="B15" s="112"/>
      <c r="C15" s="112"/>
      <c r="D15" s="129" t="s">
        <v>42</v>
      </c>
      <c r="E15" s="114" t="str">
        <f>VLOOKUP(D15,Data!H:I,2,0)</f>
        <v>Adana</v>
      </c>
      <c r="F15" s="115" t="str">
        <f>VLOOKUP(D15,Data!H:J,3,0)</f>
        <v>Freelance</v>
      </c>
      <c r="G15" s="116" t="b">
        <v>0</v>
      </c>
      <c r="H15" s="116" t="b">
        <v>0</v>
      </c>
      <c r="I15" s="116" t="b">
        <v>0</v>
      </c>
      <c r="J15" s="116" t="b">
        <v>0</v>
      </c>
      <c r="K15" s="116" t="b">
        <v>0</v>
      </c>
      <c r="L15" s="117">
        <f t="shared" ref="L15:L86" si="1">COUNTIF(G15:K15,"TRUE")</f>
        <v>0</v>
      </c>
      <c r="M15" s="117">
        <f t="shared" ref="M15:M86" si="2">L15*4</f>
        <v>0</v>
      </c>
      <c r="N15" s="112"/>
      <c r="O15" s="88"/>
    </row>
    <row r="16" ht="15.0" customHeight="1">
      <c r="A16" s="112"/>
      <c r="B16" s="112"/>
      <c r="C16" s="112"/>
      <c r="D16" s="129" t="s">
        <v>196</v>
      </c>
      <c r="E16" s="114" t="str">
        <f>VLOOKUP(D16,Data!H:I,2,0)</f>
        <v>Afyon</v>
      </c>
      <c r="F16" s="115" t="str">
        <f>VLOOKUP(D16,Data!H:J,3,0)</f>
        <v>Nazım Öztel</v>
      </c>
      <c r="G16" s="116" t="b">
        <v>0</v>
      </c>
      <c r="H16" s="116" t="b">
        <v>0</v>
      </c>
      <c r="I16" s="116" t="b">
        <v>0</v>
      </c>
      <c r="J16" s="116" t="b">
        <v>0</v>
      </c>
      <c r="K16" s="116" t="b">
        <v>0</v>
      </c>
      <c r="L16" s="117">
        <f t="shared" si="1"/>
        <v>0</v>
      </c>
      <c r="M16" s="117">
        <f t="shared" si="2"/>
        <v>0</v>
      </c>
      <c r="N16" s="112"/>
      <c r="O16" s="88"/>
    </row>
    <row r="17" ht="15.0" customHeight="1">
      <c r="A17" s="112"/>
      <c r="B17" s="112"/>
      <c r="C17" s="112"/>
      <c r="D17" s="129" t="s">
        <v>230</v>
      </c>
      <c r="E17" s="114" t="str">
        <f>VLOOKUP(D17,Data!H:I,2,0)</f>
        <v>Ankara</v>
      </c>
      <c r="F17" s="115" t="str">
        <f>VLOOKUP(D17,Data!H:J,3,0)</f>
        <v>Nazım Öztel</v>
      </c>
      <c r="G17" s="116" t="b">
        <v>0</v>
      </c>
      <c r="H17" s="116" t="b">
        <v>0</v>
      </c>
      <c r="I17" s="116" t="b">
        <v>0</v>
      </c>
      <c r="J17" s="116" t="b">
        <v>0</v>
      </c>
      <c r="K17" s="116" t="b">
        <v>0</v>
      </c>
      <c r="L17" s="117">
        <f t="shared" si="1"/>
        <v>0</v>
      </c>
      <c r="M17" s="117">
        <f t="shared" si="2"/>
        <v>0</v>
      </c>
      <c r="N17" s="112"/>
      <c r="O17" s="88"/>
    </row>
    <row r="18" ht="15.0" customHeight="1">
      <c r="A18" s="106"/>
      <c r="B18" s="106"/>
      <c r="C18" s="106"/>
      <c r="D18" s="129" t="s">
        <v>164</v>
      </c>
      <c r="E18" s="114" t="str">
        <f>VLOOKUP(D18,Data!H:I,2,0)</f>
        <v>Antalya</v>
      </c>
      <c r="F18" s="115" t="str">
        <f>VLOOKUP(D18,Data!H:J,3,0)</f>
        <v>Nazım Öztel</v>
      </c>
      <c r="G18" s="116" t="b">
        <v>1</v>
      </c>
      <c r="H18" s="116" t="b">
        <v>1</v>
      </c>
      <c r="I18" s="116" t="b">
        <v>0</v>
      </c>
      <c r="J18" s="116" t="b">
        <v>1</v>
      </c>
      <c r="K18" s="116" t="b">
        <v>1</v>
      </c>
      <c r="L18" s="117">
        <f t="shared" si="1"/>
        <v>4</v>
      </c>
      <c r="M18" s="117">
        <f t="shared" si="2"/>
        <v>16</v>
      </c>
      <c r="N18" s="112"/>
      <c r="O18" s="106"/>
    </row>
    <row r="19" ht="15.0" customHeight="1">
      <c r="A19" s="106"/>
      <c r="B19" s="106"/>
      <c r="C19" s="106"/>
      <c r="D19" s="129" t="s">
        <v>152</v>
      </c>
      <c r="E19" s="114" t="str">
        <f>VLOOKUP(D19,Data!H:I,2,0)</f>
        <v>Antalya</v>
      </c>
      <c r="F19" s="115" t="str">
        <f>VLOOKUP(D19,Data!H:J,3,0)</f>
        <v>Nazım Öztel</v>
      </c>
      <c r="G19" s="116" t="b">
        <v>0</v>
      </c>
      <c r="H19" s="116" t="b">
        <v>0</v>
      </c>
      <c r="I19" s="116" t="b">
        <v>0</v>
      </c>
      <c r="J19" s="116" t="b">
        <v>0</v>
      </c>
      <c r="K19" s="116" t="b">
        <v>0</v>
      </c>
      <c r="L19" s="117">
        <f t="shared" si="1"/>
        <v>0</v>
      </c>
      <c r="M19" s="117">
        <f t="shared" si="2"/>
        <v>0</v>
      </c>
      <c r="N19" s="112"/>
      <c r="O19" s="106"/>
    </row>
    <row r="20" ht="15.0" customHeight="1">
      <c r="A20" s="112"/>
      <c r="B20" s="112"/>
      <c r="C20" s="112"/>
      <c r="D20" s="129" t="s">
        <v>50</v>
      </c>
      <c r="E20" s="114" t="str">
        <f>VLOOKUP(D20,Data!H:I,2,0)</f>
        <v>Antalya</v>
      </c>
      <c r="F20" s="115" t="str">
        <f>VLOOKUP(D20,Data!H:J,3,0)</f>
        <v>Freelance</v>
      </c>
      <c r="G20" s="116" t="b">
        <v>0</v>
      </c>
      <c r="H20" s="116" t="b">
        <v>0</v>
      </c>
      <c r="I20" s="116" t="b">
        <v>0</v>
      </c>
      <c r="J20" s="116" t="b">
        <v>0</v>
      </c>
      <c r="K20" s="116" t="b">
        <v>0</v>
      </c>
      <c r="L20" s="117">
        <f t="shared" si="1"/>
        <v>0</v>
      </c>
      <c r="M20" s="117">
        <f t="shared" si="2"/>
        <v>0</v>
      </c>
      <c r="N20" s="112"/>
      <c r="O20" s="112"/>
    </row>
    <row r="21" ht="15.0" customHeight="1">
      <c r="A21" s="112"/>
      <c r="B21" s="112"/>
      <c r="C21" s="112"/>
      <c r="D21" s="129" t="s">
        <v>159</v>
      </c>
      <c r="E21" s="114" t="str">
        <f>VLOOKUP(D21,Data!H:I,2,0)</f>
        <v>Aydın</v>
      </c>
      <c r="F21" s="115" t="str">
        <f>VLOOKUP(D21,Data!H:J,3,0)</f>
        <v>Nazım Öztel</v>
      </c>
      <c r="G21" s="116" t="b">
        <v>0</v>
      </c>
      <c r="H21" s="116" t="b">
        <v>0</v>
      </c>
      <c r="I21" s="116" t="b">
        <v>0</v>
      </c>
      <c r="J21" s="116" t="b">
        <v>0</v>
      </c>
      <c r="K21" s="116" t="b">
        <v>0</v>
      </c>
      <c r="L21" s="117">
        <f t="shared" si="1"/>
        <v>0</v>
      </c>
      <c r="M21" s="117">
        <f t="shared" si="2"/>
        <v>0</v>
      </c>
      <c r="N21" s="112"/>
      <c r="O21" s="112"/>
    </row>
    <row r="22" ht="15.0" customHeight="1">
      <c r="A22" s="112"/>
      <c r="B22" s="112"/>
      <c r="C22" s="112"/>
      <c r="D22" s="129" t="s">
        <v>197</v>
      </c>
      <c r="E22" s="114" t="str">
        <f>VLOOKUP(D22,Data!H:I,2,0)</f>
        <v>Aydın</v>
      </c>
      <c r="F22" s="115" t="str">
        <f>VLOOKUP(D22,Data!H:J,3,0)</f>
        <v>Nazım Öztel</v>
      </c>
      <c r="G22" s="116" t="b">
        <v>0</v>
      </c>
      <c r="H22" s="116" t="b">
        <v>0</v>
      </c>
      <c r="I22" s="116" t="b">
        <v>0</v>
      </c>
      <c r="J22" s="116" t="b">
        <v>0</v>
      </c>
      <c r="K22" s="116" t="b">
        <v>0</v>
      </c>
      <c r="L22" s="117">
        <f t="shared" si="1"/>
        <v>0</v>
      </c>
      <c r="M22" s="117">
        <f t="shared" si="2"/>
        <v>0</v>
      </c>
      <c r="N22" s="112"/>
      <c r="O22" s="112"/>
    </row>
    <row r="23" ht="15.0" customHeight="1">
      <c r="A23" s="112"/>
      <c r="B23" s="112"/>
      <c r="C23" s="112"/>
      <c r="D23" s="129" t="s">
        <v>241</v>
      </c>
      <c r="E23" s="114" t="s">
        <v>184</v>
      </c>
      <c r="F23" s="115" t="s">
        <v>61</v>
      </c>
      <c r="G23" s="116" t="b">
        <v>0</v>
      </c>
      <c r="H23" s="116" t="b">
        <v>0</v>
      </c>
      <c r="I23" s="116" t="b">
        <v>1</v>
      </c>
      <c r="J23" s="116" t="b">
        <v>1</v>
      </c>
      <c r="K23" s="116" t="b">
        <v>1</v>
      </c>
      <c r="L23" s="117">
        <f t="shared" si="1"/>
        <v>3</v>
      </c>
      <c r="M23" s="117">
        <f t="shared" si="2"/>
        <v>12</v>
      </c>
      <c r="N23" s="112"/>
      <c r="O23" s="112"/>
    </row>
    <row r="24" ht="15.0" customHeight="1">
      <c r="A24" s="112"/>
      <c r="B24" s="112"/>
      <c r="C24" s="112"/>
      <c r="D24" s="129" t="s">
        <v>176</v>
      </c>
      <c r="E24" s="114" t="s">
        <v>231</v>
      </c>
      <c r="F24" s="115" t="s">
        <v>61</v>
      </c>
      <c r="G24" s="116" t="b">
        <v>0</v>
      </c>
      <c r="H24" s="116" t="b">
        <v>0</v>
      </c>
      <c r="I24" s="116" t="b">
        <v>0</v>
      </c>
      <c r="J24" s="116" t="b">
        <v>0</v>
      </c>
      <c r="K24" s="116" t="b">
        <v>0</v>
      </c>
      <c r="L24" s="117">
        <f t="shared" si="1"/>
        <v>0</v>
      </c>
      <c r="M24" s="117">
        <f t="shared" si="2"/>
        <v>0</v>
      </c>
      <c r="N24" s="112"/>
      <c r="O24" s="112"/>
    </row>
    <row r="25" ht="15.0" customHeight="1">
      <c r="A25" s="112"/>
      <c r="B25" s="112"/>
      <c r="C25" s="112"/>
      <c r="D25" s="129" t="s">
        <v>198</v>
      </c>
      <c r="E25" s="114" t="s">
        <v>181</v>
      </c>
      <c r="F25" s="115" t="s">
        <v>61</v>
      </c>
      <c r="G25" s="116" t="b">
        <v>0</v>
      </c>
      <c r="H25" s="116" t="b">
        <v>0</v>
      </c>
      <c r="I25" s="116" t="b">
        <v>0</v>
      </c>
      <c r="J25" s="116" t="b">
        <v>0</v>
      </c>
      <c r="K25" s="116" t="b">
        <v>0</v>
      </c>
      <c r="L25" s="117">
        <f t="shared" si="1"/>
        <v>0</v>
      </c>
      <c r="M25" s="117">
        <f t="shared" si="2"/>
        <v>0</v>
      </c>
      <c r="N25" s="112"/>
      <c r="O25" s="112"/>
    </row>
    <row r="26" ht="15.0" customHeight="1">
      <c r="A26" s="112"/>
      <c r="B26" s="112"/>
      <c r="C26" s="112"/>
      <c r="D26" s="129" t="s">
        <v>52</v>
      </c>
      <c r="E26" s="114" t="s">
        <v>181</v>
      </c>
      <c r="F26" s="115" t="s">
        <v>61</v>
      </c>
      <c r="G26" s="116" t="b">
        <v>0</v>
      </c>
      <c r="H26" s="116" t="b">
        <v>0</v>
      </c>
      <c r="I26" s="116" t="b">
        <v>0</v>
      </c>
      <c r="J26" s="116" t="b">
        <v>0</v>
      </c>
      <c r="K26" s="116" t="b">
        <v>0</v>
      </c>
      <c r="L26" s="117">
        <f t="shared" si="1"/>
        <v>0</v>
      </c>
      <c r="M26" s="117">
        <f t="shared" si="2"/>
        <v>0</v>
      </c>
      <c r="N26" s="112"/>
      <c r="O26" s="112"/>
    </row>
    <row r="27" ht="15.0" customHeight="1">
      <c r="A27" s="112"/>
      <c r="B27" s="112"/>
      <c r="C27" s="112"/>
      <c r="D27" s="129" t="s">
        <v>160</v>
      </c>
      <c r="E27" s="114" t="str">
        <f>VLOOKUP(D27,Data!H:I,2,0)</f>
        <v>Burdur</v>
      </c>
      <c r="F27" s="115" t="str">
        <f>VLOOKUP(D27,Data!H:J,3,0)</f>
        <v>Nazım Öztel</v>
      </c>
      <c r="G27" s="116" t="b">
        <v>0</v>
      </c>
      <c r="H27" s="116" t="b">
        <v>0</v>
      </c>
      <c r="I27" s="116" t="b">
        <v>0</v>
      </c>
      <c r="J27" s="116" t="b">
        <v>0</v>
      </c>
      <c r="K27" s="116" t="b">
        <v>0</v>
      </c>
      <c r="L27" s="117">
        <f t="shared" si="1"/>
        <v>0</v>
      </c>
      <c r="M27" s="117">
        <f t="shared" si="2"/>
        <v>0</v>
      </c>
      <c r="N27" s="112"/>
      <c r="O27" s="112"/>
    </row>
    <row r="28" ht="15.0" customHeight="1">
      <c r="A28" s="112"/>
      <c r="B28" s="112"/>
      <c r="C28" s="112"/>
      <c r="D28" s="132" t="s">
        <v>52</v>
      </c>
      <c r="E28" s="114" t="str">
        <f>VLOOKUP(D28,Data!H:I,2,0)</f>
        <v>Bursa</v>
      </c>
      <c r="F28" s="115" t="str">
        <f>VLOOKUP(D28,Data!H:J,3,0)</f>
        <v>Nazım Öztel</v>
      </c>
      <c r="G28" s="116" t="b">
        <v>0</v>
      </c>
      <c r="H28" s="116" t="b">
        <v>0</v>
      </c>
      <c r="I28" s="116" t="b">
        <v>0</v>
      </c>
      <c r="J28" s="116" t="b">
        <v>0</v>
      </c>
      <c r="K28" s="116" t="b">
        <v>0</v>
      </c>
      <c r="L28" s="117">
        <f t="shared" si="1"/>
        <v>0</v>
      </c>
      <c r="M28" s="117">
        <f t="shared" si="2"/>
        <v>0</v>
      </c>
      <c r="N28" s="122"/>
      <c r="O28" s="112"/>
    </row>
    <row r="29" ht="15.0" customHeight="1">
      <c r="A29" s="112"/>
      <c r="B29" s="112"/>
      <c r="C29" s="112"/>
      <c r="D29" s="129" t="s">
        <v>53</v>
      </c>
      <c r="E29" s="114" t="str">
        <f>VLOOKUP(D29,Data!H:I,2,0)</f>
        <v>Bursa</v>
      </c>
      <c r="F29" s="115" t="str">
        <f>VLOOKUP(D29,Data!H:J,3,0)</f>
        <v>Freelance</v>
      </c>
      <c r="G29" s="116" t="b">
        <v>0</v>
      </c>
      <c r="H29" s="116" t="b">
        <v>0</v>
      </c>
      <c r="I29" s="116" t="b">
        <v>0</v>
      </c>
      <c r="J29" s="116" t="b">
        <v>0</v>
      </c>
      <c r="K29" s="116" t="b">
        <v>0</v>
      </c>
      <c r="L29" s="117">
        <f t="shared" si="1"/>
        <v>0</v>
      </c>
      <c r="M29" s="117">
        <f t="shared" si="2"/>
        <v>0</v>
      </c>
      <c r="N29" s="112"/>
      <c r="O29" s="112"/>
    </row>
    <row r="30" ht="15.0" customHeight="1">
      <c r="A30" s="112"/>
      <c r="B30" s="112"/>
      <c r="C30" s="112"/>
      <c r="D30" s="129" t="s">
        <v>190</v>
      </c>
      <c r="E30" s="114" t="str">
        <f>VLOOKUP(D30,Data!H:I,2,0)</f>
        <v>Çanakkale</v>
      </c>
      <c r="F30" s="115" t="str">
        <f>VLOOKUP(D30,Data!H:J,3,0)</f>
        <v>Nazım Öztel</v>
      </c>
      <c r="G30" s="116" t="b">
        <v>0</v>
      </c>
      <c r="H30" s="116" t="b">
        <v>0</v>
      </c>
      <c r="I30" s="116" t="b">
        <v>0</v>
      </c>
      <c r="J30" s="116" t="b">
        <v>0</v>
      </c>
      <c r="K30" s="116" t="b">
        <v>0</v>
      </c>
      <c r="L30" s="117">
        <f t="shared" si="1"/>
        <v>0</v>
      </c>
      <c r="M30" s="117">
        <f t="shared" si="2"/>
        <v>0</v>
      </c>
      <c r="N30" s="112"/>
      <c r="O30" s="112"/>
    </row>
    <row r="31" ht="15.0" customHeight="1">
      <c r="A31" s="112"/>
      <c r="B31" s="112"/>
      <c r="C31" s="112"/>
      <c r="D31" s="129" t="s">
        <v>221</v>
      </c>
      <c r="E31" s="114" t="str">
        <f>VLOOKUP(D31,Data!H:I,2,0)</f>
        <v>Çorum</v>
      </c>
      <c r="F31" s="115" t="str">
        <f>VLOOKUP(D31,Data!H:J,3,0)</f>
        <v>Nazım Öztel</v>
      </c>
      <c r="G31" s="116" t="b">
        <v>0</v>
      </c>
      <c r="H31" s="116" t="b">
        <v>0</v>
      </c>
      <c r="I31" s="116" t="b">
        <v>0</v>
      </c>
      <c r="J31" s="116" t="b">
        <v>0</v>
      </c>
      <c r="K31" s="116" t="b">
        <v>0</v>
      </c>
      <c r="L31" s="117">
        <f t="shared" si="1"/>
        <v>0</v>
      </c>
      <c r="M31" s="117">
        <f t="shared" si="2"/>
        <v>0</v>
      </c>
      <c r="N31" s="112"/>
      <c r="O31" s="112"/>
    </row>
    <row r="32" ht="15.0" customHeight="1">
      <c r="A32" s="112"/>
      <c r="B32" s="112"/>
      <c r="C32" s="112"/>
      <c r="D32" s="129" t="s">
        <v>191</v>
      </c>
      <c r="E32" s="114" t="str">
        <f>VLOOKUP(D32,Data!H:I,2,0)</f>
        <v>Denizli</v>
      </c>
      <c r="F32" s="115" t="str">
        <f>VLOOKUP(D32,Data!H:J,3,0)</f>
        <v>Nazım Öztel</v>
      </c>
      <c r="G32" s="116" t="b">
        <v>0</v>
      </c>
      <c r="H32" s="116" t="b">
        <v>0</v>
      </c>
      <c r="I32" s="116" t="b">
        <v>0</v>
      </c>
      <c r="J32" s="116" t="b">
        <v>0</v>
      </c>
      <c r="K32" s="116" t="b">
        <v>0</v>
      </c>
      <c r="L32" s="117">
        <f t="shared" si="1"/>
        <v>0</v>
      </c>
      <c r="M32" s="117">
        <f t="shared" si="2"/>
        <v>0</v>
      </c>
      <c r="N32" s="112"/>
      <c r="O32" s="112"/>
    </row>
    <row r="33" ht="15.0" customHeight="1">
      <c r="A33" s="112"/>
      <c r="B33" s="112"/>
      <c r="C33" s="112"/>
      <c r="D33" s="132" t="s">
        <v>54</v>
      </c>
      <c r="E33" s="114" t="str">
        <f>VLOOKUP(D33,Data!H:I,2,0)</f>
        <v>Diyarbakır</v>
      </c>
      <c r="F33" s="115" t="str">
        <f>VLOOKUP(D33,Data!H:J,3,0)</f>
        <v>Nazım Öztel</v>
      </c>
      <c r="G33" s="116" t="b">
        <v>0</v>
      </c>
      <c r="H33" s="116" t="b">
        <v>0</v>
      </c>
      <c r="I33" s="116" t="b">
        <v>0</v>
      </c>
      <c r="J33" s="116" t="b">
        <v>0</v>
      </c>
      <c r="K33" s="116" t="b">
        <v>0</v>
      </c>
      <c r="L33" s="117">
        <f t="shared" si="1"/>
        <v>0</v>
      </c>
      <c r="M33" s="117">
        <f t="shared" si="2"/>
        <v>0</v>
      </c>
      <c r="N33" s="112"/>
      <c r="O33" s="112"/>
    </row>
    <row r="34" ht="15.0" customHeight="1">
      <c r="A34" s="112"/>
      <c r="B34" s="112"/>
      <c r="C34" s="112"/>
      <c r="D34" s="129" t="s">
        <v>173</v>
      </c>
      <c r="E34" s="114" t="str">
        <f>VLOOKUP(D34,Data!H:I,2,0)</f>
        <v>Düzce</v>
      </c>
      <c r="F34" s="115" t="str">
        <f>VLOOKUP(D34,Data!H:J,3,0)</f>
        <v>Nazım Öztel</v>
      </c>
      <c r="G34" s="116" t="b">
        <v>0</v>
      </c>
      <c r="H34" s="116" t="b">
        <v>0</v>
      </c>
      <c r="I34" s="116" t="b">
        <v>0</v>
      </c>
      <c r="J34" s="116" t="b">
        <v>0</v>
      </c>
      <c r="K34" s="116" t="b">
        <v>0</v>
      </c>
      <c r="L34" s="117">
        <f t="shared" si="1"/>
        <v>0</v>
      </c>
      <c r="M34" s="117">
        <f t="shared" si="2"/>
        <v>0</v>
      </c>
      <c r="N34" s="112"/>
      <c r="O34" s="112"/>
    </row>
    <row r="35" ht="15.0" customHeight="1">
      <c r="A35" s="112"/>
      <c r="B35" s="112"/>
      <c r="C35" s="112"/>
      <c r="D35" s="129" t="s">
        <v>153</v>
      </c>
      <c r="E35" s="114" t="str">
        <f>VLOOKUP(D35,Data!H:I,2,0)</f>
        <v>Edirne</v>
      </c>
      <c r="F35" s="115" t="str">
        <f>VLOOKUP(D35,Data!H:J,3,0)</f>
        <v>Nazım Öztel</v>
      </c>
      <c r="G35" s="116" t="b">
        <v>0</v>
      </c>
      <c r="H35" s="116" t="b">
        <v>0</v>
      </c>
      <c r="I35" s="116" t="b">
        <v>0</v>
      </c>
      <c r="J35" s="116" t="b">
        <v>0</v>
      </c>
      <c r="K35" s="116" t="b">
        <v>0</v>
      </c>
      <c r="L35" s="117">
        <f t="shared" si="1"/>
        <v>0</v>
      </c>
      <c r="M35" s="117">
        <f t="shared" si="2"/>
        <v>0</v>
      </c>
      <c r="N35" s="112"/>
      <c r="O35" s="112"/>
    </row>
    <row r="36" ht="15.0" customHeight="1">
      <c r="A36" s="112"/>
      <c r="B36" s="112"/>
      <c r="C36" s="112"/>
      <c r="D36" s="129" t="s">
        <v>199</v>
      </c>
      <c r="E36" s="114" t="str">
        <f>VLOOKUP(D36,Data!H:I,2,0)</f>
        <v>Elazığ</v>
      </c>
      <c r="F36" s="115" t="str">
        <f>VLOOKUP(D36,Data!H:J,3,0)</f>
        <v>Nazım Öztel</v>
      </c>
      <c r="G36" s="116" t="b">
        <v>0</v>
      </c>
      <c r="H36" s="116" t="b">
        <v>0</v>
      </c>
      <c r="I36" s="116" t="b">
        <v>0</v>
      </c>
      <c r="J36" s="116" t="b">
        <v>0</v>
      </c>
      <c r="K36" s="116" t="b">
        <v>0</v>
      </c>
      <c r="L36" s="117">
        <f t="shared" si="1"/>
        <v>0</v>
      </c>
      <c r="M36" s="117">
        <f t="shared" si="2"/>
        <v>0</v>
      </c>
      <c r="N36" s="112"/>
      <c r="O36" s="112"/>
    </row>
    <row r="37" ht="15.0" customHeight="1">
      <c r="A37" s="112"/>
      <c r="B37" s="112"/>
      <c r="C37" s="112"/>
      <c r="D37" s="132" t="s">
        <v>55</v>
      </c>
      <c r="E37" s="114" t="str">
        <f>VLOOKUP(D37,Data!H:I,2,0)</f>
        <v>Erzurum</v>
      </c>
      <c r="F37" s="115" t="str">
        <f>VLOOKUP(D37,Data!H:J,3,0)</f>
        <v>Nazım Öztel</v>
      </c>
      <c r="G37" s="116" t="b">
        <v>0</v>
      </c>
      <c r="H37" s="116" t="b">
        <v>0</v>
      </c>
      <c r="I37" s="116" t="b">
        <v>0</v>
      </c>
      <c r="J37" s="116" t="b">
        <v>0</v>
      </c>
      <c r="K37" s="116" t="b">
        <v>0</v>
      </c>
      <c r="L37" s="117">
        <f t="shared" si="1"/>
        <v>0</v>
      </c>
      <c r="M37" s="117">
        <f t="shared" si="2"/>
        <v>0</v>
      </c>
      <c r="N37" s="112"/>
      <c r="O37" s="112"/>
    </row>
    <row r="38" ht="15.0" customHeight="1">
      <c r="A38" s="112"/>
      <c r="B38" s="112"/>
      <c r="C38" s="112"/>
      <c r="D38" s="129" t="s">
        <v>165</v>
      </c>
      <c r="E38" s="114" t="str">
        <f>VLOOKUP(D38,Data!H:I,2,0)</f>
        <v>Eskişehir</v>
      </c>
      <c r="F38" s="115" t="str">
        <f>VLOOKUP(D38,Data!H:J,3,0)</f>
        <v>Nazım Öztel</v>
      </c>
      <c r="G38" s="116" t="b">
        <v>1</v>
      </c>
      <c r="H38" s="116" t="b">
        <v>0</v>
      </c>
      <c r="I38" s="116" t="b">
        <v>0</v>
      </c>
      <c r="J38" s="116" t="b">
        <v>1</v>
      </c>
      <c r="K38" s="116" t="b">
        <v>0</v>
      </c>
      <c r="L38" s="117">
        <f t="shared" si="1"/>
        <v>2</v>
      </c>
      <c r="M38" s="117">
        <f t="shared" si="2"/>
        <v>8</v>
      </c>
      <c r="N38" s="112"/>
      <c r="O38" s="112"/>
    </row>
    <row r="39" ht="15.0" customHeight="1">
      <c r="A39" s="112"/>
      <c r="B39" s="112"/>
      <c r="C39" s="112"/>
      <c r="D39" s="129" t="s">
        <v>58</v>
      </c>
      <c r="E39" s="114" t="str">
        <f>VLOOKUP(D39,Data!H:I,2,0)</f>
        <v>İstanbul</v>
      </c>
      <c r="F39" s="115" t="str">
        <f>VLOOKUP(D39,Data!H:J,3,0)</f>
        <v>Freelance</v>
      </c>
      <c r="G39" s="116" t="b">
        <v>0</v>
      </c>
      <c r="H39" s="116" t="b">
        <v>0</v>
      </c>
      <c r="I39" s="116" t="b">
        <v>1</v>
      </c>
      <c r="J39" s="116" t="b">
        <v>1</v>
      </c>
      <c r="K39" s="116" t="b">
        <v>1</v>
      </c>
      <c r="L39" s="117">
        <f t="shared" si="1"/>
        <v>3</v>
      </c>
      <c r="M39" s="117">
        <f t="shared" si="2"/>
        <v>12</v>
      </c>
      <c r="N39" s="88"/>
      <c r="O39" s="112"/>
    </row>
    <row r="40" ht="15.0" customHeight="1">
      <c r="A40" s="121"/>
      <c r="B40" s="121"/>
      <c r="C40" s="121"/>
      <c r="D40" s="129" t="s">
        <v>236</v>
      </c>
      <c r="E40" s="114" t="str">
        <f>VLOOKUP(D40,Data!H:I,2,0)</f>
        <v>İstanbul</v>
      </c>
      <c r="F40" s="115" t="str">
        <f>VLOOKUP(D40,Data!H:J,3,0)</f>
        <v>Filamingo</v>
      </c>
      <c r="G40" s="116" t="b">
        <v>0</v>
      </c>
      <c r="H40" s="116" t="b">
        <v>0</v>
      </c>
      <c r="I40" s="116" t="b">
        <v>1</v>
      </c>
      <c r="J40" s="116" t="b">
        <v>1</v>
      </c>
      <c r="K40" s="116" t="b">
        <v>1</v>
      </c>
      <c r="L40" s="117">
        <f t="shared" si="1"/>
        <v>3</v>
      </c>
      <c r="M40" s="117">
        <f t="shared" si="2"/>
        <v>12</v>
      </c>
      <c r="N40" s="121"/>
      <c r="O40" s="121"/>
    </row>
    <row r="41" ht="15.0" customHeight="1">
      <c r="A41" s="112"/>
      <c r="B41" s="112"/>
      <c r="C41" s="112"/>
      <c r="D41" s="129" t="s">
        <v>123</v>
      </c>
      <c r="E41" s="114" t="str">
        <f>VLOOKUP(D41,Data!H:I,2,0)</f>
        <v>İstanbul</v>
      </c>
      <c r="F41" s="115" t="str">
        <f>VLOOKUP(D41,Data!H:J,3,0)</f>
        <v>Freelance</v>
      </c>
      <c r="G41" s="116" t="b">
        <v>0</v>
      </c>
      <c r="H41" s="116" t="b">
        <v>0</v>
      </c>
      <c r="I41" s="116" t="b">
        <v>0</v>
      </c>
      <c r="J41" s="116" t="b">
        <v>0</v>
      </c>
      <c r="K41" s="116" t="b">
        <v>0</v>
      </c>
      <c r="L41" s="117">
        <f t="shared" si="1"/>
        <v>0</v>
      </c>
      <c r="M41" s="117">
        <f t="shared" si="2"/>
        <v>0</v>
      </c>
      <c r="N41" s="112"/>
      <c r="O41" s="112"/>
    </row>
    <row r="42" ht="15.0" customHeight="1">
      <c r="A42" s="112"/>
      <c r="B42" s="112"/>
      <c r="C42" s="112"/>
      <c r="D42" s="132" t="s">
        <v>117</v>
      </c>
      <c r="E42" s="114" t="str">
        <f>VLOOKUP(D42,Data!H:I,2,0)</f>
        <v>İstanbul</v>
      </c>
      <c r="F42" s="115" t="str">
        <f>VLOOKUP(D42,Data!H:J,3,0)</f>
        <v>Freelance</v>
      </c>
      <c r="G42" s="116" t="b">
        <v>0</v>
      </c>
      <c r="H42" s="116" t="b">
        <v>0</v>
      </c>
      <c r="I42" s="116" t="b">
        <v>0</v>
      </c>
      <c r="J42" s="116" t="b">
        <v>0</v>
      </c>
      <c r="K42" s="116" t="b">
        <v>0</v>
      </c>
      <c r="L42" s="117">
        <f t="shared" si="1"/>
        <v>0</v>
      </c>
      <c r="M42" s="117">
        <f t="shared" si="2"/>
        <v>0</v>
      </c>
      <c r="N42" s="112"/>
      <c r="O42" s="112"/>
    </row>
    <row r="43" ht="15.0" customHeight="1">
      <c r="A43" s="112"/>
      <c r="B43" s="112"/>
      <c r="C43" s="112"/>
      <c r="D43" s="129" t="s">
        <v>135</v>
      </c>
      <c r="E43" s="114" t="str">
        <f>VLOOKUP(D43,Data!H:I,2,0)</f>
        <v>İstanbul</v>
      </c>
      <c r="F43" s="115" t="str">
        <f>VLOOKUP(D43,Data!H:J,3,0)</f>
        <v>Freelance</v>
      </c>
      <c r="G43" s="116" t="b">
        <v>0</v>
      </c>
      <c r="H43" s="116" t="b">
        <v>0</v>
      </c>
      <c r="I43" s="116" t="b">
        <v>1</v>
      </c>
      <c r="J43" s="116" t="b">
        <v>0</v>
      </c>
      <c r="K43" s="116" t="b">
        <v>0</v>
      </c>
      <c r="L43" s="117">
        <f t="shared" si="1"/>
        <v>1</v>
      </c>
      <c r="M43" s="117">
        <f t="shared" si="2"/>
        <v>4</v>
      </c>
      <c r="N43" s="112"/>
      <c r="O43" s="112"/>
    </row>
    <row r="44" ht="15.0" customHeight="1">
      <c r="A44" s="112"/>
      <c r="B44" s="112"/>
      <c r="C44" s="112"/>
      <c r="D44" s="129" t="s">
        <v>70</v>
      </c>
      <c r="E44" s="114" t="str">
        <f>VLOOKUP(D44,Data!H:I,2,0)</f>
        <v>İstanbul</v>
      </c>
      <c r="F44" s="115" t="str">
        <f>VLOOKUP(D44,Data!H:J,3,0)</f>
        <v>Freelance</v>
      </c>
      <c r="G44" s="116" t="b">
        <v>0</v>
      </c>
      <c r="H44" s="116" t="b">
        <v>0</v>
      </c>
      <c r="I44" s="116" t="b">
        <v>0</v>
      </c>
      <c r="J44" s="116" t="b">
        <v>0</v>
      </c>
      <c r="K44" s="116" t="b">
        <v>0</v>
      </c>
      <c r="L44" s="117">
        <f t="shared" si="1"/>
        <v>0</v>
      </c>
      <c r="M44" s="117">
        <f t="shared" si="2"/>
        <v>0</v>
      </c>
      <c r="N44" s="112"/>
      <c r="O44" s="112"/>
    </row>
    <row r="45" ht="15.0" customHeight="1">
      <c r="A45" s="112"/>
      <c r="B45" s="112"/>
      <c r="C45" s="112"/>
      <c r="D45" s="129" t="s">
        <v>174</v>
      </c>
      <c r="E45" s="114" t="str">
        <f>VLOOKUP(D45,Data!H:I,2,0)</f>
        <v>İstanbul</v>
      </c>
      <c r="F45" s="115" t="str">
        <f>VLOOKUP(D45,Data!H:J,3,0)</f>
        <v>Freelance</v>
      </c>
      <c r="G45" s="116" t="b">
        <v>0</v>
      </c>
      <c r="H45" s="116" t="b">
        <v>0</v>
      </c>
      <c r="I45" s="116" t="b">
        <v>0</v>
      </c>
      <c r="J45" s="116" t="b">
        <v>0</v>
      </c>
      <c r="K45" s="116" t="b">
        <v>0</v>
      </c>
      <c r="L45" s="117">
        <f t="shared" si="1"/>
        <v>0</v>
      </c>
      <c r="M45" s="117">
        <f t="shared" si="2"/>
        <v>0</v>
      </c>
      <c r="N45" s="120"/>
      <c r="O45" s="112"/>
    </row>
    <row r="46" ht="15.0" customHeight="1">
      <c r="A46" s="112"/>
      <c r="B46" s="112"/>
      <c r="C46" s="112"/>
      <c r="D46" s="129" t="s">
        <v>78</v>
      </c>
      <c r="E46" s="114" t="str">
        <f>VLOOKUP(D46,Data!H:I,2,0)</f>
        <v>İstanbul</v>
      </c>
      <c r="F46" s="115" t="str">
        <f>VLOOKUP(D46,Data!H:J,3,0)</f>
        <v>Freelance</v>
      </c>
      <c r="G46" s="116" t="b">
        <v>0</v>
      </c>
      <c r="H46" s="116" t="b">
        <v>0</v>
      </c>
      <c r="I46" s="116" t="b">
        <v>0</v>
      </c>
      <c r="J46" s="116" t="b">
        <v>0</v>
      </c>
      <c r="K46" s="116" t="b">
        <v>0</v>
      </c>
      <c r="L46" s="117">
        <f t="shared" si="1"/>
        <v>0</v>
      </c>
      <c r="M46" s="117">
        <f t="shared" si="2"/>
        <v>0</v>
      </c>
      <c r="N46" s="120"/>
      <c r="O46" s="112"/>
    </row>
    <row r="47" ht="15.0" customHeight="1">
      <c r="A47" s="112"/>
      <c r="B47" s="112"/>
      <c r="C47" s="112"/>
      <c r="D47" s="129" t="s">
        <v>79</v>
      </c>
      <c r="E47" s="114" t="str">
        <f>VLOOKUP(D47,Data!H:I,2,0)</f>
        <v>İstanbul</v>
      </c>
      <c r="F47" s="115" t="str">
        <f>VLOOKUP(D47,Data!H:J,3,0)</f>
        <v>Freelance</v>
      </c>
      <c r="G47" s="116" t="b">
        <v>0</v>
      </c>
      <c r="H47" s="116" t="b">
        <v>0</v>
      </c>
      <c r="I47" s="116" t="b">
        <v>0</v>
      </c>
      <c r="J47" s="116" t="b">
        <v>0</v>
      </c>
      <c r="K47" s="116" t="b">
        <v>0</v>
      </c>
      <c r="L47" s="117">
        <f t="shared" si="1"/>
        <v>0</v>
      </c>
      <c r="M47" s="117">
        <f t="shared" si="2"/>
        <v>0</v>
      </c>
      <c r="N47" s="120"/>
      <c r="O47" s="112"/>
    </row>
    <row r="48" ht="15.0" customHeight="1">
      <c r="A48" s="122"/>
      <c r="B48" s="122"/>
      <c r="C48" s="122"/>
      <c r="D48" s="129" t="s">
        <v>80</v>
      </c>
      <c r="E48" s="114" t="str">
        <f>VLOOKUP(D48,Data!H:I,2,0)</f>
        <v>İstanbul</v>
      </c>
      <c r="F48" s="115" t="str">
        <f>VLOOKUP(D48,Data!H:J,3,0)</f>
        <v>Freelance</v>
      </c>
      <c r="G48" s="116" t="b">
        <v>1</v>
      </c>
      <c r="H48" s="116" t="b">
        <v>0</v>
      </c>
      <c r="I48" s="116" t="b">
        <v>1</v>
      </c>
      <c r="J48" s="116" t="b">
        <v>1</v>
      </c>
      <c r="K48" s="116" t="b">
        <v>1</v>
      </c>
      <c r="L48" s="117">
        <f t="shared" si="1"/>
        <v>4</v>
      </c>
      <c r="M48" s="117">
        <f t="shared" si="2"/>
        <v>16</v>
      </c>
      <c r="N48" s="112"/>
      <c r="O48" s="122"/>
    </row>
    <row r="49" ht="15.0" customHeight="1">
      <c r="A49" s="124"/>
      <c r="B49" s="124"/>
      <c r="C49" s="124"/>
      <c r="D49" s="129" t="s">
        <v>232</v>
      </c>
      <c r="E49" s="114" t="str">
        <f>VLOOKUP(D49,Data!H:I,2,0)</f>
        <v>İstanbul</v>
      </c>
      <c r="F49" s="115" t="str">
        <f>VLOOKUP(D49,Data!H:J,3,0)</f>
        <v>Filamingo</v>
      </c>
      <c r="G49" s="116" t="b">
        <v>0</v>
      </c>
      <c r="H49" s="116" t="b">
        <v>0</v>
      </c>
      <c r="I49" s="116" t="b">
        <v>0</v>
      </c>
      <c r="J49" s="116" t="b">
        <v>0</v>
      </c>
      <c r="K49" s="116" t="b">
        <v>0</v>
      </c>
      <c r="L49" s="117">
        <f t="shared" si="1"/>
        <v>0</v>
      </c>
      <c r="M49" s="117">
        <f t="shared" si="2"/>
        <v>0</v>
      </c>
      <c r="N49" s="112"/>
      <c r="O49" s="124"/>
    </row>
    <row r="50" ht="15.0" customHeight="1">
      <c r="A50" s="124"/>
      <c r="B50" s="124"/>
      <c r="C50" s="124"/>
      <c r="D50" s="129" t="s">
        <v>166</v>
      </c>
      <c r="E50" s="114" t="str">
        <f>VLOOKUP(D50,Data!H:I,2,0)</f>
        <v>İstanbul</v>
      </c>
      <c r="F50" s="115" t="str">
        <f>VLOOKUP(D50,Data!H:J,3,0)</f>
        <v>Filamingo</v>
      </c>
      <c r="G50" s="116" t="b">
        <v>0</v>
      </c>
      <c r="H50" s="116" t="b">
        <v>0</v>
      </c>
      <c r="I50" s="116" t="b">
        <v>0</v>
      </c>
      <c r="J50" s="116" t="b">
        <v>0</v>
      </c>
      <c r="K50" s="116" t="b">
        <v>0</v>
      </c>
      <c r="L50" s="117">
        <f t="shared" si="1"/>
        <v>0</v>
      </c>
      <c r="M50" s="117">
        <f t="shared" si="2"/>
        <v>0</v>
      </c>
      <c r="N50" s="112"/>
      <c r="O50" s="124"/>
    </row>
    <row r="51" ht="15.0" customHeight="1">
      <c r="A51" s="112"/>
      <c r="B51" s="112"/>
      <c r="C51" s="112"/>
      <c r="D51" s="132" t="s">
        <v>119</v>
      </c>
      <c r="E51" s="114" t="str">
        <f>VLOOKUP(D51,Data!H:I,2,0)</f>
        <v>İstanbul</v>
      </c>
      <c r="F51" s="115" t="str">
        <f>VLOOKUP(D51,Data!H:J,3,0)</f>
        <v>Filamingo</v>
      </c>
      <c r="G51" s="116" t="b">
        <v>0</v>
      </c>
      <c r="H51" s="116" t="b">
        <v>0</v>
      </c>
      <c r="I51" s="116" t="b">
        <v>0</v>
      </c>
      <c r="J51" s="116" t="b">
        <v>0</v>
      </c>
      <c r="K51" s="116" t="b">
        <v>0</v>
      </c>
      <c r="L51" s="117">
        <f t="shared" si="1"/>
        <v>0</v>
      </c>
      <c r="M51" s="117">
        <f t="shared" si="2"/>
        <v>0</v>
      </c>
      <c r="N51" s="124"/>
      <c r="O51" s="112"/>
    </row>
    <row r="52" ht="15.0" customHeight="1">
      <c r="A52" s="112"/>
      <c r="B52" s="112"/>
      <c r="C52" s="112"/>
      <c r="D52" s="129" t="s">
        <v>96</v>
      </c>
      <c r="E52" s="114" t="s">
        <v>237</v>
      </c>
      <c r="F52" s="115" t="s">
        <v>61</v>
      </c>
      <c r="G52" s="116" t="b">
        <v>0</v>
      </c>
      <c r="H52" s="116" t="b">
        <v>0</v>
      </c>
      <c r="I52" s="116" t="b">
        <v>0</v>
      </c>
      <c r="J52" s="116" t="b">
        <v>0</v>
      </c>
      <c r="K52" s="116" t="b">
        <v>0</v>
      </c>
      <c r="L52" s="117">
        <f t="shared" si="1"/>
        <v>0</v>
      </c>
      <c r="M52" s="117">
        <f t="shared" si="2"/>
        <v>0</v>
      </c>
      <c r="N52" s="124"/>
      <c r="O52" s="112"/>
    </row>
    <row r="53" ht="15.0" customHeight="1">
      <c r="A53" s="112"/>
      <c r="B53" s="112"/>
      <c r="C53" s="112"/>
      <c r="D53" s="129" t="s">
        <v>185</v>
      </c>
      <c r="E53" s="114" t="str">
        <f>VLOOKUP(D53,Data!H:I,2,0)</f>
        <v>İstanbul</v>
      </c>
      <c r="F53" s="115" t="str">
        <f>VLOOKUP(D53,Data!H:J,3,0)</f>
        <v>Filamingo</v>
      </c>
      <c r="G53" s="116" t="b">
        <v>0</v>
      </c>
      <c r="H53" s="116" t="b">
        <v>0</v>
      </c>
      <c r="I53" s="116" t="b">
        <v>0</v>
      </c>
      <c r="J53" s="116" t="b">
        <v>0</v>
      </c>
      <c r="K53" s="116" t="b">
        <v>0</v>
      </c>
      <c r="L53" s="117">
        <f t="shared" si="1"/>
        <v>0</v>
      </c>
      <c r="M53" s="117">
        <f t="shared" si="2"/>
        <v>0</v>
      </c>
      <c r="N53" s="112"/>
      <c r="O53" s="112"/>
    </row>
    <row r="54" ht="15.0" customHeight="1">
      <c r="A54" s="112"/>
      <c r="B54" s="112"/>
      <c r="C54" s="112"/>
      <c r="D54" s="129" t="s">
        <v>217</v>
      </c>
      <c r="E54" s="114" t="str">
        <f>VLOOKUP(D54,Data!H:I,2,0)</f>
        <v>İstanbul</v>
      </c>
      <c r="F54" s="115" t="str">
        <f>VLOOKUP(D54,Data!H:J,3,0)</f>
        <v>Freelance</v>
      </c>
      <c r="G54" s="116" t="b">
        <v>0</v>
      </c>
      <c r="H54" s="116" t="b">
        <v>0</v>
      </c>
      <c r="I54" s="116" t="b">
        <v>0</v>
      </c>
      <c r="J54" s="116" t="b">
        <v>0</v>
      </c>
      <c r="K54" s="116" t="b">
        <v>0</v>
      </c>
      <c r="L54" s="117">
        <f t="shared" si="1"/>
        <v>0</v>
      </c>
      <c r="M54" s="117">
        <f t="shared" si="2"/>
        <v>0</v>
      </c>
      <c r="N54" s="112"/>
      <c r="O54" s="112"/>
    </row>
    <row r="55" ht="15.0" customHeight="1">
      <c r="A55" s="112"/>
      <c r="B55" s="112"/>
      <c r="C55" s="112"/>
      <c r="D55" s="129" t="s">
        <v>81</v>
      </c>
      <c r="E55" s="114" t="str">
        <f>VLOOKUP(D55,Data!H:I,2,0)</f>
        <v>İstanbul</v>
      </c>
      <c r="F55" s="115" t="str">
        <f>VLOOKUP(D55,Data!H:J,3,0)</f>
        <v>Freelance</v>
      </c>
      <c r="G55" s="116" t="b">
        <v>1</v>
      </c>
      <c r="H55" s="116" t="b">
        <v>0</v>
      </c>
      <c r="I55" s="116" t="b">
        <v>1</v>
      </c>
      <c r="J55" s="116" t="b">
        <v>1</v>
      </c>
      <c r="K55" s="116" t="b">
        <v>1</v>
      </c>
      <c r="L55" s="117">
        <f t="shared" si="1"/>
        <v>4</v>
      </c>
      <c r="M55" s="117">
        <f t="shared" si="2"/>
        <v>16</v>
      </c>
      <c r="N55" s="112"/>
      <c r="O55" s="112"/>
    </row>
    <row r="56" ht="15.0" customHeight="1">
      <c r="A56" s="112"/>
      <c r="B56" s="112"/>
      <c r="C56" s="112"/>
      <c r="D56" s="129" t="s">
        <v>201</v>
      </c>
      <c r="E56" s="114" t="str">
        <f>VLOOKUP(D56,Data!H:I,2,0)</f>
        <v>İstanbul</v>
      </c>
      <c r="F56" s="114" t="str">
        <f>VLOOKUP(D56,Data!H:J,3,0)</f>
        <v>Freelance</v>
      </c>
      <c r="G56" s="116" t="b">
        <v>0</v>
      </c>
      <c r="H56" s="116" t="b">
        <v>0</v>
      </c>
      <c r="I56" s="116" t="b">
        <v>0</v>
      </c>
      <c r="J56" s="116" t="b">
        <v>0</v>
      </c>
      <c r="K56" s="116" t="b">
        <v>0</v>
      </c>
      <c r="L56" s="117">
        <f t="shared" si="1"/>
        <v>0</v>
      </c>
      <c r="M56" s="117">
        <f t="shared" si="2"/>
        <v>0</v>
      </c>
      <c r="N56" s="112"/>
      <c r="O56" s="112"/>
    </row>
    <row r="57" ht="15.0" customHeight="1">
      <c r="A57" s="112"/>
      <c r="B57" s="112"/>
      <c r="C57" s="112"/>
      <c r="D57" s="129" t="s">
        <v>175</v>
      </c>
      <c r="E57" s="114" t="str">
        <f>VLOOKUP(D57,Data!H:I,2,0)</f>
        <v>İstanbul</v>
      </c>
      <c r="F57" s="115" t="str">
        <f>VLOOKUP(D57,Data!H:J,3,0)</f>
        <v>Freelance</v>
      </c>
      <c r="G57" s="116" t="b">
        <v>0</v>
      </c>
      <c r="H57" s="116" t="b">
        <v>0</v>
      </c>
      <c r="I57" s="116" t="b">
        <v>0</v>
      </c>
      <c r="J57" s="116" t="b">
        <v>0</v>
      </c>
      <c r="K57" s="116" t="b">
        <v>0</v>
      </c>
      <c r="L57" s="117">
        <f t="shared" si="1"/>
        <v>0</v>
      </c>
      <c r="M57" s="117">
        <f t="shared" si="2"/>
        <v>0</v>
      </c>
      <c r="N57" s="112"/>
      <c r="O57" s="112"/>
    </row>
    <row r="58" ht="15.0" customHeight="1">
      <c r="A58" s="112"/>
      <c r="B58" s="112"/>
      <c r="C58" s="112"/>
      <c r="D58" s="132" t="s">
        <v>83</v>
      </c>
      <c r="E58" s="114" t="str">
        <f>VLOOKUP(D58,Data!H:I,2,0)</f>
        <v>İstanbul</v>
      </c>
      <c r="F58" s="115" t="str">
        <f>VLOOKUP(D58,Data!H:J,3,0)</f>
        <v>Nazım Öztel</v>
      </c>
      <c r="G58" s="116" t="b">
        <v>0</v>
      </c>
      <c r="H58" s="116" t="b">
        <v>0</v>
      </c>
      <c r="I58" s="116" t="b">
        <v>0</v>
      </c>
      <c r="J58" s="116" t="b">
        <v>0</v>
      </c>
      <c r="K58" s="116" t="b">
        <v>0</v>
      </c>
      <c r="L58" s="117">
        <f t="shared" si="1"/>
        <v>0</v>
      </c>
      <c r="M58" s="117">
        <f t="shared" si="2"/>
        <v>0</v>
      </c>
      <c r="N58" s="112"/>
      <c r="O58" s="112"/>
    </row>
    <row r="59" ht="15.0" customHeight="1">
      <c r="A59" s="112"/>
      <c r="B59" s="112"/>
      <c r="C59" s="112"/>
      <c r="D59" s="129" t="s">
        <v>224</v>
      </c>
      <c r="E59" s="145" t="str">
        <f>VLOOKUP(D59,Data!H:I,2,0)</f>
        <v>İstanbul</v>
      </c>
      <c r="F59" s="147" t="str">
        <f>VLOOKUP(D59,Data!H:J,3,0)</f>
        <v>Filamingo</v>
      </c>
      <c r="G59" s="116" t="b">
        <v>1</v>
      </c>
      <c r="H59" s="116" t="b">
        <v>1</v>
      </c>
      <c r="I59" s="116" t="b">
        <v>1</v>
      </c>
      <c r="J59" s="116" t="b">
        <v>1</v>
      </c>
      <c r="K59" s="116" t="b">
        <v>1</v>
      </c>
      <c r="L59" s="146">
        <f t="shared" si="1"/>
        <v>5</v>
      </c>
      <c r="M59" s="146">
        <f t="shared" si="2"/>
        <v>20</v>
      </c>
      <c r="N59" s="125"/>
      <c r="O59" s="112"/>
    </row>
    <row r="60" ht="15.0" customHeight="1">
      <c r="A60" s="125"/>
      <c r="B60" s="125"/>
      <c r="C60" s="125"/>
      <c r="D60" s="129" t="s">
        <v>225</v>
      </c>
      <c r="E60" s="114" t="str">
        <f>VLOOKUP(D60,Data!H:I,2,0)</f>
        <v>İstanbul</v>
      </c>
      <c r="F60" s="115" t="str">
        <f>VLOOKUP(D60,Data!H:J,3,0)</f>
        <v>Filamingo</v>
      </c>
      <c r="G60" s="116" t="b">
        <v>0</v>
      </c>
      <c r="H60" s="116" t="b">
        <v>0</v>
      </c>
      <c r="I60" s="116" t="b">
        <v>0</v>
      </c>
      <c r="J60" s="116" t="b">
        <v>0</v>
      </c>
      <c r="K60" s="116" t="b">
        <v>0</v>
      </c>
      <c r="L60" s="117">
        <f t="shared" si="1"/>
        <v>0</v>
      </c>
      <c r="M60" s="117">
        <f t="shared" si="2"/>
        <v>0</v>
      </c>
      <c r="N60" s="112"/>
      <c r="O60" s="125"/>
    </row>
    <row r="61" ht="15.0" customHeight="1">
      <c r="A61" s="125"/>
      <c r="B61" s="125"/>
      <c r="C61" s="125"/>
      <c r="D61" s="129" t="s">
        <v>238</v>
      </c>
      <c r="E61" s="114" t="str">
        <f>VLOOKUP(D61,Data!H:I,2,0)</f>
        <v>İstanbul</v>
      </c>
      <c r="F61" s="115" t="str">
        <f>VLOOKUP(D61,Data!H:J,3,0)</f>
        <v>Filamingo</v>
      </c>
      <c r="G61" s="116" t="b">
        <v>0</v>
      </c>
      <c r="H61" s="116" t="b">
        <v>0</v>
      </c>
      <c r="I61" s="116" t="b">
        <v>0</v>
      </c>
      <c r="J61" s="116" t="b">
        <v>0</v>
      </c>
      <c r="K61" s="116" t="b">
        <v>0</v>
      </c>
      <c r="L61" s="117">
        <f t="shared" si="1"/>
        <v>0</v>
      </c>
      <c r="M61" s="117">
        <f t="shared" si="2"/>
        <v>0</v>
      </c>
      <c r="N61" s="112"/>
      <c r="O61" s="125"/>
    </row>
    <row r="62" ht="15.0" customHeight="1">
      <c r="A62" s="125"/>
      <c r="B62" s="125"/>
      <c r="C62" s="125"/>
      <c r="D62" s="129" t="s">
        <v>145</v>
      </c>
      <c r="E62" s="114" t="str">
        <f>VLOOKUP(D62,Data!H:I,2,0)</f>
        <v>İstanbul</v>
      </c>
      <c r="F62" s="115" t="str">
        <f>VLOOKUP(D62,Data!H:J,3,0)</f>
        <v>Filamingo</v>
      </c>
      <c r="G62" s="116" t="b">
        <v>0</v>
      </c>
      <c r="H62" s="116" t="b">
        <v>0</v>
      </c>
      <c r="I62" s="116" t="b">
        <v>0</v>
      </c>
      <c r="J62" s="116" t="b">
        <v>0</v>
      </c>
      <c r="K62" s="116" t="b">
        <v>0</v>
      </c>
      <c r="L62" s="117">
        <f t="shared" si="1"/>
        <v>0</v>
      </c>
      <c r="M62" s="117">
        <f t="shared" si="2"/>
        <v>0</v>
      </c>
      <c r="N62" s="112"/>
      <c r="O62" s="125"/>
    </row>
    <row r="63" ht="15.0" customHeight="1">
      <c r="A63" s="125"/>
      <c r="B63" s="125"/>
      <c r="C63" s="125"/>
      <c r="D63" s="129" t="s">
        <v>87</v>
      </c>
      <c r="E63" s="114" t="str">
        <f>VLOOKUP(D63,Data!H:I,2,0)</f>
        <v>İstanbul</v>
      </c>
      <c r="F63" s="115" t="str">
        <f>VLOOKUP(D63,Data!H:J,3,0)</f>
        <v>Freelance</v>
      </c>
      <c r="G63" s="116" t="b">
        <v>0</v>
      </c>
      <c r="H63" s="116" t="b">
        <v>0</v>
      </c>
      <c r="I63" s="116" t="b">
        <v>1</v>
      </c>
      <c r="J63" s="116" t="b">
        <v>0</v>
      </c>
      <c r="K63" s="116" t="b">
        <v>0</v>
      </c>
      <c r="L63" s="117">
        <f t="shared" si="1"/>
        <v>1</v>
      </c>
      <c r="M63" s="117">
        <f t="shared" si="2"/>
        <v>4</v>
      </c>
      <c r="N63" s="112"/>
      <c r="O63" s="125"/>
    </row>
    <row r="64" ht="15.0" customHeight="1">
      <c r="A64" s="125"/>
      <c r="B64" s="125"/>
      <c r="C64" s="125"/>
      <c r="D64" s="129" t="s">
        <v>242</v>
      </c>
      <c r="E64" s="114" t="str">
        <f>VLOOKUP(D64,Data!H:I,2,0)</f>
        <v>İstanbul</v>
      </c>
      <c r="F64" s="115" t="str">
        <f>VLOOKUP(D64,Data!H:J,3,0)</f>
        <v>Filamingo</v>
      </c>
      <c r="G64" s="116" t="b">
        <v>1</v>
      </c>
      <c r="H64" s="116" t="b">
        <v>0</v>
      </c>
      <c r="I64" s="116" t="b">
        <v>0</v>
      </c>
      <c r="J64" s="116" t="b">
        <v>0</v>
      </c>
      <c r="K64" s="116" t="b">
        <v>0</v>
      </c>
      <c r="L64" s="117">
        <f t="shared" si="1"/>
        <v>1</v>
      </c>
      <c r="M64" s="117">
        <f t="shared" si="2"/>
        <v>4</v>
      </c>
      <c r="N64" s="112"/>
      <c r="O64" s="125"/>
    </row>
    <row r="65" ht="15.0" customHeight="1">
      <c r="A65" s="122"/>
      <c r="B65" s="122"/>
      <c r="C65" s="122"/>
      <c r="D65" s="129" t="s">
        <v>202</v>
      </c>
      <c r="E65" s="114" t="str">
        <f>VLOOKUP(D65,Data!H:I,2,0)</f>
        <v>İstanbul</v>
      </c>
      <c r="F65" s="115" t="str">
        <f>VLOOKUP(D65,Data!H:J,3,0)</f>
        <v>Filamingo</v>
      </c>
      <c r="G65" s="116" t="b">
        <v>0</v>
      </c>
      <c r="H65" s="116" t="b">
        <v>0</v>
      </c>
      <c r="I65" s="116" t="b">
        <v>0</v>
      </c>
      <c r="J65" s="116" t="b">
        <v>0</v>
      </c>
      <c r="K65" s="116" t="b">
        <v>0</v>
      </c>
      <c r="L65" s="117">
        <f t="shared" si="1"/>
        <v>0</v>
      </c>
      <c r="M65" s="117">
        <f t="shared" si="2"/>
        <v>0</v>
      </c>
      <c r="N65" s="112"/>
      <c r="O65" s="122"/>
    </row>
    <row r="66" ht="15.0" customHeight="1">
      <c r="A66" s="112"/>
      <c r="B66" s="112"/>
      <c r="C66" s="112"/>
      <c r="D66" s="132" t="s">
        <v>88</v>
      </c>
      <c r="E66" s="114" t="str">
        <f>VLOOKUP(D66,Data!H:I,2,0)</f>
        <v>İstanbul</v>
      </c>
      <c r="F66" s="115" t="str">
        <f>VLOOKUP(D66,Data!H:J,3,0)</f>
        <v>Nazım Öztel</v>
      </c>
      <c r="G66" s="116" t="b">
        <v>0</v>
      </c>
      <c r="H66" s="116" t="b">
        <v>0</v>
      </c>
      <c r="I66" s="116" t="b">
        <v>0</v>
      </c>
      <c r="J66" s="116" t="b">
        <v>0</v>
      </c>
      <c r="K66" s="116" t="b">
        <v>0</v>
      </c>
      <c r="L66" s="117">
        <f t="shared" si="1"/>
        <v>0</v>
      </c>
      <c r="M66" s="117">
        <f t="shared" si="2"/>
        <v>0</v>
      </c>
      <c r="N66" s="112"/>
      <c r="O66" s="112"/>
    </row>
    <row r="67" ht="15.0" customHeight="1">
      <c r="A67" s="112"/>
      <c r="B67" s="112"/>
      <c r="C67" s="112"/>
      <c r="D67" s="132" t="s">
        <v>89</v>
      </c>
      <c r="E67" s="114" t="str">
        <f>VLOOKUP(D67,Data!H:I,2,0)</f>
        <v>İstanbul</v>
      </c>
      <c r="F67" s="115" t="str">
        <f>VLOOKUP(D67,Data!H:J,3,0)</f>
        <v>Filamingo</v>
      </c>
      <c r="G67" s="116" t="b">
        <v>0</v>
      </c>
      <c r="H67" s="116" t="b">
        <v>0</v>
      </c>
      <c r="I67" s="116" t="b">
        <v>0</v>
      </c>
      <c r="J67" s="116" t="b">
        <v>0</v>
      </c>
      <c r="K67" s="116" t="b">
        <v>0</v>
      </c>
      <c r="L67" s="117">
        <f t="shared" si="1"/>
        <v>0</v>
      </c>
      <c r="M67" s="117">
        <f t="shared" si="2"/>
        <v>0</v>
      </c>
      <c r="N67" s="112"/>
      <c r="O67" s="112"/>
    </row>
    <row r="68" ht="15.0" customHeight="1">
      <c r="A68" s="112"/>
      <c r="B68" s="112"/>
      <c r="C68" s="112"/>
      <c r="D68" s="129" t="s">
        <v>226</v>
      </c>
      <c r="E68" s="114" t="str">
        <f>VLOOKUP(D68,Data!H:I,2,0)</f>
        <v>İstanbul</v>
      </c>
      <c r="F68" s="115" t="str">
        <f>VLOOKUP(D68,Data!H:J,3,0)</f>
        <v>Filamingo</v>
      </c>
      <c r="G68" s="116" t="b">
        <v>1</v>
      </c>
      <c r="H68" s="116" t="b">
        <v>0</v>
      </c>
      <c r="I68" s="116" t="b">
        <v>1</v>
      </c>
      <c r="J68" s="116" t="b">
        <v>0</v>
      </c>
      <c r="K68" s="116" t="b">
        <v>1</v>
      </c>
      <c r="L68" s="117">
        <f t="shared" si="1"/>
        <v>3</v>
      </c>
      <c r="M68" s="117">
        <f t="shared" si="2"/>
        <v>12</v>
      </c>
      <c r="N68" s="125"/>
      <c r="O68" s="112"/>
    </row>
    <row r="69" ht="15.0" customHeight="1">
      <c r="A69" s="112"/>
      <c r="B69" s="112"/>
      <c r="C69" s="112"/>
      <c r="D69" s="132" t="s">
        <v>92</v>
      </c>
      <c r="E69" s="114" t="str">
        <f>VLOOKUP(D69,Data!H:I,2,0)</f>
        <v>İzmir</v>
      </c>
      <c r="F69" s="115" t="str">
        <f>VLOOKUP(D69,Data!H:J,3,0)</f>
        <v>Nazım Öztel</v>
      </c>
      <c r="G69" s="116" t="b">
        <v>1</v>
      </c>
      <c r="H69" s="116" t="b">
        <v>1</v>
      </c>
      <c r="I69" s="116" t="b">
        <v>1</v>
      </c>
      <c r="J69" s="116" t="b">
        <v>1</v>
      </c>
      <c r="K69" s="116" t="b">
        <v>1</v>
      </c>
      <c r="L69" s="117">
        <f t="shared" si="1"/>
        <v>5</v>
      </c>
      <c r="M69" s="117">
        <f t="shared" si="2"/>
        <v>20</v>
      </c>
      <c r="N69" s="112"/>
      <c r="O69" s="112"/>
    </row>
    <row r="70" ht="15.0" customHeight="1">
      <c r="A70" s="112"/>
      <c r="B70" s="112"/>
      <c r="C70" s="112"/>
      <c r="D70" s="129" t="s">
        <v>93</v>
      </c>
      <c r="E70" s="114" t="str">
        <f>VLOOKUP(D70,Data!H:I,2,0)</f>
        <v>İzmir</v>
      </c>
      <c r="F70" s="115" t="str">
        <f>VLOOKUP(D70,Data!H:J,3,0)</f>
        <v>Freelance</v>
      </c>
      <c r="G70" s="116" t="b">
        <v>1</v>
      </c>
      <c r="H70" s="116" t="b">
        <v>1</v>
      </c>
      <c r="I70" s="116" t="b">
        <v>1</v>
      </c>
      <c r="J70" s="116" t="b">
        <v>1</v>
      </c>
      <c r="K70" s="116" t="b">
        <v>1</v>
      </c>
      <c r="L70" s="117">
        <f t="shared" si="1"/>
        <v>5</v>
      </c>
      <c r="M70" s="117">
        <f t="shared" si="2"/>
        <v>20</v>
      </c>
      <c r="N70" s="112"/>
      <c r="O70" s="112"/>
    </row>
    <row r="71" ht="15.0" customHeight="1">
      <c r="A71" s="112"/>
      <c r="B71" s="112"/>
      <c r="C71" s="112"/>
      <c r="D71" s="129" t="s">
        <v>161</v>
      </c>
      <c r="E71" s="143" t="str">
        <f>VLOOKUP(D71,Data!H:I,2,0)</f>
        <v>Kahramanmaraş</v>
      </c>
      <c r="F71" s="115" t="str">
        <f>VLOOKUP(D71,Data!H:J,3,0)</f>
        <v>Nazım Öztel</v>
      </c>
      <c r="G71" s="116" t="b">
        <v>0</v>
      </c>
      <c r="H71" s="116" t="b">
        <v>0</v>
      </c>
      <c r="I71" s="116" t="b">
        <v>0</v>
      </c>
      <c r="J71" s="116" t="b">
        <v>0</v>
      </c>
      <c r="K71" s="116" t="b">
        <v>0</v>
      </c>
      <c r="L71" s="117">
        <f t="shared" si="1"/>
        <v>0</v>
      </c>
      <c r="M71" s="117">
        <f t="shared" si="2"/>
        <v>0</v>
      </c>
      <c r="N71" s="112"/>
      <c r="O71" s="112"/>
    </row>
    <row r="72" ht="15.0" customHeight="1">
      <c r="A72" s="112"/>
      <c r="B72" s="112"/>
      <c r="C72" s="112"/>
      <c r="D72" s="129" t="s">
        <v>243</v>
      </c>
      <c r="E72" s="114" t="str">
        <f>VLOOKUP(D72,Data!H:I,2,0)</f>
        <v>Kayseri</v>
      </c>
      <c r="F72" s="115" t="str">
        <f>VLOOKUP(D72,Data!H:J,3,0)</f>
        <v>Nazım Öztel</v>
      </c>
      <c r="G72" s="116" t="b">
        <v>0</v>
      </c>
      <c r="H72" s="116" t="b">
        <v>0</v>
      </c>
      <c r="I72" s="116" t="b">
        <v>1</v>
      </c>
      <c r="J72" s="116" t="b">
        <v>1</v>
      </c>
      <c r="K72" s="116" t="b">
        <v>1</v>
      </c>
      <c r="L72" s="117">
        <f t="shared" si="1"/>
        <v>3</v>
      </c>
      <c r="M72" s="117">
        <f t="shared" si="2"/>
        <v>12</v>
      </c>
      <c r="N72" s="112"/>
      <c r="O72" s="112"/>
    </row>
    <row r="73" ht="15.0" customHeight="1">
      <c r="A73" s="112"/>
      <c r="B73" s="112"/>
      <c r="C73" s="112"/>
      <c r="D73" s="129" t="s">
        <v>218</v>
      </c>
      <c r="E73" s="114" t="str">
        <f>VLOOKUP(D73,Data!H:I,2,0)</f>
        <v>Kırklareli</v>
      </c>
      <c r="F73" s="115" t="str">
        <f>VLOOKUP(D73,Data!H:J,3,0)</f>
        <v>Nazım Öztel</v>
      </c>
      <c r="G73" s="116" t="b">
        <v>0</v>
      </c>
      <c r="H73" s="116" t="b">
        <v>0</v>
      </c>
      <c r="I73" s="116" t="b">
        <v>0</v>
      </c>
      <c r="J73" s="116" t="b">
        <v>0</v>
      </c>
      <c r="K73" s="116" t="b">
        <v>0</v>
      </c>
      <c r="L73" s="117">
        <f t="shared" si="1"/>
        <v>0</v>
      </c>
      <c r="M73" s="117">
        <f t="shared" si="2"/>
        <v>0</v>
      </c>
      <c r="N73" s="112"/>
      <c r="O73" s="112"/>
    </row>
    <row r="74" ht="15.0" customHeight="1">
      <c r="A74" s="112"/>
      <c r="B74" s="112"/>
      <c r="C74" s="112"/>
      <c r="D74" s="132" t="s">
        <v>96</v>
      </c>
      <c r="E74" s="114" t="str">
        <f>VLOOKUP(D74,Data!H:I,2,0)</f>
        <v>Kocaeli</v>
      </c>
      <c r="F74" s="115" t="str">
        <f>VLOOKUP(D74,Data!H:J,3,0)</f>
        <v>Nazım Öztel</v>
      </c>
      <c r="G74" s="116" t="b">
        <v>0</v>
      </c>
      <c r="H74" s="116" t="b">
        <v>0</v>
      </c>
      <c r="I74" s="116" t="b">
        <v>0</v>
      </c>
      <c r="J74" s="116" t="b">
        <v>0</v>
      </c>
      <c r="K74" s="116" t="b">
        <v>0</v>
      </c>
      <c r="L74" s="117">
        <f t="shared" si="1"/>
        <v>0</v>
      </c>
      <c r="M74" s="117">
        <f t="shared" si="2"/>
        <v>0</v>
      </c>
      <c r="N74" s="112"/>
      <c r="O74" s="112"/>
    </row>
    <row r="75" ht="15.0" customHeight="1">
      <c r="A75" s="112"/>
      <c r="B75" s="112"/>
      <c r="C75" s="112"/>
      <c r="D75" s="129" t="s">
        <v>147</v>
      </c>
      <c r="E75" s="114" t="str">
        <f>VLOOKUP(D75,Data!H:I,2,0)</f>
        <v>Kocaeli</v>
      </c>
      <c r="F75" s="115" t="str">
        <f>VLOOKUP(D75,Data!H:J,3,0)</f>
        <v>Nazım Öztel</v>
      </c>
      <c r="G75" s="116" t="b">
        <v>0</v>
      </c>
      <c r="H75" s="116" t="b">
        <v>0</v>
      </c>
      <c r="I75" s="116" t="b">
        <v>0</v>
      </c>
      <c r="J75" s="116" t="b">
        <v>0</v>
      </c>
      <c r="K75" s="116" t="b">
        <v>0</v>
      </c>
      <c r="L75" s="117">
        <f t="shared" si="1"/>
        <v>0</v>
      </c>
      <c r="M75" s="117">
        <f t="shared" si="2"/>
        <v>0</v>
      </c>
      <c r="N75" s="112"/>
      <c r="O75" s="112"/>
    </row>
    <row r="76" ht="15.0" customHeight="1">
      <c r="A76" s="112"/>
      <c r="B76" s="112"/>
      <c r="C76" s="112"/>
      <c r="D76" s="129" t="s">
        <v>227</v>
      </c>
      <c r="E76" s="114" t="str">
        <f>VLOOKUP(D76,Data!H:I,2,0)</f>
        <v>Konya</v>
      </c>
      <c r="F76" s="115" t="str">
        <f>VLOOKUP(D76,Data!H:J,3,0)</f>
        <v>Nazım Öztel</v>
      </c>
      <c r="G76" s="116" t="b">
        <v>1</v>
      </c>
      <c r="H76" s="116" t="b">
        <v>1</v>
      </c>
      <c r="I76" s="116" t="b">
        <v>1</v>
      </c>
      <c r="J76" s="116" t="b">
        <v>1</v>
      </c>
      <c r="K76" s="116" t="b">
        <v>1</v>
      </c>
      <c r="L76" s="117">
        <f t="shared" si="1"/>
        <v>5</v>
      </c>
      <c r="M76" s="117">
        <f t="shared" si="2"/>
        <v>20</v>
      </c>
      <c r="N76" s="112"/>
      <c r="O76" s="112"/>
    </row>
    <row r="77" ht="15.0" customHeight="1">
      <c r="A77" s="112"/>
      <c r="B77" s="112"/>
      <c r="C77" s="112"/>
      <c r="D77" s="129" t="s">
        <v>203</v>
      </c>
      <c r="E77" s="114" t="str">
        <f>VLOOKUP(D77,Data!H:I,2,0)</f>
        <v>Malatya</v>
      </c>
      <c r="F77" s="115" t="str">
        <f>VLOOKUP(D77,Data!H:J,3,0)</f>
        <v>Nazım Öztel</v>
      </c>
      <c r="G77" s="116" t="b">
        <v>0</v>
      </c>
      <c r="H77" s="116" t="b">
        <v>0</v>
      </c>
      <c r="I77" s="116" t="b">
        <v>0</v>
      </c>
      <c r="J77" s="116" t="b">
        <v>0</v>
      </c>
      <c r="K77" s="116" t="b">
        <v>0</v>
      </c>
      <c r="L77" s="117">
        <f t="shared" si="1"/>
        <v>0</v>
      </c>
      <c r="M77" s="117">
        <f t="shared" si="2"/>
        <v>0</v>
      </c>
      <c r="N77" s="112"/>
      <c r="O77" s="112"/>
    </row>
    <row r="78" ht="15.0" customHeight="1">
      <c r="A78" s="112"/>
      <c r="B78" s="112"/>
      <c r="C78" s="112"/>
      <c r="D78" s="132" t="s">
        <v>98</v>
      </c>
      <c r="E78" s="114" t="str">
        <f>VLOOKUP(D78,Data!H:I,2,0)</f>
        <v>Manisa</v>
      </c>
      <c r="F78" s="115" t="str">
        <f>VLOOKUP(D78,Data!H:J,3,0)</f>
        <v>Nazım Öztel</v>
      </c>
      <c r="G78" s="116" t="b">
        <v>0</v>
      </c>
      <c r="H78" s="116" t="b">
        <v>0</v>
      </c>
      <c r="I78" s="116" t="b">
        <v>0</v>
      </c>
      <c r="J78" s="116" t="b">
        <v>0</v>
      </c>
      <c r="K78" s="116" t="b">
        <v>0</v>
      </c>
      <c r="L78" s="117">
        <f t="shared" si="1"/>
        <v>0</v>
      </c>
      <c r="M78" s="117">
        <f t="shared" si="2"/>
        <v>0</v>
      </c>
      <c r="N78" s="142"/>
      <c r="O78" s="112"/>
    </row>
    <row r="79" ht="15.0" customHeight="1">
      <c r="A79" s="112"/>
      <c r="B79" s="112"/>
      <c r="C79" s="112"/>
      <c r="D79" s="132" t="s">
        <v>99</v>
      </c>
      <c r="E79" s="114" t="str">
        <f>VLOOKUP(D79,Data!H:I,2,0)</f>
        <v>Mersin</v>
      </c>
      <c r="F79" s="115" t="str">
        <f>VLOOKUP(D79,Data!H:J,3,0)</f>
        <v>Nazım Öztel</v>
      </c>
      <c r="G79" s="116" t="b">
        <v>0</v>
      </c>
      <c r="H79" s="116" t="b">
        <v>0</v>
      </c>
      <c r="I79" s="116" t="b">
        <v>0</v>
      </c>
      <c r="J79" s="116" t="b">
        <v>0</v>
      </c>
      <c r="K79" s="116" t="b">
        <v>0</v>
      </c>
      <c r="L79" s="117">
        <f t="shared" si="1"/>
        <v>0</v>
      </c>
      <c r="M79" s="117">
        <f t="shared" si="2"/>
        <v>0</v>
      </c>
      <c r="N79" s="106"/>
      <c r="O79" s="112"/>
    </row>
    <row r="80" ht="15.0" customHeight="1">
      <c r="A80" s="112"/>
      <c r="B80" s="112"/>
      <c r="C80" s="112"/>
      <c r="D80" s="129" t="s">
        <v>169</v>
      </c>
      <c r="E80" s="114" t="str">
        <f>VLOOKUP(D80,Data!H:I,2,0)</f>
        <v>Mersin</v>
      </c>
      <c r="F80" s="115" t="str">
        <f>VLOOKUP(D80,Data!H:J,3,0)</f>
        <v>Nazım Öztel</v>
      </c>
      <c r="G80" s="116" t="b">
        <v>0</v>
      </c>
      <c r="H80" s="116" t="b">
        <v>0</v>
      </c>
      <c r="I80" s="116" t="b">
        <v>0</v>
      </c>
      <c r="J80" s="116" t="b">
        <v>0</v>
      </c>
      <c r="K80" s="116" t="b">
        <v>0</v>
      </c>
      <c r="L80" s="117">
        <f t="shared" si="1"/>
        <v>0</v>
      </c>
      <c r="M80" s="117">
        <f t="shared" si="2"/>
        <v>0</v>
      </c>
      <c r="N80" s="106"/>
      <c r="O80" s="112"/>
    </row>
    <row r="81" ht="15.0" customHeight="1">
      <c r="A81" s="112"/>
      <c r="B81" s="112"/>
      <c r="C81" s="112"/>
      <c r="D81" s="129" t="s">
        <v>148</v>
      </c>
      <c r="E81" s="114" t="str">
        <f>VLOOKUP(D81,Data!H:I,2,0)</f>
        <v>Muğla</v>
      </c>
      <c r="F81" s="115" t="str">
        <f>VLOOKUP(D81,Data!H:J,3,0)</f>
        <v>Nazım Öztel</v>
      </c>
      <c r="G81" s="116" t="b">
        <v>0</v>
      </c>
      <c r="H81" s="116" t="b">
        <v>0</v>
      </c>
      <c r="I81" s="116" t="b">
        <v>0</v>
      </c>
      <c r="J81" s="116" t="b">
        <v>0</v>
      </c>
      <c r="K81" s="116" t="b">
        <v>0</v>
      </c>
      <c r="L81" s="117">
        <f t="shared" si="1"/>
        <v>0</v>
      </c>
      <c r="M81" s="117">
        <f t="shared" si="2"/>
        <v>0</v>
      </c>
      <c r="N81" s="106"/>
      <c r="O81" s="112"/>
    </row>
    <row r="82" ht="15.0" customHeight="1">
      <c r="A82" s="112"/>
      <c r="B82" s="112"/>
      <c r="C82" s="112"/>
      <c r="D82" s="129" t="s">
        <v>52</v>
      </c>
      <c r="E82" s="114" t="s">
        <v>211</v>
      </c>
      <c r="F82" s="115" t="s">
        <v>61</v>
      </c>
      <c r="G82" s="116" t="b">
        <v>0</v>
      </c>
      <c r="H82" s="116" t="b">
        <v>0</v>
      </c>
      <c r="I82" s="116" t="b">
        <v>0</v>
      </c>
      <c r="J82" s="116" t="b">
        <v>0</v>
      </c>
      <c r="K82" s="116" t="b">
        <v>0</v>
      </c>
      <c r="L82" s="117">
        <f t="shared" si="1"/>
        <v>0</v>
      </c>
      <c r="M82" s="117">
        <f t="shared" si="2"/>
        <v>0</v>
      </c>
      <c r="N82" s="106"/>
      <c r="O82" s="112"/>
    </row>
    <row r="83" ht="15.0" customHeight="1">
      <c r="A83" s="112"/>
      <c r="B83" s="112"/>
      <c r="C83" s="112"/>
      <c r="D83" s="129" t="s">
        <v>193</v>
      </c>
      <c r="E83" s="114" t="str">
        <f>VLOOKUP(D83,Data!H:I,2,0)</f>
        <v>Samsun</v>
      </c>
      <c r="F83" s="115" t="str">
        <f>VLOOKUP(D83,Data!H:J,3,0)</f>
        <v>Nazım Öztel</v>
      </c>
      <c r="G83" s="116" t="b">
        <v>0</v>
      </c>
      <c r="H83" s="116" t="b">
        <v>0</v>
      </c>
      <c r="I83" s="116" t="b">
        <v>0</v>
      </c>
      <c r="J83" s="116" t="b">
        <v>0</v>
      </c>
      <c r="K83" s="116" t="b">
        <v>0</v>
      </c>
      <c r="L83" s="117">
        <f t="shared" si="1"/>
        <v>0</v>
      </c>
      <c r="M83" s="117">
        <f t="shared" si="2"/>
        <v>0</v>
      </c>
      <c r="N83" s="106"/>
      <c r="O83" s="112"/>
    </row>
    <row r="84" ht="15.0" customHeight="1">
      <c r="A84" s="112"/>
      <c r="B84" s="112"/>
      <c r="C84" s="112"/>
      <c r="D84" s="129" t="s">
        <v>104</v>
      </c>
      <c r="E84" s="114" t="str">
        <f>VLOOKUP(D84,Data!H:I,2,0)</f>
        <v>Tekirdağ</v>
      </c>
      <c r="F84" s="115" t="str">
        <f>VLOOKUP(D84,Data!H:J,3,0)</f>
        <v>Freelance</v>
      </c>
      <c r="G84" s="116" t="b">
        <v>0</v>
      </c>
      <c r="H84" s="116" t="b">
        <v>0</v>
      </c>
      <c r="I84" s="116" t="b">
        <v>0</v>
      </c>
      <c r="J84" s="116" t="b">
        <v>0</v>
      </c>
      <c r="K84" s="116" t="b">
        <v>0</v>
      </c>
      <c r="L84" s="117">
        <f t="shared" si="1"/>
        <v>0</v>
      </c>
      <c r="M84" s="117">
        <f t="shared" si="2"/>
        <v>0</v>
      </c>
      <c r="N84" s="112"/>
      <c r="O84" s="112"/>
    </row>
    <row r="85" ht="15.0" customHeight="1">
      <c r="A85" s="112"/>
      <c r="B85" s="112"/>
      <c r="C85" s="112"/>
      <c r="D85" s="129" t="s">
        <v>154</v>
      </c>
      <c r="E85" s="114" t="str">
        <f>VLOOKUP(D85,Data!H:I,2,0)</f>
        <v>Uşak</v>
      </c>
      <c r="F85" s="115" t="str">
        <f>VLOOKUP(D85,Data!H:J,3,0)</f>
        <v>Nazım Öztel</v>
      </c>
      <c r="G85" s="116" t="b">
        <v>0</v>
      </c>
      <c r="H85" s="116" t="b">
        <v>1</v>
      </c>
      <c r="I85" s="116" t="b">
        <v>0</v>
      </c>
      <c r="J85" s="116" t="b">
        <v>0</v>
      </c>
      <c r="K85" s="116" t="b">
        <v>0</v>
      </c>
      <c r="L85" s="117">
        <f t="shared" si="1"/>
        <v>1</v>
      </c>
      <c r="M85" s="117">
        <f t="shared" si="2"/>
        <v>4</v>
      </c>
      <c r="N85" s="112"/>
      <c r="O85" s="112"/>
    </row>
    <row r="86" ht="15.0" customHeight="1">
      <c r="A86" s="112"/>
      <c r="B86" s="112"/>
      <c r="C86" s="112"/>
      <c r="D86" s="129" t="s">
        <v>176</v>
      </c>
      <c r="E86" s="144" t="s">
        <v>206</v>
      </c>
      <c r="F86" s="144" t="s">
        <v>61</v>
      </c>
      <c r="G86" s="116" t="b">
        <v>0</v>
      </c>
      <c r="H86" s="116" t="b">
        <v>0</v>
      </c>
      <c r="I86" s="116" t="b">
        <v>0</v>
      </c>
      <c r="J86" s="116" t="b">
        <v>0</v>
      </c>
      <c r="K86" s="116" t="b">
        <v>0</v>
      </c>
      <c r="L86" s="117">
        <f t="shared" si="1"/>
        <v>0</v>
      </c>
      <c r="M86" s="117">
        <f t="shared" si="2"/>
        <v>0</v>
      </c>
      <c r="N86" s="112"/>
      <c r="O86" s="112"/>
    </row>
    <row r="87" ht="15.0" customHeight="1">
      <c r="A87" s="112"/>
      <c r="B87" s="112"/>
      <c r="C87" s="112"/>
      <c r="D87" s="132"/>
      <c r="E87" s="132"/>
      <c r="F87" s="132"/>
      <c r="G87" s="117">
        <f t="shared" ref="G87:K87" si="3">4*(COUNTIF(G15:G86,"true"))</f>
        <v>40</v>
      </c>
      <c r="H87" s="117">
        <f t="shared" si="3"/>
        <v>24</v>
      </c>
      <c r="I87" s="117">
        <f t="shared" si="3"/>
        <v>52</v>
      </c>
      <c r="J87" s="117">
        <f t="shared" si="3"/>
        <v>48</v>
      </c>
      <c r="K87" s="117">
        <f t="shared" si="3"/>
        <v>48</v>
      </c>
      <c r="L87" s="135"/>
      <c r="M87" s="135">
        <f>SUM(G87:K87)</f>
        <v>212</v>
      </c>
      <c r="N87" s="112"/>
      <c r="O87" s="112"/>
    </row>
  </sheetData>
  <customSheetViews>
    <customSheetView guid="{90E1DF85-7252-44D2-BA7D-CC3767CD0E8B}" filter="1" showAutoFilter="1">
      <autoFilter ref="$A$14:$O$87">
        <filterColumn colId="4">
          <filters>
            <filter val="Kırklareli"/>
            <filter val="Samsun"/>
            <filter val="Burdur"/>
            <filter val="Bilecik"/>
            <filter val="Zonguldak"/>
            <filter val="Elazığ"/>
            <filter val="Bartın"/>
            <filter val="Kayseri"/>
            <filter val="Düzce"/>
            <filter val="Malatya"/>
            <filter val="Denizli"/>
            <filter val="Çanakkale"/>
            <filter val="Aydın"/>
            <filter val="Çorum"/>
            <filter val="Osmaniye"/>
            <filter val="Edirne"/>
            <filter val="Afyon"/>
            <filter val="Muğla"/>
            <filter val="Eskişehir"/>
            <filter val="Kahramanmaraş"/>
            <filter val="Balıkesir"/>
            <filter val="Uşak"/>
          </filters>
        </filterColumn>
      </autoFilter>
    </customSheetView>
    <customSheetView guid="{70B995D3-3AEB-4DFE-A0CA-D6FFCCE596BC}" filter="1" showAutoFilter="1">
      <autoFilter ref="$D$14:$D$86"/>
    </customSheetView>
  </customSheetViews>
  <mergeCells count="4">
    <mergeCell ref="D6:K6"/>
    <mergeCell ref="D7:F7"/>
    <mergeCell ref="D9:D12"/>
    <mergeCell ref="F10:M11"/>
  </mergeCells>
  <conditionalFormatting sqref="G15:K86">
    <cfRule type="cellIs" dxfId="1" priority="1" operator="equal">
      <formula>"False"</formula>
    </cfRule>
  </conditionalFormatting>
  <conditionalFormatting sqref="G15:K86">
    <cfRule type="cellIs" dxfId="0" priority="2" operator="equal">
      <formula>"TRUE"</formula>
    </cfRule>
  </conditionalFormatting>
  <dataValidations>
    <dataValidation type="list" allowBlank="1" showErrorMessage="1" sqref="E15:E86">
      <formula1>Data!$A$2:$A$100</formula1>
    </dataValidation>
    <dataValidation type="list" allowBlank="1" showErrorMessage="1" sqref="F15:F86">
      <formula1>Data!$C$2:$C$8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3" width="2.63"/>
    <col customWidth="1" min="4" max="4" width="20.38"/>
    <col customWidth="1" min="5" max="5" width="11.38"/>
    <col customWidth="1" min="6" max="6" width="16.63"/>
    <col customWidth="1" min="7" max="11" width="8.63"/>
    <col customWidth="1" min="12" max="12" width="12.63"/>
    <col customWidth="1" min="13" max="13" width="15.13"/>
    <col customWidth="1" min="14" max="15" width="2.63"/>
  </cols>
  <sheetData>
    <row r="1" ht="7.5" customHeight="1">
      <c r="A1" s="140"/>
      <c r="B1" s="84"/>
      <c r="C1" s="84"/>
      <c r="D1" s="84"/>
      <c r="E1" s="84"/>
      <c r="F1" s="84"/>
      <c r="G1" s="84"/>
      <c r="H1" s="84"/>
      <c r="I1" s="84"/>
      <c r="J1" s="84"/>
      <c r="K1" s="84"/>
      <c r="L1" s="85"/>
      <c r="M1" s="86"/>
      <c r="N1" s="86"/>
      <c r="O1" s="86"/>
    </row>
    <row r="2" ht="15.0" customHeight="1">
      <c r="A2" s="87"/>
      <c r="B2" s="87"/>
      <c r="C2" s="87"/>
      <c r="D2" s="88"/>
      <c r="E2" s="88"/>
      <c r="F2" s="88"/>
      <c r="G2" s="88"/>
      <c r="H2" s="88"/>
      <c r="I2" s="88"/>
      <c r="J2" s="88"/>
      <c r="K2" s="88"/>
      <c r="L2" s="88"/>
      <c r="M2" s="87"/>
      <c r="N2" s="87"/>
      <c r="O2" s="87"/>
    </row>
    <row r="3" ht="3.75" customHeight="1">
      <c r="A3" s="87"/>
      <c r="B3" s="87"/>
      <c r="C3" s="87"/>
      <c r="D3" s="89"/>
      <c r="E3" s="90"/>
      <c r="F3" s="90"/>
      <c r="G3" s="90"/>
      <c r="H3" s="90"/>
      <c r="I3" s="90"/>
      <c r="J3" s="90"/>
      <c r="K3" s="90"/>
      <c r="L3" s="90"/>
      <c r="M3" s="87"/>
      <c r="N3" s="87"/>
      <c r="O3" s="87"/>
    </row>
    <row r="4" ht="15.0" customHeight="1">
      <c r="A4" s="87"/>
      <c r="B4" s="87"/>
      <c r="C4" s="87"/>
      <c r="D4" s="88"/>
      <c r="E4" s="88"/>
      <c r="F4" s="88"/>
      <c r="G4" s="91"/>
      <c r="H4" s="91"/>
      <c r="I4" s="91"/>
      <c r="J4" s="91"/>
      <c r="K4" s="91"/>
      <c r="L4" s="91"/>
      <c r="M4" s="87"/>
      <c r="N4" s="87"/>
      <c r="O4" s="87"/>
    </row>
    <row r="5" ht="15.0" customHeight="1">
      <c r="A5" s="92"/>
      <c r="B5" s="92"/>
      <c r="C5" s="92"/>
      <c r="D5" s="88"/>
      <c r="E5" s="88"/>
      <c r="F5" s="88"/>
      <c r="G5" s="93"/>
      <c r="H5" s="93"/>
      <c r="I5" s="93"/>
      <c r="J5" s="93"/>
      <c r="K5" s="93"/>
      <c r="L5" s="94"/>
      <c r="M5" s="88"/>
      <c r="N5" s="92"/>
      <c r="O5" s="92"/>
    </row>
    <row r="6" ht="15.0" customHeight="1">
      <c r="A6" s="92"/>
      <c r="B6" s="92"/>
      <c r="C6" s="92"/>
      <c r="D6" s="95" t="s">
        <v>244</v>
      </c>
      <c r="L6" s="94"/>
      <c r="M6" s="88"/>
      <c r="N6" s="92"/>
      <c r="O6" s="92"/>
    </row>
    <row r="7" ht="15.0" customHeight="1">
      <c r="A7" s="92"/>
      <c r="B7" s="92"/>
      <c r="C7" s="92"/>
      <c r="D7" s="96" t="s">
        <v>245</v>
      </c>
      <c r="G7" s="97"/>
      <c r="H7" s="97"/>
      <c r="I7" s="97"/>
      <c r="J7" s="97"/>
      <c r="K7" s="97"/>
      <c r="L7" s="92"/>
      <c r="M7" s="92"/>
      <c r="N7" s="92"/>
      <c r="O7" s="92"/>
    </row>
    <row r="8" ht="15.0" customHeight="1">
      <c r="A8" s="92"/>
      <c r="B8" s="92"/>
      <c r="C8" s="92"/>
      <c r="D8" s="97"/>
      <c r="E8" s="97"/>
      <c r="F8" s="97"/>
      <c r="G8" s="97"/>
      <c r="H8" s="97"/>
      <c r="I8" s="97"/>
      <c r="J8" s="97"/>
      <c r="K8" s="97"/>
      <c r="L8" s="92"/>
      <c r="M8" s="92"/>
      <c r="N8" s="92"/>
      <c r="O8" s="92"/>
    </row>
    <row r="9" ht="15.0" customHeight="1">
      <c r="A9" s="92"/>
      <c r="B9" s="92"/>
      <c r="C9" s="98"/>
      <c r="D9" s="99" t="s">
        <v>35</v>
      </c>
      <c r="E9" s="100"/>
      <c r="F9" s="101"/>
      <c r="G9" s="101"/>
      <c r="H9" s="101"/>
      <c r="I9" s="101"/>
      <c r="J9" s="101"/>
      <c r="K9" s="101"/>
      <c r="L9" s="101"/>
      <c r="M9" s="100"/>
      <c r="N9" s="102"/>
      <c r="O9" s="102"/>
    </row>
    <row r="10" ht="15.0" customHeight="1">
      <c r="A10" s="92"/>
      <c r="B10" s="92"/>
      <c r="C10" s="98"/>
      <c r="E10" s="100"/>
      <c r="F10" s="103" t="s">
        <v>36</v>
      </c>
      <c r="N10" s="102"/>
      <c r="O10" s="102"/>
    </row>
    <row r="11" ht="15.0" customHeight="1">
      <c r="A11" s="92"/>
      <c r="B11" s="92"/>
      <c r="C11" s="98"/>
      <c r="E11" s="100"/>
      <c r="N11" s="102"/>
      <c r="O11" s="102"/>
    </row>
    <row r="12" ht="15.0" customHeight="1">
      <c r="A12" s="88"/>
      <c r="B12" s="92"/>
      <c r="C12" s="92"/>
      <c r="E12" s="100"/>
      <c r="F12" s="100"/>
      <c r="G12" s="100"/>
      <c r="H12" s="100"/>
      <c r="I12" s="100"/>
      <c r="J12" s="100"/>
      <c r="K12" s="100"/>
      <c r="L12" s="100"/>
      <c r="M12" s="100"/>
      <c r="N12" s="102"/>
      <c r="O12" s="102"/>
    </row>
    <row r="13" ht="15.0" customHeight="1">
      <c r="A13" s="88"/>
      <c r="B13" s="104"/>
      <c r="C13" s="104"/>
      <c r="D13" s="104"/>
      <c r="E13" s="104"/>
      <c r="F13" s="105"/>
      <c r="G13" s="105"/>
      <c r="H13" s="105"/>
      <c r="I13" s="105"/>
      <c r="J13" s="105"/>
      <c r="K13" s="105"/>
      <c r="L13" s="104"/>
      <c r="M13" s="104"/>
      <c r="N13" s="104"/>
      <c r="O13" s="104"/>
    </row>
    <row r="14" ht="15.0" customHeight="1">
      <c r="A14" s="106"/>
      <c r="B14" s="106"/>
      <c r="C14" s="106"/>
      <c r="D14" s="107" t="s">
        <v>37</v>
      </c>
      <c r="E14" s="108" t="s">
        <v>38</v>
      </c>
      <c r="F14" s="109" t="s">
        <v>39</v>
      </c>
      <c r="G14" s="110">
        <v>44592.0</v>
      </c>
      <c r="H14" s="110">
        <v>44593.0</v>
      </c>
      <c r="I14" s="110">
        <v>44594.0</v>
      </c>
      <c r="J14" s="110">
        <v>44595.0</v>
      </c>
      <c r="K14" s="110">
        <v>44596.0</v>
      </c>
      <c r="L14" s="111" t="s">
        <v>40</v>
      </c>
      <c r="M14" s="111" t="s">
        <v>41</v>
      </c>
      <c r="N14" s="88"/>
      <c r="O14" s="88"/>
    </row>
    <row r="15" ht="15.0" customHeight="1">
      <c r="A15" s="112"/>
      <c r="B15" s="112"/>
      <c r="C15" s="112"/>
      <c r="D15" s="129" t="s">
        <v>42</v>
      </c>
      <c r="E15" s="114" t="str">
        <f>VLOOKUP(D15,Data!H:I,2,0)</f>
        <v>Adana</v>
      </c>
      <c r="F15" s="115" t="str">
        <f>VLOOKUP(D15,Data!H:J,3,0)</f>
        <v>Freelance</v>
      </c>
      <c r="G15" s="116" t="b">
        <v>0</v>
      </c>
      <c r="H15" s="116" t="b">
        <v>0</v>
      </c>
      <c r="I15" s="116" t="b">
        <v>0</v>
      </c>
      <c r="J15" s="116" t="b">
        <v>0</v>
      </c>
      <c r="K15" s="116" t="b">
        <v>0</v>
      </c>
      <c r="L15" s="117">
        <f t="shared" ref="L15:L75" si="1">COUNTIF(G15:K15,"TRUE")</f>
        <v>0</v>
      </c>
      <c r="M15" s="117">
        <f t="shared" ref="M15:M75" si="2">L15*4</f>
        <v>0</v>
      </c>
      <c r="N15" s="112"/>
      <c r="O15" s="88"/>
    </row>
    <row r="16" ht="15.0" customHeight="1">
      <c r="A16" s="112"/>
      <c r="B16" s="112"/>
      <c r="C16" s="112"/>
      <c r="D16" s="129" t="s">
        <v>246</v>
      </c>
      <c r="E16" s="114" t="str">
        <f>VLOOKUP(D16,Data!H:I,2,0)</f>
        <v>Ankara</v>
      </c>
      <c r="F16" s="115" t="str">
        <f>VLOOKUP(D16,Data!H:J,3,0)</f>
        <v>Nazım Öztel</v>
      </c>
      <c r="G16" s="116" t="b">
        <v>1</v>
      </c>
      <c r="H16" s="116" t="b">
        <v>1</v>
      </c>
      <c r="I16" s="116" t="b">
        <v>1</v>
      </c>
      <c r="J16" s="116" t="b">
        <v>1</v>
      </c>
      <c r="K16" s="116" t="b">
        <v>1</v>
      </c>
      <c r="L16" s="117">
        <f t="shared" si="1"/>
        <v>5</v>
      </c>
      <c r="M16" s="117">
        <f t="shared" si="2"/>
        <v>20</v>
      </c>
      <c r="N16" s="112"/>
      <c r="O16" s="88"/>
    </row>
    <row r="17" ht="15.0" customHeight="1">
      <c r="A17" s="106"/>
      <c r="B17" s="106"/>
      <c r="C17" s="106"/>
      <c r="D17" s="129" t="s">
        <v>164</v>
      </c>
      <c r="E17" s="114" t="str">
        <f>VLOOKUP(D17,Data!H:I,2,0)</f>
        <v>Antalya</v>
      </c>
      <c r="F17" s="115" t="str">
        <f>VLOOKUP(D17,Data!H:J,3,0)</f>
        <v>Nazım Öztel</v>
      </c>
      <c r="G17" s="116" t="b">
        <v>1</v>
      </c>
      <c r="H17" s="116" t="b">
        <v>1</v>
      </c>
      <c r="I17" s="116" t="b">
        <v>0</v>
      </c>
      <c r="J17" s="116" t="b">
        <v>0</v>
      </c>
      <c r="K17" s="116" t="b">
        <v>0</v>
      </c>
      <c r="L17" s="117">
        <f t="shared" si="1"/>
        <v>2</v>
      </c>
      <c r="M17" s="117">
        <f t="shared" si="2"/>
        <v>8</v>
      </c>
      <c r="N17" s="112"/>
      <c r="O17" s="106"/>
    </row>
    <row r="18" ht="15.0" customHeight="1">
      <c r="A18" s="112"/>
      <c r="B18" s="112"/>
      <c r="C18" s="112"/>
      <c r="D18" s="129" t="s">
        <v>241</v>
      </c>
      <c r="E18" s="114" t="s">
        <v>184</v>
      </c>
      <c r="F18" s="115" t="s">
        <v>61</v>
      </c>
      <c r="G18" s="116" t="b">
        <v>1</v>
      </c>
      <c r="H18" s="116" t="b">
        <v>1</v>
      </c>
      <c r="I18" s="116" t="b">
        <v>1</v>
      </c>
      <c r="J18" s="116" t="b">
        <v>1</v>
      </c>
      <c r="K18" s="116" t="b">
        <v>1</v>
      </c>
      <c r="L18" s="117">
        <f t="shared" si="1"/>
        <v>5</v>
      </c>
      <c r="M18" s="117">
        <f t="shared" si="2"/>
        <v>20</v>
      </c>
      <c r="N18" s="112"/>
      <c r="O18" s="112"/>
    </row>
    <row r="19" ht="15.0" customHeight="1">
      <c r="A19" s="112"/>
      <c r="B19" s="112"/>
      <c r="C19" s="112"/>
      <c r="D19" s="129" t="s">
        <v>176</v>
      </c>
      <c r="E19" s="114" t="s">
        <v>231</v>
      </c>
      <c r="F19" s="115" t="s">
        <v>61</v>
      </c>
      <c r="G19" s="116" t="b">
        <v>0</v>
      </c>
      <c r="H19" s="116" t="b">
        <v>0</v>
      </c>
      <c r="I19" s="116" t="b">
        <v>0</v>
      </c>
      <c r="J19" s="116" t="b">
        <v>0</v>
      </c>
      <c r="K19" s="116" t="b">
        <v>0</v>
      </c>
      <c r="L19" s="117">
        <f t="shared" si="1"/>
        <v>0</v>
      </c>
      <c r="M19" s="117">
        <f t="shared" si="2"/>
        <v>0</v>
      </c>
      <c r="N19" s="112"/>
      <c r="O19" s="112"/>
    </row>
    <row r="20" ht="15.0" customHeight="1">
      <c r="A20" s="112"/>
      <c r="B20" s="112"/>
      <c r="C20" s="112"/>
      <c r="D20" s="129" t="s">
        <v>198</v>
      </c>
      <c r="E20" s="114" t="s">
        <v>181</v>
      </c>
      <c r="F20" s="115" t="s">
        <v>61</v>
      </c>
      <c r="G20" s="116" t="b">
        <v>0</v>
      </c>
      <c r="H20" s="116" t="b">
        <v>0</v>
      </c>
      <c r="I20" s="116" t="b">
        <v>0</v>
      </c>
      <c r="J20" s="116" t="b">
        <v>0</v>
      </c>
      <c r="K20" s="116" t="b">
        <v>0</v>
      </c>
      <c r="L20" s="117">
        <f t="shared" si="1"/>
        <v>0</v>
      </c>
      <c r="M20" s="117">
        <f t="shared" si="2"/>
        <v>0</v>
      </c>
      <c r="N20" s="112"/>
      <c r="O20" s="112"/>
    </row>
    <row r="21" ht="15.0" customHeight="1">
      <c r="A21" s="112"/>
      <c r="B21" s="112"/>
      <c r="C21" s="112"/>
      <c r="D21" s="129" t="s">
        <v>52</v>
      </c>
      <c r="E21" s="114" t="s">
        <v>181</v>
      </c>
      <c r="F21" s="115" t="s">
        <v>61</v>
      </c>
      <c r="G21" s="116" t="b">
        <v>0</v>
      </c>
      <c r="H21" s="116" t="b">
        <v>0</v>
      </c>
      <c r="I21" s="116" t="b">
        <v>0</v>
      </c>
      <c r="J21" s="116" t="b">
        <v>0</v>
      </c>
      <c r="K21" s="116" t="b">
        <v>0</v>
      </c>
      <c r="L21" s="117">
        <f t="shared" si="1"/>
        <v>0</v>
      </c>
      <c r="M21" s="117">
        <f t="shared" si="2"/>
        <v>0</v>
      </c>
      <c r="N21" s="112"/>
      <c r="O21" s="112"/>
    </row>
    <row r="22" ht="15.0" customHeight="1">
      <c r="A22" s="112"/>
      <c r="B22" s="112"/>
      <c r="C22" s="112"/>
      <c r="D22" s="132" t="s">
        <v>52</v>
      </c>
      <c r="E22" s="114" t="str">
        <f>VLOOKUP(D22,Data!H:I,2,0)</f>
        <v>Bursa</v>
      </c>
      <c r="F22" s="115" t="str">
        <f>VLOOKUP(D22,Data!H:J,3,0)</f>
        <v>Nazım Öztel</v>
      </c>
      <c r="G22" s="116" t="b">
        <v>0</v>
      </c>
      <c r="H22" s="116" t="b">
        <v>0</v>
      </c>
      <c r="I22" s="116" t="b">
        <v>0</v>
      </c>
      <c r="J22" s="116" t="b">
        <v>0</v>
      </c>
      <c r="K22" s="116" t="b">
        <v>0</v>
      </c>
      <c r="L22" s="117">
        <f t="shared" si="1"/>
        <v>0</v>
      </c>
      <c r="M22" s="117">
        <f t="shared" si="2"/>
        <v>0</v>
      </c>
      <c r="N22" s="122"/>
      <c r="O22" s="112"/>
    </row>
    <row r="23" ht="15.0" customHeight="1">
      <c r="A23" s="112"/>
      <c r="B23" s="112"/>
      <c r="C23" s="112"/>
      <c r="D23" s="129" t="s">
        <v>53</v>
      </c>
      <c r="E23" s="114" t="str">
        <f>VLOOKUP(D23,Data!H:I,2,0)</f>
        <v>Bursa</v>
      </c>
      <c r="F23" s="115" t="str">
        <f>VLOOKUP(D23,Data!H:J,3,0)</f>
        <v>Freelance</v>
      </c>
      <c r="G23" s="116" t="b">
        <v>1</v>
      </c>
      <c r="H23" s="116" t="b">
        <v>0</v>
      </c>
      <c r="I23" s="116" t="b">
        <v>0</v>
      </c>
      <c r="J23" s="116" t="b">
        <v>0</v>
      </c>
      <c r="K23" s="116" t="b">
        <v>0</v>
      </c>
      <c r="L23" s="117">
        <f t="shared" si="1"/>
        <v>1</v>
      </c>
      <c r="M23" s="117">
        <f t="shared" si="2"/>
        <v>4</v>
      </c>
      <c r="N23" s="112"/>
      <c r="O23" s="112"/>
    </row>
    <row r="24" ht="15.0" customHeight="1">
      <c r="A24" s="112"/>
      <c r="B24" s="112"/>
      <c r="C24" s="112"/>
      <c r="D24" s="129" t="s">
        <v>247</v>
      </c>
      <c r="E24" s="114" t="str">
        <f>VLOOKUP(D24,Data!H:I,2,0)</f>
        <v>Çanakkale</v>
      </c>
      <c r="F24" s="115" t="str">
        <f>VLOOKUP(D24,Data!H:J,3,0)</f>
        <v>Nazım Öztel</v>
      </c>
      <c r="G24" s="116" t="b">
        <v>0</v>
      </c>
      <c r="H24" s="116" t="b">
        <v>0</v>
      </c>
      <c r="I24" s="116" t="b">
        <v>1</v>
      </c>
      <c r="J24" s="116" t="b">
        <v>1</v>
      </c>
      <c r="K24" s="116" t="b">
        <v>1</v>
      </c>
      <c r="L24" s="117">
        <f t="shared" si="1"/>
        <v>3</v>
      </c>
      <c r="M24" s="117">
        <f t="shared" si="2"/>
        <v>12</v>
      </c>
      <c r="N24" s="112"/>
      <c r="O24" s="112"/>
    </row>
    <row r="25" ht="15.0" customHeight="1">
      <c r="A25" s="112"/>
      <c r="B25" s="112"/>
      <c r="C25" s="112"/>
      <c r="D25" s="129" t="s">
        <v>221</v>
      </c>
      <c r="E25" s="114" t="str">
        <f>VLOOKUP(D25,Data!H:I,2,0)</f>
        <v>Çorum</v>
      </c>
      <c r="F25" s="115" t="str">
        <f>VLOOKUP(D25,Data!H:J,3,0)</f>
        <v>Nazım Öztel</v>
      </c>
      <c r="G25" s="116" t="b">
        <v>0</v>
      </c>
      <c r="H25" s="116" t="b">
        <v>0</v>
      </c>
      <c r="I25" s="116" t="b">
        <v>0</v>
      </c>
      <c r="J25" s="116" t="b">
        <v>0</v>
      </c>
      <c r="K25" s="116" t="b">
        <v>0</v>
      </c>
      <c r="L25" s="117">
        <f t="shared" si="1"/>
        <v>0</v>
      </c>
      <c r="M25" s="117">
        <f t="shared" si="2"/>
        <v>0</v>
      </c>
      <c r="N25" s="112"/>
      <c r="O25" s="112"/>
    </row>
    <row r="26" ht="15.0" customHeight="1">
      <c r="A26" s="112"/>
      <c r="B26" s="112"/>
      <c r="C26" s="112"/>
      <c r="D26" s="129" t="s">
        <v>191</v>
      </c>
      <c r="E26" s="114" t="str">
        <f>VLOOKUP(D26,Data!H:I,2,0)</f>
        <v>Denizli</v>
      </c>
      <c r="F26" s="115" t="str">
        <f>VLOOKUP(D26,Data!H:J,3,0)</f>
        <v>Nazım Öztel</v>
      </c>
      <c r="G26" s="116" t="b">
        <v>0</v>
      </c>
      <c r="H26" s="116" t="b">
        <v>0</v>
      </c>
      <c r="I26" s="116" t="b">
        <v>0</v>
      </c>
      <c r="J26" s="116" t="b">
        <v>0</v>
      </c>
      <c r="K26" s="116" t="b">
        <v>0</v>
      </c>
      <c r="L26" s="117">
        <f t="shared" si="1"/>
        <v>0</v>
      </c>
      <c r="M26" s="117">
        <f t="shared" si="2"/>
        <v>0</v>
      </c>
      <c r="N26" s="112"/>
      <c r="O26" s="112"/>
    </row>
    <row r="27" ht="15.0" customHeight="1">
      <c r="A27" s="112"/>
      <c r="B27" s="112"/>
      <c r="C27" s="112"/>
      <c r="D27" s="132" t="s">
        <v>54</v>
      </c>
      <c r="E27" s="114" t="str">
        <f>VLOOKUP(D27,Data!H:I,2,0)</f>
        <v>Diyarbakır</v>
      </c>
      <c r="F27" s="115" t="str">
        <f>VLOOKUP(D27,Data!H:J,3,0)</f>
        <v>Nazım Öztel</v>
      </c>
      <c r="G27" s="116" t="b">
        <v>0</v>
      </c>
      <c r="H27" s="116" t="b">
        <v>0</v>
      </c>
      <c r="I27" s="116" t="b">
        <v>0</v>
      </c>
      <c r="J27" s="116" t="b">
        <v>0</v>
      </c>
      <c r="K27" s="116" t="b">
        <v>0</v>
      </c>
      <c r="L27" s="117">
        <f t="shared" si="1"/>
        <v>0</v>
      </c>
      <c r="M27" s="117">
        <f t="shared" si="2"/>
        <v>0</v>
      </c>
      <c r="N27" s="112"/>
      <c r="O27" s="112"/>
    </row>
    <row r="28" ht="15.0" customHeight="1">
      <c r="A28" s="112"/>
      <c r="B28" s="112"/>
      <c r="C28" s="112"/>
      <c r="D28" s="129" t="s">
        <v>173</v>
      </c>
      <c r="E28" s="114" t="str">
        <f>VLOOKUP(D28,Data!H:I,2,0)</f>
        <v>Düzce</v>
      </c>
      <c r="F28" s="115" t="str">
        <f>VLOOKUP(D28,Data!H:J,3,0)</f>
        <v>Nazım Öztel</v>
      </c>
      <c r="G28" s="116" t="b">
        <v>0</v>
      </c>
      <c r="H28" s="116" t="b">
        <v>0</v>
      </c>
      <c r="I28" s="116" t="b">
        <v>0</v>
      </c>
      <c r="J28" s="116" t="b">
        <v>0</v>
      </c>
      <c r="K28" s="116" t="b">
        <v>0</v>
      </c>
      <c r="L28" s="117">
        <f t="shared" si="1"/>
        <v>0</v>
      </c>
      <c r="M28" s="117">
        <f t="shared" si="2"/>
        <v>0</v>
      </c>
      <c r="N28" s="112"/>
      <c r="O28" s="112"/>
    </row>
    <row r="29" ht="15.0" customHeight="1">
      <c r="A29" s="112"/>
      <c r="B29" s="112"/>
      <c r="C29" s="112"/>
      <c r="D29" s="129" t="s">
        <v>153</v>
      </c>
      <c r="E29" s="114" t="str">
        <f>VLOOKUP(D29,Data!H:I,2,0)</f>
        <v>Edirne</v>
      </c>
      <c r="F29" s="115" t="str">
        <f>VLOOKUP(D29,Data!H:J,3,0)</f>
        <v>Nazım Öztel</v>
      </c>
      <c r="G29" s="116" t="b">
        <v>0</v>
      </c>
      <c r="H29" s="116" t="b">
        <v>0</v>
      </c>
      <c r="I29" s="116" t="b">
        <v>0</v>
      </c>
      <c r="J29" s="116" t="b">
        <v>0</v>
      </c>
      <c r="K29" s="116" t="b">
        <v>0</v>
      </c>
      <c r="L29" s="117">
        <f t="shared" si="1"/>
        <v>0</v>
      </c>
      <c r="M29" s="117">
        <f t="shared" si="2"/>
        <v>0</v>
      </c>
      <c r="N29" s="112"/>
      <c r="O29" s="112"/>
    </row>
    <row r="30" ht="15.0" customHeight="1">
      <c r="A30" s="112"/>
      <c r="B30" s="112"/>
      <c r="C30" s="112"/>
      <c r="D30" s="129" t="s">
        <v>199</v>
      </c>
      <c r="E30" s="114" t="str">
        <f>VLOOKUP(D30,Data!H:I,2,0)</f>
        <v>Elazığ</v>
      </c>
      <c r="F30" s="115" t="str">
        <f>VLOOKUP(D30,Data!H:J,3,0)</f>
        <v>Nazım Öztel</v>
      </c>
      <c r="G30" s="116" t="b">
        <v>0</v>
      </c>
      <c r="H30" s="116" t="b">
        <v>0</v>
      </c>
      <c r="I30" s="116" t="b">
        <v>0</v>
      </c>
      <c r="J30" s="116" t="b">
        <v>0</v>
      </c>
      <c r="K30" s="116" t="b">
        <v>0</v>
      </c>
      <c r="L30" s="117">
        <f t="shared" si="1"/>
        <v>0</v>
      </c>
      <c r="M30" s="117">
        <f t="shared" si="2"/>
        <v>0</v>
      </c>
      <c r="N30" s="112"/>
      <c r="O30" s="112"/>
    </row>
    <row r="31" ht="15.0" customHeight="1">
      <c r="A31" s="112"/>
      <c r="B31" s="112"/>
      <c r="C31" s="112"/>
      <c r="D31" s="132" t="s">
        <v>55</v>
      </c>
      <c r="E31" s="114" t="str">
        <f>VLOOKUP(D31,Data!H:I,2,0)</f>
        <v>Erzurum</v>
      </c>
      <c r="F31" s="115" t="str">
        <f>VLOOKUP(D31,Data!H:J,3,0)</f>
        <v>Nazım Öztel</v>
      </c>
      <c r="G31" s="116" t="b">
        <v>0</v>
      </c>
      <c r="H31" s="116" t="b">
        <v>0</v>
      </c>
      <c r="I31" s="116" t="b">
        <v>0</v>
      </c>
      <c r="J31" s="116" t="b">
        <v>0</v>
      </c>
      <c r="K31" s="116" t="b">
        <v>0</v>
      </c>
      <c r="L31" s="117">
        <f t="shared" si="1"/>
        <v>0</v>
      </c>
      <c r="M31" s="117">
        <f t="shared" si="2"/>
        <v>0</v>
      </c>
      <c r="N31" s="112"/>
      <c r="O31" s="112"/>
    </row>
    <row r="32" ht="15.0" customHeight="1">
      <c r="A32" s="112"/>
      <c r="B32" s="112"/>
      <c r="C32" s="112"/>
      <c r="D32" s="129" t="s">
        <v>165</v>
      </c>
      <c r="E32" s="114" t="str">
        <f>VLOOKUP(D32,Data!H:I,2,0)</f>
        <v>Eskişehir</v>
      </c>
      <c r="F32" s="115" t="str">
        <f>VLOOKUP(D32,Data!H:J,3,0)</f>
        <v>Nazım Öztel</v>
      </c>
      <c r="G32" s="116" t="b">
        <v>0</v>
      </c>
      <c r="H32" s="116" t="b">
        <v>0</v>
      </c>
      <c r="I32" s="116" t="b">
        <v>0</v>
      </c>
      <c r="J32" s="116" t="b">
        <v>0</v>
      </c>
      <c r="K32" s="116" t="b">
        <v>0</v>
      </c>
      <c r="L32" s="117">
        <f t="shared" si="1"/>
        <v>0</v>
      </c>
      <c r="M32" s="117">
        <f t="shared" si="2"/>
        <v>0</v>
      </c>
      <c r="N32" s="112"/>
      <c r="O32" s="112"/>
    </row>
    <row r="33" ht="15.0" customHeight="1">
      <c r="A33" s="112"/>
      <c r="B33" s="112"/>
      <c r="C33" s="112"/>
      <c r="D33" s="129" t="s">
        <v>248</v>
      </c>
      <c r="E33" s="114" t="str">
        <f>VLOOKUP(D33,Data!H:I,2,0)</f>
        <v>Hatay</v>
      </c>
      <c r="F33" s="115" t="str">
        <f>VLOOKUP(D33,Data!H:J,3,0)</f>
        <v>Nazım Öztel</v>
      </c>
      <c r="G33" s="116" t="b">
        <v>1</v>
      </c>
      <c r="H33" s="116" t="b">
        <v>1</v>
      </c>
      <c r="I33" s="116" t="b">
        <v>1</v>
      </c>
      <c r="J33" s="116" t="b">
        <v>1</v>
      </c>
      <c r="K33" s="116" t="b">
        <v>1</v>
      </c>
      <c r="L33" s="117">
        <f t="shared" si="1"/>
        <v>5</v>
      </c>
      <c r="M33" s="117">
        <f t="shared" si="2"/>
        <v>20</v>
      </c>
      <c r="N33" s="112"/>
      <c r="O33" s="112"/>
    </row>
    <row r="34" ht="15.0" customHeight="1">
      <c r="A34" s="112"/>
      <c r="B34" s="112"/>
      <c r="C34" s="112"/>
      <c r="D34" s="129" t="s">
        <v>58</v>
      </c>
      <c r="E34" s="114" t="str">
        <f>VLOOKUP(D34,Data!H:I,2,0)</f>
        <v>İstanbul</v>
      </c>
      <c r="F34" s="115" t="str">
        <f>VLOOKUP(D34,Data!H:J,3,0)</f>
        <v>Freelance</v>
      </c>
      <c r="G34" s="116" t="b">
        <v>1</v>
      </c>
      <c r="H34" s="116" t="b">
        <v>1</v>
      </c>
      <c r="I34" s="116" t="b">
        <v>1</v>
      </c>
      <c r="J34" s="116" t="b">
        <v>1</v>
      </c>
      <c r="K34" s="116" t="b">
        <v>1</v>
      </c>
      <c r="L34" s="117">
        <f t="shared" si="1"/>
        <v>5</v>
      </c>
      <c r="M34" s="117">
        <f t="shared" si="2"/>
        <v>20</v>
      </c>
      <c r="N34" s="88"/>
      <c r="O34" s="112"/>
    </row>
    <row r="35" ht="15.0" customHeight="1">
      <c r="A35" s="121"/>
      <c r="B35" s="121"/>
      <c r="C35" s="121"/>
      <c r="D35" s="129" t="s">
        <v>236</v>
      </c>
      <c r="E35" s="114" t="str">
        <f>VLOOKUP(D35,Data!H:I,2,0)</f>
        <v>İstanbul</v>
      </c>
      <c r="F35" s="115" t="str">
        <f>VLOOKUP(D35,Data!H:J,3,0)</f>
        <v>Filamingo</v>
      </c>
      <c r="G35" s="116" t="b">
        <v>1</v>
      </c>
      <c r="H35" s="116" t="b">
        <v>1</v>
      </c>
      <c r="I35" s="116" t="b">
        <v>1</v>
      </c>
      <c r="J35" s="116" t="b">
        <v>1</v>
      </c>
      <c r="K35" s="116" t="b">
        <v>1</v>
      </c>
      <c r="L35" s="117">
        <f t="shared" si="1"/>
        <v>5</v>
      </c>
      <c r="M35" s="117">
        <f t="shared" si="2"/>
        <v>20</v>
      </c>
      <c r="N35" s="121"/>
      <c r="O35" s="121"/>
    </row>
    <row r="36" ht="15.0" customHeight="1">
      <c r="A36" s="112"/>
      <c r="B36" s="112"/>
      <c r="C36" s="112"/>
      <c r="D36" s="129" t="s">
        <v>135</v>
      </c>
      <c r="E36" s="114" t="str">
        <f>VLOOKUP(D36,Data!H:I,2,0)</f>
        <v>İstanbul</v>
      </c>
      <c r="F36" s="115" t="str">
        <f>VLOOKUP(D36,Data!H:J,3,0)</f>
        <v>Freelance</v>
      </c>
      <c r="G36" s="116" t="b">
        <v>0</v>
      </c>
      <c r="H36" s="116" t="b">
        <v>1</v>
      </c>
      <c r="I36" s="116" t="b">
        <v>1</v>
      </c>
      <c r="J36" s="116" t="b">
        <v>0</v>
      </c>
      <c r="K36" s="116" t="b">
        <v>0</v>
      </c>
      <c r="L36" s="117">
        <f t="shared" si="1"/>
        <v>2</v>
      </c>
      <c r="M36" s="117">
        <f t="shared" si="2"/>
        <v>8</v>
      </c>
      <c r="N36" s="112"/>
      <c r="O36" s="112"/>
    </row>
    <row r="37" ht="15.0" customHeight="1">
      <c r="A37" s="112"/>
      <c r="B37" s="112"/>
      <c r="C37" s="112"/>
      <c r="D37" s="129" t="s">
        <v>70</v>
      </c>
      <c r="E37" s="114" t="str">
        <f>VLOOKUP(D37,Data!H:I,2,0)</f>
        <v>İstanbul</v>
      </c>
      <c r="F37" s="115" t="str">
        <f>VLOOKUP(D37,Data!H:J,3,0)</f>
        <v>Freelance</v>
      </c>
      <c r="G37" s="116" t="b">
        <v>0</v>
      </c>
      <c r="H37" s="116" t="b">
        <v>1</v>
      </c>
      <c r="I37" s="116" t="b">
        <v>0</v>
      </c>
      <c r="J37" s="116" t="b">
        <v>0</v>
      </c>
      <c r="K37" s="116" t="b">
        <v>0</v>
      </c>
      <c r="L37" s="117">
        <f t="shared" si="1"/>
        <v>1</v>
      </c>
      <c r="M37" s="117">
        <f t="shared" si="2"/>
        <v>4</v>
      </c>
      <c r="N37" s="112"/>
      <c r="O37" s="112"/>
    </row>
    <row r="38" ht="15.0" customHeight="1">
      <c r="A38" s="112"/>
      <c r="B38" s="112"/>
      <c r="C38" s="112"/>
      <c r="D38" s="129" t="s">
        <v>78</v>
      </c>
      <c r="E38" s="114" t="str">
        <f>VLOOKUP(D38,Data!H:I,2,0)</f>
        <v>İstanbul</v>
      </c>
      <c r="F38" s="115" t="str">
        <f>VLOOKUP(D38,Data!H:J,3,0)</f>
        <v>Freelance</v>
      </c>
      <c r="G38" s="116" t="b">
        <v>1</v>
      </c>
      <c r="H38" s="116" t="b">
        <v>1</v>
      </c>
      <c r="I38" s="116" t="b">
        <v>1</v>
      </c>
      <c r="J38" s="116" t="b">
        <v>1</v>
      </c>
      <c r="K38" s="116" t="b">
        <v>0</v>
      </c>
      <c r="L38" s="117">
        <f t="shared" si="1"/>
        <v>4</v>
      </c>
      <c r="M38" s="117">
        <f t="shared" si="2"/>
        <v>16</v>
      </c>
      <c r="N38" s="120"/>
      <c r="O38" s="112"/>
    </row>
    <row r="39" ht="15.0" customHeight="1">
      <c r="A39" s="112"/>
      <c r="B39" s="112"/>
      <c r="C39" s="112"/>
      <c r="D39" s="129" t="s">
        <v>79</v>
      </c>
      <c r="E39" s="114" t="str">
        <f>VLOOKUP(D39,Data!H:I,2,0)</f>
        <v>İstanbul</v>
      </c>
      <c r="F39" s="115" t="str">
        <f>VLOOKUP(D39,Data!H:J,3,0)</f>
        <v>Freelance</v>
      </c>
      <c r="G39" s="116" t="b">
        <v>0</v>
      </c>
      <c r="H39" s="116" t="b">
        <v>0</v>
      </c>
      <c r="I39" s="116" t="b">
        <v>0</v>
      </c>
      <c r="J39" s="116" t="b">
        <v>0</v>
      </c>
      <c r="K39" s="116" t="b">
        <v>0</v>
      </c>
      <c r="L39" s="117">
        <f t="shared" si="1"/>
        <v>0</v>
      </c>
      <c r="M39" s="117">
        <f t="shared" si="2"/>
        <v>0</v>
      </c>
      <c r="N39" s="120"/>
      <c r="O39" s="112"/>
    </row>
    <row r="40" ht="15.0" customHeight="1">
      <c r="A40" s="122"/>
      <c r="B40" s="122"/>
      <c r="C40" s="122"/>
      <c r="D40" s="129" t="s">
        <v>80</v>
      </c>
      <c r="E40" s="114" t="str">
        <f>VLOOKUP(D40,Data!H:I,2,0)</f>
        <v>İstanbul</v>
      </c>
      <c r="F40" s="115" t="str">
        <f>VLOOKUP(D40,Data!H:J,3,0)</f>
        <v>Freelance</v>
      </c>
      <c r="G40" s="116" t="b">
        <v>1</v>
      </c>
      <c r="H40" s="116" t="b">
        <v>1</v>
      </c>
      <c r="I40" s="116" t="b">
        <v>1</v>
      </c>
      <c r="J40" s="116" t="b">
        <v>1</v>
      </c>
      <c r="K40" s="116" t="b">
        <v>0</v>
      </c>
      <c r="L40" s="117">
        <f t="shared" si="1"/>
        <v>4</v>
      </c>
      <c r="M40" s="117">
        <f t="shared" si="2"/>
        <v>16</v>
      </c>
      <c r="N40" s="112"/>
      <c r="O40" s="122"/>
    </row>
    <row r="41" ht="15.0" customHeight="1">
      <c r="A41" s="112"/>
      <c r="B41" s="112"/>
      <c r="C41" s="112"/>
      <c r="D41" s="132" t="s">
        <v>119</v>
      </c>
      <c r="E41" s="114" t="str">
        <f>VLOOKUP(D41,Data!H:I,2,0)</f>
        <v>İstanbul</v>
      </c>
      <c r="F41" s="115" t="str">
        <f>VLOOKUP(D41,Data!H:J,3,0)</f>
        <v>Filamingo</v>
      </c>
      <c r="G41" s="116" t="b">
        <v>0</v>
      </c>
      <c r="H41" s="116" t="b">
        <v>0</v>
      </c>
      <c r="I41" s="116" t="b">
        <v>1</v>
      </c>
      <c r="J41" s="116" t="b">
        <v>1</v>
      </c>
      <c r="K41" s="116" t="b">
        <v>1</v>
      </c>
      <c r="L41" s="117">
        <f t="shared" si="1"/>
        <v>3</v>
      </c>
      <c r="M41" s="117">
        <f t="shared" si="2"/>
        <v>12</v>
      </c>
      <c r="N41" s="124"/>
      <c r="O41" s="112"/>
    </row>
    <row r="42" ht="15.0" customHeight="1">
      <c r="A42" s="112"/>
      <c r="B42" s="112"/>
      <c r="C42" s="112"/>
      <c r="D42" s="129" t="s">
        <v>96</v>
      </c>
      <c r="E42" s="114" t="s">
        <v>237</v>
      </c>
      <c r="F42" s="115" t="s">
        <v>61</v>
      </c>
      <c r="G42" s="116" t="b">
        <v>1</v>
      </c>
      <c r="H42" s="116" t="b">
        <v>1</v>
      </c>
      <c r="I42" s="116" t="b">
        <v>1</v>
      </c>
      <c r="J42" s="116" t="b">
        <v>0</v>
      </c>
      <c r="K42" s="116" t="b">
        <v>0</v>
      </c>
      <c r="L42" s="117">
        <f t="shared" si="1"/>
        <v>3</v>
      </c>
      <c r="M42" s="117">
        <f t="shared" si="2"/>
        <v>12</v>
      </c>
      <c r="N42" s="124"/>
      <c r="O42" s="112"/>
    </row>
    <row r="43" ht="15.0" customHeight="1">
      <c r="A43" s="112"/>
      <c r="B43" s="112"/>
      <c r="C43" s="112"/>
      <c r="D43" s="129" t="s">
        <v>217</v>
      </c>
      <c r="E43" s="114" t="str">
        <f>VLOOKUP(D43,Data!H:I,2,0)</f>
        <v>İstanbul</v>
      </c>
      <c r="F43" s="115" t="str">
        <f>VLOOKUP(D43,Data!H:J,3,0)</f>
        <v>Freelance</v>
      </c>
      <c r="G43" s="116" t="b">
        <v>0</v>
      </c>
      <c r="H43" s="116" t="b">
        <v>0</v>
      </c>
      <c r="I43" s="116" t="b">
        <v>0</v>
      </c>
      <c r="J43" s="116" t="b">
        <v>0</v>
      </c>
      <c r="K43" s="116" t="b">
        <v>0</v>
      </c>
      <c r="L43" s="117">
        <f t="shared" si="1"/>
        <v>0</v>
      </c>
      <c r="M43" s="117">
        <f t="shared" si="2"/>
        <v>0</v>
      </c>
      <c r="N43" s="112"/>
      <c r="O43" s="112"/>
    </row>
    <row r="44" ht="15.0" customHeight="1">
      <c r="A44" s="112"/>
      <c r="B44" s="112"/>
      <c r="C44" s="112"/>
      <c r="D44" s="129" t="s">
        <v>81</v>
      </c>
      <c r="E44" s="114" t="str">
        <f>VLOOKUP(D44,Data!H:I,2,0)</f>
        <v>İstanbul</v>
      </c>
      <c r="F44" s="115" t="str">
        <f>VLOOKUP(D44,Data!H:J,3,0)</f>
        <v>Freelance</v>
      </c>
      <c r="G44" s="116" t="b">
        <v>0</v>
      </c>
      <c r="H44" s="116" t="b">
        <v>0</v>
      </c>
      <c r="I44" s="116" t="b">
        <v>1</v>
      </c>
      <c r="J44" s="116" t="b">
        <v>1</v>
      </c>
      <c r="K44" s="116" t="b">
        <v>0</v>
      </c>
      <c r="L44" s="117">
        <f t="shared" si="1"/>
        <v>2</v>
      </c>
      <c r="M44" s="117">
        <f t="shared" si="2"/>
        <v>8</v>
      </c>
      <c r="N44" s="112"/>
      <c r="O44" s="112"/>
    </row>
    <row r="45" ht="15.0" customHeight="1">
      <c r="A45" s="112"/>
      <c r="B45" s="112"/>
      <c r="C45" s="112"/>
      <c r="D45" s="129" t="s">
        <v>201</v>
      </c>
      <c r="E45" s="114" t="str">
        <f>VLOOKUP(D45,Data!H:I,2,0)</f>
        <v>İstanbul</v>
      </c>
      <c r="F45" s="114" t="str">
        <f>VLOOKUP(D45,Data!H:J,3,0)</f>
        <v>Freelance</v>
      </c>
      <c r="G45" s="116" t="b">
        <v>0</v>
      </c>
      <c r="H45" s="116" t="b">
        <v>0</v>
      </c>
      <c r="I45" s="116" t="b">
        <v>0</v>
      </c>
      <c r="J45" s="116" t="b">
        <v>0</v>
      </c>
      <c r="K45" s="116" t="b">
        <v>1</v>
      </c>
      <c r="L45" s="117">
        <f t="shared" si="1"/>
        <v>1</v>
      </c>
      <c r="M45" s="117">
        <f t="shared" si="2"/>
        <v>4</v>
      </c>
      <c r="N45" s="112"/>
      <c r="O45" s="112"/>
    </row>
    <row r="46" ht="15.0" customHeight="1">
      <c r="A46" s="112"/>
      <c r="B46" s="112"/>
      <c r="C46" s="112"/>
      <c r="D46" s="132" t="s">
        <v>83</v>
      </c>
      <c r="E46" s="114" t="str">
        <f>VLOOKUP(D46,Data!H:I,2,0)</f>
        <v>İstanbul</v>
      </c>
      <c r="F46" s="115" t="str">
        <f>VLOOKUP(D46,Data!H:J,3,0)</f>
        <v>Nazım Öztel</v>
      </c>
      <c r="G46" s="116" t="b">
        <v>1</v>
      </c>
      <c r="H46" s="116" t="b">
        <v>1</v>
      </c>
      <c r="I46" s="116" t="b">
        <v>1</v>
      </c>
      <c r="J46" s="116" t="b">
        <v>0</v>
      </c>
      <c r="K46" s="116" t="b">
        <v>0</v>
      </c>
      <c r="L46" s="117">
        <f t="shared" si="1"/>
        <v>3</v>
      </c>
      <c r="M46" s="117">
        <f t="shared" si="2"/>
        <v>12</v>
      </c>
      <c r="N46" s="112"/>
      <c r="O46" s="112"/>
    </row>
    <row r="47" ht="15.0" customHeight="1">
      <c r="A47" s="112"/>
      <c r="B47" s="112"/>
      <c r="C47" s="112"/>
      <c r="D47" s="129" t="s">
        <v>224</v>
      </c>
      <c r="E47" s="145" t="str">
        <f>VLOOKUP(D47,Data!H:I,2,0)</f>
        <v>İstanbul</v>
      </c>
      <c r="F47" s="147" t="str">
        <f>VLOOKUP(D47,Data!H:J,3,0)</f>
        <v>Filamingo</v>
      </c>
      <c r="G47" s="116" t="b">
        <v>0</v>
      </c>
      <c r="H47" s="116" t="b">
        <v>1</v>
      </c>
      <c r="I47" s="116" t="b">
        <v>1</v>
      </c>
      <c r="J47" s="116" t="b">
        <v>0</v>
      </c>
      <c r="K47" s="116" t="b">
        <v>0</v>
      </c>
      <c r="L47" s="146">
        <f t="shared" si="1"/>
        <v>2</v>
      </c>
      <c r="M47" s="146">
        <f t="shared" si="2"/>
        <v>8</v>
      </c>
      <c r="N47" s="125"/>
      <c r="O47" s="112"/>
    </row>
    <row r="48" ht="15.0" customHeight="1">
      <c r="A48" s="125"/>
      <c r="B48" s="125"/>
      <c r="C48" s="125"/>
      <c r="D48" s="129" t="s">
        <v>225</v>
      </c>
      <c r="E48" s="114" t="str">
        <f>VLOOKUP(D48,Data!H:I,2,0)</f>
        <v>İstanbul</v>
      </c>
      <c r="F48" s="115" t="str">
        <f>VLOOKUP(D48,Data!H:J,3,0)</f>
        <v>Filamingo</v>
      </c>
      <c r="G48" s="116" t="b">
        <v>1</v>
      </c>
      <c r="H48" s="116" t="b">
        <v>1</v>
      </c>
      <c r="I48" s="116" t="b">
        <v>0</v>
      </c>
      <c r="J48" s="116" t="b">
        <v>0</v>
      </c>
      <c r="K48" s="116" t="b">
        <v>1</v>
      </c>
      <c r="L48" s="117">
        <f t="shared" si="1"/>
        <v>3</v>
      </c>
      <c r="M48" s="117">
        <f t="shared" si="2"/>
        <v>12</v>
      </c>
      <c r="N48" s="112"/>
      <c r="O48" s="125"/>
    </row>
    <row r="49" ht="15.0" customHeight="1">
      <c r="A49" s="125"/>
      <c r="B49" s="125"/>
      <c r="C49" s="125"/>
      <c r="D49" s="129" t="s">
        <v>145</v>
      </c>
      <c r="E49" s="114" t="str">
        <f>VLOOKUP(D49,Data!H:I,2,0)</f>
        <v>İstanbul</v>
      </c>
      <c r="F49" s="115" t="str">
        <f>VLOOKUP(D49,Data!H:J,3,0)</f>
        <v>Filamingo</v>
      </c>
      <c r="G49" s="116" t="b">
        <v>0</v>
      </c>
      <c r="H49" s="116" t="b">
        <v>0</v>
      </c>
      <c r="I49" s="116" t="b">
        <v>0</v>
      </c>
      <c r="J49" s="116" t="b">
        <v>1</v>
      </c>
      <c r="K49" s="116" t="b">
        <v>0</v>
      </c>
      <c r="L49" s="117">
        <f t="shared" si="1"/>
        <v>1</v>
      </c>
      <c r="M49" s="117">
        <f t="shared" si="2"/>
        <v>4</v>
      </c>
      <c r="N49" s="112"/>
      <c r="O49" s="125"/>
    </row>
    <row r="50" ht="15.0" customHeight="1">
      <c r="A50" s="125"/>
      <c r="B50" s="125"/>
      <c r="C50" s="125"/>
      <c r="D50" s="129" t="s">
        <v>87</v>
      </c>
      <c r="E50" s="114" t="str">
        <f>VLOOKUP(D50,Data!H:I,2,0)</f>
        <v>İstanbul</v>
      </c>
      <c r="F50" s="115" t="str">
        <f>VLOOKUP(D50,Data!H:J,3,0)</f>
        <v>Freelance</v>
      </c>
      <c r="G50" s="116" t="b">
        <v>0</v>
      </c>
      <c r="H50" s="116" t="b">
        <v>0</v>
      </c>
      <c r="I50" s="116" t="b">
        <v>0</v>
      </c>
      <c r="J50" s="116" t="b">
        <v>0</v>
      </c>
      <c r="K50" s="116" t="b">
        <v>0</v>
      </c>
      <c r="L50" s="117">
        <f t="shared" si="1"/>
        <v>0</v>
      </c>
      <c r="M50" s="117">
        <f t="shared" si="2"/>
        <v>0</v>
      </c>
      <c r="N50" s="112"/>
      <c r="O50" s="125"/>
    </row>
    <row r="51" ht="15.0" customHeight="1">
      <c r="A51" s="125"/>
      <c r="B51" s="125"/>
      <c r="C51" s="125"/>
      <c r="D51" s="129" t="s">
        <v>226</v>
      </c>
      <c r="E51" s="114" t="str">
        <f>VLOOKUP(D51,Data!H:I,2,0)</f>
        <v>İstanbul</v>
      </c>
      <c r="F51" s="115" t="str">
        <f>VLOOKUP(D51,Data!H:J,3,0)</f>
        <v>Filamingo</v>
      </c>
      <c r="G51" s="116" t="b">
        <v>0</v>
      </c>
      <c r="H51" s="116" t="b">
        <v>0</v>
      </c>
      <c r="I51" s="116" t="b">
        <v>1</v>
      </c>
      <c r="J51" s="116" t="b">
        <v>1</v>
      </c>
      <c r="K51" s="116" t="b">
        <v>0</v>
      </c>
      <c r="L51" s="117">
        <f t="shared" si="1"/>
        <v>2</v>
      </c>
      <c r="M51" s="117">
        <f t="shared" si="2"/>
        <v>8</v>
      </c>
      <c r="N51" s="112"/>
      <c r="O51" s="125"/>
    </row>
    <row r="52" ht="15.0" customHeight="1">
      <c r="A52" s="112"/>
      <c r="B52" s="112"/>
      <c r="C52" s="112"/>
      <c r="D52" s="129" t="s">
        <v>249</v>
      </c>
      <c r="E52" s="114" t="str">
        <f>VLOOKUP(D52,Data!H:I,2,0)</f>
        <v>İstanbul</v>
      </c>
      <c r="F52" s="115" t="str">
        <f>VLOOKUP(D52,Data!H:J,3,0)</f>
        <v>Nazım Öztel</v>
      </c>
      <c r="G52" s="116" t="b">
        <v>0</v>
      </c>
      <c r="H52" s="116" t="b">
        <v>1</v>
      </c>
      <c r="I52" s="116" t="b">
        <v>1</v>
      </c>
      <c r="J52" s="116" t="b">
        <v>0</v>
      </c>
      <c r="K52" s="116" t="b">
        <v>1</v>
      </c>
      <c r="L52" s="117">
        <f t="shared" si="1"/>
        <v>3</v>
      </c>
      <c r="M52" s="117">
        <f t="shared" si="2"/>
        <v>12</v>
      </c>
      <c r="N52" s="112"/>
      <c r="O52" s="112"/>
    </row>
    <row r="53" ht="15.0" customHeight="1">
      <c r="A53" s="112"/>
      <c r="B53" s="112"/>
      <c r="C53" s="112"/>
      <c r="D53" s="129" t="s">
        <v>250</v>
      </c>
      <c r="E53" s="114" t="str">
        <f>VLOOKUP(D53,Data!H:I,2,0)</f>
        <v>İstanbul</v>
      </c>
      <c r="F53" s="115" t="str">
        <f>VLOOKUP(D53,Data!H:J,3,0)</f>
        <v>Filamingo</v>
      </c>
      <c r="G53" s="116" t="b">
        <v>0</v>
      </c>
      <c r="H53" s="116" t="b">
        <v>0</v>
      </c>
      <c r="I53" s="116" t="b">
        <v>1</v>
      </c>
      <c r="J53" s="116" t="b">
        <v>1</v>
      </c>
      <c r="K53" s="116" t="b">
        <v>0</v>
      </c>
      <c r="L53" s="117">
        <f t="shared" si="1"/>
        <v>2</v>
      </c>
      <c r="M53" s="117">
        <f t="shared" si="2"/>
        <v>8</v>
      </c>
      <c r="N53" s="125"/>
      <c r="O53" s="112"/>
    </row>
    <row r="54" ht="15.0" customHeight="1">
      <c r="A54" s="112"/>
      <c r="B54" s="112"/>
      <c r="C54" s="112"/>
      <c r="D54" s="129" t="s">
        <v>251</v>
      </c>
      <c r="E54" s="114" t="str">
        <f>VLOOKUP(D54,Data!H:I,2,0)</f>
        <v>İstanbul</v>
      </c>
      <c r="F54" s="115" t="str">
        <f>VLOOKUP(D54,Data!H:J,3,0)</f>
        <v>Filamingo</v>
      </c>
      <c r="G54" s="116" t="b">
        <v>0</v>
      </c>
      <c r="H54" s="116" t="b">
        <v>0</v>
      </c>
      <c r="I54" s="116" t="b">
        <v>0</v>
      </c>
      <c r="J54" s="116" t="b">
        <v>1</v>
      </c>
      <c r="K54" s="116" t="b">
        <v>1</v>
      </c>
      <c r="L54" s="117">
        <f t="shared" si="1"/>
        <v>2</v>
      </c>
      <c r="M54" s="117">
        <f t="shared" si="2"/>
        <v>8</v>
      </c>
      <c r="N54" s="125"/>
      <c r="O54" s="112"/>
    </row>
    <row r="55" ht="15.0" customHeight="1">
      <c r="A55" s="112"/>
      <c r="B55" s="112"/>
      <c r="C55" s="112"/>
      <c r="D55" s="129" t="s">
        <v>252</v>
      </c>
      <c r="E55" s="114" t="str">
        <f>VLOOKUP(D55,Data!H:I,2,0)</f>
        <v>İzmir</v>
      </c>
      <c r="F55" s="115" t="str">
        <f>VLOOKUP(D55,Data!H:J,3,0)</f>
        <v>Nazım Öztel</v>
      </c>
      <c r="G55" s="116" t="b">
        <v>0</v>
      </c>
      <c r="H55" s="116" t="b">
        <v>0</v>
      </c>
      <c r="I55" s="116" t="b">
        <v>0</v>
      </c>
      <c r="J55" s="116" t="b">
        <v>0</v>
      </c>
      <c r="K55" s="116" t="b">
        <v>1</v>
      </c>
      <c r="L55" s="117">
        <f t="shared" si="1"/>
        <v>1</v>
      </c>
      <c r="M55" s="117">
        <f t="shared" si="2"/>
        <v>4</v>
      </c>
      <c r="N55" s="125"/>
      <c r="O55" s="112"/>
    </row>
    <row r="56" ht="15.0" customHeight="1">
      <c r="A56" s="112"/>
      <c r="B56" s="112"/>
      <c r="C56" s="112"/>
      <c r="D56" s="132" t="s">
        <v>92</v>
      </c>
      <c r="E56" s="114" t="str">
        <f>VLOOKUP(D56,Data!H:I,2,0)</f>
        <v>İzmir</v>
      </c>
      <c r="F56" s="115" t="str">
        <f>VLOOKUP(D56,Data!H:J,3,0)</f>
        <v>Nazım Öztel</v>
      </c>
      <c r="G56" s="116" t="b">
        <v>1</v>
      </c>
      <c r="H56" s="116" t="b">
        <v>1</v>
      </c>
      <c r="I56" s="116" t="b">
        <v>0</v>
      </c>
      <c r="J56" s="116" t="b">
        <v>0</v>
      </c>
      <c r="K56" s="116" t="b">
        <v>0</v>
      </c>
      <c r="L56" s="117">
        <f t="shared" si="1"/>
        <v>2</v>
      </c>
      <c r="M56" s="117">
        <f t="shared" si="2"/>
        <v>8</v>
      </c>
      <c r="N56" s="112"/>
      <c r="O56" s="112"/>
    </row>
    <row r="57" ht="15.0" customHeight="1">
      <c r="A57" s="112"/>
      <c r="B57" s="112"/>
      <c r="C57" s="112"/>
      <c r="D57" s="129" t="s">
        <v>93</v>
      </c>
      <c r="E57" s="114" t="str">
        <f>VLOOKUP(D57,Data!H:I,2,0)</f>
        <v>İzmir</v>
      </c>
      <c r="F57" s="115" t="str">
        <f>VLOOKUP(D57,Data!H:J,3,0)</f>
        <v>Freelance</v>
      </c>
      <c r="G57" s="116" t="b">
        <v>1</v>
      </c>
      <c r="H57" s="116" t="b">
        <v>1</v>
      </c>
      <c r="I57" s="116" t="b">
        <v>1</v>
      </c>
      <c r="J57" s="116" t="b">
        <v>1</v>
      </c>
      <c r="K57" s="116" t="b">
        <v>1</v>
      </c>
      <c r="L57" s="117">
        <f t="shared" si="1"/>
        <v>5</v>
      </c>
      <c r="M57" s="117">
        <f t="shared" si="2"/>
        <v>20</v>
      </c>
      <c r="N57" s="112"/>
      <c r="O57" s="112"/>
    </row>
    <row r="58" ht="15.0" customHeight="1">
      <c r="A58" s="112"/>
      <c r="B58" s="112"/>
      <c r="C58" s="112"/>
      <c r="D58" s="129" t="s">
        <v>161</v>
      </c>
      <c r="E58" s="143" t="str">
        <f>VLOOKUP(D58,Data!H:I,2,0)</f>
        <v>Kahramanmaraş</v>
      </c>
      <c r="F58" s="115" t="str">
        <f>VLOOKUP(D58,Data!H:J,3,0)</f>
        <v>Nazım Öztel</v>
      </c>
      <c r="G58" s="116" t="b">
        <v>1</v>
      </c>
      <c r="H58" s="116" t="b">
        <v>0</v>
      </c>
      <c r="I58" s="116" t="b">
        <v>0</v>
      </c>
      <c r="J58" s="116" t="b">
        <v>0</v>
      </c>
      <c r="K58" s="116" t="b">
        <v>0</v>
      </c>
      <c r="L58" s="117">
        <f t="shared" si="1"/>
        <v>1</v>
      </c>
      <c r="M58" s="117">
        <f t="shared" si="2"/>
        <v>4</v>
      </c>
      <c r="N58" s="112"/>
      <c r="O58" s="112"/>
    </row>
    <row r="59" ht="15.0" customHeight="1">
      <c r="A59" s="112"/>
      <c r="B59" s="112"/>
      <c r="C59" s="112"/>
      <c r="D59" s="129" t="s">
        <v>253</v>
      </c>
      <c r="E59" s="114" t="str">
        <f>VLOOKUP(D59,Data!H:I,2,0)</f>
        <v>Kırklareli</v>
      </c>
      <c r="F59" s="115" t="str">
        <f>VLOOKUP(D59,Data!H:J,3,0)</f>
        <v>Nazım Öztel</v>
      </c>
      <c r="G59" s="116" t="b">
        <v>0</v>
      </c>
      <c r="H59" s="116" t="b">
        <v>0</v>
      </c>
      <c r="I59" s="116" t="b">
        <v>1</v>
      </c>
      <c r="J59" s="116" t="b">
        <v>0</v>
      </c>
      <c r="K59" s="116" t="b">
        <v>0</v>
      </c>
      <c r="L59" s="117">
        <f t="shared" si="1"/>
        <v>1</v>
      </c>
      <c r="M59" s="117">
        <f t="shared" si="2"/>
        <v>4</v>
      </c>
      <c r="N59" s="112"/>
      <c r="O59" s="112"/>
    </row>
    <row r="60" ht="15.0" customHeight="1">
      <c r="A60" s="112"/>
      <c r="B60" s="112"/>
      <c r="C60" s="112"/>
      <c r="D60" s="129" t="s">
        <v>243</v>
      </c>
      <c r="E60" s="114" t="str">
        <f>VLOOKUP(D60,Data!H:I,2,0)</f>
        <v>Kayseri</v>
      </c>
      <c r="F60" s="115" t="str">
        <f>VLOOKUP(D60,Data!H:J,3,0)</f>
        <v>Nazım Öztel</v>
      </c>
      <c r="G60" s="116" t="b">
        <v>1</v>
      </c>
      <c r="H60" s="116" t="b">
        <v>1</v>
      </c>
      <c r="I60" s="116" t="b">
        <v>1</v>
      </c>
      <c r="J60" s="116" t="b">
        <v>1</v>
      </c>
      <c r="K60" s="116" t="b">
        <v>1</v>
      </c>
      <c r="L60" s="117">
        <f t="shared" si="1"/>
        <v>5</v>
      </c>
      <c r="M60" s="117">
        <f t="shared" si="2"/>
        <v>20</v>
      </c>
      <c r="N60" s="112"/>
      <c r="O60" s="112"/>
    </row>
    <row r="61" ht="15.0" customHeight="1">
      <c r="A61" s="112"/>
      <c r="B61" s="112"/>
      <c r="C61" s="112"/>
      <c r="D61" s="129" t="s">
        <v>218</v>
      </c>
      <c r="E61" s="114" t="str">
        <f>VLOOKUP(D61,Data!H:I,2,0)</f>
        <v>Kırklareli</v>
      </c>
      <c r="F61" s="115" t="str">
        <f>VLOOKUP(D61,Data!H:J,3,0)</f>
        <v>Nazım Öztel</v>
      </c>
      <c r="G61" s="116" t="b">
        <v>0</v>
      </c>
      <c r="H61" s="116" t="b">
        <v>0</v>
      </c>
      <c r="I61" s="116" t="b">
        <v>0</v>
      </c>
      <c r="J61" s="116" t="b">
        <v>0</v>
      </c>
      <c r="K61" s="116" t="b">
        <v>0</v>
      </c>
      <c r="L61" s="117">
        <f t="shared" si="1"/>
        <v>0</v>
      </c>
      <c r="M61" s="117">
        <f t="shared" si="2"/>
        <v>0</v>
      </c>
      <c r="N61" s="112"/>
      <c r="O61" s="112"/>
    </row>
    <row r="62" ht="15.0" customHeight="1">
      <c r="A62" s="112"/>
      <c r="B62" s="112"/>
      <c r="C62" s="112"/>
      <c r="D62" s="132" t="s">
        <v>96</v>
      </c>
      <c r="E62" s="114" t="str">
        <f>VLOOKUP(D62,Data!H:I,2,0)</f>
        <v>Kocaeli</v>
      </c>
      <c r="F62" s="115" t="str">
        <f>VLOOKUP(D62,Data!H:J,3,0)</f>
        <v>Nazım Öztel</v>
      </c>
      <c r="G62" s="116" t="b">
        <v>0</v>
      </c>
      <c r="H62" s="116" t="b">
        <v>0</v>
      </c>
      <c r="I62" s="116" t="b">
        <v>0</v>
      </c>
      <c r="J62" s="116" t="b">
        <v>0</v>
      </c>
      <c r="K62" s="116" t="b">
        <v>0</v>
      </c>
      <c r="L62" s="117">
        <f t="shared" si="1"/>
        <v>0</v>
      </c>
      <c r="M62" s="117">
        <f t="shared" si="2"/>
        <v>0</v>
      </c>
      <c r="N62" s="112"/>
      <c r="O62" s="112"/>
    </row>
    <row r="63" ht="15.0" customHeight="1">
      <c r="A63" s="112"/>
      <c r="B63" s="112"/>
      <c r="C63" s="112"/>
      <c r="D63" s="129" t="s">
        <v>147</v>
      </c>
      <c r="E63" s="114" t="str">
        <f>VLOOKUP(D63,Data!H:I,2,0)</f>
        <v>Kocaeli</v>
      </c>
      <c r="F63" s="115" t="str">
        <f>VLOOKUP(D63,Data!H:J,3,0)</f>
        <v>Nazım Öztel</v>
      </c>
      <c r="G63" s="116" t="b">
        <v>0</v>
      </c>
      <c r="H63" s="116" t="b">
        <v>0</v>
      </c>
      <c r="I63" s="116" t="b">
        <v>1</v>
      </c>
      <c r="J63" s="116" t="b">
        <v>0</v>
      </c>
      <c r="K63" s="116" t="b">
        <v>1</v>
      </c>
      <c r="L63" s="117">
        <f t="shared" si="1"/>
        <v>2</v>
      </c>
      <c r="M63" s="117">
        <f t="shared" si="2"/>
        <v>8</v>
      </c>
      <c r="N63" s="112"/>
      <c r="O63" s="112"/>
    </row>
    <row r="64" ht="15.0" customHeight="1">
      <c r="A64" s="112"/>
      <c r="B64" s="112"/>
      <c r="C64" s="112"/>
      <c r="D64" s="129" t="s">
        <v>227</v>
      </c>
      <c r="E64" s="114" t="str">
        <f>VLOOKUP(D64,Data!H:I,2,0)</f>
        <v>Konya</v>
      </c>
      <c r="F64" s="115" t="str">
        <f>VLOOKUP(D64,Data!H:J,3,0)</f>
        <v>Nazım Öztel</v>
      </c>
      <c r="G64" s="116" t="b">
        <v>1</v>
      </c>
      <c r="H64" s="116" t="b">
        <v>1</v>
      </c>
      <c r="I64" s="116" t="b">
        <v>1</v>
      </c>
      <c r="J64" s="116" t="b">
        <v>1</v>
      </c>
      <c r="K64" s="116" t="b">
        <v>1</v>
      </c>
      <c r="L64" s="117">
        <f t="shared" si="1"/>
        <v>5</v>
      </c>
      <c r="M64" s="117">
        <f t="shared" si="2"/>
        <v>20</v>
      </c>
      <c r="N64" s="112"/>
      <c r="O64" s="112"/>
    </row>
    <row r="65" ht="15.0" customHeight="1">
      <c r="A65" s="112"/>
      <c r="B65" s="112"/>
      <c r="C65" s="112"/>
      <c r="D65" s="129" t="s">
        <v>203</v>
      </c>
      <c r="E65" s="114" t="str">
        <f>VLOOKUP(D65,Data!H:I,2,0)</f>
        <v>Malatya</v>
      </c>
      <c r="F65" s="115" t="str">
        <f>VLOOKUP(D65,Data!H:J,3,0)</f>
        <v>Nazım Öztel</v>
      </c>
      <c r="G65" s="116" t="b">
        <v>0</v>
      </c>
      <c r="H65" s="116" t="b">
        <v>0</v>
      </c>
      <c r="I65" s="116" t="b">
        <v>0</v>
      </c>
      <c r="J65" s="116" t="b">
        <v>0</v>
      </c>
      <c r="K65" s="116" t="b">
        <v>0</v>
      </c>
      <c r="L65" s="117">
        <f t="shared" si="1"/>
        <v>0</v>
      </c>
      <c r="M65" s="117">
        <f t="shared" si="2"/>
        <v>0</v>
      </c>
      <c r="N65" s="112"/>
      <c r="O65" s="112"/>
    </row>
    <row r="66" ht="15.0" customHeight="1">
      <c r="A66" s="112"/>
      <c r="B66" s="112"/>
      <c r="C66" s="112"/>
      <c r="D66" s="129" t="s">
        <v>254</v>
      </c>
      <c r="E66" s="114" t="str">
        <f>VLOOKUP(D66,Data!H:I,2,0)</f>
        <v>Manisa</v>
      </c>
      <c r="F66" s="115" t="str">
        <f>VLOOKUP(D66,Data!H:J,3,0)</f>
        <v>Nazım Öztel</v>
      </c>
      <c r="G66" s="116" t="b">
        <v>1</v>
      </c>
      <c r="H66" s="116" t="b">
        <v>1</v>
      </c>
      <c r="I66" s="116" t="b">
        <v>1</v>
      </c>
      <c r="J66" s="116" t="b">
        <v>1</v>
      </c>
      <c r="K66" s="116" t="b">
        <v>1</v>
      </c>
      <c r="L66" s="117">
        <f t="shared" si="1"/>
        <v>5</v>
      </c>
      <c r="M66" s="117">
        <f t="shared" si="2"/>
        <v>20</v>
      </c>
      <c r="N66" s="112"/>
      <c r="O66" s="112"/>
    </row>
    <row r="67" ht="15.0" customHeight="1">
      <c r="A67" s="112"/>
      <c r="B67" s="112"/>
      <c r="C67" s="112"/>
      <c r="D67" s="129" t="s">
        <v>255</v>
      </c>
      <c r="E67" s="114" t="str">
        <f>VLOOKUP(D67,Data!H:I,2,0)</f>
        <v>Mardin</v>
      </c>
      <c r="F67" s="115" t="str">
        <f>VLOOKUP(D67,Data!H:J,3,0)</f>
        <v>Nazım Öztel</v>
      </c>
      <c r="G67" s="116" t="b">
        <v>1</v>
      </c>
      <c r="H67" s="116" t="b">
        <v>0</v>
      </c>
      <c r="I67" s="116" t="b">
        <v>1</v>
      </c>
      <c r="J67" s="116" t="b">
        <v>1</v>
      </c>
      <c r="K67" s="116" t="b">
        <v>1</v>
      </c>
      <c r="L67" s="117">
        <f t="shared" si="1"/>
        <v>4</v>
      </c>
      <c r="M67" s="117">
        <f t="shared" si="2"/>
        <v>16</v>
      </c>
      <c r="N67" s="142"/>
      <c r="O67" s="112"/>
    </row>
    <row r="68" ht="15.0" customHeight="1">
      <c r="A68" s="112"/>
      <c r="B68" s="112"/>
      <c r="C68" s="112"/>
      <c r="D68" s="132" t="s">
        <v>99</v>
      </c>
      <c r="E68" s="114" t="str">
        <f>VLOOKUP(D68,Data!H:I,2,0)</f>
        <v>Mersin</v>
      </c>
      <c r="F68" s="115" t="str">
        <f>VLOOKUP(D68,Data!H:J,3,0)</f>
        <v>Nazım Öztel</v>
      </c>
      <c r="G68" s="116" t="b">
        <v>0</v>
      </c>
      <c r="H68" s="116" t="b">
        <v>0</v>
      </c>
      <c r="I68" s="116" t="b">
        <v>0</v>
      </c>
      <c r="J68" s="116" t="b">
        <v>0</v>
      </c>
      <c r="K68" s="116" t="b">
        <v>0</v>
      </c>
      <c r="L68" s="117">
        <f t="shared" si="1"/>
        <v>0</v>
      </c>
      <c r="M68" s="117">
        <f t="shared" si="2"/>
        <v>0</v>
      </c>
      <c r="N68" s="106"/>
      <c r="O68" s="112"/>
    </row>
    <row r="69" ht="15.0" customHeight="1">
      <c r="A69" s="112"/>
      <c r="B69" s="112"/>
      <c r="C69" s="112"/>
      <c r="D69" s="129" t="s">
        <v>169</v>
      </c>
      <c r="E69" s="114" t="str">
        <f>VLOOKUP(D69,Data!H:I,2,0)</f>
        <v>Mersin</v>
      </c>
      <c r="F69" s="115" t="str">
        <f>VLOOKUP(D69,Data!H:J,3,0)</f>
        <v>Nazım Öztel</v>
      </c>
      <c r="G69" s="116" t="b">
        <v>0</v>
      </c>
      <c r="H69" s="116" t="b">
        <v>0</v>
      </c>
      <c r="I69" s="116" t="b">
        <v>0</v>
      </c>
      <c r="J69" s="116" t="b">
        <v>0</v>
      </c>
      <c r="K69" s="116" t="b">
        <v>0</v>
      </c>
      <c r="L69" s="117">
        <f t="shared" si="1"/>
        <v>0</v>
      </c>
      <c r="M69" s="117">
        <f t="shared" si="2"/>
        <v>0</v>
      </c>
      <c r="N69" s="106"/>
      <c r="O69" s="112"/>
    </row>
    <row r="70" ht="15.0" customHeight="1">
      <c r="A70" s="112"/>
      <c r="B70" s="112"/>
      <c r="C70" s="112"/>
      <c r="D70" s="129" t="s">
        <v>148</v>
      </c>
      <c r="E70" s="114" t="str">
        <f>VLOOKUP(D70,Data!H:I,2,0)</f>
        <v>Muğla</v>
      </c>
      <c r="F70" s="115" t="str">
        <f>VLOOKUP(D70,Data!H:J,3,0)</f>
        <v>Nazım Öztel</v>
      </c>
      <c r="G70" s="116" t="b">
        <v>0</v>
      </c>
      <c r="H70" s="116" t="b">
        <v>0</v>
      </c>
      <c r="I70" s="116" t="b">
        <v>0</v>
      </c>
      <c r="J70" s="116" t="b">
        <v>0</v>
      </c>
      <c r="K70" s="116" t="b">
        <v>0</v>
      </c>
      <c r="L70" s="117">
        <f t="shared" si="1"/>
        <v>0</v>
      </c>
      <c r="M70" s="117">
        <f t="shared" si="2"/>
        <v>0</v>
      </c>
      <c r="N70" s="106"/>
      <c r="O70" s="112"/>
    </row>
    <row r="71" ht="15.0" customHeight="1">
      <c r="A71" s="112"/>
      <c r="B71" s="112"/>
      <c r="C71" s="112"/>
      <c r="D71" s="129" t="s">
        <v>256</v>
      </c>
      <c r="E71" s="114" t="s">
        <v>211</v>
      </c>
      <c r="F71" s="115" t="s">
        <v>61</v>
      </c>
      <c r="G71" s="116" t="b">
        <v>0</v>
      </c>
      <c r="H71" s="116" t="b">
        <v>1</v>
      </c>
      <c r="I71" s="116" t="b">
        <v>1</v>
      </c>
      <c r="J71" s="116" t="b">
        <v>1</v>
      </c>
      <c r="K71" s="116" t="b">
        <v>1</v>
      </c>
      <c r="L71" s="117">
        <f t="shared" si="1"/>
        <v>4</v>
      </c>
      <c r="M71" s="117">
        <f t="shared" si="2"/>
        <v>16</v>
      </c>
      <c r="N71" s="106"/>
      <c r="O71" s="112"/>
    </row>
    <row r="72" ht="15.0" customHeight="1">
      <c r="A72" s="112"/>
      <c r="B72" s="112"/>
      <c r="C72" s="112"/>
      <c r="D72" s="129" t="s">
        <v>257</v>
      </c>
      <c r="E72" s="114" t="str">
        <f>VLOOKUP(D72,Data!H:I,2,0)</f>
        <v>Samsun</v>
      </c>
      <c r="F72" s="115" t="str">
        <f>VLOOKUP(D72,Data!H:J,3,0)</f>
        <v>Nazım Öztel</v>
      </c>
      <c r="G72" s="116" t="b">
        <v>1</v>
      </c>
      <c r="H72" s="116" t="b">
        <v>0</v>
      </c>
      <c r="I72" s="116" t="b">
        <v>1</v>
      </c>
      <c r="J72" s="116" t="b">
        <v>1</v>
      </c>
      <c r="K72" s="116" t="b">
        <v>1</v>
      </c>
      <c r="L72" s="117">
        <f t="shared" si="1"/>
        <v>4</v>
      </c>
      <c r="M72" s="117">
        <f t="shared" si="2"/>
        <v>16</v>
      </c>
      <c r="N72" s="106"/>
      <c r="O72" s="112"/>
    </row>
    <row r="73" ht="15.0" customHeight="1">
      <c r="A73" s="112"/>
      <c r="B73" s="112"/>
      <c r="C73" s="112"/>
      <c r="D73" s="129" t="s">
        <v>104</v>
      </c>
      <c r="E73" s="114" t="str">
        <f>VLOOKUP(D73,Data!H:I,2,0)</f>
        <v>Tekirdağ</v>
      </c>
      <c r="F73" s="115" t="str">
        <f>VLOOKUP(D73,Data!H:J,3,0)</f>
        <v>Freelance</v>
      </c>
      <c r="G73" s="116" t="b">
        <v>0</v>
      </c>
      <c r="H73" s="116" t="b">
        <v>1</v>
      </c>
      <c r="I73" s="116" t="b">
        <v>1</v>
      </c>
      <c r="J73" s="116" t="b">
        <v>0</v>
      </c>
      <c r="K73" s="116" t="b">
        <v>0</v>
      </c>
      <c r="L73" s="117">
        <f t="shared" si="1"/>
        <v>2</v>
      </c>
      <c r="M73" s="117">
        <f t="shared" si="2"/>
        <v>8</v>
      </c>
      <c r="N73" s="112"/>
      <c r="O73" s="112"/>
    </row>
    <row r="74" ht="15.0" customHeight="1">
      <c r="A74" s="112"/>
      <c r="B74" s="112"/>
      <c r="C74" s="112"/>
      <c r="D74" s="129" t="s">
        <v>258</v>
      </c>
      <c r="E74" s="114" t="str">
        <f>VLOOKUP(D74,Data!H:I,2,0)</f>
        <v>Tokat</v>
      </c>
      <c r="F74" s="115" t="str">
        <f>VLOOKUP(D74,Data!H:J,3,0)</f>
        <v>Nazım Öztel</v>
      </c>
      <c r="G74" s="116" t="b">
        <v>1</v>
      </c>
      <c r="H74" s="116" t="b">
        <v>1</v>
      </c>
      <c r="I74" s="116" t="b">
        <v>1</v>
      </c>
      <c r="J74" s="116" t="b">
        <v>1</v>
      </c>
      <c r="K74" s="116" t="b">
        <v>0</v>
      </c>
      <c r="L74" s="117">
        <f t="shared" si="1"/>
        <v>4</v>
      </c>
      <c r="M74" s="117">
        <f t="shared" si="2"/>
        <v>16</v>
      </c>
      <c r="N74" s="112"/>
      <c r="O74" s="112"/>
    </row>
    <row r="75" ht="15.0" customHeight="1">
      <c r="A75" s="112"/>
      <c r="B75" s="112"/>
      <c r="C75" s="112"/>
      <c r="D75" s="129" t="s">
        <v>154</v>
      </c>
      <c r="E75" s="114" t="str">
        <f>VLOOKUP(D75,Data!H:I,2,0)</f>
        <v>Uşak</v>
      </c>
      <c r="F75" s="115" t="str">
        <f>VLOOKUP(D75,Data!H:J,3,0)</f>
        <v>Nazım Öztel</v>
      </c>
      <c r="G75" s="116" t="b">
        <v>0</v>
      </c>
      <c r="H75" s="116" t="b">
        <v>1</v>
      </c>
      <c r="I75" s="116" t="b">
        <v>0</v>
      </c>
      <c r="J75" s="116" t="b">
        <v>0</v>
      </c>
      <c r="K75" s="116" t="b">
        <v>0</v>
      </c>
      <c r="L75" s="117">
        <f t="shared" si="1"/>
        <v>1</v>
      </c>
      <c r="M75" s="117">
        <f t="shared" si="2"/>
        <v>4</v>
      </c>
      <c r="N75" s="112"/>
      <c r="O75" s="112"/>
    </row>
    <row r="76" ht="15.0" customHeight="1">
      <c r="A76" s="112"/>
      <c r="B76" s="112"/>
      <c r="C76" s="112"/>
      <c r="D76" s="132"/>
      <c r="E76" s="132"/>
      <c r="F76" s="132"/>
      <c r="G76" s="117">
        <f t="shared" ref="G76:K76" si="3">4*(COUNTIF(G15:G75,"true"))</f>
        <v>84</v>
      </c>
      <c r="H76" s="117">
        <f t="shared" si="3"/>
        <v>96</v>
      </c>
      <c r="I76" s="117">
        <f t="shared" si="3"/>
        <v>112</v>
      </c>
      <c r="J76" s="117">
        <f t="shared" si="3"/>
        <v>88</v>
      </c>
      <c r="K76" s="117">
        <f t="shared" si="3"/>
        <v>80</v>
      </c>
      <c r="L76" s="135"/>
      <c r="M76" s="135">
        <f>SUM(G76:K76)</f>
        <v>460</v>
      </c>
      <c r="N76" s="112"/>
      <c r="O76" s="112"/>
    </row>
  </sheetData>
  <customSheetViews>
    <customSheetView guid="{70B995D3-3AEB-4DFE-A0CA-D6FFCCE596BC}" filter="1" showAutoFilter="1">
      <autoFilter ref="$D$14:$D$75"/>
    </customSheetView>
    <customSheetView guid="{90E1DF85-7252-44D2-BA7D-CC3767CD0E8B}" filter="1" showAutoFilter="1">
      <autoFilter ref="$A$14:$O$76">
        <filterColumn colId="4">
          <filters>
            <filter val="Kırklareli"/>
            <filter val="Samsun"/>
            <filter val="Bilecik"/>
            <filter val="Elazığ"/>
            <filter val="Bartın"/>
            <filter val="Kayseri"/>
            <filter val="Düzce"/>
            <filter val="Malatya"/>
            <filter val="Hatay"/>
            <filter val="Denizli"/>
            <filter val="Çanakkale"/>
            <filter val="Çorum"/>
            <filter val="Osmaniye"/>
            <filter val="Edirne"/>
            <filter val="Tokat"/>
            <filter val="Mardin"/>
            <filter val="Muğla"/>
            <filter val="Eskişehir"/>
            <filter val="Kahramanmaraş"/>
            <filter val="Balıkesir"/>
            <filter val="Uşak"/>
          </filters>
        </filterColumn>
      </autoFilter>
    </customSheetView>
  </customSheetViews>
  <mergeCells count="4">
    <mergeCell ref="D6:K6"/>
    <mergeCell ref="D7:F7"/>
    <mergeCell ref="D9:D12"/>
    <mergeCell ref="F10:M11"/>
  </mergeCells>
  <conditionalFormatting sqref="G15:K75">
    <cfRule type="cellIs" dxfId="1" priority="1" operator="equal">
      <formula>"False"</formula>
    </cfRule>
  </conditionalFormatting>
  <conditionalFormatting sqref="G15:K75">
    <cfRule type="cellIs" dxfId="0" priority="2" operator="equal">
      <formula>"TRUE"</formula>
    </cfRule>
  </conditionalFormatting>
  <dataValidations>
    <dataValidation type="list" allowBlank="1" showErrorMessage="1" sqref="E15:E75">
      <formula1>Data!$A$2:$A$100</formula1>
    </dataValidation>
    <dataValidation type="list" allowBlank="1" showErrorMessage="1" sqref="F15:F75">
      <formula1>Data!$C$2:$C$8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3" width="2.63"/>
    <col customWidth="1" min="4" max="4" width="20.38"/>
    <col customWidth="1" min="5" max="5" width="11.38"/>
    <col customWidth="1" min="6" max="6" width="16.63"/>
    <col customWidth="1" min="7" max="11" width="8.63"/>
    <col customWidth="1" min="12" max="12" width="12.63"/>
    <col customWidth="1" min="13" max="13" width="15.13"/>
    <col customWidth="1" min="14" max="15" width="2.63"/>
  </cols>
  <sheetData>
    <row r="1" ht="7.5" customHeight="1">
      <c r="A1" s="140"/>
      <c r="B1" s="84"/>
      <c r="C1" s="84"/>
      <c r="D1" s="84"/>
      <c r="E1" s="84"/>
      <c r="F1" s="84"/>
      <c r="G1" s="84"/>
      <c r="H1" s="84"/>
      <c r="I1" s="84"/>
      <c r="J1" s="84"/>
      <c r="K1" s="84"/>
      <c r="L1" s="85"/>
      <c r="M1" s="86"/>
      <c r="N1" s="86"/>
      <c r="O1" s="86"/>
    </row>
    <row r="2" ht="15.0" customHeight="1">
      <c r="A2" s="87"/>
      <c r="B2" s="87"/>
      <c r="C2" s="87"/>
      <c r="D2" s="88"/>
      <c r="E2" s="88"/>
      <c r="F2" s="88"/>
      <c r="G2" s="88"/>
      <c r="H2" s="88"/>
      <c r="I2" s="88"/>
      <c r="J2" s="88"/>
      <c r="K2" s="88"/>
      <c r="L2" s="88"/>
      <c r="M2" s="87"/>
      <c r="N2" s="87"/>
      <c r="O2" s="87"/>
    </row>
    <row r="3" ht="3.75" customHeight="1">
      <c r="A3" s="87"/>
      <c r="B3" s="87"/>
      <c r="C3" s="87"/>
      <c r="D3" s="89"/>
      <c r="E3" s="90"/>
      <c r="F3" s="90"/>
      <c r="G3" s="90"/>
      <c r="H3" s="90"/>
      <c r="I3" s="90"/>
      <c r="J3" s="90"/>
      <c r="K3" s="90"/>
      <c r="L3" s="90"/>
      <c r="M3" s="87"/>
      <c r="N3" s="87"/>
      <c r="O3" s="87"/>
    </row>
    <row r="4" ht="15.0" customHeight="1">
      <c r="A4" s="87"/>
      <c r="B4" s="87"/>
      <c r="C4" s="87"/>
      <c r="D4" s="88"/>
      <c r="E4" s="88"/>
      <c r="F4" s="88"/>
      <c r="G4" s="91"/>
      <c r="H4" s="91"/>
      <c r="I4" s="91"/>
      <c r="J4" s="91"/>
      <c r="K4" s="91"/>
      <c r="L4" s="91"/>
      <c r="M4" s="87"/>
      <c r="N4" s="87"/>
      <c r="O4" s="87"/>
    </row>
    <row r="5" ht="15.0" customHeight="1">
      <c r="A5" s="92"/>
      <c r="B5" s="92"/>
      <c r="C5" s="92"/>
      <c r="D5" s="88"/>
      <c r="E5" s="88"/>
      <c r="F5" s="88"/>
      <c r="G5" s="93"/>
      <c r="H5" s="93"/>
      <c r="I5" s="93"/>
      <c r="J5" s="93"/>
      <c r="K5" s="93"/>
      <c r="L5" s="94"/>
      <c r="M5" s="88"/>
      <c r="N5" s="92"/>
      <c r="O5" s="92"/>
    </row>
    <row r="6" ht="15.0" customHeight="1">
      <c r="A6" s="92"/>
      <c r="B6" s="92"/>
      <c r="C6" s="92"/>
      <c r="D6" s="95" t="s">
        <v>259</v>
      </c>
      <c r="L6" s="94"/>
      <c r="M6" s="88"/>
      <c r="N6" s="92"/>
      <c r="O6" s="92"/>
    </row>
    <row r="7" ht="15.0" customHeight="1">
      <c r="A7" s="92"/>
      <c r="B7" s="92"/>
      <c r="C7" s="92"/>
      <c r="D7" s="96" t="s">
        <v>260</v>
      </c>
      <c r="G7" s="97"/>
      <c r="H7" s="97"/>
      <c r="I7" s="97"/>
      <c r="J7" s="97"/>
      <c r="K7" s="97"/>
      <c r="L7" s="92"/>
      <c r="M7" s="92"/>
      <c r="N7" s="92"/>
      <c r="O7" s="92"/>
    </row>
    <row r="8" ht="15.0" customHeight="1">
      <c r="A8" s="92"/>
      <c r="B8" s="92"/>
      <c r="C8" s="92"/>
      <c r="D8" s="97"/>
      <c r="E8" s="97"/>
      <c r="F8" s="97"/>
      <c r="G8" s="97"/>
      <c r="H8" s="97"/>
      <c r="I8" s="97"/>
      <c r="J8" s="97"/>
      <c r="K8" s="97"/>
      <c r="L8" s="92"/>
      <c r="M8" s="92"/>
      <c r="N8" s="92"/>
      <c r="O8" s="92"/>
    </row>
    <row r="9" ht="15.0" customHeight="1">
      <c r="A9" s="92"/>
      <c r="B9" s="92"/>
      <c r="C9" s="98"/>
      <c r="D9" s="99" t="s">
        <v>35</v>
      </c>
      <c r="E9" s="100"/>
      <c r="F9" s="101"/>
      <c r="G9" s="101"/>
      <c r="H9" s="101"/>
      <c r="I9" s="101"/>
      <c r="J9" s="101"/>
      <c r="K9" s="101"/>
      <c r="L9" s="101"/>
      <c r="M9" s="100"/>
      <c r="N9" s="102"/>
      <c r="O9" s="102"/>
    </row>
    <row r="10" ht="15.0" customHeight="1">
      <c r="A10" s="92"/>
      <c r="B10" s="92"/>
      <c r="C10" s="98"/>
      <c r="E10" s="100"/>
      <c r="F10" s="103" t="s">
        <v>36</v>
      </c>
      <c r="N10" s="102"/>
      <c r="O10" s="102"/>
    </row>
    <row r="11" ht="15.0" customHeight="1">
      <c r="A11" s="92"/>
      <c r="B11" s="92"/>
      <c r="C11" s="98"/>
      <c r="E11" s="100"/>
      <c r="N11" s="102"/>
      <c r="O11" s="102"/>
    </row>
    <row r="12" ht="15.0" customHeight="1">
      <c r="A12" s="88"/>
      <c r="B12" s="92"/>
      <c r="C12" s="92"/>
      <c r="E12" s="100"/>
      <c r="F12" s="100"/>
      <c r="G12" s="100"/>
      <c r="H12" s="100"/>
      <c r="I12" s="100"/>
      <c r="J12" s="100"/>
      <c r="K12" s="100"/>
      <c r="L12" s="100"/>
      <c r="M12" s="100"/>
      <c r="N12" s="102"/>
      <c r="O12" s="102"/>
    </row>
    <row r="13" ht="15.0" customHeight="1">
      <c r="A13" s="88"/>
      <c r="B13" s="104"/>
      <c r="C13" s="104"/>
      <c r="D13" s="104"/>
      <c r="E13" s="104"/>
      <c r="F13" s="105"/>
      <c r="G13" s="105"/>
      <c r="H13" s="105"/>
      <c r="I13" s="105"/>
      <c r="J13" s="105"/>
      <c r="K13" s="105"/>
      <c r="L13" s="104"/>
      <c r="M13" s="104"/>
      <c r="N13" s="104"/>
      <c r="O13" s="104"/>
    </row>
    <row r="14" ht="15.0" customHeight="1">
      <c r="A14" s="106"/>
      <c r="B14" s="106"/>
      <c r="C14" s="106"/>
      <c r="D14" s="107" t="s">
        <v>37</v>
      </c>
      <c r="E14" s="108" t="s">
        <v>38</v>
      </c>
      <c r="F14" s="109" t="s">
        <v>39</v>
      </c>
      <c r="G14" s="110">
        <v>44599.0</v>
      </c>
      <c r="H14" s="110">
        <v>44600.0</v>
      </c>
      <c r="I14" s="110">
        <v>44601.0</v>
      </c>
      <c r="J14" s="110">
        <v>44602.0</v>
      </c>
      <c r="K14" s="110">
        <v>44603.0</v>
      </c>
      <c r="L14" s="111" t="s">
        <v>40</v>
      </c>
      <c r="M14" s="111" t="s">
        <v>41</v>
      </c>
      <c r="N14" s="88"/>
      <c r="O14" s="88"/>
    </row>
    <row r="15" ht="15.0" customHeight="1">
      <c r="A15" s="112"/>
      <c r="B15" s="112"/>
      <c r="C15" s="112"/>
      <c r="D15" s="129" t="s">
        <v>42</v>
      </c>
      <c r="E15" s="114" t="str">
        <f>VLOOKUP(D15,Data!H:I,2,0)</f>
        <v>Adana</v>
      </c>
      <c r="F15" s="115" t="str">
        <f>VLOOKUP(D15,Data!H:J,3,0)</f>
        <v>Freelance</v>
      </c>
      <c r="G15" s="116" t="b">
        <v>0</v>
      </c>
      <c r="H15" s="116" t="b">
        <v>0</v>
      </c>
      <c r="I15" s="116" t="b">
        <v>0</v>
      </c>
      <c r="J15" s="116" t="b">
        <v>0</v>
      </c>
      <c r="K15" s="116" t="b">
        <v>0</v>
      </c>
      <c r="L15" s="117">
        <f t="shared" ref="L15:L77" si="1">COUNTIF(G15:K15,"TRUE")</f>
        <v>0</v>
      </c>
      <c r="M15" s="117">
        <f t="shared" ref="M15:M77" si="2">L15*4</f>
        <v>0</v>
      </c>
      <c r="N15" s="112"/>
      <c r="O15" s="88"/>
    </row>
    <row r="16" ht="15.0" customHeight="1">
      <c r="A16" s="112"/>
      <c r="B16" s="112"/>
      <c r="C16" s="112"/>
      <c r="D16" s="129" t="s">
        <v>246</v>
      </c>
      <c r="E16" s="114" t="str">
        <f>VLOOKUP(D16,Data!H:I,2,0)</f>
        <v>Ankara</v>
      </c>
      <c r="F16" s="115" t="str">
        <f>VLOOKUP(D16,Data!H:J,3,0)</f>
        <v>Nazım Öztel</v>
      </c>
      <c r="G16" s="116" t="b">
        <v>0</v>
      </c>
      <c r="H16" s="116" t="b">
        <v>1</v>
      </c>
      <c r="I16" s="116" t="b">
        <v>1</v>
      </c>
      <c r="J16" s="116" t="b">
        <v>1</v>
      </c>
      <c r="K16" s="116" t="b">
        <v>1</v>
      </c>
      <c r="L16" s="117">
        <f t="shared" si="1"/>
        <v>4</v>
      </c>
      <c r="M16" s="117">
        <f t="shared" si="2"/>
        <v>16</v>
      </c>
      <c r="N16" s="112"/>
      <c r="O16" s="88"/>
    </row>
    <row r="17" ht="15.0" customHeight="1">
      <c r="A17" s="112"/>
      <c r="B17" s="112"/>
      <c r="C17" s="112"/>
      <c r="D17" s="129" t="s">
        <v>261</v>
      </c>
      <c r="E17" s="114" t="str">
        <f>VLOOKUP(D17,Data!H:I,2,0)</f>
        <v>Ankara</v>
      </c>
      <c r="F17" s="115" t="str">
        <f>VLOOKUP(D17,Data!H:J,3,0)</f>
        <v>Nazım Öztel</v>
      </c>
      <c r="G17" s="116" t="b">
        <v>1</v>
      </c>
      <c r="H17" s="116" t="b">
        <v>0</v>
      </c>
      <c r="I17" s="116" t="b">
        <v>0</v>
      </c>
      <c r="J17" s="116" t="b">
        <v>1</v>
      </c>
      <c r="K17" s="116" t="b">
        <v>1</v>
      </c>
      <c r="L17" s="117">
        <f t="shared" si="1"/>
        <v>3</v>
      </c>
      <c r="M17" s="117">
        <f t="shared" si="2"/>
        <v>12</v>
      </c>
      <c r="N17" s="112"/>
      <c r="O17" s="88"/>
    </row>
    <row r="18" ht="15.0" customHeight="1">
      <c r="A18" s="106"/>
      <c r="B18" s="106"/>
      <c r="C18" s="106"/>
      <c r="D18" s="129" t="s">
        <v>164</v>
      </c>
      <c r="E18" s="114" t="str">
        <f>VLOOKUP(D18,Data!H:I,2,0)</f>
        <v>Antalya</v>
      </c>
      <c r="F18" s="115" t="str">
        <f>VLOOKUP(D18,Data!H:J,3,0)</f>
        <v>Nazım Öztel</v>
      </c>
      <c r="G18" s="116" t="b">
        <v>0</v>
      </c>
      <c r="H18" s="116" t="b">
        <v>1</v>
      </c>
      <c r="I18" s="116" t="b">
        <v>1</v>
      </c>
      <c r="J18" s="116" t="b">
        <v>1</v>
      </c>
      <c r="K18" s="116" t="b">
        <v>0</v>
      </c>
      <c r="L18" s="117">
        <f t="shared" si="1"/>
        <v>3</v>
      </c>
      <c r="M18" s="117">
        <f t="shared" si="2"/>
        <v>12</v>
      </c>
      <c r="N18" s="112"/>
      <c r="O18" s="106"/>
    </row>
    <row r="19" ht="15.0" customHeight="1">
      <c r="A19" s="106"/>
      <c r="B19" s="106"/>
      <c r="C19" s="106"/>
      <c r="D19" s="129" t="s">
        <v>148</v>
      </c>
      <c r="E19" s="114" t="s">
        <v>262</v>
      </c>
      <c r="F19" s="115" t="s">
        <v>61</v>
      </c>
      <c r="G19" s="116" t="b">
        <v>0</v>
      </c>
      <c r="H19" s="116" t="b">
        <v>1</v>
      </c>
      <c r="I19" s="116" t="b">
        <v>1</v>
      </c>
      <c r="J19" s="116" t="b">
        <v>1</v>
      </c>
      <c r="K19" s="116" t="b">
        <v>1</v>
      </c>
      <c r="L19" s="117">
        <f t="shared" si="1"/>
        <v>4</v>
      </c>
      <c r="M19" s="117">
        <f t="shared" si="2"/>
        <v>16</v>
      </c>
      <c r="N19" s="112"/>
      <c r="O19" s="106"/>
    </row>
    <row r="20" ht="15.0" customHeight="1">
      <c r="A20" s="112"/>
      <c r="B20" s="112"/>
      <c r="C20" s="112"/>
      <c r="D20" s="129" t="s">
        <v>241</v>
      </c>
      <c r="E20" s="114" t="s">
        <v>184</v>
      </c>
      <c r="F20" s="115" t="s">
        <v>61</v>
      </c>
      <c r="G20" s="116" t="b">
        <v>1</v>
      </c>
      <c r="H20" s="116" t="b">
        <v>1</v>
      </c>
      <c r="I20" s="116" t="b">
        <v>1</v>
      </c>
      <c r="J20" s="116" t="b">
        <v>1</v>
      </c>
      <c r="K20" s="116" t="b">
        <v>1</v>
      </c>
      <c r="L20" s="117">
        <f t="shared" si="1"/>
        <v>5</v>
      </c>
      <c r="M20" s="117">
        <f t="shared" si="2"/>
        <v>20</v>
      </c>
      <c r="N20" s="112"/>
      <c r="O20" s="112"/>
    </row>
    <row r="21" ht="15.0" customHeight="1">
      <c r="A21" s="112"/>
      <c r="B21" s="112"/>
      <c r="C21" s="112"/>
      <c r="D21" s="129" t="s">
        <v>263</v>
      </c>
      <c r="E21" s="114" t="str">
        <f>VLOOKUP(D21,Data!H:I,2,0)</f>
        <v>Bolu</v>
      </c>
      <c r="F21" s="115" t="str">
        <f>VLOOKUP(D21,Data!H:J,3,0)</f>
        <v>Nazım Öztel</v>
      </c>
      <c r="G21" s="116" t="b">
        <v>1</v>
      </c>
      <c r="H21" s="116" t="b">
        <v>0</v>
      </c>
      <c r="I21" s="116" t="b">
        <v>0</v>
      </c>
      <c r="J21" s="116" t="b">
        <v>0</v>
      </c>
      <c r="K21" s="116" t="b">
        <v>1</v>
      </c>
      <c r="L21" s="117">
        <f t="shared" si="1"/>
        <v>2</v>
      </c>
      <c r="M21" s="117">
        <f t="shared" si="2"/>
        <v>8</v>
      </c>
      <c r="N21" s="112"/>
      <c r="O21" s="112"/>
    </row>
    <row r="22" ht="15.0" customHeight="1">
      <c r="A22" s="112"/>
      <c r="B22" s="112"/>
      <c r="C22" s="112"/>
      <c r="D22" s="129" t="s">
        <v>53</v>
      </c>
      <c r="E22" s="114" t="str">
        <f>VLOOKUP(D22,Data!H:I,2,0)</f>
        <v>Bursa</v>
      </c>
      <c r="F22" s="115" t="str">
        <f>VLOOKUP(D22,Data!H:J,3,0)</f>
        <v>Freelance</v>
      </c>
      <c r="G22" s="116" t="b">
        <v>0</v>
      </c>
      <c r="H22" s="116" t="b">
        <v>0</v>
      </c>
      <c r="I22" s="116" t="b">
        <v>0</v>
      </c>
      <c r="J22" s="116" t="b">
        <v>0</v>
      </c>
      <c r="K22" s="116" t="b">
        <v>0</v>
      </c>
      <c r="L22" s="117">
        <f t="shared" si="1"/>
        <v>0</v>
      </c>
      <c r="M22" s="117">
        <f t="shared" si="2"/>
        <v>0</v>
      </c>
      <c r="N22" s="112"/>
      <c r="O22" s="112"/>
    </row>
    <row r="23" ht="15.0" customHeight="1">
      <c r="A23" s="112"/>
      <c r="B23" s="112"/>
      <c r="C23" s="112"/>
      <c r="D23" s="129" t="s">
        <v>247</v>
      </c>
      <c r="E23" s="114" t="str">
        <f>VLOOKUP(D23,Data!H:I,2,0)</f>
        <v>Çanakkale</v>
      </c>
      <c r="F23" s="115" t="str">
        <f>VLOOKUP(D23,Data!H:J,3,0)</f>
        <v>Nazım Öztel</v>
      </c>
      <c r="G23" s="116" t="b">
        <v>0</v>
      </c>
      <c r="H23" s="116" t="b">
        <v>1</v>
      </c>
      <c r="I23" s="116" t="b">
        <v>1</v>
      </c>
      <c r="J23" s="116" t="b">
        <v>0</v>
      </c>
      <c r="K23" s="116" t="b">
        <v>1</v>
      </c>
      <c r="L23" s="117">
        <f t="shared" si="1"/>
        <v>3</v>
      </c>
      <c r="M23" s="117">
        <f t="shared" si="2"/>
        <v>12</v>
      </c>
      <c r="N23" s="112"/>
      <c r="O23" s="112"/>
    </row>
    <row r="24" ht="15.0" customHeight="1">
      <c r="A24" s="112"/>
      <c r="B24" s="112"/>
      <c r="C24" s="112"/>
      <c r="D24" s="129" t="s">
        <v>221</v>
      </c>
      <c r="E24" s="114" t="str">
        <f>VLOOKUP(D24,Data!H:I,2,0)</f>
        <v>Çorum</v>
      </c>
      <c r="F24" s="115" t="str">
        <f>VLOOKUP(D24,Data!H:J,3,0)</f>
        <v>Nazım Öztel</v>
      </c>
      <c r="G24" s="116" t="b">
        <v>0</v>
      </c>
      <c r="H24" s="116" t="b">
        <v>0</v>
      </c>
      <c r="I24" s="116" t="b">
        <v>0</v>
      </c>
      <c r="J24" s="116" t="b">
        <v>0</v>
      </c>
      <c r="K24" s="116" t="b">
        <v>0</v>
      </c>
      <c r="L24" s="117">
        <f t="shared" si="1"/>
        <v>0</v>
      </c>
      <c r="M24" s="117">
        <f t="shared" si="2"/>
        <v>0</v>
      </c>
      <c r="N24" s="112"/>
      <c r="O24" s="112"/>
    </row>
    <row r="25" ht="15.0" customHeight="1">
      <c r="A25" s="112"/>
      <c r="B25" s="112"/>
      <c r="C25" s="112"/>
      <c r="D25" s="129" t="s">
        <v>264</v>
      </c>
      <c r="E25" s="114" t="str">
        <f>VLOOKUP(D25,Data!H:I,2,0)</f>
        <v>Denizli</v>
      </c>
      <c r="F25" s="115" t="str">
        <f>VLOOKUP(D25,Data!H:J,3,0)</f>
        <v>Nazım Öztel</v>
      </c>
      <c r="G25" s="116" t="b">
        <v>1</v>
      </c>
      <c r="H25" s="116" t="b">
        <v>1</v>
      </c>
      <c r="I25" s="116" t="b">
        <v>1</v>
      </c>
      <c r="J25" s="116" t="b">
        <v>1</v>
      </c>
      <c r="K25" s="116" t="b">
        <v>1</v>
      </c>
      <c r="L25" s="117">
        <f t="shared" si="1"/>
        <v>5</v>
      </c>
      <c r="M25" s="117">
        <f t="shared" si="2"/>
        <v>20</v>
      </c>
      <c r="N25" s="112"/>
      <c r="O25" s="112"/>
    </row>
    <row r="26" ht="15.0" customHeight="1">
      <c r="A26" s="112"/>
      <c r="B26" s="112"/>
      <c r="C26" s="112"/>
      <c r="D26" s="132" t="s">
        <v>54</v>
      </c>
      <c r="E26" s="114" t="str">
        <f>VLOOKUP(D26,Data!H:I,2,0)</f>
        <v>Diyarbakır</v>
      </c>
      <c r="F26" s="115" t="str">
        <f>VLOOKUP(D26,Data!H:J,3,0)</f>
        <v>Nazım Öztel</v>
      </c>
      <c r="G26" s="116" t="b">
        <v>0</v>
      </c>
      <c r="H26" s="116" t="b">
        <v>0</v>
      </c>
      <c r="I26" s="116" t="b">
        <v>0</v>
      </c>
      <c r="J26" s="116" t="b">
        <v>0</v>
      </c>
      <c r="K26" s="116" t="b">
        <v>0</v>
      </c>
      <c r="L26" s="117">
        <f t="shared" si="1"/>
        <v>0</v>
      </c>
      <c r="M26" s="117">
        <f t="shared" si="2"/>
        <v>0</v>
      </c>
      <c r="N26" s="112"/>
      <c r="O26" s="112"/>
    </row>
    <row r="27" ht="15.0" customHeight="1">
      <c r="A27" s="112"/>
      <c r="B27" s="112"/>
      <c r="C27" s="112"/>
      <c r="D27" s="129" t="s">
        <v>173</v>
      </c>
      <c r="E27" s="114" t="str">
        <f>VLOOKUP(D27,Data!H:I,2,0)</f>
        <v>Düzce</v>
      </c>
      <c r="F27" s="115" t="str">
        <f>VLOOKUP(D27,Data!H:J,3,0)</f>
        <v>Nazım Öztel</v>
      </c>
      <c r="G27" s="116" t="b">
        <v>0</v>
      </c>
      <c r="H27" s="116" t="b">
        <v>0</v>
      </c>
      <c r="I27" s="116" t="b">
        <v>0</v>
      </c>
      <c r="J27" s="116" t="b">
        <v>0</v>
      </c>
      <c r="K27" s="116" t="b">
        <v>0</v>
      </c>
      <c r="L27" s="117">
        <f t="shared" si="1"/>
        <v>0</v>
      </c>
      <c r="M27" s="117">
        <f t="shared" si="2"/>
        <v>0</v>
      </c>
      <c r="N27" s="112"/>
      <c r="O27" s="112"/>
    </row>
    <row r="28" ht="15.0" customHeight="1">
      <c r="A28" s="112"/>
      <c r="B28" s="112"/>
      <c r="C28" s="112"/>
      <c r="D28" s="129" t="s">
        <v>153</v>
      </c>
      <c r="E28" s="114" t="str">
        <f>VLOOKUP(D28,Data!H:I,2,0)</f>
        <v>Edirne</v>
      </c>
      <c r="F28" s="115" t="str">
        <f>VLOOKUP(D28,Data!H:J,3,0)</f>
        <v>Nazım Öztel</v>
      </c>
      <c r="G28" s="116" t="b">
        <v>0</v>
      </c>
      <c r="H28" s="116" t="b">
        <v>0</v>
      </c>
      <c r="I28" s="116" t="b">
        <v>0</v>
      </c>
      <c r="J28" s="116" t="b">
        <v>0</v>
      </c>
      <c r="K28" s="116" t="b">
        <v>0</v>
      </c>
      <c r="L28" s="117">
        <f t="shared" si="1"/>
        <v>0</v>
      </c>
      <c r="M28" s="117">
        <f t="shared" si="2"/>
        <v>0</v>
      </c>
      <c r="N28" s="112"/>
      <c r="O28" s="112"/>
    </row>
    <row r="29" ht="15.0" customHeight="1">
      <c r="A29" s="112"/>
      <c r="B29" s="112"/>
      <c r="C29" s="112"/>
      <c r="D29" s="129" t="s">
        <v>199</v>
      </c>
      <c r="E29" s="114" t="str">
        <f>VLOOKUP(D29,Data!H:I,2,0)</f>
        <v>Elazığ</v>
      </c>
      <c r="F29" s="115" t="str">
        <f>VLOOKUP(D29,Data!H:J,3,0)</f>
        <v>Nazım Öztel</v>
      </c>
      <c r="G29" s="116" t="b">
        <v>0</v>
      </c>
      <c r="H29" s="116" t="b">
        <v>0</v>
      </c>
      <c r="I29" s="116" t="b">
        <v>0</v>
      </c>
      <c r="J29" s="116" t="b">
        <v>0</v>
      </c>
      <c r="K29" s="116" t="b">
        <v>0</v>
      </c>
      <c r="L29" s="117">
        <f t="shared" si="1"/>
        <v>0</v>
      </c>
      <c r="M29" s="117">
        <f t="shared" si="2"/>
        <v>0</v>
      </c>
      <c r="N29" s="112"/>
      <c r="O29" s="112"/>
    </row>
    <row r="30" ht="15.0" customHeight="1">
      <c r="A30" s="112"/>
      <c r="B30" s="112"/>
      <c r="C30" s="112"/>
      <c r="D30" s="132" t="s">
        <v>55</v>
      </c>
      <c r="E30" s="114" t="str">
        <f>VLOOKUP(D30,Data!H:I,2,0)</f>
        <v>Erzurum</v>
      </c>
      <c r="F30" s="115" t="str">
        <f>VLOOKUP(D30,Data!H:J,3,0)</f>
        <v>Nazım Öztel</v>
      </c>
      <c r="G30" s="116" t="b">
        <v>0</v>
      </c>
      <c r="H30" s="116" t="b">
        <v>0</v>
      </c>
      <c r="I30" s="116" t="b">
        <v>0</v>
      </c>
      <c r="J30" s="116" t="b">
        <v>0</v>
      </c>
      <c r="K30" s="116" t="b">
        <v>0</v>
      </c>
      <c r="L30" s="117">
        <f t="shared" si="1"/>
        <v>0</v>
      </c>
      <c r="M30" s="117">
        <f t="shared" si="2"/>
        <v>0</v>
      </c>
      <c r="N30" s="112"/>
      <c r="O30" s="112"/>
    </row>
    <row r="31" ht="15.0" customHeight="1">
      <c r="A31" s="112"/>
      <c r="B31" s="112"/>
      <c r="C31" s="112"/>
      <c r="D31" s="129" t="s">
        <v>165</v>
      </c>
      <c r="E31" s="114" t="str">
        <f>VLOOKUP(D31,Data!H:I,2,0)</f>
        <v>Eskişehir</v>
      </c>
      <c r="F31" s="115" t="str">
        <f>VLOOKUP(D31,Data!H:J,3,0)</f>
        <v>Nazım Öztel</v>
      </c>
      <c r="G31" s="116" t="b">
        <v>1</v>
      </c>
      <c r="H31" s="116" t="b">
        <v>1</v>
      </c>
      <c r="I31" s="116" t="b">
        <v>0</v>
      </c>
      <c r="J31" s="116" t="b">
        <v>1</v>
      </c>
      <c r="K31" s="116" t="b">
        <v>1</v>
      </c>
      <c r="L31" s="117">
        <f t="shared" si="1"/>
        <v>4</v>
      </c>
      <c r="M31" s="117">
        <f t="shared" si="2"/>
        <v>16</v>
      </c>
      <c r="N31" s="112"/>
      <c r="O31" s="112"/>
    </row>
    <row r="32" ht="15.0" customHeight="1">
      <c r="A32" s="112"/>
      <c r="B32" s="112"/>
      <c r="C32" s="112"/>
      <c r="D32" s="129" t="s">
        <v>248</v>
      </c>
      <c r="E32" s="114" t="str">
        <f>VLOOKUP(D32,Data!H:I,2,0)</f>
        <v>Hatay</v>
      </c>
      <c r="F32" s="115" t="str">
        <f>VLOOKUP(D32,Data!H:J,3,0)</f>
        <v>Nazım Öztel</v>
      </c>
      <c r="G32" s="116" t="b">
        <v>1</v>
      </c>
      <c r="H32" s="116" t="b">
        <v>1</v>
      </c>
      <c r="I32" s="116" t="b">
        <v>0</v>
      </c>
      <c r="J32" s="116" t="b">
        <v>1</v>
      </c>
      <c r="K32" s="116" t="b">
        <v>1</v>
      </c>
      <c r="L32" s="117">
        <f t="shared" si="1"/>
        <v>4</v>
      </c>
      <c r="M32" s="117">
        <f t="shared" si="2"/>
        <v>16</v>
      </c>
      <c r="N32" s="112"/>
      <c r="O32" s="112"/>
    </row>
    <row r="33" ht="15.0" customHeight="1">
      <c r="A33" s="112"/>
      <c r="B33" s="112"/>
      <c r="C33" s="112"/>
      <c r="D33" s="129" t="s">
        <v>58</v>
      </c>
      <c r="E33" s="114" t="str">
        <f>VLOOKUP(D33,Data!H:I,2,0)</f>
        <v>İstanbul</v>
      </c>
      <c r="F33" s="115" t="str">
        <f>VLOOKUP(D33,Data!H:J,3,0)</f>
        <v>Freelance</v>
      </c>
      <c r="G33" s="116" t="b">
        <v>1</v>
      </c>
      <c r="H33" s="116" t="b">
        <v>1</v>
      </c>
      <c r="I33" s="116" t="b">
        <v>1</v>
      </c>
      <c r="J33" s="116" t="b">
        <v>1</v>
      </c>
      <c r="K33" s="116" t="b">
        <v>1</v>
      </c>
      <c r="L33" s="117">
        <f t="shared" si="1"/>
        <v>5</v>
      </c>
      <c r="M33" s="117">
        <f t="shared" si="2"/>
        <v>20</v>
      </c>
      <c r="N33" s="88"/>
      <c r="O33" s="112"/>
    </row>
    <row r="34" ht="15.0" customHeight="1">
      <c r="A34" s="121"/>
      <c r="B34" s="121"/>
      <c r="C34" s="121"/>
      <c r="D34" s="129" t="s">
        <v>236</v>
      </c>
      <c r="E34" s="114" t="str">
        <f>VLOOKUP(D34,Data!H:I,2,0)</f>
        <v>İstanbul</v>
      </c>
      <c r="F34" s="115" t="str">
        <f>VLOOKUP(D34,Data!H:J,3,0)</f>
        <v>Filamingo</v>
      </c>
      <c r="G34" s="116" t="b">
        <v>1</v>
      </c>
      <c r="H34" s="116" t="b">
        <v>1</v>
      </c>
      <c r="I34" s="116" t="b">
        <v>1</v>
      </c>
      <c r="J34" s="116" t="b">
        <v>0</v>
      </c>
      <c r="K34" s="116" t="b">
        <v>0</v>
      </c>
      <c r="L34" s="117">
        <f t="shared" si="1"/>
        <v>3</v>
      </c>
      <c r="M34" s="117">
        <f t="shared" si="2"/>
        <v>12</v>
      </c>
      <c r="N34" s="121"/>
      <c r="O34" s="121"/>
    </row>
    <row r="35" ht="15.0" customHeight="1">
      <c r="A35" s="112"/>
      <c r="B35" s="112"/>
      <c r="C35" s="112"/>
      <c r="D35" s="129" t="s">
        <v>135</v>
      </c>
      <c r="E35" s="114" t="str">
        <f>VLOOKUP(D35,Data!H:I,2,0)</f>
        <v>İstanbul</v>
      </c>
      <c r="F35" s="115" t="str">
        <f>VLOOKUP(D35,Data!H:J,3,0)</f>
        <v>Freelance</v>
      </c>
      <c r="G35" s="116" t="b">
        <v>0</v>
      </c>
      <c r="H35" s="116" t="b">
        <v>1</v>
      </c>
      <c r="I35" s="116" t="b">
        <v>1</v>
      </c>
      <c r="J35" s="116" t="b">
        <v>0</v>
      </c>
      <c r="K35" s="116" t="b">
        <v>0</v>
      </c>
      <c r="L35" s="117">
        <f t="shared" si="1"/>
        <v>2</v>
      </c>
      <c r="M35" s="117">
        <f t="shared" si="2"/>
        <v>8</v>
      </c>
      <c r="N35" s="112"/>
      <c r="O35" s="112"/>
    </row>
    <row r="36" ht="15.0" customHeight="1">
      <c r="A36" s="112"/>
      <c r="B36" s="112"/>
      <c r="C36" s="112"/>
      <c r="D36" s="129" t="s">
        <v>70</v>
      </c>
      <c r="E36" s="114" t="str">
        <f>VLOOKUP(D36,Data!H:I,2,0)</f>
        <v>İstanbul</v>
      </c>
      <c r="F36" s="115" t="str">
        <f>VLOOKUP(D36,Data!H:J,3,0)</f>
        <v>Freelance</v>
      </c>
      <c r="G36" s="116" t="b">
        <v>0</v>
      </c>
      <c r="H36" s="116" t="b">
        <v>0</v>
      </c>
      <c r="I36" s="116" t="b">
        <v>0</v>
      </c>
      <c r="J36" s="116" t="b">
        <v>0</v>
      </c>
      <c r="K36" s="116" t="b">
        <v>0</v>
      </c>
      <c r="L36" s="117">
        <f t="shared" si="1"/>
        <v>0</v>
      </c>
      <c r="M36" s="117">
        <f t="shared" si="2"/>
        <v>0</v>
      </c>
      <c r="N36" s="112"/>
      <c r="O36" s="112"/>
    </row>
    <row r="37" ht="15.0" customHeight="1">
      <c r="A37" s="112"/>
      <c r="B37" s="112"/>
      <c r="C37" s="112"/>
      <c r="D37" s="129" t="s">
        <v>78</v>
      </c>
      <c r="E37" s="114" t="str">
        <f>VLOOKUP(D37,Data!H:I,2,0)</f>
        <v>İstanbul</v>
      </c>
      <c r="F37" s="115" t="str">
        <f>VLOOKUP(D37,Data!H:J,3,0)</f>
        <v>Freelance</v>
      </c>
      <c r="G37" s="116" t="b">
        <v>1</v>
      </c>
      <c r="H37" s="116" t="b">
        <v>1</v>
      </c>
      <c r="I37" s="116" t="b">
        <v>1</v>
      </c>
      <c r="J37" s="116" t="b">
        <v>1</v>
      </c>
      <c r="K37" s="116" t="b">
        <v>1</v>
      </c>
      <c r="L37" s="117">
        <f t="shared" si="1"/>
        <v>5</v>
      </c>
      <c r="M37" s="117">
        <f t="shared" si="2"/>
        <v>20</v>
      </c>
      <c r="N37" s="120"/>
      <c r="O37" s="112"/>
    </row>
    <row r="38" ht="15.0" customHeight="1">
      <c r="A38" s="112"/>
      <c r="B38" s="112"/>
      <c r="C38" s="112"/>
      <c r="D38" s="129" t="s">
        <v>79</v>
      </c>
      <c r="E38" s="114" t="str">
        <f>VLOOKUP(D38,Data!H:I,2,0)</f>
        <v>İstanbul</v>
      </c>
      <c r="F38" s="115" t="str">
        <f>VLOOKUP(D38,Data!H:J,3,0)</f>
        <v>Freelance</v>
      </c>
      <c r="G38" s="116" t="b">
        <v>0</v>
      </c>
      <c r="H38" s="116" t="b">
        <v>0</v>
      </c>
      <c r="I38" s="116" t="b">
        <v>0</v>
      </c>
      <c r="J38" s="116" t="b">
        <v>0</v>
      </c>
      <c r="K38" s="116" t="b">
        <v>0</v>
      </c>
      <c r="L38" s="117">
        <f t="shared" si="1"/>
        <v>0</v>
      </c>
      <c r="M38" s="117">
        <f t="shared" si="2"/>
        <v>0</v>
      </c>
      <c r="N38" s="120"/>
      <c r="O38" s="112"/>
    </row>
    <row r="39" ht="15.0" customHeight="1">
      <c r="A39" s="122"/>
      <c r="B39" s="122"/>
      <c r="C39" s="122"/>
      <c r="D39" s="129" t="s">
        <v>80</v>
      </c>
      <c r="E39" s="114" t="str">
        <f>VLOOKUP(D39,Data!H:I,2,0)</f>
        <v>İstanbul</v>
      </c>
      <c r="F39" s="115" t="str">
        <f>VLOOKUP(D39,Data!H:J,3,0)</f>
        <v>Freelance</v>
      </c>
      <c r="G39" s="116" t="b">
        <v>1</v>
      </c>
      <c r="H39" s="116" t="b">
        <v>1</v>
      </c>
      <c r="I39" s="116" t="b">
        <v>1</v>
      </c>
      <c r="J39" s="116" t="b">
        <v>1</v>
      </c>
      <c r="K39" s="116" t="b">
        <v>1</v>
      </c>
      <c r="L39" s="117">
        <f t="shared" si="1"/>
        <v>5</v>
      </c>
      <c r="M39" s="117">
        <f t="shared" si="2"/>
        <v>20</v>
      </c>
      <c r="N39" s="112"/>
      <c r="O39" s="122"/>
    </row>
    <row r="40" ht="15.0" customHeight="1">
      <c r="A40" s="112"/>
      <c r="B40" s="112"/>
      <c r="C40" s="112"/>
      <c r="D40" s="132" t="s">
        <v>119</v>
      </c>
      <c r="E40" s="114" t="str">
        <f>VLOOKUP(D40,Data!H:I,2,0)</f>
        <v>İstanbul</v>
      </c>
      <c r="F40" s="115" t="str">
        <f>VLOOKUP(D40,Data!H:J,3,0)</f>
        <v>Filamingo</v>
      </c>
      <c r="G40" s="116" t="b">
        <v>0</v>
      </c>
      <c r="H40" s="116" t="b">
        <v>0</v>
      </c>
      <c r="I40" s="116" t="b">
        <v>0</v>
      </c>
      <c r="J40" s="116" t="b">
        <v>1</v>
      </c>
      <c r="K40" s="116" t="b">
        <v>0</v>
      </c>
      <c r="L40" s="117">
        <f t="shared" si="1"/>
        <v>1</v>
      </c>
      <c r="M40" s="117">
        <f t="shared" si="2"/>
        <v>4</v>
      </c>
      <c r="N40" s="124"/>
      <c r="O40" s="112"/>
    </row>
    <row r="41" ht="15.0" customHeight="1">
      <c r="A41" s="112"/>
      <c r="B41" s="112"/>
      <c r="C41" s="112"/>
      <c r="D41" s="129" t="s">
        <v>96</v>
      </c>
      <c r="E41" s="114" t="s">
        <v>237</v>
      </c>
      <c r="F41" s="115" t="s">
        <v>61</v>
      </c>
      <c r="G41" s="116" t="b">
        <v>0</v>
      </c>
      <c r="H41" s="116" t="b">
        <v>0</v>
      </c>
      <c r="I41" s="116" t="b">
        <v>1</v>
      </c>
      <c r="J41" s="116" t="b">
        <v>1</v>
      </c>
      <c r="K41" s="116" t="b">
        <v>1</v>
      </c>
      <c r="L41" s="117">
        <f t="shared" si="1"/>
        <v>3</v>
      </c>
      <c r="M41" s="117">
        <f t="shared" si="2"/>
        <v>12</v>
      </c>
      <c r="N41" s="124"/>
      <c r="O41" s="112"/>
    </row>
    <row r="42" ht="15.0" customHeight="1">
      <c r="A42" s="112"/>
      <c r="B42" s="112"/>
      <c r="C42" s="112"/>
      <c r="D42" s="129" t="s">
        <v>217</v>
      </c>
      <c r="E42" s="114" t="str">
        <f>VLOOKUP(D42,Data!H:I,2,0)</f>
        <v>İstanbul</v>
      </c>
      <c r="F42" s="115" t="str">
        <f>VLOOKUP(D42,Data!H:J,3,0)</f>
        <v>Freelance</v>
      </c>
      <c r="G42" s="116" t="b">
        <v>0</v>
      </c>
      <c r="H42" s="116" t="b">
        <v>0</v>
      </c>
      <c r="I42" s="116" t="b">
        <v>0</v>
      </c>
      <c r="J42" s="116" t="b">
        <v>0</v>
      </c>
      <c r="K42" s="116" t="b">
        <v>0</v>
      </c>
      <c r="L42" s="117">
        <f t="shared" si="1"/>
        <v>0</v>
      </c>
      <c r="M42" s="117">
        <f t="shared" si="2"/>
        <v>0</v>
      </c>
      <c r="N42" s="112"/>
      <c r="O42" s="112"/>
    </row>
    <row r="43" ht="15.0" customHeight="1">
      <c r="A43" s="112"/>
      <c r="B43" s="112"/>
      <c r="C43" s="112"/>
      <c r="D43" s="129" t="s">
        <v>81</v>
      </c>
      <c r="E43" s="114" t="str">
        <f>VLOOKUP(D43,Data!H:I,2,0)</f>
        <v>İstanbul</v>
      </c>
      <c r="F43" s="115" t="str">
        <f>VLOOKUP(D43,Data!H:J,3,0)</f>
        <v>Freelance</v>
      </c>
      <c r="G43" s="116" t="b">
        <v>1</v>
      </c>
      <c r="H43" s="116" t="b">
        <v>1</v>
      </c>
      <c r="I43" s="116" t="b">
        <v>1</v>
      </c>
      <c r="J43" s="116" t="b">
        <v>1</v>
      </c>
      <c r="K43" s="116" t="b">
        <v>0</v>
      </c>
      <c r="L43" s="117">
        <f t="shared" si="1"/>
        <v>4</v>
      </c>
      <c r="M43" s="117">
        <f t="shared" si="2"/>
        <v>16</v>
      </c>
      <c r="N43" s="112"/>
      <c r="O43" s="112"/>
    </row>
    <row r="44" ht="15.0" customHeight="1">
      <c r="A44" s="112"/>
      <c r="B44" s="112"/>
      <c r="C44" s="112"/>
      <c r="D44" s="129" t="s">
        <v>201</v>
      </c>
      <c r="E44" s="114" t="str">
        <f>VLOOKUP(D44,Data!H:I,2,0)</f>
        <v>İstanbul</v>
      </c>
      <c r="F44" s="114" t="str">
        <f>VLOOKUP(D44,Data!H:J,3,0)</f>
        <v>Freelance</v>
      </c>
      <c r="G44" s="116" t="b">
        <v>0</v>
      </c>
      <c r="H44" s="116" t="b">
        <v>1</v>
      </c>
      <c r="I44" s="116" t="b">
        <v>0</v>
      </c>
      <c r="J44" s="116" t="b">
        <v>0</v>
      </c>
      <c r="K44" s="116" t="b">
        <v>1</v>
      </c>
      <c r="L44" s="117">
        <f t="shared" si="1"/>
        <v>2</v>
      </c>
      <c r="M44" s="117">
        <f t="shared" si="2"/>
        <v>8</v>
      </c>
      <c r="N44" s="112"/>
      <c r="O44" s="112"/>
    </row>
    <row r="45" ht="15.0" customHeight="1">
      <c r="A45" s="112"/>
      <c r="B45" s="112"/>
      <c r="C45" s="112"/>
      <c r="D45" s="132" t="s">
        <v>83</v>
      </c>
      <c r="E45" s="114" t="str">
        <f>VLOOKUP(D45,Data!H:I,2,0)</f>
        <v>İstanbul</v>
      </c>
      <c r="F45" s="115" t="str">
        <f>VLOOKUP(D45,Data!H:J,3,0)</f>
        <v>Nazım Öztel</v>
      </c>
      <c r="G45" s="116" t="b">
        <v>0</v>
      </c>
      <c r="H45" s="116" t="b">
        <v>0</v>
      </c>
      <c r="I45" s="116" t="b">
        <v>0</v>
      </c>
      <c r="J45" s="116" t="b">
        <v>0</v>
      </c>
      <c r="K45" s="116" t="b">
        <v>0</v>
      </c>
      <c r="L45" s="117">
        <f t="shared" si="1"/>
        <v>0</v>
      </c>
      <c r="M45" s="117">
        <f t="shared" si="2"/>
        <v>0</v>
      </c>
      <c r="N45" s="112"/>
      <c r="O45" s="112"/>
    </row>
    <row r="46" ht="15.0" customHeight="1">
      <c r="A46" s="112"/>
      <c r="B46" s="112"/>
      <c r="C46" s="112"/>
      <c r="D46" s="129" t="s">
        <v>224</v>
      </c>
      <c r="E46" s="145" t="str">
        <f>VLOOKUP(D46,Data!H:I,2,0)</f>
        <v>İstanbul</v>
      </c>
      <c r="F46" s="147" t="str">
        <f>VLOOKUP(D46,Data!H:J,3,0)</f>
        <v>Filamingo</v>
      </c>
      <c r="G46" s="116" t="b">
        <v>0</v>
      </c>
      <c r="H46" s="116" t="b">
        <v>0</v>
      </c>
      <c r="I46" s="116" t="b">
        <v>0</v>
      </c>
      <c r="J46" s="116" t="b">
        <v>0</v>
      </c>
      <c r="K46" s="116" t="b">
        <v>0</v>
      </c>
      <c r="L46" s="146">
        <f t="shared" si="1"/>
        <v>0</v>
      </c>
      <c r="M46" s="146">
        <f t="shared" si="2"/>
        <v>0</v>
      </c>
      <c r="N46" s="125"/>
      <c r="O46" s="112"/>
    </row>
    <row r="47" ht="15.0" customHeight="1">
      <c r="A47" s="125"/>
      <c r="B47" s="125"/>
      <c r="C47" s="125"/>
      <c r="D47" s="129" t="s">
        <v>225</v>
      </c>
      <c r="E47" s="114" t="str">
        <f>VLOOKUP(D47,Data!H:I,2,0)</f>
        <v>İstanbul</v>
      </c>
      <c r="F47" s="115" t="str">
        <f>VLOOKUP(D47,Data!H:J,3,0)</f>
        <v>Filamingo</v>
      </c>
      <c r="G47" s="116" t="b">
        <v>0</v>
      </c>
      <c r="H47" s="116" t="b">
        <v>0</v>
      </c>
      <c r="I47" s="116" t="b">
        <v>1</v>
      </c>
      <c r="J47" s="116" t="b">
        <v>1</v>
      </c>
      <c r="K47" s="116" t="b">
        <v>1</v>
      </c>
      <c r="L47" s="117">
        <f t="shared" si="1"/>
        <v>3</v>
      </c>
      <c r="M47" s="117">
        <f t="shared" si="2"/>
        <v>12</v>
      </c>
      <c r="N47" s="112"/>
      <c r="O47" s="125"/>
    </row>
    <row r="48" ht="15.0" customHeight="1">
      <c r="A48" s="125"/>
      <c r="B48" s="125"/>
      <c r="C48" s="125"/>
      <c r="D48" s="129" t="s">
        <v>145</v>
      </c>
      <c r="E48" s="114" t="str">
        <f>VLOOKUP(D48,Data!H:I,2,0)</f>
        <v>İstanbul</v>
      </c>
      <c r="F48" s="115" t="str">
        <f>VLOOKUP(D48,Data!H:J,3,0)</f>
        <v>Filamingo</v>
      </c>
      <c r="G48" s="116" t="b">
        <v>0</v>
      </c>
      <c r="H48" s="116" t="b">
        <v>0</v>
      </c>
      <c r="I48" s="116" t="b">
        <v>1</v>
      </c>
      <c r="J48" s="116" t="b">
        <v>1</v>
      </c>
      <c r="K48" s="116" t="b">
        <v>0</v>
      </c>
      <c r="L48" s="117">
        <f t="shared" si="1"/>
        <v>2</v>
      </c>
      <c r="M48" s="117">
        <f t="shared" si="2"/>
        <v>8</v>
      </c>
      <c r="N48" s="112"/>
      <c r="O48" s="125"/>
    </row>
    <row r="49" ht="15.0" customHeight="1">
      <c r="A49" s="125"/>
      <c r="B49" s="125"/>
      <c r="C49" s="125"/>
      <c r="D49" s="129" t="s">
        <v>87</v>
      </c>
      <c r="E49" s="114" t="str">
        <f>VLOOKUP(D49,Data!H:I,2,0)</f>
        <v>İstanbul</v>
      </c>
      <c r="F49" s="115" t="str">
        <f>VLOOKUP(D49,Data!H:J,3,0)</f>
        <v>Freelance</v>
      </c>
      <c r="G49" s="116" t="b">
        <v>0</v>
      </c>
      <c r="H49" s="116" t="b">
        <v>0</v>
      </c>
      <c r="I49" s="116" t="b">
        <v>0</v>
      </c>
      <c r="J49" s="116" t="b">
        <v>1</v>
      </c>
      <c r="K49" s="116" t="b">
        <v>1</v>
      </c>
      <c r="L49" s="117">
        <f t="shared" si="1"/>
        <v>2</v>
      </c>
      <c r="M49" s="117">
        <f t="shared" si="2"/>
        <v>8</v>
      </c>
      <c r="N49" s="112"/>
      <c r="O49" s="125"/>
    </row>
    <row r="50" ht="15.0" customHeight="1">
      <c r="A50" s="125"/>
      <c r="B50" s="125"/>
      <c r="C50" s="125"/>
      <c r="D50" s="129" t="s">
        <v>226</v>
      </c>
      <c r="E50" s="114" t="str">
        <f>VLOOKUP(D50,Data!H:I,2,0)</f>
        <v>İstanbul</v>
      </c>
      <c r="F50" s="115" t="str">
        <f>VLOOKUP(D50,Data!H:J,3,0)</f>
        <v>Filamingo</v>
      </c>
      <c r="G50" s="116" t="b">
        <v>1</v>
      </c>
      <c r="H50" s="116" t="b">
        <v>1</v>
      </c>
      <c r="I50" s="116" t="b">
        <v>1</v>
      </c>
      <c r="J50" s="116" t="b">
        <v>0</v>
      </c>
      <c r="K50" s="116" t="b">
        <v>0</v>
      </c>
      <c r="L50" s="117">
        <f t="shared" si="1"/>
        <v>3</v>
      </c>
      <c r="M50" s="117">
        <f t="shared" si="2"/>
        <v>12</v>
      </c>
      <c r="N50" s="112"/>
      <c r="O50" s="125"/>
    </row>
    <row r="51" ht="15.0" customHeight="1">
      <c r="A51" s="112"/>
      <c r="B51" s="112"/>
      <c r="C51" s="112"/>
      <c r="D51" s="129" t="s">
        <v>249</v>
      </c>
      <c r="E51" s="114" t="str">
        <f>VLOOKUP(D51,Data!H:I,2,0)</f>
        <v>İstanbul</v>
      </c>
      <c r="F51" s="115" t="str">
        <f>VLOOKUP(D51,Data!H:J,3,0)</f>
        <v>Nazım Öztel</v>
      </c>
      <c r="G51" s="116" t="b">
        <v>0</v>
      </c>
      <c r="H51" s="116" t="b">
        <v>1</v>
      </c>
      <c r="I51" s="116" t="b">
        <v>1</v>
      </c>
      <c r="J51" s="116" t="b">
        <v>0</v>
      </c>
      <c r="K51" s="116" t="b">
        <v>1</v>
      </c>
      <c r="L51" s="117">
        <f t="shared" si="1"/>
        <v>3</v>
      </c>
      <c r="M51" s="117">
        <f t="shared" si="2"/>
        <v>12</v>
      </c>
      <c r="N51" s="112"/>
      <c r="O51" s="112"/>
    </row>
    <row r="52" ht="15.0" customHeight="1">
      <c r="A52" s="112"/>
      <c r="B52" s="112"/>
      <c r="C52" s="112"/>
      <c r="D52" s="129" t="s">
        <v>250</v>
      </c>
      <c r="E52" s="114" t="str">
        <f>VLOOKUP(D52,Data!H:I,2,0)</f>
        <v>İstanbul</v>
      </c>
      <c r="F52" s="115" t="str">
        <f>VLOOKUP(D52,Data!H:J,3,0)</f>
        <v>Filamingo</v>
      </c>
      <c r="G52" s="116" t="b">
        <v>1</v>
      </c>
      <c r="H52" s="116" t="b">
        <v>0</v>
      </c>
      <c r="I52" s="116" t="b">
        <v>1</v>
      </c>
      <c r="J52" s="116" t="b">
        <v>1</v>
      </c>
      <c r="K52" s="116" t="b">
        <v>0</v>
      </c>
      <c r="L52" s="117">
        <f t="shared" si="1"/>
        <v>3</v>
      </c>
      <c r="M52" s="117">
        <f t="shared" si="2"/>
        <v>12</v>
      </c>
      <c r="N52" s="125"/>
      <c r="O52" s="112"/>
    </row>
    <row r="53" ht="15.0" customHeight="1">
      <c r="A53" s="112"/>
      <c r="B53" s="112"/>
      <c r="C53" s="112"/>
      <c r="D53" s="129" t="s">
        <v>251</v>
      </c>
      <c r="E53" s="114" t="str">
        <f>VLOOKUP(D53,Data!H:I,2,0)</f>
        <v>İstanbul</v>
      </c>
      <c r="F53" s="115" t="str">
        <f>VLOOKUP(D53,Data!H:J,3,0)</f>
        <v>Filamingo</v>
      </c>
      <c r="G53" s="116" t="b">
        <v>1</v>
      </c>
      <c r="H53" s="116" t="b">
        <v>1</v>
      </c>
      <c r="I53" s="116" t="b">
        <v>1</v>
      </c>
      <c r="J53" s="116" t="b">
        <v>1</v>
      </c>
      <c r="K53" s="116" t="b">
        <v>0</v>
      </c>
      <c r="L53" s="117">
        <f t="shared" si="1"/>
        <v>4</v>
      </c>
      <c r="M53" s="117">
        <f t="shared" si="2"/>
        <v>16</v>
      </c>
      <c r="N53" s="125"/>
      <c r="O53" s="112"/>
    </row>
    <row r="54" ht="15.0" customHeight="1">
      <c r="A54" s="112"/>
      <c r="B54" s="112"/>
      <c r="C54" s="112"/>
      <c r="D54" s="129" t="s">
        <v>252</v>
      </c>
      <c r="E54" s="114" t="str">
        <f>VLOOKUP(D54,Data!H:I,2,0)</f>
        <v>İzmir</v>
      </c>
      <c r="F54" s="115" t="str">
        <f>VLOOKUP(D54,Data!H:J,3,0)</f>
        <v>Nazım Öztel</v>
      </c>
      <c r="G54" s="116" t="b">
        <v>0</v>
      </c>
      <c r="H54" s="116" t="b">
        <v>0</v>
      </c>
      <c r="I54" s="116" t="b">
        <v>0</v>
      </c>
      <c r="J54" s="116" t="b">
        <v>0</v>
      </c>
      <c r="K54" s="116" t="b">
        <v>1</v>
      </c>
      <c r="L54" s="117">
        <f t="shared" si="1"/>
        <v>1</v>
      </c>
      <c r="M54" s="117">
        <f t="shared" si="2"/>
        <v>4</v>
      </c>
      <c r="N54" s="125"/>
      <c r="O54" s="112"/>
    </row>
    <row r="55" ht="15.0" customHeight="1">
      <c r="A55" s="112"/>
      <c r="B55" s="112"/>
      <c r="C55" s="112"/>
      <c r="D55" s="132" t="s">
        <v>92</v>
      </c>
      <c r="E55" s="114" t="str">
        <f>VLOOKUP(D55,Data!H:I,2,0)</f>
        <v>İzmir</v>
      </c>
      <c r="F55" s="115" t="str">
        <f>VLOOKUP(D55,Data!H:J,3,0)</f>
        <v>Nazım Öztel</v>
      </c>
      <c r="G55" s="116" t="b">
        <v>0</v>
      </c>
      <c r="H55" s="116" t="b">
        <v>0</v>
      </c>
      <c r="I55" s="116" t="b">
        <v>0</v>
      </c>
      <c r="J55" s="116" t="b">
        <v>0</v>
      </c>
      <c r="K55" s="116" t="b">
        <v>0</v>
      </c>
      <c r="L55" s="117">
        <f t="shared" si="1"/>
        <v>0</v>
      </c>
      <c r="M55" s="117">
        <f t="shared" si="2"/>
        <v>0</v>
      </c>
      <c r="N55" s="112"/>
      <c r="O55" s="112"/>
    </row>
    <row r="56" ht="15.0" customHeight="1">
      <c r="A56" s="112"/>
      <c r="B56" s="112"/>
      <c r="C56" s="112"/>
      <c r="D56" s="129" t="s">
        <v>93</v>
      </c>
      <c r="E56" s="114" t="str">
        <f>VLOOKUP(D56,Data!H:I,2,0)</f>
        <v>İzmir</v>
      </c>
      <c r="F56" s="115" t="str">
        <f>VLOOKUP(D56,Data!H:J,3,0)</f>
        <v>Freelance</v>
      </c>
      <c r="G56" s="116" t="b">
        <v>0</v>
      </c>
      <c r="H56" s="116" t="b">
        <v>0</v>
      </c>
      <c r="I56" s="116" t="b">
        <v>1</v>
      </c>
      <c r="J56" s="116" t="b">
        <v>1</v>
      </c>
      <c r="K56" s="116" t="b">
        <v>1</v>
      </c>
      <c r="L56" s="117">
        <f t="shared" si="1"/>
        <v>3</v>
      </c>
      <c r="M56" s="117">
        <f t="shared" si="2"/>
        <v>12</v>
      </c>
      <c r="N56" s="112"/>
      <c r="O56" s="112"/>
    </row>
    <row r="57" ht="15.0" customHeight="1">
      <c r="A57" s="112"/>
      <c r="B57" s="112"/>
      <c r="C57" s="112"/>
      <c r="D57" s="129" t="s">
        <v>161</v>
      </c>
      <c r="E57" s="143" t="str">
        <f>VLOOKUP(D57,Data!H:I,2,0)</f>
        <v>Kahramanmaraş</v>
      </c>
      <c r="F57" s="115" t="str">
        <f>VLOOKUP(D57,Data!H:J,3,0)</f>
        <v>Nazım Öztel</v>
      </c>
      <c r="G57" s="116" t="b">
        <v>1</v>
      </c>
      <c r="H57" s="116" t="b">
        <v>0</v>
      </c>
      <c r="I57" s="116" t="b">
        <v>0</v>
      </c>
      <c r="J57" s="116" t="b">
        <v>0</v>
      </c>
      <c r="K57" s="116" t="b">
        <v>0</v>
      </c>
      <c r="L57" s="117">
        <f t="shared" si="1"/>
        <v>1</v>
      </c>
      <c r="M57" s="117">
        <f t="shared" si="2"/>
        <v>4</v>
      </c>
      <c r="N57" s="112"/>
      <c r="O57" s="112"/>
    </row>
    <row r="58" ht="15.0" customHeight="1">
      <c r="A58" s="112"/>
      <c r="B58" s="112"/>
      <c r="C58" s="112"/>
      <c r="D58" s="129" t="s">
        <v>243</v>
      </c>
      <c r="E58" s="114" t="str">
        <f>VLOOKUP(D58,Data!H:I,2,0)</f>
        <v>Kayseri</v>
      </c>
      <c r="F58" s="115" t="str">
        <f>VLOOKUP(D58,Data!H:J,3,0)</f>
        <v>Nazım Öztel</v>
      </c>
      <c r="G58" s="116" t="b">
        <v>1</v>
      </c>
      <c r="H58" s="116" t="b">
        <v>1</v>
      </c>
      <c r="I58" s="116" t="b">
        <v>1</v>
      </c>
      <c r="J58" s="116" t="b">
        <v>1</v>
      </c>
      <c r="K58" s="116" t="b">
        <v>1</v>
      </c>
      <c r="L58" s="117">
        <f t="shared" si="1"/>
        <v>5</v>
      </c>
      <c r="M58" s="117">
        <f t="shared" si="2"/>
        <v>20</v>
      </c>
      <c r="N58" s="112"/>
      <c r="O58" s="112"/>
    </row>
    <row r="59" ht="15.0" customHeight="1">
      <c r="A59" s="112"/>
      <c r="B59" s="112"/>
      <c r="C59" s="112"/>
      <c r="D59" s="129" t="s">
        <v>253</v>
      </c>
      <c r="E59" s="114" t="str">
        <f>VLOOKUP(D59,Data!H:I,2,0)</f>
        <v>Kırklareli</v>
      </c>
      <c r="F59" s="115" t="str">
        <f>VLOOKUP(D59,Data!H:J,3,0)</f>
        <v>Nazım Öztel</v>
      </c>
      <c r="G59" s="116" t="b">
        <v>0</v>
      </c>
      <c r="H59" s="116" t="b">
        <v>0</v>
      </c>
      <c r="I59" s="116" t="b">
        <v>0</v>
      </c>
      <c r="J59" s="116" t="b">
        <v>0</v>
      </c>
      <c r="K59" s="116" t="b">
        <v>0</v>
      </c>
      <c r="L59" s="117">
        <f t="shared" si="1"/>
        <v>0</v>
      </c>
      <c r="M59" s="117">
        <f t="shared" si="2"/>
        <v>0</v>
      </c>
      <c r="N59" s="112"/>
      <c r="O59" s="112"/>
    </row>
    <row r="60" ht="15.0" customHeight="1">
      <c r="A60" s="112"/>
      <c r="B60" s="112"/>
      <c r="C60" s="112"/>
      <c r="D60" s="132" t="s">
        <v>96</v>
      </c>
      <c r="E60" s="114" t="str">
        <f>VLOOKUP(D60,Data!H:I,2,0)</f>
        <v>Kocaeli</v>
      </c>
      <c r="F60" s="115" t="str">
        <f>VLOOKUP(D60,Data!H:J,3,0)</f>
        <v>Nazım Öztel</v>
      </c>
      <c r="G60" s="116" t="b">
        <v>0</v>
      </c>
      <c r="H60" s="116" t="b">
        <v>0</v>
      </c>
      <c r="I60" s="116" t="b">
        <v>0</v>
      </c>
      <c r="J60" s="116" t="b">
        <v>0</v>
      </c>
      <c r="K60" s="116" t="b">
        <v>0</v>
      </c>
      <c r="L60" s="117">
        <f t="shared" si="1"/>
        <v>0</v>
      </c>
      <c r="M60" s="117">
        <f t="shared" si="2"/>
        <v>0</v>
      </c>
      <c r="N60" s="112"/>
      <c r="O60" s="112"/>
    </row>
    <row r="61" ht="15.0" customHeight="1">
      <c r="A61" s="112"/>
      <c r="B61" s="112"/>
      <c r="C61" s="112"/>
      <c r="D61" s="129" t="s">
        <v>147</v>
      </c>
      <c r="E61" s="114" t="str">
        <f>VLOOKUP(D61,Data!H:I,2,0)</f>
        <v>Kocaeli</v>
      </c>
      <c r="F61" s="115" t="str">
        <f>VLOOKUP(D61,Data!H:J,3,0)</f>
        <v>Nazım Öztel</v>
      </c>
      <c r="G61" s="116" t="b">
        <v>0</v>
      </c>
      <c r="H61" s="116" t="b">
        <v>1</v>
      </c>
      <c r="I61" s="116" t="b">
        <v>0</v>
      </c>
      <c r="J61" s="116" t="b">
        <v>0</v>
      </c>
      <c r="K61" s="116" t="b">
        <v>0</v>
      </c>
      <c r="L61" s="117">
        <f t="shared" si="1"/>
        <v>1</v>
      </c>
      <c r="M61" s="117">
        <f t="shared" si="2"/>
        <v>4</v>
      </c>
      <c r="N61" s="112"/>
      <c r="O61" s="112"/>
    </row>
    <row r="62" ht="15.0" customHeight="1">
      <c r="A62" s="112"/>
      <c r="B62" s="112"/>
      <c r="C62" s="112"/>
      <c r="D62" s="129" t="s">
        <v>227</v>
      </c>
      <c r="E62" s="114" t="str">
        <f>VLOOKUP(D62,Data!H:I,2,0)</f>
        <v>Konya</v>
      </c>
      <c r="F62" s="115" t="str">
        <f>VLOOKUP(D62,Data!H:J,3,0)</f>
        <v>Nazım Öztel</v>
      </c>
      <c r="G62" s="116" t="b">
        <v>1</v>
      </c>
      <c r="H62" s="116" t="b">
        <v>1</v>
      </c>
      <c r="I62" s="116" t="b">
        <v>1</v>
      </c>
      <c r="J62" s="116" t="b">
        <v>1</v>
      </c>
      <c r="K62" s="116" t="b">
        <v>1</v>
      </c>
      <c r="L62" s="117">
        <f t="shared" si="1"/>
        <v>5</v>
      </c>
      <c r="M62" s="117">
        <f t="shared" si="2"/>
        <v>20</v>
      </c>
      <c r="N62" s="112"/>
      <c r="O62" s="112"/>
    </row>
    <row r="63" ht="15.0" customHeight="1">
      <c r="A63" s="112"/>
      <c r="B63" s="112"/>
      <c r="C63" s="112"/>
      <c r="D63" s="129" t="s">
        <v>265</v>
      </c>
      <c r="E63" s="114" t="str">
        <f>VLOOKUP(D63,Data!H:I,2,0)</f>
        <v>Konya</v>
      </c>
      <c r="F63" s="115" t="str">
        <f>VLOOKUP(D63,Data!H:J,3,0)</f>
        <v>Nazım Öztel</v>
      </c>
      <c r="G63" s="116" t="b">
        <v>0</v>
      </c>
      <c r="H63" s="116" t="b">
        <v>1</v>
      </c>
      <c r="I63" s="116" t="b">
        <v>1</v>
      </c>
      <c r="J63" s="116" t="b">
        <v>0</v>
      </c>
      <c r="K63" s="116" t="b">
        <v>1</v>
      </c>
      <c r="L63" s="117">
        <f t="shared" si="1"/>
        <v>3</v>
      </c>
      <c r="M63" s="117">
        <f t="shared" si="2"/>
        <v>12</v>
      </c>
      <c r="N63" s="112"/>
      <c r="O63" s="112"/>
    </row>
    <row r="64" ht="15.0" customHeight="1">
      <c r="A64" s="112"/>
      <c r="B64" s="112"/>
      <c r="C64" s="112"/>
      <c r="D64" s="129" t="s">
        <v>203</v>
      </c>
      <c r="E64" s="114" t="str">
        <f>VLOOKUP(D64,Data!H:I,2,0)</f>
        <v>Malatya</v>
      </c>
      <c r="F64" s="115" t="str">
        <f>VLOOKUP(D64,Data!H:J,3,0)</f>
        <v>Nazım Öztel</v>
      </c>
      <c r="G64" s="116" t="b">
        <v>0</v>
      </c>
      <c r="H64" s="116" t="b">
        <v>1</v>
      </c>
      <c r="I64" s="116" t="b">
        <v>1</v>
      </c>
      <c r="J64" s="116" t="b">
        <v>1</v>
      </c>
      <c r="K64" s="116" t="b">
        <v>1</v>
      </c>
      <c r="L64" s="117">
        <f t="shared" si="1"/>
        <v>4</v>
      </c>
      <c r="M64" s="117">
        <f t="shared" si="2"/>
        <v>16</v>
      </c>
      <c r="N64" s="112"/>
      <c r="O64" s="112"/>
    </row>
    <row r="65" ht="15.0" customHeight="1">
      <c r="A65" s="112"/>
      <c r="B65" s="112"/>
      <c r="C65" s="112"/>
      <c r="D65" s="129" t="s">
        <v>254</v>
      </c>
      <c r="E65" s="114" t="str">
        <f>VLOOKUP(D65,Data!H:I,2,0)</f>
        <v>Manisa</v>
      </c>
      <c r="F65" s="115" t="str">
        <f>VLOOKUP(D65,Data!H:J,3,0)</f>
        <v>Nazım Öztel</v>
      </c>
      <c r="G65" s="116" t="b">
        <v>0</v>
      </c>
      <c r="H65" s="116" t="b">
        <v>1</v>
      </c>
      <c r="I65" s="116" t="b">
        <v>1</v>
      </c>
      <c r="J65" s="116" t="b">
        <v>0</v>
      </c>
      <c r="K65" s="116" t="b">
        <v>0</v>
      </c>
      <c r="L65" s="117">
        <f t="shared" si="1"/>
        <v>2</v>
      </c>
      <c r="M65" s="117">
        <f t="shared" si="2"/>
        <v>8</v>
      </c>
      <c r="N65" s="112"/>
      <c r="O65" s="112"/>
    </row>
    <row r="66" ht="15.0" customHeight="1">
      <c r="A66" s="112"/>
      <c r="B66" s="112"/>
      <c r="C66" s="112"/>
      <c r="D66" s="129" t="s">
        <v>255</v>
      </c>
      <c r="E66" s="114" t="str">
        <f>VLOOKUP(D66,Data!H:I,2,0)</f>
        <v>Mardin</v>
      </c>
      <c r="F66" s="115" t="str">
        <f>VLOOKUP(D66,Data!H:J,3,0)</f>
        <v>Nazım Öztel</v>
      </c>
      <c r="G66" s="116" t="b">
        <v>1</v>
      </c>
      <c r="H66" s="116" t="b">
        <v>1</v>
      </c>
      <c r="I66" s="116" t="b">
        <v>0</v>
      </c>
      <c r="J66" s="116" t="b">
        <v>1</v>
      </c>
      <c r="K66" s="116" t="b">
        <v>1</v>
      </c>
      <c r="L66" s="117">
        <f t="shared" si="1"/>
        <v>4</v>
      </c>
      <c r="M66" s="117">
        <f t="shared" si="2"/>
        <v>16</v>
      </c>
      <c r="N66" s="142"/>
      <c r="O66" s="112"/>
    </row>
    <row r="67" ht="15.0" customHeight="1">
      <c r="A67" s="112"/>
      <c r="B67" s="112"/>
      <c r="C67" s="112"/>
      <c r="D67" s="132" t="s">
        <v>99</v>
      </c>
      <c r="E67" s="114" t="str">
        <f>VLOOKUP(D67,Data!H:I,2,0)</f>
        <v>Mersin</v>
      </c>
      <c r="F67" s="115" t="str">
        <f>VLOOKUP(D67,Data!H:J,3,0)</f>
        <v>Nazım Öztel</v>
      </c>
      <c r="G67" s="116" t="b">
        <v>0</v>
      </c>
      <c r="H67" s="116" t="b">
        <v>0</v>
      </c>
      <c r="I67" s="116" t="b">
        <v>0</v>
      </c>
      <c r="J67" s="116" t="b">
        <v>0</v>
      </c>
      <c r="K67" s="116" t="b">
        <v>0</v>
      </c>
      <c r="L67" s="117">
        <f t="shared" si="1"/>
        <v>0</v>
      </c>
      <c r="M67" s="117">
        <f t="shared" si="2"/>
        <v>0</v>
      </c>
      <c r="N67" s="106"/>
      <c r="O67" s="112"/>
    </row>
    <row r="68" ht="15.0" customHeight="1">
      <c r="A68" s="112"/>
      <c r="B68" s="112"/>
      <c r="C68" s="112"/>
      <c r="D68" s="129" t="s">
        <v>169</v>
      </c>
      <c r="E68" s="114" t="str">
        <f>VLOOKUP(D68,Data!H:I,2,0)</f>
        <v>Mersin</v>
      </c>
      <c r="F68" s="115" t="str">
        <f>VLOOKUP(D68,Data!H:J,3,0)</f>
        <v>Nazım Öztel</v>
      </c>
      <c r="G68" s="116" t="b">
        <v>0</v>
      </c>
      <c r="H68" s="116" t="b">
        <v>0</v>
      </c>
      <c r="I68" s="116" t="b">
        <v>0</v>
      </c>
      <c r="J68" s="116" t="b">
        <v>0</v>
      </c>
      <c r="K68" s="116" t="b">
        <v>0</v>
      </c>
      <c r="L68" s="117">
        <f t="shared" si="1"/>
        <v>0</v>
      </c>
      <c r="M68" s="117">
        <f t="shared" si="2"/>
        <v>0</v>
      </c>
      <c r="N68" s="106"/>
      <c r="O68" s="112"/>
    </row>
    <row r="69" ht="15.0" customHeight="1">
      <c r="A69" s="112"/>
      <c r="B69" s="112"/>
      <c r="C69" s="112"/>
      <c r="D69" s="129" t="s">
        <v>148</v>
      </c>
      <c r="E69" s="114" t="str">
        <f>VLOOKUP(D69,Data!H:I,2,0)</f>
        <v>Muğla</v>
      </c>
      <c r="F69" s="115" t="str">
        <f>VLOOKUP(D69,Data!H:J,3,0)</f>
        <v>Nazım Öztel</v>
      </c>
      <c r="G69" s="116" t="b">
        <v>1</v>
      </c>
      <c r="H69" s="116" t="b">
        <v>1</v>
      </c>
      <c r="I69" s="116" t="b">
        <v>0</v>
      </c>
      <c r="J69" s="116" t="b">
        <v>0</v>
      </c>
      <c r="K69" s="116" t="b">
        <v>0</v>
      </c>
      <c r="L69" s="117">
        <f t="shared" si="1"/>
        <v>2</v>
      </c>
      <c r="M69" s="117">
        <f t="shared" si="2"/>
        <v>8</v>
      </c>
      <c r="N69" s="106"/>
      <c r="O69" s="112"/>
    </row>
    <row r="70" ht="15.0" customHeight="1">
      <c r="A70" s="112"/>
      <c r="B70" s="112"/>
      <c r="C70" s="112"/>
      <c r="D70" s="129" t="s">
        <v>266</v>
      </c>
      <c r="E70" s="114" t="str">
        <f>VLOOKUP(D70,Data!H:I,2,0)</f>
        <v>Ordu</v>
      </c>
      <c r="F70" s="115" t="str">
        <f>VLOOKUP(D70,Data!H:J,3,0)</f>
        <v>Nazım Öztel</v>
      </c>
      <c r="G70" s="116" t="b">
        <v>1</v>
      </c>
      <c r="H70" s="116" t="b">
        <v>0</v>
      </c>
      <c r="I70" s="116" t="b">
        <v>1</v>
      </c>
      <c r="J70" s="116" t="b">
        <v>0</v>
      </c>
      <c r="K70" s="116" t="b">
        <v>0</v>
      </c>
      <c r="L70" s="117">
        <f t="shared" si="1"/>
        <v>2</v>
      </c>
      <c r="M70" s="117">
        <f t="shared" si="2"/>
        <v>8</v>
      </c>
      <c r="N70" s="106"/>
      <c r="O70" s="112"/>
    </row>
    <row r="71" ht="15.0" customHeight="1">
      <c r="A71" s="112"/>
      <c r="B71" s="112"/>
      <c r="C71" s="112"/>
      <c r="D71" s="129" t="s">
        <v>256</v>
      </c>
      <c r="E71" s="114" t="s">
        <v>211</v>
      </c>
      <c r="F71" s="115" t="s">
        <v>61</v>
      </c>
      <c r="G71" s="116" t="b">
        <v>1</v>
      </c>
      <c r="H71" s="116" t="b">
        <v>0</v>
      </c>
      <c r="I71" s="116" t="b">
        <v>1</v>
      </c>
      <c r="J71" s="116" t="b">
        <v>0</v>
      </c>
      <c r="K71" s="116" t="b">
        <v>0</v>
      </c>
      <c r="L71" s="117">
        <f t="shared" si="1"/>
        <v>2</v>
      </c>
      <c r="M71" s="117">
        <f t="shared" si="2"/>
        <v>8</v>
      </c>
      <c r="N71" s="106"/>
      <c r="O71" s="112"/>
    </row>
    <row r="72" ht="15.0" customHeight="1">
      <c r="A72" s="112"/>
      <c r="B72" s="112"/>
      <c r="C72" s="112"/>
      <c r="D72" s="129" t="s">
        <v>257</v>
      </c>
      <c r="E72" s="114" t="str">
        <f>VLOOKUP(D72,Data!H:I,2,0)</f>
        <v>Samsun</v>
      </c>
      <c r="F72" s="115" t="str">
        <f>VLOOKUP(D72,Data!H:J,3,0)</f>
        <v>Nazım Öztel</v>
      </c>
      <c r="G72" s="116" t="b">
        <v>1</v>
      </c>
      <c r="H72" s="116" t="b">
        <v>1</v>
      </c>
      <c r="I72" s="116" t="b">
        <v>0</v>
      </c>
      <c r="J72" s="116" t="b">
        <v>1</v>
      </c>
      <c r="K72" s="116" t="b">
        <v>1</v>
      </c>
      <c r="L72" s="117">
        <f t="shared" si="1"/>
        <v>4</v>
      </c>
      <c r="M72" s="117">
        <f t="shared" si="2"/>
        <v>16</v>
      </c>
      <c r="N72" s="106"/>
      <c r="O72" s="112"/>
    </row>
    <row r="73" ht="15.0" customHeight="1">
      <c r="A73" s="112"/>
      <c r="B73" s="112"/>
      <c r="C73" s="112"/>
      <c r="D73" s="129" t="s">
        <v>267</v>
      </c>
      <c r="E73" s="114" t="str">
        <f>VLOOKUP(D73,Data!H:I,2,0)</f>
        <v>Sinop</v>
      </c>
      <c r="F73" s="115" t="str">
        <f>VLOOKUP(D73,Data!H:J,3,0)</f>
        <v>Nazım Öztel</v>
      </c>
      <c r="G73" s="116" t="b">
        <v>0</v>
      </c>
      <c r="H73" s="116" t="b">
        <v>0</v>
      </c>
      <c r="I73" s="116" t="b">
        <v>1</v>
      </c>
      <c r="J73" s="116" t="b">
        <v>1</v>
      </c>
      <c r="K73" s="116" t="b">
        <v>1</v>
      </c>
      <c r="L73" s="117">
        <f t="shared" si="1"/>
        <v>3</v>
      </c>
      <c r="M73" s="117">
        <f t="shared" si="2"/>
        <v>12</v>
      </c>
      <c r="N73" s="106"/>
      <c r="O73" s="112"/>
    </row>
    <row r="74" ht="15.0" customHeight="1">
      <c r="A74" s="112"/>
      <c r="B74" s="112"/>
      <c r="C74" s="112"/>
      <c r="D74" s="129" t="s">
        <v>268</v>
      </c>
      <c r="E74" s="114" t="str">
        <f>VLOOKUP(D74,Data!H:I,2,0)</f>
        <v>Sivas</v>
      </c>
      <c r="F74" s="115" t="str">
        <f>VLOOKUP(D74,Data!H:J,3,0)</f>
        <v>Nazım Öztel</v>
      </c>
      <c r="G74" s="116" t="b">
        <v>0</v>
      </c>
      <c r="H74" s="116" t="b">
        <v>1</v>
      </c>
      <c r="I74" s="116" t="b">
        <v>1</v>
      </c>
      <c r="J74" s="116" t="b">
        <v>1</v>
      </c>
      <c r="K74" s="116" t="b">
        <v>1</v>
      </c>
      <c r="L74" s="117">
        <f t="shared" si="1"/>
        <v>4</v>
      </c>
      <c r="M74" s="117">
        <f t="shared" si="2"/>
        <v>16</v>
      </c>
      <c r="N74" s="106"/>
      <c r="O74" s="112"/>
    </row>
    <row r="75" ht="15.0" customHeight="1">
      <c r="A75" s="112"/>
      <c r="B75" s="112"/>
      <c r="C75" s="112"/>
      <c r="D75" s="129" t="s">
        <v>104</v>
      </c>
      <c r="E75" s="114" t="str">
        <f>VLOOKUP(D75,Data!H:I,2,0)</f>
        <v>Tekirdağ</v>
      </c>
      <c r="F75" s="115" t="str">
        <f>VLOOKUP(D75,Data!H:J,3,0)</f>
        <v>Freelance</v>
      </c>
      <c r="G75" s="116" t="b">
        <v>0</v>
      </c>
      <c r="H75" s="116" t="b">
        <v>1</v>
      </c>
      <c r="I75" s="116" t="b">
        <v>0</v>
      </c>
      <c r="J75" s="116" t="b">
        <v>0</v>
      </c>
      <c r="K75" s="116" t="b">
        <v>0</v>
      </c>
      <c r="L75" s="117">
        <f t="shared" si="1"/>
        <v>1</v>
      </c>
      <c r="M75" s="117">
        <f t="shared" si="2"/>
        <v>4</v>
      </c>
      <c r="N75" s="112"/>
      <c r="O75" s="112"/>
    </row>
    <row r="76" ht="15.0" customHeight="1">
      <c r="A76" s="112"/>
      <c r="B76" s="112"/>
      <c r="C76" s="112"/>
      <c r="D76" s="129" t="s">
        <v>258</v>
      </c>
      <c r="E76" s="114" t="str">
        <f>VLOOKUP(D76,Data!H:I,2,0)</f>
        <v>Tokat</v>
      </c>
      <c r="F76" s="115" t="str">
        <f>VLOOKUP(D76,Data!H:J,3,0)</f>
        <v>Nazım Öztel</v>
      </c>
      <c r="G76" s="116" t="b">
        <v>1</v>
      </c>
      <c r="H76" s="116" t="b">
        <v>0</v>
      </c>
      <c r="I76" s="116" t="b">
        <v>1</v>
      </c>
      <c r="J76" s="116" t="b">
        <v>1</v>
      </c>
      <c r="K76" s="116" t="b">
        <v>0</v>
      </c>
      <c r="L76" s="117">
        <f t="shared" si="1"/>
        <v>3</v>
      </c>
      <c r="M76" s="117">
        <f t="shared" si="2"/>
        <v>12</v>
      </c>
      <c r="N76" s="112"/>
      <c r="O76" s="112"/>
    </row>
    <row r="77" ht="15.0" customHeight="1">
      <c r="A77" s="112"/>
      <c r="B77" s="112"/>
      <c r="C77" s="112"/>
      <c r="D77" s="129" t="s">
        <v>154</v>
      </c>
      <c r="E77" s="114" t="str">
        <f>VLOOKUP(D77,Data!H:I,2,0)</f>
        <v>Uşak</v>
      </c>
      <c r="F77" s="115" t="str">
        <f>VLOOKUP(D77,Data!H:J,3,0)</f>
        <v>Nazım Öztel</v>
      </c>
      <c r="G77" s="116" t="b">
        <v>0</v>
      </c>
      <c r="H77" s="116" t="b">
        <v>1</v>
      </c>
      <c r="I77" s="116" t="b">
        <v>0</v>
      </c>
      <c r="J77" s="116" t="b">
        <v>0</v>
      </c>
      <c r="K77" s="116" t="b">
        <v>0</v>
      </c>
      <c r="L77" s="117">
        <f t="shared" si="1"/>
        <v>1</v>
      </c>
      <c r="M77" s="117">
        <f t="shared" si="2"/>
        <v>4</v>
      </c>
      <c r="N77" s="112"/>
      <c r="O77" s="112"/>
    </row>
    <row r="78" ht="15.0" customHeight="1">
      <c r="A78" s="112"/>
      <c r="B78" s="112"/>
      <c r="C78" s="112"/>
      <c r="D78" s="132"/>
      <c r="E78" s="132"/>
      <c r="F78" s="132"/>
      <c r="G78" s="117">
        <f t="shared" ref="G78:K78" si="3">4*(COUNTIF(G15:G77,"true"))</f>
        <v>92</v>
      </c>
      <c r="H78" s="117">
        <f t="shared" si="3"/>
        <v>120</v>
      </c>
      <c r="I78" s="117">
        <f t="shared" si="3"/>
        <v>120</v>
      </c>
      <c r="J78" s="117">
        <f t="shared" si="3"/>
        <v>112</v>
      </c>
      <c r="K78" s="117">
        <f t="shared" si="3"/>
        <v>108</v>
      </c>
      <c r="L78" s="135"/>
      <c r="M78" s="135">
        <f>SUM(G78:K78)</f>
        <v>552</v>
      </c>
      <c r="N78" s="112"/>
      <c r="O78" s="112"/>
    </row>
  </sheetData>
  <customSheetViews>
    <customSheetView guid="{70B995D3-3AEB-4DFE-A0CA-D6FFCCE596BC}" filter="1" showAutoFilter="1">
      <autoFilter ref="$D$14:$D$77"/>
    </customSheetView>
    <customSheetView guid="{90E1DF85-7252-44D2-BA7D-CC3767CD0E8B}" filter="1" showAutoFilter="1">
      <autoFilter ref="$A$14:$O$78">
        <filterColumn colId="4">
          <filters>
            <filter val="Kırklareli"/>
            <filter val="Samsun"/>
            <filter val="Elazığ"/>
            <filter val="Kayseri"/>
            <filter val="Düzce"/>
            <filter val="Malatya"/>
            <filter val="Hatay"/>
            <filter val="Sinop"/>
            <filter val="Denizli"/>
            <filter val="Çanakkale"/>
            <filter val="Aydın"/>
            <filter val="Bolu"/>
            <filter val="Çorum"/>
            <filter val="Osmaniye"/>
            <filter val="Edirne"/>
            <filter val="Tokat"/>
            <filter val="Ordu"/>
            <filter val="Sivas"/>
            <filter val="Mardin"/>
            <filter val="Muğla"/>
            <filter val="Eskişehir"/>
            <filter val="Kahramanmaraş"/>
            <filter val="Balıkesir"/>
            <filter val="Uşak"/>
          </filters>
        </filterColumn>
      </autoFilter>
    </customSheetView>
  </customSheetViews>
  <mergeCells count="4">
    <mergeCell ref="D6:K6"/>
    <mergeCell ref="D7:F7"/>
    <mergeCell ref="D9:D12"/>
    <mergeCell ref="F10:M11"/>
  </mergeCells>
  <conditionalFormatting sqref="G15:K77">
    <cfRule type="cellIs" dxfId="1" priority="1" operator="equal">
      <formula>"False"</formula>
    </cfRule>
  </conditionalFormatting>
  <conditionalFormatting sqref="G15:K77">
    <cfRule type="cellIs" dxfId="0" priority="2" operator="equal">
      <formula>"TRUE"</formula>
    </cfRule>
  </conditionalFormatting>
  <dataValidations>
    <dataValidation type="list" allowBlank="1" showErrorMessage="1" sqref="E15:E77">
      <formula1>Data!$A$2:$A$100</formula1>
    </dataValidation>
    <dataValidation type="list" allowBlank="1" showErrorMessage="1" sqref="F15:F77">
      <formula1>Data!$C$2:$C$8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3" width="2.63"/>
    <col customWidth="1" min="4" max="4" width="20.38"/>
    <col customWidth="1" min="5" max="5" width="11.38"/>
    <col customWidth="1" min="6" max="6" width="16.63"/>
    <col customWidth="1" min="7" max="11" width="8.63"/>
    <col customWidth="1" min="12" max="12" width="12.63"/>
    <col customWidth="1" min="13" max="13" width="15.13"/>
    <col customWidth="1" min="14" max="15" width="2.63"/>
  </cols>
  <sheetData>
    <row r="1" ht="7.5" customHeight="1">
      <c r="A1" s="140"/>
      <c r="B1" s="84"/>
      <c r="C1" s="84"/>
      <c r="D1" s="84"/>
      <c r="E1" s="84"/>
      <c r="F1" s="84"/>
      <c r="G1" s="84"/>
      <c r="H1" s="84"/>
      <c r="I1" s="84"/>
      <c r="J1" s="84"/>
      <c r="K1" s="84"/>
      <c r="L1" s="85"/>
      <c r="M1" s="86"/>
      <c r="N1" s="86"/>
      <c r="O1" s="86"/>
    </row>
    <row r="2" ht="15.0" customHeight="1">
      <c r="A2" s="87"/>
      <c r="B2" s="87"/>
      <c r="C2" s="87"/>
      <c r="D2" s="88"/>
      <c r="E2" s="88"/>
      <c r="F2" s="88"/>
      <c r="G2" s="88"/>
      <c r="H2" s="88"/>
      <c r="I2" s="88"/>
      <c r="J2" s="88"/>
      <c r="K2" s="88"/>
      <c r="L2" s="88"/>
      <c r="M2" s="87"/>
      <c r="N2" s="87"/>
      <c r="O2" s="87"/>
    </row>
    <row r="3" ht="3.75" customHeight="1">
      <c r="A3" s="87"/>
      <c r="B3" s="87"/>
      <c r="C3" s="87"/>
      <c r="D3" s="89"/>
      <c r="E3" s="90"/>
      <c r="F3" s="90"/>
      <c r="G3" s="90"/>
      <c r="H3" s="90"/>
      <c r="I3" s="90"/>
      <c r="J3" s="90"/>
      <c r="K3" s="90"/>
      <c r="L3" s="90"/>
      <c r="M3" s="87"/>
      <c r="N3" s="87"/>
      <c r="O3" s="87"/>
    </row>
    <row r="4" ht="15.0" customHeight="1">
      <c r="A4" s="87"/>
      <c r="B4" s="87"/>
      <c r="C4" s="87"/>
      <c r="D4" s="88"/>
      <c r="E4" s="88"/>
      <c r="F4" s="88"/>
      <c r="G4" s="91"/>
      <c r="H4" s="91"/>
      <c r="I4" s="91"/>
      <c r="J4" s="91"/>
      <c r="K4" s="91"/>
      <c r="L4" s="91"/>
      <c r="M4" s="87"/>
      <c r="N4" s="87"/>
      <c r="O4" s="87"/>
    </row>
    <row r="5" ht="15.0" customHeight="1">
      <c r="A5" s="92"/>
      <c r="B5" s="92"/>
      <c r="C5" s="92"/>
      <c r="D5" s="88"/>
      <c r="E5" s="88"/>
      <c r="F5" s="88"/>
      <c r="G5" s="93"/>
      <c r="H5" s="93"/>
      <c r="I5" s="93"/>
      <c r="J5" s="93"/>
      <c r="K5" s="93"/>
      <c r="L5" s="94"/>
      <c r="M5" s="88"/>
      <c r="N5" s="92"/>
      <c r="O5" s="92"/>
    </row>
    <row r="6" ht="15.0" customHeight="1">
      <c r="A6" s="92"/>
      <c r="B6" s="92"/>
      <c r="C6" s="92"/>
      <c r="D6" s="95" t="s">
        <v>269</v>
      </c>
      <c r="L6" s="94"/>
      <c r="M6" s="88"/>
      <c r="N6" s="92"/>
      <c r="O6" s="92"/>
    </row>
    <row r="7" ht="15.0" customHeight="1">
      <c r="A7" s="92"/>
      <c r="B7" s="92"/>
      <c r="C7" s="92"/>
      <c r="D7" s="96" t="s">
        <v>270</v>
      </c>
      <c r="G7" s="97"/>
      <c r="H7" s="97"/>
      <c r="I7" s="97"/>
      <c r="J7" s="97"/>
      <c r="K7" s="97"/>
      <c r="L7" s="92"/>
      <c r="M7" s="92"/>
      <c r="N7" s="92"/>
      <c r="O7" s="92"/>
    </row>
    <row r="8" ht="15.0" customHeight="1">
      <c r="A8" s="92"/>
      <c r="B8" s="92"/>
      <c r="C8" s="92"/>
      <c r="D8" s="97"/>
      <c r="E8" s="97"/>
      <c r="F8" s="97"/>
      <c r="G8" s="97"/>
      <c r="H8" s="97"/>
      <c r="I8" s="97"/>
      <c r="J8" s="97"/>
      <c r="K8" s="97"/>
      <c r="L8" s="92"/>
      <c r="M8" s="92"/>
      <c r="N8" s="92"/>
      <c r="O8" s="92"/>
    </row>
    <row r="9" ht="15.0" customHeight="1">
      <c r="A9" s="92"/>
      <c r="B9" s="92"/>
      <c r="C9" s="98"/>
      <c r="D9" s="99" t="s">
        <v>35</v>
      </c>
      <c r="E9" s="100"/>
      <c r="F9" s="101"/>
      <c r="G9" s="101"/>
      <c r="H9" s="101"/>
      <c r="I9" s="101"/>
      <c r="J9" s="101"/>
      <c r="K9" s="101"/>
      <c r="L9" s="101"/>
      <c r="M9" s="100"/>
      <c r="N9" s="102"/>
      <c r="O9" s="102"/>
    </row>
    <row r="10" ht="15.0" customHeight="1">
      <c r="A10" s="92"/>
      <c r="B10" s="92"/>
      <c r="C10" s="98"/>
      <c r="E10" s="100"/>
      <c r="F10" s="103" t="s">
        <v>36</v>
      </c>
      <c r="N10" s="102"/>
      <c r="O10" s="102"/>
    </row>
    <row r="11" ht="15.0" customHeight="1">
      <c r="A11" s="92"/>
      <c r="B11" s="92"/>
      <c r="C11" s="98"/>
      <c r="E11" s="100"/>
      <c r="N11" s="102"/>
      <c r="O11" s="102"/>
    </row>
    <row r="12" ht="15.0" customHeight="1">
      <c r="A12" s="88"/>
      <c r="B12" s="92"/>
      <c r="C12" s="92"/>
      <c r="E12" s="100"/>
      <c r="F12" s="100"/>
      <c r="G12" s="100"/>
      <c r="H12" s="100"/>
      <c r="I12" s="100"/>
      <c r="J12" s="100"/>
      <c r="K12" s="100"/>
      <c r="L12" s="100"/>
      <c r="M12" s="100"/>
      <c r="N12" s="102"/>
      <c r="O12" s="102"/>
    </row>
    <row r="13" ht="15.0" customHeight="1">
      <c r="A13" s="88"/>
      <c r="B13" s="104"/>
      <c r="C13" s="104"/>
      <c r="D13" s="104"/>
      <c r="E13" s="104"/>
      <c r="F13" s="105"/>
      <c r="G13" s="105"/>
      <c r="H13" s="105"/>
      <c r="I13" s="105"/>
      <c r="J13" s="105"/>
      <c r="K13" s="105"/>
      <c r="L13" s="104"/>
      <c r="M13" s="104"/>
      <c r="N13" s="104"/>
      <c r="O13" s="104"/>
    </row>
    <row r="14" ht="15.0" customHeight="1">
      <c r="A14" s="106"/>
      <c r="B14" s="106"/>
      <c r="C14" s="106"/>
      <c r="D14" s="107" t="s">
        <v>37</v>
      </c>
      <c r="E14" s="108" t="s">
        <v>38</v>
      </c>
      <c r="F14" s="109" t="s">
        <v>39</v>
      </c>
      <c r="G14" s="110">
        <v>44606.0</v>
      </c>
      <c r="H14" s="110">
        <v>44607.0</v>
      </c>
      <c r="I14" s="110">
        <v>44608.0</v>
      </c>
      <c r="J14" s="110">
        <v>44609.0</v>
      </c>
      <c r="K14" s="110">
        <v>44610.0</v>
      </c>
      <c r="L14" s="111" t="s">
        <v>40</v>
      </c>
      <c r="M14" s="111" t="s">
        <v>41</v>
      </c>
      <c r="N14" s="88"/>
      <c r="O14" s="88"/>
    </row>
    <row r="15" ht="15.0" customHeight="1">
      <c r="A15" s="112"/>
      <c r="B15" s="112"/>
      <c r="C15" s="112"/>
      <c r="D15" s="129" t="s">
        <v>271</v>
      </c>
      <c r="E15" s="114" t="str">
        <f>VLOOKUP(D15,Data!H:I,2,0)</f>
        <v>Adıyaman</v>
      </c>
      <c r="F15" s="115" t="str">
        <f>VLOOKUP(D15,Data!H:J,3,0)</f>
        <v>Nazım Öztel</v>
      </c>
      <c r="G15" s="116" t="b">
        <v>0</v>
      </c>
      <c r="H15" s="116" t="b">
        <v>0</v>
      </c>
      <c r="I15" s="116" t="b">
        <v>0</v>
      </c>
      <c r="J15" s="116" t="b">
        <v>1</v>
      </c>
      <c r="K15" s="116" t="b">
        <v>1</v>
      </c>
      <c r="L15" s="117">
        <f t="shared" ref="L15:L81" si="1">COUNTIF(G15:K15,"TRUE")</f>
        <v>2</v>
      </c>
      <c r="M15" s="117">
        <f t="shared" ref="M15:M81" si="2">L15*4</f>
        <v>8</v>
      </c>
      <c r="N15" s="112"/>
      <c r="O15" s="88"/>
    </row>
    <row r="16" ht="15.0" customHeight="1">
      <c r="A16" s="112"/>
      <c r="B16" s="112"/>
      <c r="C16" s="112"/>
      <c r="D16" s="129" t="s">
        <v>246</v>
      </c>
      <c r="E16" s="114" t="str">
        <f>VLOOKUP(D16,Data!H:I,2,0)</f>
        <v>Ankara</v>
      </c>
      <c r="F16" s="115" t="str">
        <f>VLOOKUP(D16,Data!H:J,3,0)</f>
        <v>Nazım Öztel</v>
      </c>
      <c r="G16" s="116" t="b">
        <v>0</v>
      </c>
      <c r="H16" s="116" t="b">
        <v>0</v>
      </c>
      <c r="I16" s="116" t="b">
        <v>0</v>
      </c>
      <c r="J16" s="116" t="b">
        <v>0</v>
      </c>
      <c r="K16" s="116" t="b">
        <v>0</v>
      </c>
      <c r="L16" s="117">
        <f t="shared" si="1"/>
        <v>0</v>
      </c>
      <c r="M16" s="117">
        <f t="shared" si="2"/>
        <v>0</v>
      </c>
      <c r="N16" s="112"/>
      <c r="O16" s="88"/>
    </row>
    <row r="17" ht="15.0" customHeight="1">
      <c r="A17" s="112"/>
      <c r="B17" s="112"/>
      <c r="C17" s="112"/>
      <c r="D17" s="129" t="s">
        <v>261</v>
      </c>
      <c r="E17" s="114" t="str">
        <f>VLOOKUP(D17,Data!H:I,2,0)</f>
        <v>Ankara</v>
      </c>
      <c r="F17" s="115" t="str">
        <f>VLOOKUP(D17,Data!H:J,3,0)</f>
        <v>Nazım Öztel</v>
      </c>
      <c r="G17" s="116" t="b">
        <v>1</v>
      </c>
      <c r="H17" s="116" t="b">
        <v>1</v>
      </c>
      <c r="I17" s="116" t="b">
        <v>0</v>
      </c>
      <c r="J17" s="116" t="b">
        <v>0</v>
      </c>
      <c r="K17" s="116" t="b">
        <v>0</v>
      </c>
      <c r="L17" s="117">
        <f t="shared" si="1"/>
        <v>2</v>
      </c>
      <c r="M17" s="117">
        <f t="shared" si="2"/>
        <v>8</v>
      </c>
      <c r="N17" s="112"/>
      <c r="O17" s="88"/>
    </row>
    <row r="18" ht="15.0" customHeight="1">
      <c r="A18" s="106"/>
      <c r="B18" s="106"/>
      <c r="C18" s="106"/>
      <c r="D18" s="129" t="s">
        <v>164</v>
      </c>
      <c r="E18" s="114" t="str">
        <f>VLOOKUP(D18,Data!H:I,2,0)</f>
        <v>Antalya</v>
      </c>
      <c r="F18" s="115" t="str">
        <f>VLOOKUP(D18,Data!H:J,3,0)</f>
        <v>Nazım Öztel</v>
      </c>
      <c r="G18" s="116" t="b">
        <v>1</v>
      </c>
      <c r="H18" s="116" t="b">
        <v>0</v>
      </c>
      <c r="I18" s="116" t="b">
        <v>1</v>
      </c>
      <c r="J18" s="116" t="b">
        <v>1</v>
      </c>
      <c r="K18" s="116" t="b">
        <v>1</v>
      </c>
      <c r="L18" s="117">
        <f t="shared" si="1"/>
        <v>4</v>
      </c>
      <c r="M18" s="117">
        <f t="shared" si="2"/>
        <v>16</v>
      </c>
      <c r="N18" s="112"/>
      <c r="O18" s="106"/>
    </row>
    <row r="19" ht="15.0" customHeight="1">
      <c r="A19" s="106"/>
      <c r="B19" s="106"/>
      <c r="C19" s="106"/>
      <c r="D19" s="129" t="s">
        <v>272</v>
      </c>
      <c r="E19" s="114" t="s">
        <v>262</v>
      </c>
      <c r="F19" s="115" t="s">
        <v>61</v>
      </c>
      <c r="G19" s="116" t="b">
        <v>0</v>
      </c>
      <c r="H19" s="116" t="b">
        <v>0</v>
      </c>
      <c r="I19" s="116" t="b">
        <v>1</v>
      </c>
      <c r="J19" s="116" t="b">
        <v>1</v>
      </c>
      <c r="K19" s="116" t="b">
        <v>1</v>
      </c>
      <c r="L19" s="117">
        <f t="shared" si="1"/>
        <v>3</v>
      </c>
      <c r="M19" s="117">
        <f t="shared" si="2"/>
        <v>12</v>
      </c>
      <c r="N19" s="112"/>
      <c r="O19" s="106"/>
    </row>
    <row r="20" ht="15.0" customHeight="1">
      <c r="A20" s="112"/>
      <c r="B20" s="112"/>
      <c r="C20" s="112"/>
      <c r="D20" s="129" t="s">
        <v>241</v>
      </c>
      <c r="E20" s="114" t="s">
        <v>184</v>
      </c>
      <c r="F20" s="115" t="s">
        <v>61</v>
      </c>
      <c r="G20" s="116" t="b">
        <v>1</v>
      </c>
      <c r="H20" s="116" t="b">
        <v>1</v>
      </c>
      <c r="I20" s="116" t="b">
        <v>1</v>
      </c>
      <c r="J20" s="116" t="b">
        <v>1</v>
      </c>
      <c r="K20" s="116" t="b">
        <v>1</v>
      </c>
      <c r="L20" s="117">
        <f t="shared" si="1"/>
        <v>5</v>
      </c>
      <c r="M20" s="117">
        <f t="shared" si="2"/>
        <v>20</v>
      </c>
      <c r="N20" s="112"/>
      <c r="O20" s="112"/>
    </row>
    <row r="21" ht="15.0" customHeight="1">
      <c r="A21" s="112"/>
      <c r="B21" s="112"/>
      <c r="C21" s="112"/>
      <c r="D21" s="129" t="s">
        <v>263</v>
      </c>
      <c r="E21" s="114" t="str">
        <f>VLOOKUP(D21,Data!H:I,2,0)</f>
        <v>Bolu</v>
      </c>
      <c r="F21" s="115" t="str">
        <f>VLOOKUP(D21,Data!H:J,3,0)</f>
        <v>Nazım Öztel</v>
      </c>
      <c r="G21" s="116" t="b">
        <v>0</v>
      </c>
      <c r="H21" s="116" t="b">
        <v>0</v>
      </c>
      <c r="I21" s="116" t="b">
        <v>0</v>
      </c>
      <c r="J21" s="116" t="b">
        <v>0</v>
      </c>
      <c r="K21" s="116" t="b">
        <v>0</v>
      </c>
      <c r="L21" s="117">
        <f t="shared" si="1"/>
        <v>0</v>
      </c>
      <c r="M21" s="117">
        <f t="shared" si="2"/>
        <v>0</v>
      </c>
      <c r="N21" s="112"/>
      <c r="O21" s="112"/>
    </row>
    <row r="22" ht="15.0" customHeight="1">
      <c r="A22" s="112"/>
      <c r="B22" s="112"/>
      <c r="C22" s="112"/>
      <c r="D22" s="129" t="s">
        <v>53</v>
      </c>
      <c r="E22" s="114" t="str">
        <f>VLOOKUP(D22,Data!H:I,2,0)</f>
        <v>Bursa</v>
      </c>
      <c r="F22" s="115" t="str">
        <f>VLOOKUP(D22,Data!H:J,3,0)</f>
        <v>Freelance</v>
      </c>
      <c r="G22" s="116" t="b">
        <v>1</v>
      </c>
      <c r="H22" s="116" t="b">
        <v>0</v>
      </c>
      <c r="I22" s="116" t="b">
        <v>0</v>
      </c>
      <c r="J22" s="116" t="b">
        <v>0</v>
      </c>
      <c r="K22" s="116" t="b">
        <v>0</v>
      </c>
      <c r="L22" s="117">
        <f t="shared" si="1"/>
        <v>1</v>
      </c>
      <c r="M22" s="117">
        <f t="shared" si="2"/>
        <v>4</v>
      </c>
      <c r="N22" s="112"/>
      <c r="O22" s="112"/>
    </row>
    <row r="23" ht="15.0" customHeight="1">
      <c r="A23" s="112"/>
      <c r="B23" s="112"/>
      <c r="C23" s="112"/>
      <c r="D23" s="129" t="s">
        <v>247</v>
      </c>
      <c r="E23" s="114" t="str">
        <f>VLOOKUP(D23,Data!H:I,2,0)</f>
        <v>Çanakkale</v>
      </c>
      <c r="F23" s="115" t="str">
        <f>VLOOKUP(D23,Data!H:J,3,0)</f>
        <v>Nazım Öztel</v>
      </c>
      <c r="G23" s="116" t="b">
        <v>0</v>
      </c>
      <c r="H23" s="116" t="b">
        <v>1</v>
      </c>
      <c r="I23" s="116" t="b">
        <v>1</v>
      </c>
      <c r="J23" s="116" t="b">
        <v>1</v>
      </c>
      <c r="K23" s="116" t="b">
        <v>0</v>
      </c>
      <c r="L23" s="117">
        <f t="shared" si="1"/>
        <v>3</v>
      </c>
      <c r="M23" s="117">
        <f t="shared" si="2"/>
        <v>12</v>
      </c>
      <c r="N23" s="112"/>
      <c r="O23" s="112"/>
    </row>
    <row r="24" ht="15.0" customHeight="1">
      <c r="A24" s="112"/>
      <c r="B24" s="112"/>
      <c r="C24" s="112"/>
      <c r="D24" s="129" t="s">
        <v>221</v>
      </c>
      <c r="E24" s="114" t="str">
        <f>VLOOKUP(D24,Data!H:I,2,0)</f>
        <v>Çorum</v>
      </c>
      <c r="F24" s="115" t="str">
        <f>VLOOKUP(D24,Data!H:J,3,0)</f>
        <v>Nazım Öztel</v>
      </c>
      <c r="G24" s="116" t="b">
        <v>0</v>
      </c>
      <c r="H24" s="116" t="b">
        <v>0</v>
      </c>
      <c r="I24" s="116" t="b">
        <v>0</v>
      </c>
      <c r="J24" s="116" t="b">
        <v>0</v>
      </c>
      <c r="K24" s="116" t="b">
        <v>0</v>
      </c>
      <c r="L24" s="117">
        <f t="shared" si="1"/>
        <v>0</v>
      </c>
      <c r="M24" s="117">
        <f t="shared" si="2"/>
        <v>0</v>
      </c>
      <c r="N24" s="112"/>
      <c r="O24" s="112"/>
    </row>
    <row r="25" ht="15.0" customHeight="1">
      <c r="A25" s="112"/>
      <c r="B25" s="112"/>
      <c r="C25" s="112"/>
      <c r="D25" s="129" t="s">
        <v>264</v>
      </c>
      <c r="E25" s="114" t="str">
        <f>VLOOKUP(D25,Data!H:I,2,0)</f>
        <v>Denizli</v>
      </c>
      <c r="F25" s="115" t="str">
        <f>VLOOKUP(D25,Data!H:J,3,0)</f>
        <v>Nazım Öztel</v>
      </c>
      <c r="G25" s="116" t="b">
        <v>0</v>
      </c>
      <c r="H25" s="116" t="b">
        <v>0</v>
      </c>
      <c r="I25" s="116" t="b">
        <v>1</v>
      </c>
      <c r="J25" s="116" t="b">
        <v>1</v>
      </c>
      <c r="K25" s="116" t="b">
        <v>1</v>
      </c>
      <c r="L25" s="117">
        <f t="shared" si="1"/>
        <v>3</v>
      </c>
      <c r="M25" s="117">
        <f t="shared" si="2"/>
        <v>12</v>
      </c>
      <c r="N25" s="112"/>
      <c r="O25" s="112"/>
    </row>
    <row r="26" ht="15.0" customHeight="1">
      <c r="A26" s="112"/>
      <c r="B26" s="112"/>
      <c r="C26" s="112"/>
      <c r="D26" s="132" t="s">
        <v>54</v>
      </c>
      <c r="E26" s="114" t="str">
        <f>VLOOKUP(D26,Data!H:I,2,0)</f>
        <v>Diyarbakır</v>
      </c>
      <c r="F26" s="115" t="str">
        <f>VLOOKUP(D26,Data!H:J,3,0)</f>
        <v>Nazım Öztel</v>
      </c>
      <c r="G26" s="116" t="b">
        <v>0</v>
      </c>
      <c r="H26" s="116" t="b">
        <v>0</v>
      </c>
      <c r="I26" s="116" t="b">
        <v>0</v>
      </c>
      <c r="J26" s="116" t="b">
        <v>0</v>
      </c>
      <c r="K26" s="116" t="b">
        <v>0</v>
      </c>
      <c r="L26" s="117">
        <f t="shared" si="1"/>
        <v>0</v>
      </c>
      <c r="M26" s="117">
        <f t="shared" si="2"/>
        <v>0</v>
      </c>
      <c r="N26" s="112"/>
      <c r="O26" s="112"/>
    </row>
    <row r="27" ht="15.0" customHeight="1">
      <c r="A27" s="112"/>
      <c r="B27" s="112"/>
      <c r="C27" s="112"/>
      <c r="D27" s="129" t="s">
        <v>173</v>
      </c>
      <c r="E27" s="114" t="str">
        <f>VLOOKUP(D27,Data!H:I,2,0)</f>
        <v>Düzce</v>
      </c>
      <c r="F27" s="115" t="str">
        <f>VLOOKUP(D27,Data!H:J,3,0)</f>
        <v>Nazım Öztel</v>
      </c>
      <c r="G27" s="116" t="b">
        <v>0</v>
      </c>
      <c r="H27" s="116" t="b">
        <v>0</v>
      </c>
      <c r="I27" s="116" t="b">
        <v>0</v>
      </c>
      <c r="J27" s="116" t="b">
        <v>0</v>
      </c>
      <c r="K27" s="116" t="b">
        <v>0</v>
      </c>
      <c r="L27" s="117">
        <f t="shared" si="1"/>
        <v>0</v>
      </c>
      <c r="M27" s="117">
        <f t="shared" si="2"/>
        <v>0</v>
      </c>
      <c r="N27" s="112"/>
      <c r="O27" s="112"/>
    </row>
    <row r="28" ht="15.0" customHeight="1">
      <c r="A28" s="112"/>
      <c r="B28" s="112"/>
      <c r="C28" s="112"/>
      <c r="D28" s="129" t="s">
        <v>153</v>
      </c>
      <c r="E28" s="114" t="str">
        <f>VLOOKUP(D28,Data!H:I,2,0)</f>
        <v>Edirne</v>
      </c>
      <c r="F28" s="115" t="str">
        <f>VLOOKUP(D28,Data!H:J,3,0)</f>
        <v>Nazım Öztel</v>
      </c>
      <c r="G28" s="116" t="b">
        <v>0</v>
      </c>
      <c r="H28" s="116" t="b">
        <v>0</v>
      </c>
      <c r="I28" s="116" t="b">
        <v>0</v>
      </c>
      <c r="J28" s="116" t="b">
        <v>0</v>
      </c>
      <c r="K28" s="116" t="b">
        <v>0</v>
      </c>
      <c r="L28" s="117">
        <f t="shared" si="1"/>
        <v>0</v>
      </c>
      <c r="M28" s="117">
        <f t="shared" si="2"/>
        <v>0</v>
      </c>
      <c r="N28" s="112"/>
      <c r="O28" s="112"/>
    </row>
    <row r="29" ht="15.0" customHeight="1">
      <c r="A29" s="112"/>
      <c r="B29" s="112"/>
      <c r="C29" s="112"/>
      <c r="D29" s="129" t="s">
        <v>199</v>
      </c>
      <c r="E29" s="114" t="str">
        <f>VLOOKUP(D29,Data!H:I,2,0)</f>
        <v>Elazığ</v>
      </c>
      <c r="F29" s="115" t="str">
        <f>VLOOKUP(D29,Data!H:J,3,0)</f>
        <v>Nazım Öztel</v>
      </c>
      <c r="G29" s="116" t="b">
        <v>0</v>
      </c>
      <c r="H29" s="116" t="b">
        <v>0</v>
      </c>
      <c r="I29" s="116" t="b">
        <v>0</v>
      </c>
      <c r="J29" s="116" t="b">
        <v>0</v>
      </c>
      <c r="K29" s="116" t="b">
        <v>0</v>
      </c>
      <c r="L29" s="117">
        <f t="shared" si="1"/>
        <v>0</v>
      </c>
      <c r="M29" s="117">
        <f t="shared" si="2"/>
        <v>0</v>
      </c>
      <c r="N29" s="112"/>
      <c r="O29" s="112"/>
    </row>
    <row r="30" ht="15.0" customHeight="1">
      <c r="A30" s="112"/>
      <c r="B30" s="112"/>
      <c r="C30" s="112"/>
      <c r="D30" s="132" t="s">
        <v>55</v>
      </c>
      <c r="E30" s="114" t="str">
        <f>VLOOKUP(D30,Data!H:I,2,0)</f>
        <v>Erzurum</v>
      </c>
      <c r="F30" s="115" t="str">
        <f>VLOOKUP(D30,Data!H:J,3,0)</f>
        <v>Nazım Öztel</v>
      </c>
      <c r="G30" s="116" t="b">
        <v>0</v>
      </c>
      <c r="H30" s="116" t="b">
        <v>0</v>
      </c>
      <c r="I30" s="116" t="b">
        <v>0</v>
      </c>
      <c r="J30" s="116" t="b">
        <v>0</v>
      </c>
      <c r="K30" s="116" t="b">
        <v>0</v>
      </c>
      <c r="L30" s="117">
        <f t="shared" si="1"/>
        <v>0</v>
      </c>
      <c r="M30" s="117">
        <f t="shared" si="2"/>
        <v>0</v>
      </c>
      <c r="N30" s="112"/>
      <c r="O30" s="112"/>
    </row>
    <row r="31" ht="15.0" customHeight="1">
      <c r="A31" s="112"/>
      <c r="B31" s="112"/>
      <c r="C31" s="112"/>
      <c r="D31" s="129" t="s">
        <v>165</v>
      </c>
      <c r="E31" s="114" t="str">
        <f>VLOOKUP(D31,Data!H:I,2,0)</f>
        <v>Eskişehir</v>
      </c>
      <c r="F31" s="115" t="str">
        <f>VLOOKUP(D31,Data!H:J,3,0)</f>
        <v>Nazım Öztel</v>
      </c>
      <c r="G31" s="116" t="b">
        <v>0</v>
      </c>
      <c r="H31" s="116" t="b">
        <v>0</v>
      </c>
      <c r="I31" s="116" t="b">
        <v>0</v>
      </c>
      <c r="J31" s="116" t="b">
        <v>0</v>
      </c>
      <c r="K31" s="116" t="b">
        <v>0</v>
      </c>
      <c r="L31" s="117">
        <f t="shared" si="1"/>
        <v>0</v>
      </c>
      <c r="M31" s="117">
        <f t="shared" si="2"/>
        <v>0</v>
      </c>
      <c r="N31" s="112"/>
      <c r="O31" s="112"/>
    </row>
    <row r="32" ht="15.0" customHeight="1">
      <c r="A32" s="112"/>
      <c r="B32" s="112"/>
      <c r="C32" s="112"/>
      <c r="D32" s="129" t="s">
        <v>273</v>
      </c>
      <c r="E32" s="114" t="str">
        <f>VLOOKUP(D32,Data!H:I,2,0)</f>
        <v>Gaziantep</v>
      </c>
      <c r="F32" s="115" t="str">
        <f>VLOOKUP(D32,Data!H:J,3,0)</f>
        <v>Nazım Öztel</v>
      </c>
      <c r="G32" s="116" t="b">
        <v>1</v>
      </c>
      <c r="H32" s="116" t="b">
        <v>1</v>
      </c>
      <c r="I32" s="116" t="b">
        <v>1</v>
      </c>
      <c r="J32" s="116" t="b">
        <v>1</v>
      </c>
      <c r="K32" s="116" t="b">
        <v>1</v>
      </c>
      <c r="L32" s="117">
        <f t="shared" si="1"/>
        <v>5</v>
      </c>
      <c r="M32" s="117">
        <f t="shared" si="2"/>
        <v>20</v>
      </c>
      <c r="N32" s="112"/>
      <c r="O32" s="112"/>
    </row>
    <row r="33" ht="15.0" customHeight="1">
      <c r="A33" s="112"/>
      <c r="B33" s="112"/>
      <c r="C33" s="112"/>
      <c r="D33" s="129" t="s">
        <v>248</v>
      </c>
      <c r="E33" s="114" t="str">
        <f>VLOOKUP(D33,Data!H:I,2,0)</f>
        <v>Hatay</v>
      </c>
      <c r="F33" s="115" t="str">
        <f>VLOOKUP(D33,Data!H:J,3,0)</f>
        <v>Nazım Öztel</v>
      </c>
      <c r="G33" s="116" t="b">
        <v>1</v>
      </c>
      <c r="H33" s="116" t="b">
        <v>1</v>
      </c>
      <c r="I33" s="116" t="b">
        <v>1</v>
      </c>
      <c r="J33" s="116" t="b">
        <v>1</v>
      </c>
      <c r="K33" s="116" t="b">
        <v>1</v>
      </c>
      <c r="L33" s="117">
        <f t="shared" si="1"/>
        <v>5</v>
      </c>
      <c r="M33" s="117">
        <f t="shared" si="2"/>
        <v>20</v>
      </c>
      <c r="N33" s="112"/>
      <c r="O33" s="112"/>
    </row>
    <row r="34" ht="15.0" customHeight="1">
      <c r="A34" s="112"/>
      <c r="B34" s="112"/>
      <c r="C34" s="112"/>
      <c r="D34" s="129" t="s">
        <v>58</v>
      </c>
      <c r="E34" s="114" t="str">
        <f>VLOOKUP(D34,Data!H:I,2,0)</f>
        <v>İstanbul</v>
      </c>
      <c r="F34" s="115" t="str">
        <f>VLOOKUP(D34,Data!H:J,3,0)</f>
        <v>Freelance</v>
      </c>
      <c r="G34" s="116" t="b">
        <v>1</v>
      </c>
      <c r="H34" s="116" t="b">
        <v>1</v>
      </c>
      <c r="I34" s="116" t="b">
        <v>1</v>
      </c>
      <c r="J34" s="116" t="b">
        <v>1</v>
      </c>
      <c r="K34" s="116" t="b">
        <v>1</v>
      </c>
      <c r="L34" s="117">
        <f t="shared" si="1"/>
        <v>5</v>
      </c>
      <c r="M34" s="117">
        <f t="shared" si="2"/>
        <v>20</v>
      </c>
      <c r="N34" s="88"/>
      <c r="O34" s="112"/>
    </row>
    <row r="35" ht="15.0" customHeight="1">
      <c r="A35" s="121"/>
      <c r="B35" s="121"/>
      <c r="C35" s="121"/>
      <c r="D35" s="129" t="s">
        <v>236</v>
      </c>
      <c r="E35" s="114" t="str">
        <f>VLOOKUP(D35,Data!H:I,2,0)</f>
        <v>İstanbul</v>
      </c>
      <c r="F35" s="115" t="str">
        <f>VLOOKUP(D35,Data!H:J,3,0)</f>
        <v>Filamingo</v>
      </c>
      <c r="G35" s="116" t="b">
        <v>0</v>
      </c>
      <c r="H35" s="116" t="b">
        <v>0</v>
      </c>
      <c r="I35" s="116" t="b">
        <v>0</v>
      </c>
      <c r="J35" s="116" t="b">
        <v>0</v>
      </c>
      <c r="K35" s="116" t="b">
        <v>0</v>
      </c>
      <c r="L35" s="117">
        <f t="shared" si="1"/>
        <v>0</v>
      </c>
      <c r="M35" s="117">
        <f t="shared" si="2"/>
        <v>0</v>
      </c>
      <c r="N35" s="121"/>
      <c r="O35" s="121"/>
    </row>
    <row r="36" ht="15.0" customHeight="1">
      <c r="A36" s="112"/>
      <c r="B36" s="112"/>
      <c r="C36" s="112"/>
      <c r="D36" s="129" t="s">
        <v>135</v>
      </c>
      <c r="E36" s="114" t="str">
        <f>VLOOKUP(D36,Data!H:I,2,0)</f>
        <v>İstanbul</v>
      </c>
      <c r="F36" s="115" t="str">
        <f>VLOOKUP(D36,Data!H:J,3,0)</f>
        <v>Freelance</v>
      </c>
      <c r="G36" s="116" t="b">
        <v>0</v>
      </c>
      <c r="H36" s="116" t="b">
        <v>0</v>
      </c>
      <c r="I36" s="116" t="b">
        <v>0</v>
      </c>
      <c r="J36" s="116" t="b">
        <v>0</v>
      </c>
      <c r="K36" s="116" t="b">
        <v>0</v>
      </c>
      <c r="L36" s="117">
        <f t="shared" si="1"/>
        <v>0</v>
      </c>
      <c r="M36" s="117">
        <f t="shared" si="2"/>
        <v>0</v>
      </c>
      <c r="N36" s="112"/>
      <c r="O36" s="112"/>
    </row>
    <row r="37" ht="15.0" customHeight="1">
      <c r="A37" s="112"/>
      <c r="B37" s="112"/>
      <c r="C37" s="112"/>
      <c r="D37" s="129" t="s">
        <v>70</v>
      </c>
      <c r="E37" s="114" t="str">
        <f>VLOOKUP(D37,Data!H:I,2,0)</f>
        <v>İstanbul</v>
      </c>
      <c r="F37" s="115" t="str">
        <f>VLOOKUP(D37,Data!H:J,3,0)</f>
        <v>Freelance</v>
      </c>
      <c r="G37" s="116" t="b">
        <v>0</v>
      </c>
      <c r="H37" s="116" t="b">
        <v>1</v>
      </c>
      <c r="I37" s="116" t="b">
        <v>0</v>
      </c>
      <c r="J37" s="116" t="b">
        <v>0</v>
      </c>
      <c r="K37" s="116" t="b">
        <v>0</v>
      </c>
      <c r="L37" s="117">
        <f t="shared" si="1"/>
        <v>1</v>
      </c>
      <c r="M37" s="117">
        <f t="shared" si="2"/>
        <v>4</v>
      </c>
      <c r="N37" s="112"/>
      <c r="O37" s="112"/>
    </row>
    <row r="38" ht="15.0" customHeight="1">
      <c r="A38" s="112"/>
      <c r="B38" s="112"/>
      <c r="C38" s="112"/>
      <c r="D38" s="129" t="s">
        <v>78</v>
      </c>
      <c r="E38" s="114" t="str">
        <f>VLOOKUP(D38,Data!H:I,2,0)</f>
        <v>İstanbul</v>
      </c>
      <c r="F38" s="115" t="str">
        <f>VLOOKUP(D38,Data!H:J,3,0)</f>
        <v>Freelance</v>
      </c>
      <c r="G38" s="116" t="b">
        <v>0</v>
      </c>
      <c r="H38" s="116" t="b">
        <v>1</v>
      </c>
      <c r="I38" s="116" t="b">
        <v>1</v>
      </c>
      <c r="J38" s="116" t="b">
        <v>1</v>
      </c>
      <c r="K38" s="116" t="b">
        <v>1</v>
      </c>
      <c r="L38" s="117">
        <f t="shared" si="1"/>
        <v>4</v>
      </c>
      <c r="M38" s="117">
        <f t="shared" si="2"/>
        <v>16</v>
      </c>
      <c r="N38" s="120"/>
      <c r="O38" s="112"/>
    </row>
    <row r="39" ht="15.0" customHeight="1">
      <c r="A39" s="112"/>
      <c r="B39" s="112"/>
      <c r="C39" s="112"/>
      <c r="D39" s="129" t="s">
        <v>79</v>
      </c>
      <c r="E39" s="114" t="str">
        <f>VLOOKUP(D39,Data!H:I,2,0)</f>
        <v>İstanbul</v>
      </c>
      <c r="F39" s="115" t="str">
        <f>VLOOKUP(D39,Data!H:J,3,0)</f>
        <v>Freelance</v>
      </c>
      <c r="G39" s="116" t="b">
        <v>0</v>
      </c>
      <c r="H39" s="116" t="b">
        <v>0</v>
      </c>
      <c r="I39" s="116" t="b">
        <v>0</v>
      </c>
      <c r="J39" s="116" t="b">
        <v>0</v>
      </c>
      <c r="K39" s="116" t="b">
        <v>0</v>
      </c>
      <c r="L39" s="117">
        <f t="shared" si="1"/>
        <v>0</v>
      </c>
      <c r="M39" s="117">
        <f t="shared" si="2"/>
        <v>0</v>
      </c>
      <c r="N39" s="120"/>
      <c r="O39" s="112"/>
    </row>
    <row r="40" ht="15.0" customHeight="1">
      <c r="A40" s="122"/>
      <c r="B40" s="122"/>
      <c r="C40" s="122"/>
      <c r="D40" s="129" t="s">
        <v>80</v>
      </c>
      <c r="E40" s="114" t="str">
        <f>VLOOKUP(D40,Data!H:I,2,0)</f>
        <v>İstanbul</v>
      </c>
      <c r="F40" s="115" t="str">
        <f>VLOOKUP(D40,Data!H:J,3,0)</f>
        <v>Freelance</v>
      </c>
      <c r="G40" s="116" t="b">
        <v>1</v>
      </c>
      <c r="H40" s="116" t="b">
        <v>1</v>
      </c>
      <c r="I40" s="116" t="b">
        <v>1</v>
      </c>
      <c r="J40" s="116" t="b">
        <v>1</v>
      </c>
      <c r="K40" s="116" t="b">
        <v>1</v>
      </c>
      <c r="L40" s="117">
        <f t="shared" si="1"/>
        <v>5</v>
      </c>
      <c r="M40" s="117">
        <f t="shared" si="2"/>
        <v>20</v>
      </c>
      <c r="N40" s="112"/>
      <c r="O40" s="122"/>
    </row>
    <row r="41" ht="15.0" customHeight="1">
      <c r="A41" s="112"/>
      <c r="B41" s="112"/>
      <c r="C41" s="112"/>
      <c r="D41" s="132" t="s">
        <v>119</v>
      </c>
      <c r="E41" s="114" t="str">
        <f>VLOOKUP(D41,Data!H:I,2,0)</f>
        <v>İstanbul</v>
      </c>
      <c r="F41" s="115" t="str">
        <f>VLOOKUP(D41,Data!H:J,3,0)</f>
        <v>Filamingo</v>
      </c>
      <c r="G41" s="116" t="b">
        <v>0</v>
      </c>
      <c r="H41" s="116" t="b">
        <v>0</v>
      </c>
      <c r="I41" s="116" t="b">
        <v>0</v>
      </c>
      <c r="J41" s="116" t="b">
        <v>1</v>
      </c>
      <c r="K41" s="116" t="b">
        <v>0</v>
      </c>
      <c r="L41" s="117">
        <f t="shared" si="1"/>
        <v>1</v>
      </c>
      <c r="M41" s="117">
        <f t="shared" si="2"/>
        <v>4</v>
      </c>
      <c r="N41" s="124"/>
      <c r="O41" s="112"/>
    </row>
    <row r="42" ht="15.0" customHeight="1">
      <c r="A42" s="112"/>
      <c r="B42" s="112"/>
      <c r="C42" s="112"/>
      <c r="D42" s="129" t="s">
        <v>96</v>
      </c>
      <c r="E42" s="114" t="s">
        <v>237</v>
      </c>
      <c r="F42" s="115" t="s">
        <v>61</v>
      </c>
      <c r="G42" s="116" t="b">
        <v>0</v>
      </c>
      <c r="H42" s="116" t="b">
        <v>0</v>
      </c>
      <c r="I42" s="116" t="b">
        <v>0</v>
      </c>
      <c r="J42" s="116" t="b">
        <v>0</v>
      </c>
      <c r="K42" s="116" t="b">
        <v>0</v>
      </c>
      <c r="L42" s="117">
        <f t="shared" si="1"/>
        <v>0</v>
      </c>
      <c r="M42" s="117">
        <f t="shared" si="2"/>
        <v>0</v>
      </c>
      <c r="N42" s="124"/>
      <c r="O42" s="112"/>
    </row>
    <row r="43" ht="15.0" customHeight="1">
      <c r="A43" s="112"/>
      <c r="B43" s="112"/>
      <c r="C43" s="112"/>
      <c r="D43" s="129" t="s">
        <v>217</v>
      </c>
      <c r="E43" s="114" t="str">
        <f>VLOOKUP(D43,Data!H:I,2,0)</f>
        <v>İstanbul</v>
      </c>
      <c r="F43" s="115" t="str">
        <f>VLOOKUP(D43,Data!H:J,3,0)</f>
        <v>Freelance</v>
      </c>
      <c r="G43" s="116" t="b">
        <v>0</v>
      </c>
      <c r="H43" s="116" t="b">
        <v>0</v>
      </c>
      <c r="I43" s="116" t="b">
        <v>1</v>
      </c>
      <c r="J43" s="116" t="b">
        <v>1</v>
      </c>
      <c r="K43" s="116" t="b">
        <v>0</v>
      </c>
      <c r="L43" s="117">
        <f t="shared" si="1"/>
        <v>2</v>
      </c>
      <c r="M43" s="117">
        <f t="shared" si="2"/>
        <v>8</v>
      </c>
      <c r="N43" s="112"/>
      <c r="O43" s="112"/>
    </row>
    <row r="44" ht="15.0" customHeight="1">
      <c r="A44" s="112"/>
      <c r="B44" s="112"/>
      <c r="C44" s="112"/>
      <c r="D44" s="129" t="s">
        <v>81</v>
      </c>
      <c r="E44" s="114" t="str">
        <f>VLOOKUP(D44,Data!H:I,2,0)</f>
        <v>İstanbul</v>
      </c>
      <c r="F44" s="115" t="str">
        <f>VLOOKUP(D44,Data!H:J,3,0)</f>
        <v>Freelance</v>
      </c>
      <c r="G44" s="116" t="b">
        <v>1</v>
      </c>
      <c r="H44" s="116" t="b">
        <v>0</v>
      </c>
      <c r="I44" s="116" t="b">
        <v>0</v>
      </c>
      <c r="J44" s="116" t="b">
        <v>0</v>
      </c>
      <c r="K44" s="116" t="b">
        <v>0</v>
      </c>
      <c r="L44" s="117">
        <f t="shared" si="1"/>
        <v>1</v>
      </c>
      <c r="M44" s="117">
        <f t="shared" si="2"/>
        <v>4</v>
      </c>
      <c r="N44" s="112"/>
      <c r="O44" s="112"/>
    </row>
    <row r="45" ht="15.0" customHeight="1">
      <c r="A45" s="112"/>
      <c r="B45" s="112"/>
      <c r="C45" s="112"/>
      <c r="D45" s="129" t="s">
        <v>201</v>
      </c>
      <c r="E45" s="114" t="str">
        <f>VLOOKUP(D45,Data!H:I,2,0)</f>
        <v>İstanbul</v>
      </c>
      <c r="F45" s="114" t="str">
        <f>VLOOKUP(D45,Data!H:J,3,0)</f>
        <v>Freelance</v>
      </c>
      <c r="G45" s="116" t="b">
        <v>0</v>
      </c>
      <c r="H45" s="116" t="b">
        <v>0</v>
      </c>
      <c r="I45" s="116" t="b">
        <v>0</v>
      </c>
      <c r="J45" s="116" t="b">
        <v>0</v>
      </c>
      <c r="K45" s="116" t="b">
        <v>0</v>
      </c>
      <c r="L45" s="117">
        <f t="shared" si="1"/>
        <v>0</v>
      </c>
      <c r="M45" s="117">
        <f t="shared" si="2"/>
        <v>0</v>
      </c>
      <c r="N45" s="112"/>
      <c r="O45" s="112"/>
    </row>
    <row r="46" ht="15.0" customHeight="1">
      <c r="A46" s="112"/>
      <c r="B46" s="112"/>
      <c r="C46" s="112"/>
      <c r="D46" s="132" t="s">
        <v>83</v>
      </c>
      <c r="E46" s="114" t="str">
        <f>VLOOKUP(D46,Data!H:I,2,0)</f>
        <v>İstanbul</v>
      </c>
      <c r="F46" s="115" t="str">
        <f>VLOOKUP(D46,Data!H:J,3,0)</f>
        <v>Nazım Öztel</v>
      </c>
      <c r="G46" s="116" t="b">
        <v>1</v>
      </c>
      <c r="H46" s="116" t="b">
        <v>1</v>
      </c>
      <c r="I46" s="116" t="b">
        <v>1</v>
      </c>
      <c r="J46" s="116" t="b">
        <v>0</v>
      </c>
      <c r="K46" s="116" t="b">
        <v>1</v>
      </c>
      <c r="L46" s="117">
        <f t="shared" si="1"/>
        <v>4</v>
      </c>
      <c r="M46" s="117">
        <f t="shared" si="2"/>
        <v>16</v>
      </c>
      <c r="N46" s="112"/>
      <c r="O46" s="112"/>
    </row>
    <row r="47" ht="15.0" customHeight="1">
      <c r="A47" s="112"/>
      <c r="B47" s="112"/>
      <c r="C47" s="112"/>
      <c r="D47" s="129" t="s">
        <v>224</v>
      </c>
      <c r="E47" s="145" t="str">
        <f>VLOOKUP(D47,Data!H:I,2,0)</f>
        <v>İstanbul</v>
      </c>
      <c r="F47" s="147" t="str">
        <f>VLOOKUP(D47,Data!H:J,3,0)</f>
        <v>Filamingo</v>
      </c>
      <c r="G47" s="116" t="b">
        <v>0</v>
      </c>
      <c r="H47" s="116" t="b">
        <v>1</v>
      </c>
      <c r="I47" s="116" t="b">
        <v>1</v>
      </c>
      <c r="J47" s="116" t="b">
        <v>1</v>
      </c>
      <c r="K47" s="116" t="b">
        <v>1</v>
      </c>
      <c r="L47" s="146">
        <f t="shared" si="1"/>
        <v>4</v>
      </c>
      <c r="M47" s="146">
        <f t="shared" si="2"/>
        <v>16</v>
      </c>
      <c r="N47" s="125"/>
      <c r="O47" s="112"/>
    </row>
    <row r="48" ht="15.0" customHeight="1">
      <c r="A48" s="125"/>
      <c r="B48" s="125"/>
      <c r="C48" s="125"/>
      <c r="D48" s="129" t="s">
        <v>225</v>
      </c>
      <c r="E48" s="114" t="str">
        <f>VLOOKUP(D48,Data!H:I,2,0)</f>
        <v>İstanbul</v>
      </c>
      <c r="F48" s="115" t="str">
        <f>VLOOKUP(D48,Data!H:J,3,0)</f>
        <v>Filamingo</v>
      </c>
      <c r="G48" s="116" t="b">
        <v>0</v>
      </c>
      <c r="H48" s="116" t="b">
        <v>0</v>
      </c>
      <c r="I48" s="116" t="b">
        <v>1</v>
      </c>
      <c r="J48" s="116" t="b">
        <v>1</v>
      </c>
      <c r="K48" s="116" t="b">
        <v>1</v>
      </c>
      <c r="L48" s="117">
        <f t="shared" si="1"/>
        <v>3</v>
      </c>
      <c r="M48" s="117">
        <f t="shared" si="2"/>
        <v>12</v>
      </c>
      <c r="N48" s="112"/>
      <c r="O48" s="125"/>
    </row>
    <row r="49" ht="15.0" customHeight="1">
      <c r="A49" s="125"/>
      <c r="B49" s="125"/>
      <c r="C49" s="125"/>
      <c r="D49" s="129" t="s">
        <v>145</v>
      </c>
      <c r="E49" s="114" t="str">
        <f>VLOOKUP(D49,Data!H:I,2,0)</f>
        <v>İstanbul</v>
      </c>
      <c r="F49" s="115" t="str">
        <f>VLOOKUP(D49,Data!H:J,3,0)</f>
        <v>Filamingo</v>
      </c>
      <c r="G49" s="116" t="b">
        <v>1</v>
      </c>
      <c r="H49" s="116" t="b">
        <v>1</v>
      </c>
      <c r="I49" s="116" t="b">
        <v>1</v>
      </c>
      <c r="J49" s="116" t="b">
        <v>0</v>
      </c>
      <c r="K49" s="116" t="b">
        <v>0</v>
      </c>
      <c r="L49" s="117">
        <f t="shared" si="1"/>
        <v>3</v>
      </c>
      <c r="M49" s="117">
        <f t="shared" si="2"/>
        <v>12</v>
      </c>
      <c r="N49" s="112"/>
      <c r="O49" s="125"/>
    </row>
    <row r="50" ht="15.0" customHeight="1">
      <c r="A50" s="125"/>
      <c r="B50" s="125"/>
      <c r="C50" s="125"/>
      <c r="D50" s="129" t="s">
        <v>274</v>
      </c>
      <c r="E50" s="114" t="str">
        <f>VLOOKUP(D50,Data!H:I,2,0)</f>
        <v>İstanbul</v>
      </c>
      <c r="F50" s="115" t="str">
        <f>VLOOKUP(D50,Data!H:J,3,0)</f>
        <v>Filamingo</v>
      </c>
      <c r="G50" s="116" t="b">
        <v>1</v>
      </c>
      <c r="H50" s="116" t="b">
        <v>1</v>
      </c>
      <c r="I50" s="116" t="b">
        <v>0</v>
      </c>
      <c r="J50" s="116" t="b">
        <v>1</v>
      </c>
      <c r="K50" s="116" t="b">
        <v>0</v>
      </c>
      <c r="L50" s="117">
        <f t="shared" si="1"/>
        <v>3</v>
      </c>
      <c r="M50" s="117">
        <f t="shared" si="2"/>
        <v>12</v>
      </c>
      <c r="N50" s="112"/>
      <c r="O50" s="125"/>
    </row>
    <row r="51" ht="15.0" customHeight="1">
      <c r="A51" s="125"/>
      <c r="B51" s="125"/>
      <c r="C51" s="125"/>
      <c r="D51" s="129" t="s">
        <v>87</v>
      </c>
      <c r="E51" s="114" t="str">
        <f>VLOOKUP(D51,Data!H:I,2,0)</f>
        <v>İstanbul</v>
      </c>
      <c r="F51" s="115" t="str">
        <f>VLOOKUP(D51,Data!H:J,3,0)</f>
        <v>Freelance</v>
      </c>
      <c r="G51" s="116" t="b">
        <v>0</v>
      </c>
      <c r="H51" s="116" t="b">
        <v>0</v>
      </c>
      <c r="I51" s="116" t="b">
        <v>0</v>
      </c>
      <c r="J51" s="116" t="b">
        <v>0</v>
      </c>
      <c r="K51" s="116" t="b">
        <v>0</v>
      </c>
      <c r="L51" s="117">
        <f t="shared" si="1"/>
        <v>0</v>
      </c>
      <c r="M51" s="117">
        <f t="shared" si="2"/>
        <v>0</v>
      </c>
      <c r="N51" s="112"/>
      <c r="O51" s="125"/>
    </row>
    <row r="52" ht="15.0" customHeight="1">
      <c r="A52" s="125"/>
      <c r="B52" s="125"/>
      <c r="C52" s="125"/>
      <c r="D52" s="129" t="s">
        <v>226</v>
      </c>
      <c r="E52" s="114" t="str">
        <f>VLOOKUP(D52,Data!H:I,2,0)</f>
        <v>İstanbul</v>
      </c>
      <c r="F52" s="115" t="str">
        <f>VLOOKUP(D52,Data!H:J,3,0)</f>
        <v>Filamingo</v>
      </c>
      <c r="G52" s="116" t="b">
        <v>1</v>
      </c>
      <c r="H52" s="116" t="b">
        <v>1</v>
      </c>
      <c r="I52" s="116" t="b">
        <v>1</v>
      </c>
      <c r="J52" s="116" t="b">
        <v>1</v>
      </c>
      <c r="K52" s="116" t="b">
        <v>0</v>
      </c>
      <c r="L52" s="117">
        <f t="shared" si="1"/>
        <v>4</v>
      </c>
      <c r="M52" s="117">
        <f t="shared" si="2"/>
        <v>16</v>
      </c>
      <c r="N52" s="112"/>
      <c r="O52" s="125"/>
    </row>
    <row r="53" ht="15.0" customHeight="1">
      <c r="A53" s="112"/>
      <c r="B53" s="112"/>
      <c r="C53" s="112"/>
      <c r="D53" s="129" t="s">
        <v>249</v>
      </c>
      <c r="E53" s="114" t="str">
        <f>VLOOKUP(D53,Data!H:I,2,0)</f>
        <v>İstanbul</v>
      </c>
      <c r="F53" s="115" t="str">
        <f>VLOOKUP(D53,Data!H:J,3,0)</f>
        <v>Nazım Öztel</v>
      </c>
      <c r="G53" s="116" t="b">
        <v>0</v>
      </c>
      <c r="H53" s="116" t="b">
        <v>1</v>
      </c>
      <c r="I53" s="116" t="b">
        <v>1</v>
      </c>
      <c r="J53" s="116" t="b">
        <v>0</v>
      </c>
      <c r="K53" s="116" t="b">
        <v>1</v>
      </c>
      <c r="L53" s="117">
        <f t="shared" si="1"/>
        <v>3</v>
      </c>
      <c r="M53" s="117">
        <f t="shared" si="2"/>
        <v>12</v>
      </c>
      <c r="N53" s="112"/>
      <c r="O53" s="112"/>
    </row>
    <row r="54" ht="15.0" customHeight="1">
      <c r="A54" s="112"/>
      <c r="B54" s="112"/>
      <c r="C54" s="112"/>
      <c r="D54" s="129" t="s">
        <v>250</v>
      </c>
      <c r="E54" s="114" t="str">
        <f>VLOOKUP(D54,Data!H:I,2,0)</f>
        <v>İstanbul</v>
      </c>
      <c r="F54" s="115" t="str">
        <f>VLOOKUP(D54,Data!H:J,3,0)</f>
        <v>Filamingo</v>
      </c>
      <c r="G54" s="116" t="b">
        <v>1</v>
      </c>
      <c r="H54" s="116" t="b">
        <v>1</v>
      </c>
      <c r="I54" s="116" t="b">
        <v>1</v>
      </c>
      <c r="J54" s="116" t="b">
        <v>0</v>
      </c>
      <c r="K54" s="116" t="b">
        <v>0</v>
      </c>
      <c r="L54" s="117">
        <f t="shared" si="1"/>
        <v>3</v>
      </c>
      <c r="M54" s="117">
        <f t="shared" si="2"/>
        <v>12</v>
      </c>
      <c r="N54" s="125"/>
      <c r="O54" s="112"/>
    </row>
    <row r="55" ht="15.0" customHeight="1">
      <c r="A55" s="112"/>
      <c r="B55" s="112"/>
      <c r="C55" s="112"/>
      <c r="D55" s="129" t="s">
        <v>251</v>
      </c>
      <c r="E55" s="114" t="str">
        <f>VLOOKUP(D55,Data!H:I,2,0)</f>
        <v>İstanbul</v>
      </c>
      <c r="F55" s="115" t="str">
        <f>VLOOKUP(D55,Data!H:J,3,0)</f>
        <v>Filamingo</v>
      </c>
      <c r="G55" s="116" t="b">
        <v>1</v>
      </c>
      <c r="H55" s="116" t="b">
        <v>1</v>
      </c>
      <c r="I55" s="116" t="b">
        <v>1</v>
      </c>
      <c r="J55" s="116" t="b">
        <v>1</v>
      </c>
      <c r="K55" s="116" t="b">
        <v>1</v>
      </c>
      <c r="L55" s="117">
        <f t="shared" si="1"/>
        <v>5</v>
      </c>
      <c r="M55" s="117">
        <f t="shared" si="2"/>
        <v>20</v>
      </c>
      <c r="N55" s="125"/>
      <c r="O55" s="112"/>
    </row>
    <row r="56" ht="15.0" customHeight="1">
      <c r="A56" s="112"/>
      <c r="B56" s="112"/>
      <c r="C56" s="112"/>
      <c r="D56" s="129" t="s">
        <v>252</v>
      </c>
      <c r="E56" s="114" t="str">
        <f>VLOOKUP(D56,Data!H:I,2,0)</f>
        <v>İzmir</v>
      </c>
      <c r="F56" s="115" t="str">
        <f>VLOOKUP(D56,Data!H:J,3,0)</f>
        <v>Nazım Öztel</v>
      </c>
      <c r="G56" s="116" t="b">
        <v>0</v>
      </c>
      <c r="H56" s="116" t="b">
        <v>0</v>
      </c>
      <c r="I56" s="116" t="b">
        <v>0</v>
      </c>
      <c r="J56" s="116" t="b">
        <v>0</v>
      </c>
      <c r="K56" s="116" t="b">
        <v>1</v>
      </c>
      <c r="L56" s="117">
        <f t="shared" si="1"/>
        <v>1</v>
      </c>
      <c r="M56" s="117">
        <f t="shared" si="2"/>
        <v>4</v>
      </c>
      <c r="N56" s="125"/>
      <c r="O56" s="112"/>
    </row>
    <row r="57" ht="15.0" customHeight="1">
      <c r="A57" s="112"/>
      <c r="B57" s="112"/>
      <c r="C57" s="112"/>
      <c r="D57" s="132" t="s">
        <v>92</v>
      </c>
      <c r="E57" s="114" t="str">
        <f>VLOOKUP(D57,Data!H:I,2,0)</f>
        <v>İzmir</v>
      </c>
      <c r="F57" s="115" t="str">
        <f>VLOOKUP(D57,Data!H:J,3,0)</f>
        <v>Nazım Öztel</v>
      </c>
      <c r="G57" s="116" t="b">
        <v>1</v>
      </c>
      <c r="H57" s="116" t="b">
        <v>1</v>
      </c>
      <c r="I57" s="116" t="b">
        <v>1</v>
      </c>
      <c r="J57" s="116" t="b">
        <v>1</v>
      </c>
      <c r="K57" s="116" t="b">
        <v>1</v>
      </c>
      <c r="L57" s="117">
        <f t="shared" si="1"/>
        <v>5</v>
      </c>
      <c r="M57" s="117">
        <f t="shared" si="2"/>
        <v>20</v>
      </c>
      <c r="N57" s="112"/>
      <c r="O57" s="112"/>
    </row>
    <row r="58" ht="15.0" customHeight="1">
      <c r="A58" s="112"/>
      <c r="B58" s="112"/>
      <c r="C58" s="112"/>
      <c r="D58" s="129" t="s">
        <v>93</v>
      </c>
      <c r="E58" s="114" t="str">
        <f>VLOOKUP(D58,Data!H:I,2,0)</f>
        <v>İzmir</v>
      </c>
      <c r="F58" s="115" t="str">
        <f>VLOOKUP(D58,Data!H:J,3,0)</f>
        <v>Freelance</v>
      </c>
      <c r="G58" s="116" t="b">
        <v>1</v>
      </c>
      <c r="H58" s="116" t="b">
        <v>1</v>
      </c>
      <c r="I58" s="116" t="b">
        <v>1</v>
      </c>
      <c r="J58" s="116" t="b">
        <v>1</v>
      </c>
      <c r="K58" s="116" t="b">
        <v>0</v>
      </c>
      <c r="L58" s="117">
        <f t="shared" si="1"/>
        <v>4</v>
      </c>
      <c r="M58" s="117">
        <f t="shared" si="2"/>
        <v>16</v>
      </c>
      <c r="N58" s="112"/>
      <c r="O58" s="112"/>
    </row>
    <row r="59" ht="15.0" customHeight="1">
      <c r="A59" s="112"/>
      <c r="B59" s="112"/>
      <c r="C59" s="112"/>
      <c r="D59" s="129" t="s">
        <v>161</v>
      </c>
      <c r="E59" s="143" t="str">
        <f>VLOOKUP(D59,Data!H:I,2,0)</f>
        <v>Kahramanmaraş</v>
      </c>
      <c r="F59" s="115" t="str">
        <f>VLOOKUP(D59,Data!H:J,3,0)</f>
        <v>Nazım Öztel</v>
      </c>
      <c r="G59" s="116" t="b">
        <v>1</v>
      </c>
      <c r="H59" s="116" t="b">
        <v>1</v>
      </c>
      <c r="I59" s="116" t="b">
        <v>0</v>
      </c>
      <c r="J59" s="116" t="b">
        <v>0</v>
      </c>
      <c r="K59" s="116" t="b">
        <v>0</v>
      </c>
      <c r="L59" s="117">
        <f t="shared" si="1"/>
        <v>2</v>
      </c>
      <c r="M59" s="117">
        <f t="shared" si="2"/>
        <v>8</v>
      </c>
      <c r="N59" s="112"/>
      <c r="O59" s="112"/>
    </row>
    <row r="60" ht="15.0" customHeight="1">
      <c r="A60" s="112"/>
      <c r="B60" s="112"/>
      <c r="C60" s="112"/>
      <c r="D60" s="129" t="s">
        <v>243</v>
      </c>
      <c r="E60" s="114" t="str">
        <f>VLOOKUP(D60,Data!H:I,2,0)</f>
        <v>Kayseri</v>
      </c>
      <c r="F60" s="115" t="str">
        <f>VLOOKUP(D60,Data!H:J,3,0)</f>
        <v>Nazım Öztel</v>
      </c>
      <c r="G60" s="116" t="b">
        <v>1</v>
      </c>
      <c r="H60" s="116" t="b">
        <v>1</v>
      </c>
      <c r="I60" s="116" t="b">
        <v>1</v>
      </c>
      <c r="J60" s="116" t="b">
        <v>1</v>
      </c>
      <c r="K60" s="116" t="b">
        <v>1</v>
      </c>
      <c r="L60" s="117">
        <f t="shared" si="1"/>
        <v>5</v>
      </c>
      <c r="M60" s="117">
        <f t="shared" si="2"/>
        <v>20</v>
      </c>
      <c r="N60" s="112"/>
      <c r="O60" s="112"/>
    </row>
    <row r="61" ht="15.0" customHeight="1">
      <c r="A61" s="112"/>
      <c r="B61" s="112"/>
      <c r="C61" s="112"/>
      <c r="D61" s="129" t="s">
        <v>253</v>
      </c>
      <c r="E61" s="114" t="str">
        <f>VLOOKUP(D61,Data!H:I,2,0)</f>
        <v>Kırklareli</v>
      </c>
      <c r="F61" s="115" t="str">
        <f>VLOOKUP(D61,Data!H:J,3,0)</f>
        <v>Nazım Öztel</v>
      </c>
      <c r="G61" s="116" t="b">
        <v>0</v>
      </c>
      <c r="H61" s="116" t="b">
        <v>0</v>
      </c>
      <c r="I61" s="116" t="b">
        <v>0</v>
      </c>
      <c r="J61" s="116" t="b">
        <v>0</v>
      </c>
      <c r="K61" s="116" t="b">
        <v>0</v>
      </c>
      <c r="L61" s="117">
        <f t="shared" si="1"/>
        <v>0</v>
      </c>
      <c r="M61" s="117">
        <f t="shared" si="2"/>
        <v>0</v>
      </c>
      <c r="N61" s="112"/>
      <c r="O61" s="112"/>
    </row>
    <row r="62" ht="15.0" customHeight="1">
      <c r="A62" s="112"/>
      <c r="B62" s="112"/>
      <c r="C62" s="112"/>
      <c r="D62" s="132" t="s">
        <v>96</v>
      </c>
      <c r="E62" s="114" t="str">
        <f>VLOOKUP(D62,Data!H:I,2,0)</f>
        <v>Kocaeli</v>
      </c>
      <c r="F62" s="115" t="str">
        <f>VLOOKUP(D62,Data!H:J,3,0)</f>
        <v>Nazım Öztel</v>
      </c>
      <c r="G62" s="116" t="b">
        <v>0</v>
      </c>
      <c r="H62" s="116" t="b">
        <v>0</v>
      </c>
      <c r="I62" s="116" t="b">
        <v>0</v>
      </c>
      <c r="J62" s="116" t="b">
        <v>0</v>
      </c>
      <c r="K62" s="116" t="b">
        <v>0</v>
      </c>
      <c r="L62" s="117">
        <f t="shared" si="1"/>
        <v>0</v>
      </c>
      <c r="M62" s="117">
        <f t="shared" si="2"/>
        <v>0</v>
      </c>
      <c r="N62" s="112"/>
      <c r="O62" s="112"/>
    </row>
    <row r="63" ht="15.0" customHeight="1">
      <c r="A63" s="112"/>
      <c r="B63" s="112"/>
      <c r="C63" s="112"/>
      <c r="D63" s="129" t="s">
        <v>147</v>
      </c>
      <c r="E63" s="114" t="str">
        <f>VLOOKUP(D63,Data!H:I,2,0)</f>
        <v>Kocaeli</v>
      </c>
      <c r="F63" s="115" t="str">
        <f>VLOOKUP(D63,Data!H:J,3,0)</f>
        <v>Nazım Öztel</v>
      </c>
      <c r="G63" s="116" t="b">
        <v>0</v>
      </c>
      <c r="H63" s="116" t="b">
        <v>0</v>
      </c>
      <c r="I63" s="116" t="b">
        <v>0</v>
      </c>
      <c r="J63" s="116" t="b">
        <v>0</v>
      </c>
      <c r="K63" s="116" t="b">
        <v>0</v>
      </c>
      <c r="L63" s="117">
        <f t="shared" si="1"/>
        <v>0</v>
      </c>
      <c r="M63" s="117">
        <f t="shared" si="2"/>
        <v>0</v>
      </c>
      <c r="N63" s="112"/>
      <c r="O63" s="112"/>
    </row>
    <row r="64" ht="15.0" customHeight="1">
      <c r="A64" s="112"/>
      <c r="B64" s="112"/>
      <c r="C64" s="112"/>
      <c r="D64" s="129" t="s">
        <v>227</v>
      </c>
      <c r="E64" s="114" t="str">
        <f>VLOOKUP(D64,Data!H:I,2,0)</f>
        <v>Konya</v>
      </c>
      <c r="F64" s="115" t="str">
        <f>VLOOKUP(D64,Data!H:J,3,0)</f>
        <v>Nazım Öztel</v>
      </c>
      <c r="G64" s="116" t="b">
        <v>1</v>
      </c>
      <c r="H64" s="116" t="b">
        <v>1</v>
      </c>
      <c r="I64" s="116" t="b">
        <v>1</v>
      </c>
      <c r="J64" s="116" t="b">
        <v>1</v>
      </c>
      <c r="K64" s="116" t="b">
        <v>1</v>
      </c>
      <c r="L64" s="117">
        <f t="shared" si="1"/>
        <v>5</v>
      </c>
      <c r="M64" s="117">
        <f t="shared" si="2"/>
        <v>20</v>
      </c>
      <c r="N64" s="112"/>
      <c r="O64" s="112"/>
    </row>
    <row r="65" ht="15.0" customHeight="1">
      <c r="A65" s="112"/>
      <c r="B65" s="112"/>
      <c r="C65" s="112"/>
      <c r="D65" s="129" t="s">
        <v>265</v>
      </c>
      <c r="E65" s="114" t="str">
        <f>VLOOKUP(D65,Data!H:I,2,0)</f>
        <v>Konya</v>
      </c>
      <c r="F65" s="115" t="str">
        <f>VLOOKUP(D65,Data!H:J,3,0)</f>
        <v>Nazım Öztel</v>
      </c>
      <c r="G65" s="116" t="b">
        <v>0</v>
      </c>
      <c r="H65" s="116" t="b">
        <v>0</v>
      </c>
      <c r="I65" s="116" t="b">
        <v>0</v>
      </c>
      <c r="J65" s="116" t="b">
        <v>0</v>
      </c>
      <c r="K65" s="116" t="b">
        <v>1</v>
      </c>
      <c r="L65" s="117">
        <f t="shared" si="1"/>
        <v>1</v>
      </c>
      <c r="M65" s="117">
        <f t="shared" si="2"/>
        <v>4</v>
      </c>
      <c r="N65" s="112"/>
      <c r="O65" s="112"/>
    </row>
    <row r="66" ht="15.0" customHeight="1">
      <c r="A66" s="112"/>
      <c r="B66" s="112"/>
      <c r="C66" s="112"/>
      <c r="D66" s="129" t="s">
        <v>203</v>
      </c>
      <c r="E66" s="114" t="str">
        <f>VLOOKUP(D66,Data!H:I,2,0)</f>
        <v>Malatya</v>
      </c>
      <c r="F66" s="115" t="str">
        <f>VLOOKUP(D66,Data!H:J,3,0)</f>
        <v>Nazım Öztel</v>
      </c>
      <c r="G66" s="116" t="b">
        <v>0</v>
      </c>
      <c r="H66" s="116" t="b">
        <v>0</v>
      </c>
      <c r="I66" s="116" t="b">
        <v>1</v>
      </c>
      <c r="J66" s="116" t="b">
        <v>1</v>
      </c>
      <c r="K66" s="116" t="b">
        <v>1</v>
      </c>
      <c r="L66" s="117">
        <f t="shared" si="1"/>
        <v>3</v>
      </c>
      <c r="M66" s="117">
        <f t="shared" si="2"/>
        <v>12</v>
      </c>
      <c r="N66" s="112"/>
      <c r="O66" s="112"/>
    </row>
    <row r="67" ht="15.0" customHeight="1">
      <c r="A67" s="112"/>
      <c r="B67" s="112"/>
      <c r="C67" s="112"/>
      <c r="D67" s="129" t="s">
        <v>254</v>
      </c>
      <c r="E67" s="114" t="str">
        <f>VLOOKUP(D67,Data!H:I,2,0)</f>
        <v>Manisa</v>
      </c>
      <c r="F67" s="115" t="str">
        <f>VLOOKUP(D67,Data!H:J,3,0)</f>
        <v>Nazım Öztel</v>
      </c>
      <c r="G67" s="116" t="b">
        <v>0</v>
      </c>
      <c r="H67" s="116" t="b">
        <v>0</v>
      </c>
      <c r="I67" s="116" t="b">
        <v>0</v>
      </c>
      <c r="J67" s="116" t="b">
        <v>0</v>
      </c>
      <c r="K67" s="116" t="b">
        <v>0</v>
      </c>
      <c r="L67" s="117">
        <f t="shared" si="1"/>
        <v>0</v>
      </c>
      <c r="M67" s="117">
        <f t="shared" si="2"/>
        <v>0</v>
      </c>
      <c r="N67" s="112"/>
      <c r="O67" s="112"/>
    </row>
    <row r="68" ht="15.0" customHeight="1">
      <c r="A68" s="112"/>
      <c r="B68" s="112"/>
      <c r="C68" s="112"/>
      <c r="D68" s="129" t="s">
        <v>255</v>
      </c>
      <c r="E68" s="114" t="str">
        <f>VLOOKUP(D68,Data!H:I,2,0)</f>
        <v>Mardin</v>
      </c>
      <c r="F68" s="115" t="str">
        <f>VLOOKUP(D68,Data!H:J,3,0)</f>
        <v>Nazım Öztel</v>
      </c>
      <c r="G68" s="116" t="b">
        <v>1</v>
      </c>
      <c r="H68" s="116" t="b">
        <v>0</v>
      </c>
      <c r="I68" s="116" t="b">
        <v>1</v>
      </c>
      <c r="J68" s="116" t="b">
        <v>0</v>
      </c>
      <c r="K68" s="116" t="b">
        <v>0</v>
      </c>
      <c r="L68" s="117">
        <f t="shared" si="1"/>
        <v>2</v>
      </c>
      <c r="M68" s="117">
        <f t="shared" si="2"/>
        <v>8</v>
      </c>
      <c r="N68" s="142"/>
      <c r="O68" s="112"/>
    </row>
    <row r="69" ht="15.0" customHeight="1">
      <c r="A69" s="112"/>
      <c r="B69" s="112"/>
      <c r="C69" s="112"/>
      <c r="D69" s="132" t="s">
        <v>99</v>
      </c>
      <c r="E69" s="114" t="str">
        <f>VLOOKUP(D69,Data!H:I,2,0)</f>
        <v>Mersin</v>
      </c>
      <c r="F69" s="115" t="str">
        <f>VLOOKUP(D69,Data!H:J,3,0)</f>
        <v>Nazım Öztel</v>
      </c>
      <c r="G69" s="116" t="b">
        <v>0</v>
      </c>
      <c r="H69" s="116" t="b">
        <v>0</v>
      </c>
      <c r="I69" s="116" t="b">
        <v>0</v>
      </c>
      <c r="J69" s="116" t="b">
        <v>0</v>
      </c>
      <c r="K69" s="116" t="b">
        <v>0</v>
      </c>
      <c r="L69" s="117">
        <f t="shared" si="1"/>
        <v>0</v>
      </c>
      <c r="M69" s="117">
        <f t="shared" si="2"/>
        <v>0</v>
      </c>
      <c r="N69" s="106"/>
      <c r="O69" s="112"/>
    </row>
    <row r="70" ht="15.0" customHeight="1">
      <c r="A70" s="112"/>
      <c r="B70" s="112"/>
      <c r="C70" s="112"/>
      <c r="D70" s="129" t="s">
        <v>169</v>
      </c>
      <c r="E70" s="114" t="str">
        <f>VLOOKUP(D70,Data!H:I,2,0)</f>
        <v>Mersin</v>
      </c>
      <c r="F70" s="115" t="str">
        <f>VLOOKUP(D70,Data!H:J,3,0)</f>
        <v>Nazım Öztel</v>
      </c>
      <c r="G70" s="116" t="b">
        <v>0</v>
      </c>
      <c r="H70" s="116" t="b">
        <v>0</v>
      </c>
      <c r="I70" s="116" t="b">
        <v>0</v>
      </c>
      <c r="J70" s="116" t="b">
        <v>0</v>
      </c>
      <c r="K70" s="116" t="b">
        <v>0</v>
      </c>
      <c r="L70" s="117">
        <f t="shared" si="1"/>
        <v>0</v>
      </c>
      <c r="M70" s="117">
        <f t="shared" si="2"/>
        <v>0</v>
      </c>
      <c r="N70" s="106"/>
      <c r="O70" s="112"/>
    </row>
    <row r="71" ht="15.0" customHeight="1">
      <c r="A71" s="112"/>
      <c r="B71" s="112"/>
      <c r="C71" s="112"/>
      <c r="D71" s="129" t="s">
        <v>148</v>
      </c>
      <c r="E71" s="114" t="str">
        <f>VLOOKUP(D71,Data!H:I,2,0)</f>
        <v>Muğla</v>
      </c>
      <c r="F71" s="115" t="str">
        <f>VLOOKUP(D71,Data!H:J,3,0)</f>
        <v>Nazım Öztel</v>
      </c>
      <c r="G71" s="116" t="b">
        <v>1</v>
      </c>
      <c r="H71" s="116" t="b">
        <v>1</v>
      </c>
      <c r="I71" s="116" t="b">
        <v>0</v>
      </c>
      <c r="J71" s="116" t="b">
        <v>0</v>
      </c>
      <c r="K71" s="116" t="b">
        <v>0</v>
      </c>
      <c r="L71" s="117">
        <f t="shared" si="1"/>
        <v>2</v>
      </c>
      <c r="M71" s="117">
        <f t="shared" si="2"/>
        <v>8</v>
      </c>
      <c r="N71" s="106"/>
      <c r="O71" s="112"/>
    </row>
    <row r="72" ht="15.0" customHeight="1">
      <c r="A72" s="112"/>
      <c r="B72" s="112"/>
      <c r="C72" s="112"/>
      <c r="D72" s="129" t="s">
        <v>266</v>
      </c>
      <c r="E72" s="114" t="str">
        <f>VLOOKUP(D72,Data!H:I,2,0)</f>
        <v>Ordu</v>
      </c>
      <c r="F72" s="115" t="str">
        <f>VLOOKUP(D72,Data!H:J,3,0)</f>
        <v>Nazım Öztel</v>
      </c>
      <c r="G72" s="116" t="b">
        <v>0</v>
      </c>
      <c r="H72" s="116" t="b">
        <v>0</v>
      </c>
      <c r="I72" s="116" t="b">
        <v>0</v>
      </c>
      <c r="J72" s="116" t="b">
        <v>0</v>
      </c>
      <c r="K72" s="116" t="b">
        <v>0</v>
      </c>
      <c r="L72" s="117">
        <f t="shared" si="1"/>
        <v>0</v>
      </c>
      <c r="M72" s="117">
        <f t="shared" si="2"/>
        <v>0</v>
      </c>
      <c r="N72" s="106"/>
      <c r="O72" s="112"/>
    </row>
    <row r="73" ht="15.0" customHeight="1">
      <c r="A73" s="112"/>
      <c r="B73" s="112"/>
      <c r="C73" s="112"/>
      <c r="D73" s="129" t="s">
        <v>256</v>
      </c>
      <c r="E73" s="114" t="s">
        <v>211</v>
      </c>
      <c r="F73" s="115" t="s">
        <v>61</v>
      </c>
      <c r="G73" s="116" t="b">
        <v>1</v>
      </c>
      <c r="H73" s="116" t="b">
        <v>1</v>
      </c>
      <c r="I73" s="116" t="b">
        <v>1</v>
      </c>
      <c r="J73" s="116" t="b">
        <v>1</v>
      </c>
      <c r="K73" s="116" t="b">
        <v>0</v>
      </c>
      <c r="L73" s="117">
        <f t="shared" si="1"/>
        <v>4</v>
      </c>
      <c r="M73" s="117">
        <f t="shared" si="2"/>
        <v>16</v>
      </c>
      <c r="N73" s="106"/>
      <c r="O73" s="112"/>
    </row>
    <row r="74" ht="15.0" customHeight="1">
      <c r="A74" s="112"/>
      <c r="B74" s="112"/>
      <c r="C74" s="112"/>
      <c r="D74" s="129" t="s">
        <v>275</v>
      </c>
      <c r="E74" s="114" t="str">
        <f>VLOOKUP(D74,Data!H:I,2,0)</f>
        <v>Sakarya</v>
      </c>
      <c r="F74" s="115" t="str">
        <f>VLOOKUP(D74,Data!H:J,3,0)</f>
        <v>Nazım Öztel</v>
      </c>
      <c r="G74" s="116" t="b">
        <v>1</v>
      </c>
      <c r="H74" s="116" t="b">
        <v>1</v>
      </c>
      <c r="I74" s="116" t="b">
        <v>1</v>
      </c>
      <c r="J74" s="116" t="b">
        <v>1</v>
      </c>
      <c r="K74" s="116" t="b">
        <v>1</v>
      </c>
      <c r="L74" s="117">
        <f t="shared" si="1"/>
        <v>5</v>
      </c>
      <c r="M74" s="117">
        <f t="shared" si="2"/>
        <v>20</v>
      </c>
      <c r="N74" s="106"/>
      <c r="O74" s="112"/>
    </row>
    <row r="75" ht="15.0" customHeight="1">
      <c r="A75" s="112"/>
      <c r="B75" s="112"/>
      <c r="C75" s="112"/>
      <c r="D75" s="129" t="s">
        <v>257</v>
      </c>
      <c r="E75" s="114" t="str">
        <f>VLOOKUP(D75,Data!H:I,2,0)</f>
        <v>Samsun</v>
      </c>
      <c r="F75" s="115" t="str">
        <f>VLOOKUP(D75,Data!H:J,3,0)</f>
        <v>Nazım Öztel</v>
      </c>
      <c r="G75" s="116" t="b">
        <v>1</v>
      </c>
      <c r="H75" s="116" t="b">
        <v>0</v>
      </c>
      <c r="I75" s="116" t="b">
        <v>1</v>
      </c>
      <c r="J75" s="116" t="b">
        <v>0</v>
      </c>
      <c r="K75" s="116" t="b">
        <v>0</v>
      </c>
      <c r="L75" s="117">
        <f t="shared" si="1"/>
        <v>2</v>
      </c>
      <c r="M75" s="117">
        <f t="shared" si="2"/>
        <v>8</v>
      </c>
      <c r="N75" s="106"/>
      <c r="O75" s="112"/>
    </row>
    <row r="76" ht="15.0" customHeight="1">
      <c r="A76" s="112"/>
      <c r="B76" s="112"/>
      <c r="C76" s="112"/>
      <c r="D76" s="129" t="s">
        <v>267</v>
      </c>
      <c r="E76" s="114" t="str">
        <f>VLOOKUP(D76,Data!H:I,2,0)</f>
        <v>Sinop</v>
      </c>
      <c r="F76" s="115" t="str">
        <f>VLOOKUP(D76,Data!H:J,3,0)</f>
        <v>Nazım Öztel</v>
      </c>
      <c r="G76" s="116" t="b">
        <v>0</v>
      </c>
      <c r="H76" s="116" t="b">
        <v>0</v>
      </c>
      <c r="I76" s="116" t="b">
        <v>0</v>
      </c>
      <c r="J76" s="116" t="b">
        <v>0</v>
      </c>
      <c r="K76" s="116" t="b">
        <v>0</v>
      </c>
      <c r="L76" s="117">
        <f t="shared" si="1"/>
        <v>0</v>
      </c>
      <c r="M76" s="117">
        <f t="shared" si="2"/>
        <v>0</v>
      </c>
      <c r="N76" s="106"/>
      <c r="O76" s="112"/>
    </row>
    <row r="77" ht="15.0" customHeight="1">
      <c r="A77" s="112"/>
      <c r="B77" s="112"/>
      <c r="C77" s="112"/>
      <c r="D77" s="129" t="s">
        <v>268</v>
      </c>
      <c r="E77" s="114" t="str">
        <f>VLOOKUP(D77,Data!H:I,2,0)</f>
        <v>Sivas</v>
      </c>
      <c r="F77" s="115" t="str">
        <f>VLOOKUP(D77,Data!H:J,3,0)</f>
        <v>Nazım Öztel</v>
      </c>
      <c r="G77" s="116" t="b">
        <v>1</v>
      </c>
      <c r="H77" s="116" t="b">
        <v>1</v>
      </c>
      <c r="I77" s="116" t="b">
        <v>0</v>
      </c>
      <c r="J77" s="116" t="b">
        <v>1</v>
      </c>
      <c r="K77" s="116" t="b">
        <v>1</v>
      </c>
      <c r="L77" s="117">
        <f t="shared" si="1"/>
        <v>4</v>
      </c>
      <c r="M77" s="117">
        <f t="shared" si="2"/>
        <v>16</v>
      </c>
      <c r="N77" s="106"/>
      <c r="O77" s="112"/>
    </row>
    <row r="78" ht="15.0" customHeight="1">
      <c r="A78" s="112"/>
      <c r="B78" s="112"/>
      <c r="C78" s="112"/>
      <c r="D78" s="129" t="s">
        <v>104</v>
      </c>
      <c r="E78" s="114" t="str">
        <f>VLOOKUP(D78,Data!H:I,2,0)</f>
        <v>Tekirdağ</v>
      </c>
      <c r="F78" s="115" t="str">
        <f>VLOOKUP(D78,Data!H:J,3,0)</f>
        <v>Freelance</v>
      </c>
      <c r="G78" s="116" t="b">
        <v>0</v>
      </c>
      <c r="H78" s="116" t="b">
        <v>0</v>
      </c>
      <c r="I78" s="116" t="b">
        <v>0</v>
      </c>
      <c r="J78" s="116" t="b">
        <v>0</v>
      </c>
      <c r="K78" s="116" t="b">
        <v>1</v>
      </c>
      <c r="L78" s="117">
        <f t="shared" si="1"/>
        <v>1</v>
      </c>
      <c r="M78" s="117">
        <f t="shared" si="2"/>
        <v>4</v>
      </c>
      <c r="N78" s="112"/>
      <c r="O78" s="112"/>
    </row>
    <row r="79" ht="15.0" customHeight="1">
      <c r="A79" s="112"/>
      <c r="B79" s="112"/>
      <c r="C79" s="112"/>
      <c r="D79" s="129" t="s">
        <v>258</v>
      </c>
      <c r="E79" s="114" t="str">
        <f>VLOOKUP(D79,Data!H:I,2,0)</f>
        <v>Tokat</v>
      </c>
      <c r="F79" s="115" t="str">
        <f>VLOOKUP(D79,Data!H:J,3,0)</f>
        <v>Nazım Öztel</v>
      </c>
      <c r="G79" s="116" t="b">
        <v>0</v>
      </c>
      <c r="H79" s="116" t="b">
        <v>0</v>
      </c>
      <c r="I79" s="116" t="b">
        <v>1</v>
      </c>
      <c r="J79" s="116" t="b">
        <v>1</v>
      </c>
      <c r="K79" s="116" t="b">
        <v>0</v>
      </c>
      <c r="L79" s="117">
        <f t="shared" si="1"/>
        <v>2</v>
      </c>
      <c r="M79" s="117">
        <f t="shared" si="2"/>
        <v>8</v>
      </c>
      <c r="N79" s="112"/>
      <c r="O79" s="112"/>
    </row>
    <row r="80" ht="15.0" customHeight="1">
      <c r="A80" s="112"/>
      <c r="B80" s="112"/>
      <c r="C80" s="112"/>
      <c r="D80" s="129" t="s">
        <v>154</v>
      </c>
      <c r="E80" s="114" t="str">
        <f>VLOOKUP(D80,Data!H:I,2,0)</f>
        <v>Uşak</v>
      </c>
      <c r="F80" s="115" t="str">
        <f>VLOOKUP(D80,Data!H:J,3,0)</f>
        <v>Nazım Öztel</v>
      </c>
      <c r="G80" s="116" t="b">
        <v>0</v>
      </c>
      <c r="H80" s="116" t="b">
        <v>1</v>
      </c>
      <c r="I80" s="116" t="b">
        <v>0</v>
      </c>
      <c r="J80" s="116" t="b">
        <v>0</v>
      </c>
      <c r="K80" s="116" t="b">
        <v>0</v>
      </c>
      <c r="L80" s="117">
        <f t="shared" si="1"/>
        <v>1</v>
      </c>
      <c r="M80" s="117">
        <f t="shared" si="2"/>
        <v>4</v>
      </c>
      <c r="N80" s="112"/>
      <c r="O80" s="112"/>
    </row>
    <row r="81" ht="15.0" customHeight="1">
      <c r="A81" s="112"/>
      <c r="B81" s="112"/>
      <c r="C81" s="112"/>
      <c r="D81" s="129" t="s">
        <v>276</v>
      </c>
      <c r="E81" s="114" t="str">
        <f>VLOOKUP(D81,Data!H:I,2,0)</f>
        <v>Zonguldak</v>
      </c>
      <c r="F81" s="115" t="str">
        <f>VLOOKUP(D81,Data!H:J,3,0)</f>
        <v>Nazım Öztel</v>
      </c>
      <c r="G81" s="116" t="b">
        <v>0</v>
      </c>
      <c r="H81" s="116" t="b">
        <v>1</v>
      </c>
      <c r="I81" s="116" t="b">
        <v>1</v>
      </c>
      <c r="J81" s="116" t="b">
        <v>1</v>
      </c>
      <c r="K81" s="116" t="b">
        <v>0</v>
      </c>
      <c r="L81" s="117">
        <f t="shared" si="1"/>
        <v>3</v>
      </c>
      <c r="M81" s="117">
        <f t="shared" si="2"/>
        <v>12</v>
      </c>
      <c r="N81" s="112"/>
      <c r="O81" s="112"/>
    </row>
    <row r="82" ht="15.0" customHeight="1">
      <c r="A82" s="112"/>
      <c r="B82" s="112"/>
      <c r="C82" s="112"/>
      <c r="D82" s="132"/>
      <c r="E82" s="132"/>
      <c r="F82" s="132"/>
      <c r="G82" s="117">
        <f t="shared" ref="G82:K82" si="3">4*(COUNTIF(G16:G81,"true"))</f>
        <v>104</v>
      </c>
      <c r="H82" s="117">
        <f t="shared" si="3"/>
        <v>112</v>
      </c>
      <c r="I82" s="117">
        <f t="shared" si="3"/>
        <v>120</v>
      </c>
      <c r="J82" s="117">
        <f t="shared" si="3"/>
        <v>108</v>
      </c>
      <c r="K82" s="117">
        <f t="shared" si="3"/>
        <v>92</v>
      </c>
      <c r="L82" s="135"/>
      <c r="M82" s="135">
        <f>SUM(G82:K82)</f>
        <v>536</v>
      </c>
      <c r="N82" s="112"/>
      <c r="O82" s="112"/>
    </row>
  </sheetData>
  <customSheetViews>
    <customSheetView guid="{70B995D3-3AEB-4DFE-A0CA-D6FFCCE596BC}" filter="1" showAutoFilter="1">
      <autoFilter ref="$D$14:$D$81"/>
    </customSheetView>
    <customSheetView guid="{90E1DF85-7252-44D2-BA7D-CC3767CD0E8B}" filter="1" showAutoFilter="1">
      <autoFilter ref="$A$14:$O$82">
        <filterColumn colId="4">
          <filters>
            <filter val="Kırklareli"/>
            <filter val="Samsun"/>
            <filter val="Sakarya"/>
            <filter val="Zonguldak"/>
            <filter val="Elazığ"/>
            <filter val="Kayseri"/>
            <filter val="Düzce"/>
            <filter val="Malatya"/>
            <filter val="Hatay"/>
            <filter val="Sinop"/>
            <filter val="Denizli"/>
            <filter val="Çanakkale"/>
            <filter val="Aydın"/>
            <filter val="Bolu"/>
            <filter val="Çorum"/>
            <filter val="Osmaniye"/>
            <filter val="Adıyaman"/>
            <filter val="Edirne"/>
            <filter val="Tokat"/>
            <filter val="Ordu"/>
            <filter val="Sivas"/>
            <filter val="Mardin"/>
            <filter val="Muğla"/>
            <filter val="Eskişehir"/>
            <filter val="Kahramanmaraş"/>
            <filter val="Balıkesir"/>
            <filter val="Uşak"/>
          </filters>
        </filterColumn>
      </autoFilter>
    </customSheetView>
  </customSheetViews>
  <mergeCells count="4">
    <mergeCell ref="D6:K6"/>
    <mergeCell ref="D7:F7"/>
    <mergeCell ref="D9:D12"/>
    <mergeCell ref="F10:M11"/>
  </mergeCells>
  <conditionalFormatting sqref="G15:K81">
    <cfRule type="cellIs" dxfId="1" priority="1" operator="equal">
      <formula>"False"</formula>
    </cfRule>
  </conditionalFormatting>
  <conditionalFormatting sqref="G15:K81">
    <cfRule type="cellIs" dxfId="0" priority="2" operator="equal">
      <formula>"TRUE"</formula>
    </cfRule>
  </conditionalFormatting>
  <dataValidations>
    <dataValidation type="list" allowBlank="1" showErrorMessage="1" sqref="E15:E81">
      <formula1>Data!$A$2:$A$100</formula1>
    </dataValidation>
    <dataValidation type="list" allowBlank="1" showErrorMessage="1" sqref="F15:F81">
      <formula1>Data!$C$2:$C$8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3" width="2.63"/>
    <col customWidth="1" min="4" max="4" width="20.38"/>
    <col customWidth="1" min="5" max="5" width="11.38"/>
    <col customWidth="1" min="6" max="6" width="16.63"/>
    <col customWidth="1" min="7" max="11" width="8.63"/>
    <col customWidth="1" min="12" max="12" width="12.63"/>
    <col customWidth="1" min="13" max="13" width="15.13"/>
    <col customWidth="1" min="14" max="15" width="2.63"/>
  </cols>
  <sheetData>
    <row r="1" ht="7.5" customHeight="1">
      <c r="A1" s="140"/>
      <c r="B1" s="84"/>
      <c r="C1" s="84"/>
      <c r="D1" s="84"/>
      <c r="E1" s="84"/>
      <c r="F1" s="84"/>
      <c r="G1" s="84"/>
      <c r="H1" s="84"/>
      <c r="I1" s="84"/>
      <c r="J1" s="84"/>
      <c r="K1" s="84"/>
      <c r="L1" s="85"/>
      <c r="M1" s="86"/>
      <c r="N1" s="86"/>
      <c r="O1" s="86"/>
    </row>
    <row r="2" ht="15.0" customHeight="1">
      <c r="A2" s="87"/>
      <c r="B2" s="87"/>
      <c r="C2" s="87"/>
      <c r="D2" s="88"/>
      <c r="E2" s="88"/>
      <c r="F2" s="88"/>
      <c r="G2" s="88"/>
      <c r="H2" s="88"/>
      <c r="I2" s="88"/>
      <c r="J2" s="88"/>
      <c r="K2" s="88"/>
      <c r="L2" s="88"/>
      <c r="M2" s="87"/>
      <c r="N2" s="87"/>
      <c r="O2" s="87"/>
    </row>
    <row r="3" ht="3.75" customHeight="1">
      <c r="A3" s="87"/>
      <c r="B3" s="87"/>
      <c r="C3" s="87"/>
      <c r="D3" s="89"/>
      <c r="E3" s="90"/>
      <c r="F3" s="90"/>
      <c r="G3" s="90"/>
      <c r="H3" s="90"/>
      <c r="I3" s="90"/>
      <c r="J3" s="90"/>
      <c r="K3" s="90"/>
      <c r="L3" s="90"/>
      <c r="M3" s="87"/>
      <c r="N3" s="87"/>
      <c r="O3" s="87"/>
    </row>
    <row r="4" ht="15.0" customHeight="1">
      <c r="A4" s="87"/>
      <c r="B4" s="87"/>
      <c r="C4" s="87"/>
      <c r="D4" s="88"/>
      <c r="E4" s="88"/>
      <c r="F4" s="88"/>
      <c r="G4" s="91"/>
      <c r="H4" s="91"/>
      <c r="I4" s="91"/>
      <c r="J4" s="91"/>
      <c r="K4" s="91"/>
      <c r="L4" s="91"/>
      <c r="M4" s="87"/>
      <c r="N4" s="87"/>
      <c r="O4" s="87"/>
    </row>
    <row r="5" ht="15.0" customHeight="1">
      <c r="A5" s="92"/>
      <c r="B5" s="92"/>
      <c r="C5" s="92"/>
      <c r="D5" s="88"/>
      <c r="E5" s="88"/>
      <c r="F5" s="88"/>
      <c r="G5" s="93"/>
      <c r="H5" s="93"/>
      <c r="I5" s="93"/>
      <c r="J5" s="93"/>
      <c r="K5" s="93"/>
      <c r="L5" s="94"/>
      <c r="M5" s="88"/>
      <c r="N5" s="92"/>
      <c r="O5" s="92"/>
    </row>
    <row r="6" ht="15.0" customHeight="1">
      <c r="A6" s="92"/>
      <c r="B6" s="92"/>
      <c r="C6" s="92"/>
      <c r="D6" s="95" t="s">
        <v>277</v>
      </c>
      <c r="L6" s="94"/>
      <c r="M6" s="88"/>
      <c r="N6" s="92"/>
      <c r="O6" s="92"/>
    </row>
    <row r="7" ht="15.0" customHeight="1">
      <c r="A7" s="92"/>
      <c r="B7" s="92"/>
      <c r="C7" s="92"/>
      <c r="D7" s="96" t="s">
        <v>278</v>
      </c>
      <c r="G7" s="97"/>
      <c r="H7" s="97"/>
      <c r="I7" s="97"/>
      <c r="J7" s="97"/>
      <c r="K7" s="97"/>
      <c r="L7" s="92"/>
      <c r="M7" s="92"/>
      <c r="N7" s="92"/>
      <c r="O7" s="92"/>
    </row>
    <row r="8" ht="15.0" customHeight="1">
      <c r="A8" s="92"/>
      <c r="B8" s="92"/>
      <c r="C8" s="92"/>
      <c r="D8" s="97"/>
      <c r="E8" s="97"/>
      <c r="F8" s="97"/>
      <c r="G8" s="97"/>
      <c r="H8" s="97"/>
      <c r="I8" s="97"/>
      <c r="J8" s="97"/>
      <c r="K8" s="97"/>
      <c r="L8" s="92"/>
      <c r="M8" s="92"/>
      <c r="N8" s="92"/>
      <c r="O8" s="92"/>
    </row>
    <row r="9" ht="15.0" customHeight="1">
      <c r="A9" s="92"/>
      <c r="B9" s="92"/>
      <c r="C9" s="98"/>
      <c r="D9" s="99" t="s">
        <v>35</v>
      </c>
      <c r="E9" s="100"/>
      <c r="F9" s="101"/>
      <c r="G9" s="101"/>
      <c r="H9" s="101"/>
      <c r="I9" s="101"/>
      <c r="J9" s="101"/>
      <c r="K9" s="101"/>
      <c r="L9" s="101"/>
      <c r="M9" s="100"/>
      <c r="N9" s="102"/>
      <c r="O9" s="102"/>
    </row>
    <row r="10" ht="15.0" customHeight="1">
      <c r="A10" s="92"/>
      <c r="B10" s="92"/>
      <c r="C10" s="98"/>
      <c r="E10" s="100"/>
      <c r="F10" s="103" t="s">
        <v>36</v>
      </c>
      <c r="N10" s="102"/>
      <c r="O10" s="102"/>
    </row>
    <row r="11" ht="15.0" customHeight="1">
      <c r="A11" s="92"/>
      <c r="B11" s="92"/>
      <c r="C11" s="98"/>
      <c r="E11" s="100"/>
      <c r="N11" s="102"/>
      <c r="O11" s="102"/>
    </row>
    <row r="12" ht="15.0" customHeight="1">
      <c r="A12" s="88"/>
      <c r="B12" s="92"/>
      <c r="C12" s="92"/>
      <c r="E12" s="100"/>
      <c r="F12" s="100"/>
      <c r="G12" s="100"/>
      <c r="H12" s="100"/>
      <c r="I12" s="100"/>
      <c r="J12" s="100"/>
      <c r="K12" s="100"/>
      <c r="L12" s="100"/>
      <c r="M12" s="100"/>
      <c r="N12" s="102"/>
      <c r="O12" s="102"/>
    </row>
    <row r="13" ht="15.0" customHeight="1">
      <c r="A13" s="88"/>
      <c r="B13" s="104"/>
      <c r="C13" s="104"/>
      <c r="D13" s="104"/>
      <c r="E13" s="104"/>
      <c r="F13" s="105"/>
      <c r="G13" s="105"/>
      <c r="H13" s="105"/>
      <c r="I13" s="105"/>
      <c r="J13" s="105"/>
      <c r="K13" s="105"/>
      <c r="L13" s="104"/>
      <c r="M13" s="104"/>
      <c r="N13" s="104"/>
      <c r="O13" s="104"/>
    </row>
    <row r="14" ht="15.0" customHeight="1">
      <c r="A14" s="106"/>
      <c r="B14" s="106"/>
      <c r="C14" s="106"/>
      <c r="D14" s="107" t="s">
        <v>37</v>
      </c>
      <c r="E14" s="108" t="s">
        <v>38</v>
      </c>
      <c r="F14" s="109" t="s">
        <v>39</v>
      </c>
      <c r="G14" s="110">
        <v>44613.0</v>
      </c>
      <c r="H14" s="110">
        <v>44614.0</v>
      </c>
      <c r="I14" s="110">
        <v>44615.0</v>
      </c>
      <c r="J14" s="110">
        <v>44616.0</v>
      </c>
      <c r="K14" s="110">
        <v>44617.0</v>
      </c>
      <c r="L14" s="111" t="s">
        <v>40</v>
      </c>
      <c r="M14" s="111" t="s">
        <v>41</v>
      </c>
      <c r="N14" s="88"/>
      <c r="O14" s="88"/>
    </row>
    <row r="15" ht="15.0" customHeight="1">
      <c r="A15" s="112"/>
      <c r="B15" s="112"/>
      <c r="C15" s="112"/>
      <c r="D15" s="129" t="s">
        <v>271</v>
      </c>
      <c r="E15" s="114" t="str">
        <f>VLOOKUP(D15,Data!H:I,2,0)</f>
        <v>Adıyaman</v>
      </c>
      <c r="F15" s="115" t="str">
        <f>VLOOKUP(D15,Data!H:J,3,0)</f>
        <v>Nazım Öztel</v>
      </c>
      <c r="G15" s="116" t="b">
        <v>1</v>
      </c>
      <c r="H15" s="116" t="b">
        <v>0</v>
      </c>
      <c r="I15" s="116" t="b">
        <v>0</v>
      </c>
      <c r="J15" s="116" t="b">
        <v>0</v>
      </c>
      <c r="K15" s="116" t="b">
        <v>1</v>
      </c>
      <c r="L15" s="117">
        <f t="shared" ref="L15:L82" si="1">COUNTIF(G15:K15,"TRUE")</f>
        <v>2</v>
      </c>
      <c r="M15" s="117">
        <f t="shared" ref="M15:M82" si="2">L15*4</f>
        <v>8</v>
      </c>
      <c r="N15" s="112"/>
      <c r="O15" s="88"/>
    </row>
    <row r="16" ht="15.0" customHeight="1">
      <c r="A16" s="112"/>
      <c r="B16" s="112"/>
      <c r="C16" s="112"/>
      <c r="D16" s="129" t="s">
        <v>279</v>
      </c>
      <c r="E16" s="114" t="str">
        <f>VLOOKUP(D16,Data!H:I,2,0)</f>
        <v>Amasya</v>
      </c>
      <c r="F16" s="115" t="str">
        <f>VLOOKUP(D16,Data!H:J,3,0)</f>
        <v>Nazım Öztel</v>
      </c>
      <c r="G16" s="116" t="b">
        <v>0</v>
      </c>
      <c r="H16" s="116" t="b">
        <v>0</v>
      </c>
      <c r="I16" s="116" t="b">
        <v>0</v>
      </c>
      <c r="J16" s="116" t="b">
        <v>1</v>
      </c>
      <c r="K16" s="116" t="b">
        <v>1</v>
      </c>
      <c r="L16" s="117">
        <f t="shared" si="1"/>
        <v>2</v>
      </c>
      <c r="M16" s="117">
        <f t="shared" si="2"/>
        <v>8</v>
      </c>
      <c r="N16" s="112"/>
      <c r="O16" s="88"/>
    </row>
    <row r="17" ht="15.0" customHeight="1">
      <c r="A17" s="112"/>
      <c r="B17" s="112"/>
      <c r="C17" s="112"/>
      <c r="D17" s="129" t="s">
        <v>246</v>
      </c>
      <c r="E17" s="114" t="str">
        <f>VLOOKUP(D17,Data!H:I,2,0)</f>
        <v>Ankara</v>
      </c>
      <c r="F17" s="115" t="str">
        <f>VLOOKUP(D17,Data!H:J,3,0)</f>
        <v>Nazım Öztel</v>
      </c>
      <c r="G17" s="116" t="b">
        <v>0</v>
      </c>
      <c r="H17" s="116" t="b">
        <v>0</v>
      </c>
      <c r="I17" s="116" t="b">
        <v>1</v>
      </c>
      <c r="J17" s="116" t="b">
        <v>0</v>
      </c>
      <c r="K17" s="116" t="b">
        <v>0</v>
      </c>
      <c r="L17" s="117">
        <f t="shared" si="1"/>
        <v>1</v>
      </c>
      <c r="M17" s="117">
        <f t="shared" si="2"/>
        <v>4</v>
      </c>
      <c r="N17" s="112"/>
      <c r="O17" s="88"/>
    </row>
    <row r="18" ht="15.0" customHeight="1">
      <c r="A18" s="112"/>
      <c r="B18" s="112"/>
      <c r="C18" s="112"/>
      <c r="D18" s="129" t="s">
        <v>261</v>
      </c>
      <c r="E18" s="114" t="str">
        <f>VLOOKUP(D18,Data!H:I,2,0)</f>
        <v>Ankara</v>
      </c>
      <c r="F18" s="115" t="str">
        <f>VLOOKUP(D18,Data!H:J,3,0)</f>
        <v>Nazım Öztel</v>
      </c>
      <c r="G18" s="116" t="b">
        <v>0</v>
      </c>
      <c r="H18" s="116" t="b">
        <v>0</v>
      </c>
      <c r="I18" s="116" t="b">
        <v>0</v>
      </c>
      <c r="J18" s="116" t="b">
        <v>0</v>
      </c>
      <c r="K18" s="116" t="b">
        <v>0</v>
      </c>
      <c r="L18" s="117">
        <f t="shared" si="1"/>
        <v>0</v>
      </c>
      <c r="M18" s="117">
        <f t="shared" si="2"/>
        <v>0</v>
      </c>
      <c r="N18" s="112"/>
      <c r="O18" s="88"/>
    </row>
    <row r="19" ht="15.0" customHeight="1">
      <c r="A19" s="106"/>
      <c r="B19" s="106"/>
      <c r="C19" s="106"/>
      <c r="D19" s="129" t="s">
        <v>164</v>
      </c>
      <c r="E19" s="114" t="str">
        <f>VLOOKUP(D19,Data!H:I,2,0)</f>
        <v>Antalya</v>
      </c>
      <c r="F19" s="115" t="str">
        <f>VLOOKUP(D19,Data!H:J,3,0)</f>
        <v>Nazım Öztel</v>
      </c>
      <c r="G19" s="116" t="b">
        <v>1</v>
      </c>
      <c r="H19" s="116" t="b">
        <v>1</v>
      </c>
      <c r="I19" s="116" t="b">
        <v>0</v>
      </c>
      <c r="J19" s="116" t="b">
        <v>1</v>
      </c>
      <c r="K19" s="116" t="b">
        <v>1</v>
      </c>
      <c r="L19" s="117">
        <f t="shared" si="1"/>
        <v>4</v>
      </c>
      <c r="M19" s="117">
        <f t="shared" si="2"/>
        <v>16</v>
      </c>
      <c r="N19" s="112"/>
      <c r="O19" s="106"/>
    </row>
    <row r="20" ht="15.0" customHeight="1">
      <c r="A20" s="106"/>
      <c r="B20" s="106"/>
      <c r="C20" s="106"/>
      <c r="D20" s="129" t="s">
        <v>272</v>
      </c>
      <c r="E20" s="114" t="s">
        <v>262</v>
      </c>
      <c r="F20" s="115" t="s">
        <v>61</v>
      </c>
      <c r="G20" s="116" t="b">
        <v>1</v>
      </c>
      <c r="H20" s="116" t="b">
        <v>0</v>
      </c>
      <c r="I20" s="116" t="b">
        <v>1</v>
      </c>
      <c r="J20" s="116" t="b">
        <v>1</v>
      </c>
      <c r="K20" s="116" t="b">
        <v>0</v>
      </c>
      <c r="L20" s="117">
        <f t="shared" si="1"/>
        <v>3</v>
      </c>
      <c r="M20" s="117">
        <f t="shared" si="2"/>
        <v>12</v>
      </c>
      <c r="N20" s="112"/>
      <c r="O20" s="106"/>
    </row>
    <row r="21" ht="15.0" customHeight="1">
      <c r="A21" s="112"/>
      <c r="B21" s="112"/>
      <c r="C21" s="112"/>
      <c r="D21" s="129" t="s">
        <v>241</v>
      </c>
      <c r="E21" s="114" t="s">
        <v>184</v>
      </c>
      <c r="F21" s="115" t="s">
        <v>61</v>
      </c>
      <c r="G21" s="116" t="b">
        <v>1</v>
      </c>
      <c r="H21" s="116" t="b">
        <v>1</v>
      </c>
      <c r="I21" s="116" t="b">
        <v>1</v>
      </c>
      <c r="J21" s="116" t="b">
        <v>1</v>
      </c>
      <c r="K21" s="116" t="b">
        <v>1</v>
      </c>
      <c r="L21" s="117">
        <f t="shared" si="1"/>
        <v>5</v>
      </c>
      <c r="M21" s="117">
        <f t="shared" si="2"/>
        <v>20</v>
      </c>
      <c r="N21" s="112"/>
      <c r="O21" s="112"/>
    </row>
    <row r="22" ht="15.0" customHeight="1">
      <c r="A22" s="112"/>
      <c r="B22" s="112"/>
      <c r="C22" s="112"/>
      <c r="D22" s="129" t="s">
        <v>263</v>
      </c>
      <c r="E22" s="114" t="str">
        <f>VLOOKUP(D22,Data!H:I,2,0)</f>
        <v>Bolu</v>
      </c>
      <c r="F22" s="115" t="str">
        <f>VLOOKUP(D22,Data!H:J,3,0)</f>
        <v>Nazım Öztel</v>
      </c>
      <c r="G22" s="116" t="b">
        <v>0</v>
      </c>
      <c r="H22" s="116" t="b">
        <v>0</v>
      </c>
      <c r="I22" s="116" t="b">
        <v>0</v>
      </c>
      <c r="J22" s="116" t="b">
        <v>0</v>
      </c>
      <c r="K22" s="116" t="b">
        <v>0</v>
      </c>
      <c r="L22" s="117">
        <f t="shared" si="1"/>
        <v>0</v>
      </c>
      <c r="M22" s="117">
        <f t="shared" si="2"/>
        <v>0</v>
      </c>
      <c r="N22" s="112"/>
      <c r="O22" s="112"/>
    </row>
    <row r="23" ht="15.0" customHeight="1">
      <c r="A23" s="112"/>
      <c r="B23" s="112"/>
      <c r="C23" s="112"/>
      <c r="D23" s="129" t="s">
        <v>53</v>
      </c>
      <c r="E23" s="114" t="str">
        <f>VLOOKUP(D23,Data!H:I,2,0)</f>
        <v>Bursa</v>
      </c>
      <c r="F23" s="115" t="str">
        <f>VLOOKUP(D23,Data!H:J,3,0)</f>
        <v>Freelance</v>
      </c>
      <c r="G23" s="116" t="b">
        <v>0</v>
      </c>
      <c r="H23" s="116" t="b">
        <v>0</v>
      </c>
      <c r="I23" s="116" t="b">
        <v>0</v>
      </c>
      <c r="J23" s="116" t="b">
        <v>0</v>
      </c>
      <c r="K23" s="116" t="b">
        <v>0</v>
      </c>
      <c r="L23" s="117">
        <f t="shared" si="1"/>
        <v>0</v>
      </c>
      <c r="M23" s="117">
        <f t="shared" si="2"/>
        <v>0</v>
      </c>
      <c r="N23" s="112"/>
      <c r="O23" s="112"/>
    </row>
    <row r="24" ht="15.0" customHeight="1">
      <c r="A24" s="112"/>
      <c r="B24" s="112"/>
      <c r="C24" s="112"/>
      <c r="D24" s="129" t="s">
        <v>247</v>
      </c>
      <c r="E24" s="114" t="str">
        <f>VLOOKUP(D24,Data!H:I,2,0)</f>
        <v>Çanakkale</v>
      </c>
      <c r="F24" s="115" t="str">
        <f>VLOOKUP(D24,Data!H:J,3,0)</f>
        <v>Nazım Öztel</v>
      </c>
      <c r="G24" s="116" t="b">
        <v>0</v>
      </c>
      <c r="H24" s="116" t="b">
        <v>0</v>
      </c>
      <c r="I24" s="116" t="b">
        <v>0</v>
      </c>
      <c r="J24" s="116" t="b">
        <v>0</v>
      </c>
      <c r="K24" s="116" t="b">
        <v>0</v>
      </c>
      <c r="L24" s="117">
        <f t="shared" si="1"/>
        <v>0</v>
      </c>
      <c r="M24" s="117">
        <f t="shared" si="2"/>
        <v>0</v>
      </c>
      <c r="N24" s="112"/>
      <c r="O24" s="112"/>
    </row>
    <row r="25" ht="15.0" customHeight="1">
      <c r="A25" s="112"/>
      <c r="B25" s="112"/>
      <c r="C25" s="112"/>
      <c r="D25" s="129" t="s">
        <v>221</v>
      </c>
      <c r="E25" s="114" t="str">
        <f>VLOOKUP(D25,Data!H:I,2,0)</f>
        <v>Çorum</v>
      </c>
      <c r="F25" s="115" t="str">
        <f>VLOOKUP(D25,Data!H:J,3,0)</f>
        <v>Nazım Öztel</v>
      </c>
      <c r="G25" s="116" t="b">
        <v>0</v>
      </c>
      <c r="H25" s="116" t="b">
        <v>0</v>
      </c>
      <c r="I25" s="116" t="b">
        <v>0</v>
      </c>
      <c r="J25" s="116" t="b">
        <v>0</v>
      </c>
      <c r="K25" s="116" t="b">
        <v>0</v>
      </c>
      <c r="L25" s="117">
        <f t="shared" si="1"/>
        <v>0</v>
      </c>
      <c r="M25" s="117">
        <f t="shared" si="2"/>
        <v>0</v>
      </c>
      <c r="N25" s="112"/>
      <c r="O25" s="112"/>
    </row>
    <row r="26" ht="15.0" customHeight="1">
      <c r="A26" s="112"/>
      <c r="B26" s="112"/>
      <c r="C26" s="112"/>
      <c r="D26" s="129" t="s">
        <v>264</v>
      </c>
      <c r="E26" s="114" t="str">
        <f>VLOOKUP(D26,Data!H:I,2,0)</f>
        <v>Denizli</v>
      </c>
      <c r="F26" s="115" t="str">
        <f>VLOOKUP(D26,Data!H:J,3,0)</f>
        <v>Nazım Öztel</v>
      </c>
      <c r="G26" s="116" t="b">
        <v>1</v>
      </c>
      <c r="H26" s="116" t="b">
        <v>1</v>
      </c>
      <c r="I26" s="116" t="b">
        <v>1</v>
      </c>
      <c r="J26" s="116" t="b">
        <v>1</v>
      </c>
      <c r="K26" s="116" t="b">
        <v>1</v>
      </c>
      <c r="L26" s="117">
        <f t="shared" si="1"/>
        <v>5</v>
      </c>
      <c r="M26" s="117">
        <f t="shared" si="2"/>
        <v>20</v>
      </c>
      <c r="N26" s="112"/>
      <c r="O26" s="112"/>
    </row>
    <row r="27" ht="15.0" customHeight="1">
      <c r="A27" s="112"/>
      <c r="B27" s="112"/>
      <c r="C27" s="112"/>
      <c r="D27" s="132" t="s">
        <v>54</v>
      </c>
      <c r="E27" s="114" t="str">
        <f>VLOOKUP(D27,Data!H:I,2,0)</f>
        <v>Diyarbakır</v>
      </c>
      <c r="F27" s="115" t="str">
        <f>VLOOKUP(D27,Data!H:J,3,0)</f>
        <v>Nazım Öztel</v>
      </c>
      <c r="G27" s="116" t="b">
        <v>0</v>
      </c>
      <c r="H27" s="116" t="b">
        <v>0</v>
      </c>
      <c r="I27" s="116" t="b">
        <v>0</v>
      </c>
      <c r="J27" s="116" t="b">
        <v>0</v>
      </c>
      <c r="K27" s="116" t="b">
        <v>0</v>
      </c>
      <c r="L27" s="117">
        <f t="shared" si="1"/>
        <v>0</v>
      </c>
      <c r="M27" s="117">
        <f t="shared" si="2"/>
        <v>0</v>
      </c>
      <c r="N27" s="112"/>
      <c r="O27" s="112"/>
    </row>
    <row r="28" ht="15.0" customHeight="1">
      <c r="A28" s="112"/>
      <c r="B28" s="112"/>
      <c r="C28" s="112"/>
      <c r="D28" s="129" t="s">
        <v>173</v>
      </c>
      <c r="E28" s="114" t="str">
        <f>VLOOKUP(D28,Data!H:I,2,0)</f>
        <v>Düzce</v>
      </c>
      <c r="F28" s="115" t="str">
        <f>VLOOKUP(D28,Data!H:J,3,0)</f>
        <v>Nazım Öztel</v>
      </c>
      <c r="G28" s="116" t="b">
        <v>0</v>
      </c>
      <c r="H28" s="116" t="b">
        <v>0</v>
      </c>
      <c r="I28" s="116" t="b">
        <v>0</v>
      </c>
      <c r="J28" s="116" t="b">
        <v>0</v>
      </c>
      <c r="K28" s="116" t="b">
        <v>0</v>
      </c>
      <c r="L28" s="117">
        <f t="shared" si="1"/>
        <v>0</v>
      </c>
      <c r="M28" s="117">
        <f t="shared" si="2"/>
        <v>0</v>
      </c>
      <c r="N28" s="112"/>
      <c r="O28" s="112"/>
    </row>
    <row r="29" ht="15.0" customHeight="1">
      <c r="A29" s="112"/>
      <c r="B29" s="112"/>
      <c r="C29" s="112"/>
      <c r="D29" s="129" t="s">
        <v>153</v>
      </c>
      <c r="E29" s="114" t="str">
        <f>VLOOKUP(D29,Data!H:I,2,0)</f>
        <v>Edirne</v>
      </c>
      <c r="F29" s="115" t="str">
        <f>VLOOKUP(D29,Data!H:J,3,0)</f>
        <v>Nazım Öztel</v>
      </c>
      <c r="G29" s="116" t="b">
        <v>0</v>
      </c>
      <c r="H29" s="116" t="b">
        <v>0</v>
      </c>
      <c r="I29" s="116" t="b">
        <v>0</v>
      </c>
      <c r="J29" s="116" t="b">
        <v>0</v>
      </c>
      <c r="K29" s="116" t="b">
        <v>0</v>
      </c>
      <c r="L29" s="117">
        <f t="shared" si="1"/>
        <v>0</v>
      </c>
      <c r="M29" s="117">
        <f t="shared" si="2"/>
        <v>0</v>
      </c>
      <c r="N29" s="112"/>
      <c r="O29" s="112"/>
    </row>
    <row r="30" ht="15.0" customHeight="1">
      <c r="A30" s="112"/>
      <c r="B30" s="112"/>
      <c r="C30" s="112"/>
      <c r="D30" s="129" t="s">
        <v>199</v>
      </c>
      <c r="E30" s="114" t="str">
        <f>VLOOKUP(D30,Data!H:I,2,0)</f>
        <v>Elazığ</v>
      </c>
      <c r="F30" s="115" t="str">
        <f>VLOOKUP(D30,Data!H:J,3,0)</f>
        <v>Nazım Öztel</v>
      </c>
      <c r="G30" s="116" t="b">
        <v>0</v>
      </c>
      <c r="H30" s="116" t="b">
        <v>0</v>
      </c>
      <c r="I30" s="116" t="b">
        <v>0</v>
      </c>
      <c r="J30" s="116" t="b">
        <v>0</v>
      </c>
      <c r="K30" s="116" t="b">
        <v>0</v>
      </c>
      <c r="L30" s="117">
        <f t="shared" si="1"/>
        <v>0</v>
      </c>
      <c r="M30" s="117">
        <f t="shared" si="2"/>
        <v>0</v>
      </c>
      <c r="N30" s="112"/>
      <c r="O30" s="112"/>
    </row>
    <row r="31" ht="15.0" customHeight="1">
      <c r="A31" s="112"/>
      <c r="B31" s="112"/>
      <c r="C31" s="112"/>
      <c r="D31" s="132" t="s">
        <v>55</v>
      </c>
      <c r="E31" s="114" t="str">
        <f>VLOOKUP(D31,Data!H:I,2,0)</f>
        <v>Erzurum</v>
      </c>
      <c r="F31" s="115" t="str">
        <f>VLOOKUP(D31,Data!H:J,3,0)</f>
        <v>Nazım Öztel</v>
      </c>
      <c r="G31" s="116" t="b">
        <v>0</v>
      </c>
      <c r="H31" s="116" t="b">
        <v>0</v>
      </c>
      <c r="I31" s="116" t="b">
        <v>0</v>
      </c>
      <c r="J31" s="116" t="b">
        <v>0</v>
      </c>
      <c r="K31" s="116" t="b">
        <v>0</v>
      </c>
      <c r="L31" s="117">
        <f t="shared" si="1"/>
        <v>0</v>
      </c>
      <c r="M31" s="117">
        <f t="shared" si="2"/>
        <v>0</v>
      </c>
      <c r="N31" s="112"/>
      <c r="O31" s="112"/>
    </row>
    <row r="32" ht="15.0" customHeight="1">
      <c r="A32" s="112"/>
      <c r="B32" s="112"/>
      <c r="C32" s="112"/>
      <c r="D32" s="129" t="s">
        <v>165</v>
      </c>
      <c r="E32" s="114" t="str">
        <f>VLOOKUP(D32,Data!H:I,2,0)</f>
        <v>Eskişehir</v>
      </c>
      <c r="F32" s="115" t="str">
        <f>VLOOKUP(D32,Data!H:J,3,0)</f>
        <v>Nazım Öztel</v>
      </c>
      <c r="G32" s="116" t="b">
        <v>1</v>
      </c>
      <c r="H32" s="116" t="b">
        <v>1</v>
      </c>
      <c r="I32" s="116" t="b">
        <v>1</v>
      </c>
      <c r="J32" s="116" t="b">
        <v>0</v>
      </c>
      <c r="K32" s="116" t="b">
        <v>0</v>
      </c>
      <c r="L32" s="117">
        <f t="shared" si="1"/>
        <v>3</v>
      </c>
      <c r="M32" s="117">
        <f t="shared" si="2"/>
        <v>12</v>
      </c>
      <c r="N32" s="112"/>
      <c r="O32" s="112"/>
    </row>
    <row r="33" ht="15.0" customHeight="1">
      <c r="A33" s="112"/>
      <c r="B33" s="112"/>
      <c r="C33" s="112"/>
      <c r="D33" s="129" t="s">
        <v>273</v>
      </c>
      <c r="E33" s="114" t="str">
        <f>VLOOKUP(D33,Data!H:I,2,0)</f>
        <v>Gaziantep</v>
      </c>
      <c r="F33" s="115" t="str">
        <f>VLOOKUP(D33,Data!H:J,3,0)</f>
        <v>Nazım Öztel</v>
      </c>
      <c r="G33" s="116" t="b">
        <v>1</v>
      </c>
      <c r="H33" s="116" t="b">
        <v>1</v>
      </c>
      <c r="I33" s="116" t="b">
        <v>1</v>
      </c>
      <c r="J33" s="116" t="b">
        <v>1</v>
      </c>
      <c r="K33" s="116" t="b">
        <v>1</v>
      </c>
      <c r="L33" s="117">
        <f t="shared" si="1"/>
        <v>5</v>
      </c>
      <c r="M33" s="117">
        <f t="shared" si="2"/>
        <v>20</v>
      </c>
      <c r="N33" s="112"/>
      <c r="O33" s="112"/>
    </row>
    <row r="34" ht="15.0" customHeight="1">
      <c r="A34" s="112"/>
      <c r="B34" s="112"/>
      <c r="C34" s="112"/>
      <c r="D34" s="129" t="s">
        <v>248</v>
      </c>
      <c r="E34" s="114" t="str">
        <f>VLOOKUP(D34,Data!H:I,2,0)</f>
        <v>Hatay</v>
      </c>
      <c r="F34" s="115" t="str">
        <f>VLOOKUP(D34,Data!H:J,3,0)</f>
        <v>Nazım Öztel</v>
      </c>
      <c r="G34" s="116" t="b">
        <v>1</v>
      </c>
      <c r="H34" s="116" t="b">
        <v>1</v>
      </c>
      <c r="I34" s="116" t="b">
        <v>1</v>
      </c>
      <c r="J34" s="116" t="b">
        <v>1</v>
      </c>
      <c r="K34" s="116" t="b">
        <v>1</v>
      </c>
      <c r="L34" s="117">
        <f t="shared" si="1"/>
        <v>5</v>
      </c>
      <c r="M34" s="117">
        <f t="shared" si="2"/>
        <v>20</v>
      </c>
      <c r="N34" s="112"/>
      <c r="O34" s="112"/>
    </row>
    <row r="35" ht="15.0" customHeight="1">
      <c r="A35" s="112"/>
      <c r="B35" s="112"/>
      <c r="C35" s="112"/>
      <c r="D35" s="129" t="s">
        <v>58</v>
      </c>
      <c r="E35" s="114" t="str">
        <f>VLOOKUP(D35,Data!H:I,2,0)</f>
        <v>İstanbul</v>
      </c>
      <c r="F35" s="115" t="str">
        <f>VLOOKUP(D35,Data!H:J,3,0)</f>
        <v>Freelance</v>
      </c>
      <c r="G35" s="116" t="b">
        <v>1</v>
      </c>
      <c r="H35" s="116" t="b">
        <v>1</v>
      </c>
      <c r="I35" s="116" t="b">
        <v>1</v>
      </c>
      <c r="J35" s="116" t="b">
        <v>1</v>
      </c>
      <c r="K35" s="116" t="b">
        <v>1</v>
      </c>
      <c r="L35" s="117">
        <f t="shared" si="1"/>
        <v>5</v>
      </c>
      <c r="M35" s="117">
        <f t="shared" si="2"/>
        <v>20</v>
      </c>
      <c r="N35" s="88"/>
      <c r="O35" s="112"/>
    </row>
    <row r="36" ht="15.0" customHeight="1">
      <c r="A36" s="121"/>
      <c r="B36" s="121"/>
      <c r="C36" s="121"/>
      <c r="D36" s="129" t="s">
        <v>236</v>
      </c>
      <c r="E36" s="114" t="str">
        <f>VLOOKUP(D36,Data!H:I,2,0)</f>
        <v>İstanbul</v>
      </c>
      <c r="F36" s="115" t="str">
        <f>VLOOKUP(D36,Data!H:J,3,0)</f>
        <v>Filamingo</v>
      </c>
      <c r="G36" s="116" t="b">
        <v>0</v>
      </c>
      <c r="H36" s="116" t="b">
        <v>0</v>
      </c>
      <c r="I36" s="116" t="b">
        <v>0</v>
      </c>
      <c r="J36" s="116" t="b">
        <v>0</v>
      </c>
      <c r="K36" s="116" t="b">
        <v>0</v>
      </c>
      <c r="L36" s="117">
        <f t="shared" si="1"/>
        <v>0</v>
      </c>
      <c r="M36" s="117">
        <f t="shared" si="2"/>
        <v>0</v>
      </c>
      <c r="N36" s="121"/>
      <c r="O36" s="121"/>
    </row>
    <row r="37" ht="15.0" customHeight="1">
      <c r="A37" s="112"/>
      <c r="B37" s="112"/>
      <c r="C37" s="112"/>
      <c r="D37" s="129" t="s">
        <v>135</v>
      </c>
      <c r="E37" s="114" t="str">
        <f>VLOOKUP(D37,Data!H:I,2,0)</f>
        <v>İstanbul</v>
      </c>
      <c r="F37" s="115" t="str">
        <f>VLOOKUP(D37,Data!H:J,3,0)</f>
        <v>Freelance</v>
      </c>
      <c r="G37" s="116" t="b">
        <v>0</v>
      </c>
      <c r="H37" s="116" t="b">
        <v>0</v>
      </c>
      <c r="I37" s="116" t="b">
        <v>0</v>
      </c>
      <c r="J37" s="116" t="b">
        <v>0</v>
      </c>
      <c r="K37" s="116" t="b">
        <v>0</v>
      </c>
      <c r="L37" s="117">
        <f t="shared" si="1"/>
        <v>0</v>
      </c>
      <c r="M37" s="117">
        <f t="shared" si="2"/>
        <v>0</v>
      </c>
      <c r="N37" s="112"/>
      <c r="O37" s="112"/>
    </row>
    <row r="38" ht="15.0" customHeight="1">
      <c r="A38" s="112"/>
      <c r="B38" s="112"/>
      <c r="C38" s="112"/>
      <c r="D38" s="129" t="s">
        <v>70</v>
      </c>
      <c r="E38" s="114" t="str">
        <f>VLOOKUP(D38,Data!H:I,2,0)</f>
        <v>İstanbul</v>
      </c>
      <c r="F38" s="115" t="str">
        <f>VLOOKUP(D38,Data!H:J,3,0)</f>
        <v>Freelance</v>
      </c>
      <c r="G38" s="116" t="b">
        <v>0</v>
      </c>
      <c r="H38" s="116" t="b">
        <v>1</v>
      </c>
      <c r="I38" s="116" t="b">
        <v>0</v>
      </c>
      <c r="J38" s="116" t="b">
        <v>0</v>
      </c>
      <c r="K38" s="116" t="b">
        <v>0</v>
      </c>
      <c r="L38" s="117">
        <f t="shared" si="1"/>
        <v>1</v>
      </c>
      <c r="M38" s="117">
        <f t="shared" si="2"/>
        <v>4</v>
      </c>
      <c r="N38" s="112"/>
      <c r="O38" s="112"/>
    </row>
    <row r="39" ht="15.0" customHeight="1">
      <c r="A39" s="112"/>
      <c r="B39" s="112"/>
      <c r="C39" s="112"/>
      <c r="D39" s="129" t="s">
        <v>78</v>
      </c>
      <c r="E39" s="114" t="str">
        <f>VLOOKUP(D39,Data!H:I,2,0)</f>
        <v>İstanbul</v>
      </c>
      <c r="F39" s="115" t="str">
        <f>VLOOKUP(D39,Data!H:J,3,0)</f>
        <v>Freelance</v>
      </c>
      <c r="G39" s="116" t="b">
        <v>1</v>
      </c>
      <c r="H39" s="116" t="b">
        <v>1</v>
      </c>
      <c r="I39" s="116" t="b">
        <v>1</v>
      </c>
      <c r="J39" s="116" t="b">
        <v>1</v>
      </c>
      <c r="K39" s="116" t="b">
        <v>1</v>
      </c>
      <c r="L39" s="117">
        <f t="shared" si="1"/>
        <v>5</v>
      </c>
      <c r="M39" s="117">
        <f t="shared" si="2"/>
        <v>20</v>
      </c>
      <c r="N39" s="120"/>
      <c r="O39" s="112"/>
    </row>
    <row r="40" ht="15.0" customHeight="1">
      <c r="A40" s="112"/>
      <c r="B40" s="112"/>
      <c r="C40" s="112"/>
      <c r="D40" s="129" t="s">
        <v>79</v>
      </c>
      <c r="E40" s="114" t="str">
        <f>VLOOKUP(D40,Data!H:I,2,0)</f>
        <v>İstanbul</v>
      </c>
      <c r="F40" s="115" t="str">
        <f>VLOOKUP(D40,Data!H:J,3,0)</f>
        <v>Freelance</v>
      </c>
      <c r="G40" s="116" t="b">
        <v>0</v>
      </c>
      <c r="H40" s="116" t="b">
        <v>0</v>
      </c>
      <c r="I40" s="116" t="b">
        <v>0</v>
      </c>
      <c r="J40" s="116" t="b">
        <v>0</v>
      </c>
      <c r="K40" s="116" t="b">
        <v>0</v>
      </c>
      <c r="L40" s="117">
        <f t="shared" si="1"/>
        <v>0</v>
      </c>
      <c r="M40" s="117">
        <f t="shared" si="2"/>
        <v>0</v>
      </c>
      <c r="N40" s="120"/>
      <c r="O40" s="112"/>
    </row>
    <row r="41" ht="15.0" customHeight="1">
      <c r="A41" s="122"/>
      <c r="B41" s="122"/>
      <c r="C41" s="122"/>
      <c r="D41" s="129" t="s">
        <v>80</v>
      </c>
      <c r="E41" s="114" t="str">
        <f>VLOOKUP(D41,Data!H:I,2,0)</f>
        <v>İstanbul</v>
      </c>
      <c r="F41" s="115" t="str">
        <f>VLOOKUP(D41,Data!H:J,3,0)</f>
        <v>Freelance</v>
      </c>
      <c r="G41" s="116" t="b">
        <v>1</v>
      </c>
      <c r="H41" s="116" t="b">
        <v>1</v>
      </c>
      <c r="I41" s="116" t="b">
        <v>1</v>
      </c>
      <c r="J41" s="116" t="b">
        <v>1</v>
      </c>
      <c r="K41" s="116" t="b">
        <v>1</v>
      </c>
      <c r="L41" s="117">
        <f t="shared" si="1"/>
        <v>5</v>
      </c>
      <c r="M41" s="117">
        <f t="shared" si="2"/>
        <v>20</v>
      </c>
      <c r="N41" s="112"/>
      <c r="O41" s="122"/>
    </row>
    <row r="42" ht="15.0" customHeight="1">
      <c r="A42" s="112"/>
      <c r="B42" s="112"/>
      <c r="C42" s="112"/>
      <c r="D42" s="132" t="s">
        <v>119</v>
      </c>
      <c r="E42" s="114" t="str">
        <f>VLOOKUP(D42,Data!H:I,2,0)</f>
        <v>İstanbul</v>
      </c>
      <c r="F42" s="115" t="str">
        <f>VLOOKUP(D42,Data!H:J,3,0)</f>
        <v>Filamingo</v>
      </c>
      <c r="G42" s="116" t="b">
        <v>0</v>
      </c>
      <c r="H42" s="116" t="b">
        <v>0</v>
      </c>
      <c r="I42" s="116" t="b">
        <v>0</v>
      </c>
      <c r="J42" s="116" t="b">
        <v>1</v>
      </c>
      <c r="K42" s="116" t="b">
        <v>0</v>
      </c>
      <c r="L42" s="117">
        <f t="shared" si="1"/>
        <v>1</v>
      </c>
      <c r="M42" s="117">
        <f t="shared" si="2"/>
        <v>4</v>
      </c>
      <c r="N42" s="124"/>
      <c r="O42" s="112"/>
    </row>
    <row r="43" ht="15.0" customHeight="1">
      <c r="A43" s="112"/>
      <c r="B43" s="112"/>
      <c r="C43" s="112"/>
      <c r="D43" s="129" t="s">
        <v>96</v>
      </c>
      <c r="E43" s="114" t="s">
        <v>237</v>
      </c>
      <c r="F43" s="115" t="s">
        <v>61</v>
      </c>
      <c r="G43" s="116" t="b">
        <v>0</v>
      </c>
      <c r="H43" s="116" t="b">
        <v>0</v>
      </c>
      <c r="I43" s="116" t="b">
        <v>0</v>
      </c>
      <c r="J43" s="116" t="b">
        <v>0</v>
      </c>
      <c r="K43" s="116" t="b">
        <v>0</v>
      </c>
      <c r="L43" s="117">
        <f t="shared" si="1"/>
        <v>0</v>
      </c>
      <c r="M43" s="117">
        <f t="shared" si="2"/>
        <v>0</v>
      </c>
      <c r="N43" s="124"/>
      <c r="O43" s="112"/>
    </row>
    <row r="44" ht="15.0" customHeight="1">
      <c r="A44" s="112"/>
      <c r="B44" s="112"/>
      <c r="C44" s="112"/>
      <c r="D44" s="129" t="s">
        <v>217</v>
      </c>
      <c r="E44" s="114" t="str">
        <f>VLOOKUP(D44,Data!H:I,2,0)</f>
        <v>İstanbul</v>
      </c>
      <c r="F44" s="115" t="str">
        <f>VLOOKUP(D44,Data!H:J,3,0)</f>
        <v>Freelance</v>
      </c>
      <c r="G44" s="116" t="b">
        <v>0</v>
      </c>
      <c r="H44" s="116" t="b">
        <v>1</v>
      </c>
      <c r="I44" s="116" t="b">
        <v>1</v>
      </c>
      <c r="J44" s="116" t="b">
        <v>0</v>
      </c>
      <c r="K44" s="116" t="b">
        <v>0</v>
      </c>
      <c r="L44" s="117">
        <f t="shared" si="1"/>
        <v>2</v>
      </c>
      <c r="M44" s="117">
        <f t="shared" si="2"/>
        <v>8</v>
      </c>
      <c r="N44" s="112"/>
      <c r="O44" s="112"/>
    </row>
    <row r="45" ht="15.0" customHeight="1">
      <c r="A45" s="112"/>
      <c r="B45" s="112"/>
      <c r="C45" s="112"/>
      <c r="D45" s="129" t="s">
        <v>81</v>
      </c>
      <c r="E45" s="114" t="str">
        <f>VLOOKUP(D45,Data!H:I,2,0)</f>
        <v>İstanbul</v>
      </c>
      <c r="F45" s="115" t="str">
        <f>VLOOKUP(D45,Data!H:J,3,0)</f>
        <v>Freelance</v>
      </c>
      <c r="G45" s="116" t="b">
        <v>0</v>
      </c>
      <c r="H45" s="116" t="b">
        <v>0</v>
      </c>
      <c r="I45" s="116" t="b">
        <v>0</v>
      </c>
      <c r="J45" s="116" t="b">
        <v>0</v>
      </c>
      <c r="K45" s="116" t="b">
        <v>0</v>
      </c>
      <c r="L45" s="117">
        <f t="shared" si="1"/>
        <v>0</v>
      </c>
      <c r="M45" s="117">
        <f t="shared" si="2"/>
        <v>0</v>
      </c>
      <c r="N45" s="112"/>
      <c r="O45" s="112"/>
    </row>
    <row r="46" ht="15.0" customHeight="1">
      <c r="A46" s="112"/>
      <c r="B46" s="112"/>
      <c r="C46" s="112"/>
      <c r="D46" s="129" t="s">
        <v>201</v>
      </c>
      <c r="E46" s="114" t="str">
        <f>VLOOKUP(D46,Data!H:I,2,0)</f>
        <v>İstanbul</v>
      </c>
      <c r="F46" s="114" t="str">
        <f>VLOOKUP(D46,Data!H:J,3,0)</f>
        <v>Freelance</v>
      </c>
      <c r="G46" s="116" t="b">
        <v>1</v>
      </c>
      <c r="H46" s="116" t="b">
        <v>0</v>
      </c>
      <c r="I46" s="116" t="b">
        <v>0</v>
      </c>
      <c r="J46" s="116" t="b">
        <v>1</v>
      </c>
      <c r="K46" s="116" t="b">
        <v>1</v>
      </c>
      <c r="L46" s="117">
        <f t="shared" si="1"/>
        <v>3</v>
      </c>
      <c r="M46" s="117">
        <f t="shared" si="2"/>
        <v>12</v>
      </c>
      <c r="N46" s="112"/>
      <c r="O46" s="112"/>
    </row>
    <row r="47" ht="15.0" customHeight="1">
      <c r="A47" s="112"/>
      <c r="B47" s="112"/>
      <c r="C47" s="112"/>
      <c r="D47" s="132" t="s">
        <v>83</v>
      </c>
      <c r="E47" s="114" t="str">
        <f>VLOOKUP(D47,Data!H:I,2,0)</f>
        <v>İstanbul</v>
      </c>
      <c r="F47" s="115" t="str">
        <f>VLOOKUP(D47,Data!H:J,3,0)</f>
        <v>Nazım Öztel</v>
      </c>
      <c r="G47" s="116" t="b">
        <v>1</v>
      </c>
      <c r="H47" s="116" t="b">
        <v>0</v>
      </c>
      <c r="I47" s="116" t="b">
        <v>0</v>
      </c>
      <c r="J47" s="116" t="b">
        <v>0</v>
      </c>
      <c r="K47" s="116" t="b">
        <v>0</v>
      </c>
      <c r="L47" s="117">
        <f t="shared" si="1"/>
        <v>1</v>
      </c>
      <c r="M47" s="117">
        <f t="shared" si="2"/>
        <v>4</v>
      </c>
      <c r="N47" s="112"/>
      <c r="O47" s="112"/>
    </row>
    <row r="48" ht="15.0" customHeight="1">
      <c r="A48" s="112"/>
      <c r="B48" s="112"/>
      <c r="C48" s="112"/>
      <c r="D48" s="129" t="s">
        <v>224</v>
      </c>
      <c r="E48" s="145" t="str">
        <f>VLOOKUP(D48,Data!H:I,2,0)</f>
        <v>İstanbul</v>
      </c>
      <c r="F48" s="147" t="str">
        <f>VLOOKUP(D48,Data!H:J,3,0)</f>
        <v>Filamingo</v>
      </c>
      <c r="G48" s="116" t="b">
        <v>1</v>
      </c>
      <c r="H48" s="116" t="b">
        <v>1</v>
      </c>
      <c r="I48" s="116" t="b">
        <v>1</v>
      </c>
      <c r="J48" s="116" t="b">
        <v>1</v>
      </c>
      <c r="K48" s="116" t="b">
        <v>0</v>
      </c>
      <c r="L48" s="146">
        <f t="shared" si="1"/>
        <v>4</v>
      </c>
      <c r="M48" s="146">
        <f t="shared" si="2"/>
        <v>16</v>
      </c>
      <c r="N48" s="125"/>
      <c r="O48" s="112"/>
    </row>
    <row r="49" ht="15.0" customHeight="1">
      <c r="A49" s="125"/>
      <c r="B49" s="125"/>
      <c r="C49" s="125"/>
      <c r="D49" s="129" t="s">
        <v>225</v>
      </c>
      <c r="E49" s="114" t="str">
        <f>VLOOKUP(D49,Data!H:I,2,0)</f>
        <v>İstanbul</v>
      </c>
      <c r="F49" s="115" t="str">
        <f>VLOOKUP(D49,Data!H:J,3,0)</f>
        <v>Filamingo</v>
      </c>
      <c r="G49" s="116" t="b">
        <v>0</v>
      </c>
      <c r="H49" s="116" t="b">
        <v>0</v>
      </c>
      <c r="I49" s="116" t="b">
        <v>0</v>
      </c>
      <c r="J49" s="116" t="b">
        <v>0</v>
      </c>
      <c r="K49" s="116" t="b">
        <v>0</v>
      </c>
      <c r="L49" s="117">
        <f t="shared" si="1"/>
        <v>0</v>
      </c>
      <c r="M49" s="117">
        <f t="shared" si="2"/>
        <v>0</v>
      </c>
      <c r="N49" s="112"/>
      <c r="O49" s="125"/>
    </row>
    <row r="50" ht="15.0" customHeight="1">
      <c r="A50" s="125"/>
      <c r="B50" s="125"/>
      <c r="C50" s="125"/>
      <c r="D50" s="129" t="s">
        <v>145</v>
      </c>
      <c r="E50" s="114" t="str">
        <f>VLOOKUP(D50,Data!H:I,2,0)</f>
        <v>İstanbul</v>
      </c>
      <c r="F50" s="115" t="str">
        <f>VLOOKUP(D50,Data!H:J,3,0)</f>
        <v>Filamingo</v>
      </c>
      <c r="G50" s="116" t="b">
        <v>0</v>
      </c>
      <c r="H50" s="116" t="b">
        <v>1</v>
      </c>
      <c r="I50" s="116" t="b">
        <v>1</v>
      </c>
      <c r="J50" s="116" t="b">
        <v>1</v>
      </c>
      <c r="K50" s="116" t="b">
        <v>0</v>
      </c>
      <c r="L50" s="117">
        <f t="shared" si="1"/>
        <v>3</v>
      </c>
      <c r="M50" s="117">
        <f t="shared" si="2"/>
        <v>12</v>
      </c>
      <c r="N50" s="112"/>
      <c r="O50" s="125"/>
    </row>
    <row r="51" ht="15.0" customHeight="1">
      <c r="A51" s="125"/>
      <c r="B51" s="125"/>
      <c r="C51" s="125"/>
      <c r="D51" s="129" t="s">
        <v>274</v>
      </c>
      <c r="E51" s="114" t="str">
        <f>VLOOKUP(D51,Data!H:I,2,0)</f>
        <v>İstanbul</v>
      </c>
      <c r="F51" s="115" t="str">
        <f>VLOOKUP(D51,Data!H:J,3,0)</f>
        <v>Filamingo</v>
      </c>
      <c r="G51" s="116" t="b">
        <v>1</v>
      </c>
      <c r="H51" s="116" t="b">
        <v>1</v>
      </c>
      <c r="I51" s="116" t="b">
        <v>0</v>
      </c>
      <c r="J51" s="116" t="b">
        <v>0</v>
      </c>
      <c r="K51" s="116" t="b">
        <v>0</v>
      </c>
      <c r="L51" s="117">
        <f t="shared" si="1"/>
        <v>2</v>
      </c>
      <c r="M51" s="117">
        <f t="shared" si="2"/>
        <v>8</v>
      </c>
      <c r="N51" s="112"/>
      <c r="O51" s="125"/>
    </row>
    <row r="52" ht="15.0" customHeight="1">
      <c r="A52" s="125"/>
      <c r="B52" s="125"/>
      <c r="C52" s="125"/>
      <c r="D52" s="129" t="s">
        <v>87</v>
      </c>
      <c r="E52" s="114" t="str">
        <f>VLOOKUP(D52,Data!H:I,2,0)</f>
        <v>İstanbul</v>
      </c>
      <c r="F52" s="115" t="str">
        <f>VLOOKUP(D52,Data!H:J,3,0)</f>
        <v>Freelance</v>
      </c>
      <c r="G52" s="116" t="b">
        <v>0</v>
      </c>
      <c r="H52" s="116" t="b">
        <v>0</v>
      </c>
      <c r="I52" s="116" t="b">
        <v>0</v>
      </c>
      <c r="J52" s="116" t="b">
        <v>1</v>
      </c>
      <c r="K52" s="116" t="b">
        <v>0</v>
      </c>
      <c r="L52" s="117">
        <f t="shared" si="1"/>
        <v>1</v>
      </c>
      <c r="M52" s="117">
        <f t="shared" si="2"/>
        <v>4</v>
      </c>
      <c r="N52" s="112"/>
      <c r="O52" s="125"/>
    </row>
    <row r="53" ht="15.0" customHeight="1">
      <c r="A53" s="125"/>
      <c r="B53" s="125"/>
      <c r="C53" s="125"/>
      <c r="D53" s="129" t="s">
        <v>226</v>
      </c>
      <c r="E53" s="114" t="str">
        <f>VLOOKUP(D53,Data!H:I,2,0)</f>
        <v>İstanbul</v>
      </c>
      <c r="F53" s="115" t="str">
        <f>VLOOKUP(D53,Data!H:J,3,0)</f>
        <v>Filamingo</v>
      </c>
      <c r="G53" s="116" t="b">
        <v>1</v>
      </c>
      <c r="H53" s="116" t="b">
        <v>0</v>
      </c>
      <c r="I53" s="116" t="b">
        <v>1</v>
      </c>
      <c r="J53" s="116" t="b">
        <v>0</v>
      </c>
      <c r="K53" s="116" t="b">
        <v>0</v>
      </c>
      <c r="L53" s="117">
        <f t="shared" si="1"/>
        <v>2</v>
      </c>
      <c r="M53" s="117">
        <f t="shared" si="2"/>
        <v>8</v>
      </c>
      <c r="N53" s="112"/>
      <c r="O53" s="125"/>
    </row>
    <row r="54" ht="15.0" customHeight="1">
      <c r="A54" s="112"/>
      <c r="B54" s="112"/>
      <c r="C54" s="112"/>
      <c r="D54" s="129" t="s">
        <v>249</v>
      </c>
      <c r="E54" s="114" t="str">
        <f>VLOOKUP(D54,Data!H:I,2,0)</f>
        <v>İstanbul</v>
      </c>
      <c r="F54" s="115" t="str">
        <f>VLOOKUP(D54,Data!H:J,3,0)</f>
        <v>Nazım Öztel</v>
      </c>
      <c r="G54" s="116" t="b">
        <v>0</v>
      </c>
      <c r="H54" s="116" t="b">
        <v>1</v>
      </c>
      <c r="I54" s="116" t="b">
        <v>1</v>
      </c>
      <c r="J54" s="116" t="b">
        <v>0</v>
      </c>
      <c r="K54" s="116" t="b">
        <v>1</v>
      </c>
      <c r="L54" s="117">
        <f t="shared" si="1"/>
        <v>3</v>
      </c>
      <c r="M54" s="117">
        <f t="shared" si="2"/>
        <v>12</v>
      </c>
      <c r="N54" s="112"/>
      <c r="O54" s="112"/>
    </row>
    <row r="55" ht="15.0" customHeight="1">
      <c r="A55" s="112"/>
      <c r="B55" s="112"/>
      <c r="C55" s="112"/>
      <c r="D55" s="129" t="s">
        <v>250</v>
      </c>
      <c r="E55" s="114" t="str">
        <f>VLOOKUP(D55,Data!H:I,2,0)</f>
        <v>İstanbul</v>
      </c>
      <c r="F55" s="115" t="str">
        <f>VLOOKUP(D55,Data!H:J,3,0)</f>
        <v>Filamingo</v>
      </c>
      <c r="G55" s="116" t="b">
        <v>1</v>
      </c>
      <c r="H55" s="116" t="b">
        <v>1</v>
      </c>
      <c r="I55" s="116" t="b">
        <v>1</v>
      </c>
      <c r="J55" s="116" t="b">
        <v>0</v>
      </c>
      <c r="K55" s="116" t="b">
        <v>0</v>
      </c>
      <c r="L55" s="117">
        <f t="shared" si="1"/>
        <v>3</v>
      </c>
      <c r="M55" s="117">
        <f t="shared" si="2"/>
        <v>12</v>
      </c>
      <c r="N55" s="125"/>
      <c r="O55" s="112"/>
    </row>
    <row r="56" ht="15.0" customHeight="1">
      <c r="A56" s="112"/>
      <c r="B56" s="112"/>
      <c r="C56" s="112"/>
      <c r="D56" s="129" t="s">
        <v>251</v>
      </c>
      <c r="E56" s="114" t="str">
        <f>VLOOKUP(D56,Data!H:I,2,0)</f>
        <v>İstanbul</v>
      </c>
      <c r="F56" s="115" t="str">
        <f>VLOOKUP(D56,Data!H:J,3,0)</f>
        <v>Filamingo</v>
      </c>
      <c r="G56" s="116" t="b">
        <v>1</v>
      </c>
      <c r="H56" s="116" t="b">
        <v>1</v>
      </c>
      <c r="I56" s="116" t="b">
        <v>1</v>
      </c>
      <c r="J56" s="116" t="b">
        <v>1</v>
      </c>
      <c r="K56" s="116" t="b">
        <v>1</v>
      </c>
      <c r="L56" s="117">
        <f t="shared" si="1"/>
        <v>5</v>
      </c>
      <c r="M56" s="117">
        <f t="shared" si="2"/>
        <v>20</v>
      </c>
      <c r="N56" s="125"/>
      <c r="O56" s="112"/>
    </row>
    <row r="57" ht="15.0" customHeight="1">
      <c r="A57" s="112"/>
      <c r="B57" s="112"/>
      <c r="C57" s="112"/>
      <c r="D57" s="129" t="s">
        <v>252</v>
      </c>
      <c r="E57" s="114" t="str">
        <f>VLOOKUP(D57,Data!H:I,2,0)</f>
        <v>İzmir</v>
      </c>
      <c r="F57" s="115" t="str">
        <f>VLOOKUP(D57,Data!H:J,3,0)</f>
        <v>Nazım Öztel</v>
      </c>
      <c r="G57" s="116" t="b">
        <v>0</v>
      </c>
      <c r="H57" s="116" t="b">
        <v>0</v>
      </c>
      <c r="I57" s="116" t="b">
        <v>0</v>
      </c>
      <c r="J57" s="116" t="b">
        <v>0</v>
      </c>
      <c r="K57" s="116" t="b">
        <v>1</v>
      </c>
      <c r="L57" s="117">
        <f t="shared" si="1"/>
        <v>1</v>
      </c>
      <c r="M57" s="117">
        <f t="shared" si="2"/>
        <v>4</v>
      </c>
      <c r="N57" s="125"/>
      <c r="O57" s="112"/>
    </row>
    <row r="58" ht="15.0" customHeight="1">
      <c r="A58" s="112"/>
      <c r="B58" s="112"/>
      <c r="C58" s="112"/>
      <c r="D58" s="132" t="s">
        <v>92</v>
      </c>
      <c r="E58" s="114" t="str">
        <f>VLOOKUP(D58,Data!H:I,2,0)</f>
        <v>İzmir</v>
      </c>
      <c r="F58" s="115" t="str">
        <f>VLOOKUP(D58,Data!H:J,3,0)</f>
        <v>Nazım Öztel</v>
      </c>
      <c r="G58" s="116" t="b">
        <v>0</v>
      </c>
      <c r="H58" s="116" t="b">
        <v>1</v>
      </c>
      <c r="I58" s="116" t="b">
        <v>1</v>
      </c>
      <c r="J58" s="116" t="b">
        <v>1</v>
      </c>
      <c r="K58" s="116" t="b">
        <v>1</v>
      </c>
      <c r="L58" s="117">
        <f t="shared" si="1"/>
        <v>4</v>
      </c>
      <c r="M58" s="117">
        <f t="shared" si="2"/>
        <v>16</v>
      </c>
      <c r="N58" s="112"/>
      <c r="O58" s="112"/>
    </row>
    <row r="59" ht="15.0" customHeight="1">
      <c r="A59" s="112"/>
      <c r="B59" s="112"/>
      <c r="C59" s="112"/>
      <c r="D59" s="129" t="s">
        <v>93</v>
      </c>
      <c r="E59" s="114" t="str">
        <f>VLOOKUP(D59,Data!H:I,2,0)</f>
        <v>İzmir</v>
      </c>
      <c r="F59" s="115" t="str">
        <f>VLOOKUP(D59,Data!H:J,3,0)</f>
        <v>Freelance</v>
      </c>
      <c r="G59" s="116" t="b">
        <v>1</v>
      </c>
      <c r="H59" s="116" t="b">
        <v>1</v>
      </c>
      <c r="I59" s="116" t="b">
        <v>1</v>
      </c>
      <c r="J59" s="116" t="b">
        <v>1</v>
      </c>
      <c r="K59" s="116" t="b">
        <v>1</v>
      </c>
      <c r="L59" s="117">
        <f t="shared" si="1"/>
        <v>5</v>
      </c>
      <c r="M59" s="117">
        <f t="shared" si="2"/>
        <v>20</v>
      </c>
      <c r="N59" s="112"/>
      <c r="O59" s="112"/>
    </row>
    <row r="60" ht="15.0" customHeight="1">
      <c r="A60" s="112"/>
      <c r="B60" s="112"/>
      <c r="C60" s="112"/>
      <c r="D60" s="129" t="s">
        <v>161</v>
      </c>
      <c r="E60" s="143" t="str">
        <f>VLOOKUP(D60,Data!H:I,2,0)</f>
        <v>Kahramanmaraş</v>
      </c>
      <c r="F60" s="115" t="str">
        <f>VLOOKUP(D60,Data!H:J,3,0)</f>
        <v>Nazım Öztel</v>
      </c>
      <c r="G60" s="116" t="b">
        <v>0</v>
      </c>
      <c r="H60" s="116" t="b">
        <v>0</v>
      </c>
      <c r="I60" s="116" t="b">
        <v>0</v>
      </c>
      <c r="J60" s="116" t="b">
        <v>0</v>
      </c>
      <c r="K60" s="116" t="b">
        <v>0</v>
      </c>
      <c r="L60" s="117">
        <f t="shared" si="1"/>
        <v>0</v>
      </c>
      <c r="M60" s="117">
        <f t="shared" si="2"/>
        <v>0</v>
      </c>
      <c r="N60" s="112"/>
      <c r="O60" s="112"/>
    </row>
    <row r="61" ht="15.0" customHeight="1">
      <c r="A61" s="112"/>
      <c r="B61" s="112"/>
      <c r="C61" s="112"/>
      <c r="D61" s="129" t="s">
        <v>243</v>
      </c>
      <c r="E61" s="114" t="str">
        <f>VLOOKUP(D61,Data!H:I,2,0)</f>
        <v>Kayseri</v>
      </c>
      <c r="F61" s="115" t="str">
        <f>VLOOKUP(D61,Data!H:J,3,0)</f>
        <v>Nazım Öztel</v>
      </c>
      <c r="G61" s="116" t="b">
        <v>1</v>
      </c>
      <c r="H61" s="116" t="b">
        <v>1</v>
      </c>
      <c r="I61" s="116" t="b">
        <v>1</v>
      </c>
      <c r="J61" s="116" t="b">
        <v>1</v>
      </c>
      <c r="K61" s="116" t="b">
        <v>1</v>
      </c>
      <c r="L61" s="117">
        <f t="shared" si="1"/>
        <v>5</v>
      </c>
      <c r="M61" s="117">
        <f t="shared" si="2"/>
        <v>20</v>
      </c>
      <c r="N61" s="112"/>
      <c r="O61" s="112"/>
    </row>
    <row r="62" ht="15.0" customHeight="1">
      <c r="A62" s="112"/>
      <c r="B62" s="112"/>
      <c r="C62" s="112"/>
      <c r="D62" s="129" t="s">
        <v>253</v>
      </c>
      <c r="E62" s="114" t="str">
        <f>VLOOKUP(D62,Data!H:I,2,0)</f>
        <v>Kırklareli</v>
      </c>
      <c r="F62" s="115" t="str">
        <f>VLOOKUP(D62,Data!H:J,3,0)</f>
        <v>Nazım Öztel</v>
      </c>
      <c r="G62" s="116" t="b">
        <v>1</v>
      </c>
      <c r="H62" s="116" t="b">
        <v>0</v>
      </c>
      <c r="I62" s="116" t="b">
        <v>0</v>
      </c>
      <c r="J62" s="116" t="b">
        <v>0</v>
      </c>
      <c r="K62" s="116" t="b">
        <v>0</v>
      </c>
      <c r="L62" s="117">
        <f t="shared" si="1"/>
        <v>1</v>
      </c>
      <c r="M62" s="117">
        <f t="shared" si="2"/>
        <v>4</v>
      </c>
      <c r="N62" s="112"/>
      <c r="O62" s="112"/>
    </row>
    <row r="63" ht="15.0" customHeight="1">
      <c r="A63" s="112"/>
      <c r="B63" s="112"/>
      <c r="C63" s="112"/>
      <c r="D63" s="132" t="s">
        <v>96</v>
      </c>
      <c r="E63" s="114" t="str">
        <f>VLOOKUP(D63,Data!H:I,2,0)</f>
        <v>Kocaeli</v>
      </c>
      <c r="F63" s="115" t="str">
        <f>VLOOKUP(D63,Data!H:J,3,0)</f>
        <v>Nazım Öztel</v>
      </c>
      <c r="G63" s="116" t="b">
        <v>0</v>
      </c>
      <c r="H63" s="116" t="b">
        <v>1</v>
      </c>
      <c r="I63" s="116" t="b">
        <v>0</v>
      </c>
      <c r="J63" s="116" t="b">
        <v>0</v>
      </c>
      <c r="K63" s="116" t="b">
        <v>0</v>
      </c>
      <c r="L63" s="117">
        <f t="shared" si="1"/>
        <v>1</v>
      </c>
      <c r="M63" s="117">
        <f t="shared" si="2"/>
        <v>4</v>
      </c>
      <c r="N63" s="112"/>
      <c r="O63" s="112"/>
    </row>
    <row r="64" ht="15.0" customHeight="1">
      <c r="A64" s="112"/>
      <c r="B64" s="112"/>
      <c r="C64" s="112"/>
      <c r="D64" s="129" t="s">
        <v>147</v>
      </c>
      <c r="E64" s="114" t="str">
        <f>VLOOKUP(D64,Data!H:I,2,0)</f>
        <v>Kocaeli</v>
      </c>
      <c r="F64" s="115" t="str">
        <f>VLOOKUP(D64,Data!H:J,3,0)</f>
        <v>Nazım Öztel</v>
      </c>
      <c r="G64" s="116" t="b">
        <v>0</v>
      </c>
      <c r="H64" s="116" t="b">
        <v>0</v>
      </c>
      <c r="I64" s="116" t="b">
        <v>1</v>
      </c>
      <c r="J64" s="116" t="b">
        <v>0</v>
      </c>
      <c r="K64" s="116" t="b">
        <v>0</v>
      </c>
      <c r="L64" s="117">
        <f t="shared" si="1"/>
        <v>1</v>
      </c>
      <c r="M64" s="117">
        <f t="shared" si="2"/>
        <v>4</v>
      </c>
      <c r="N64" s="112"/>
      <c r="O64" s="112"/>
    </row>
    <row r="65" ht="15.0" customHeight="1">
      <c r="A65" s="112"/>
      <c r="B65" s="112"/>
      <c r="C65" s="112"/>
      <c r="D65" s="129" t="s">
        <v>227</v>
      </c>
      <c r="E65" s="114" t="str">
        <f>VLOOKUP(D65,Data!H:I,2,0)</f>
        <v>Konya</v>
      </c>
      <c r="F65" s="115" t="str">
        <f>VLOOKUP(D65,Data!H:J,3,0)</f>
        <v>Nazım Öztel</v>
      </c>
      <c r="G65" s="116" t="b">
        <v>1</v>
      </c>
      <c r="H65" s="116" t="b">
        <v>1</v>
      </c>
      <c r="I65" s="116" t="b">
        <v>1</v>
      </c>
      <c r="J65" s="116" t="b">
        <v>1</v>
      </c>
      <c r="K65" s="116" t="b">
        <v>1</v>
      </c>
      <c r="L65" s="117">
        <f t="shared" si="1"/>
        <v>5</v>
      </c>
      <c r="M65" s="117">
        <f t="shared" si="2"/>
        <v>20</v>
      </c>
      <c r="N65" s="112"/>
      <c r="O65" s="112"/>
    </row>
    <row r="66" ht="15.0" customHeight="1">
      <c r="A66" s="112"/>
      <c r="B66" s="112"/>
      <c r="C66" s="112"/>
      <c r="D66" s="129" t="s">
        <v>265</v>
      </c>
      <c r="E66" s="114" t="str">
        <f>VLOOKUP(D66,Data!H:I,2,0)</f>
        <v>Konya</v>
      </c>
      <c r="F66" s="115" t="str">
        <f>VLOOKUP(D66,Data!H:J,3,0)</f>
        <v>Nazım Öztel</v>
      </c>
      <c r="G66" s="116" t="b">
        <v>1</v>
      </c>
      <c r="H66" s="116" t="b">
        <v>1</v>
      </c>
      <c r="I66" s="116" t="b">
        <v>0</v>
      </c>
      <c r="J66" s="116" t="b">
        <v>0</v>
      </c>
      <c r="K66" s="116" t="b">
        <v>0</v>
      </c>
      <c r="L66" s="117">
        <f t="shared" si="1"/>
        <v>2</v>
      </c>
      <c r="M66" s="117">
        <f t="shared" si="2"/>
        <v>8</v>
      </c>
      <c r="N66" s="112"/>
      <c r="O66" s="112"/>
    </row>
    <row r="67" ht="15.0" customHeight="1">
      <c r="A67" s="112"/>
      <c r="B67" s="112"/>
      <c r="C67" s="112"/>
      <c r="D67" s="129" t="s">
        <v>203</v>
      </c>
      <c r="E67" s="114" t="str">
        <f>VLOOKUP(D67,Data!H:I,2,0)</f>
        <v>Malatya</v>
      </c>
      <c r="F67" s="115" t="str">
        <f>VLOOKUP(D67,Data!H:J,3,0)</f>
        <v>Nazım Öztel</v>
      </c>
      <c r="G67" s="116" t="b">
        <v>0</v>
      </c>
      <c r="H67" s="116" t="b">
        <v>0</v>
      </c>
      <c r="I67" s="116" t="b">
        <v>0</v>
      </c>
      <c r="J67" s="116" t="b">
        <v>0</v>
      </c>
      <c r="K67" s="116" t="b">
        <v>0</v>
      </c>
      <c r="L67" s="117">
        <f t="shared" si="1"/>
        <v>0</v>
      </c>
      <c r="M67" s="117">
        <f t="shared" si="2"/>
        <v>0</v>
      </c>
      <c r="N67" s="112"/>
      <c r="O67" s="112"/>
    </row>
    <row r="68" ht="15.0" customHeight="1">
      <c r="A68" s="112"/>
      <c r="B68" s="112"/>
      <c r="C68" s="112"/>
      <c r="D68" s="129" t="s">
        <v>254</v>
      </c>
      <c r="E68" s="114" t="str">
        <f>VLOOKUP(D68,Data!H:I,2,0)</f>
        <v>Manisa</v>
      </c>
      <c r="F68" s="115" t="str">
        <f>VLOOKUP(D68,Data!H:J,3,0)</f>
        <v>Nazım Öztel</v>
      </c>
      <c r="G68" s="116" t="b">
        <v>1</v>
      </c>
      <c r="H68" s="116" t="b">
        <v>1</v>
      </c>
      <c r="I68" s="116" t="b">
        <v>1</v>
      </c>
      <c r="J68" s="116" t="b">
        <v>1</v>
      </c>
      <c r="K68" s="116" t="b">
        <v>1</v>
      </c>
      <c r="L68" s="117">
        <f t="shared" si="1"/>
        <v>5</v>
      </c>
      <c r="M68" s="117">
        <f t="shared" si="2"/>
        <v>20</v>
      </c>
      <c r="N68" s="112"/>
      <c r="O68" s="112"/>
    </row>
    <row r="69" ht="15.0" customHeight="1">
      <c r="A69" s="112"/>
      <c r="B69" s="112"/>
      <c r="C69" s="112"/>
      <c r="D69" s="129" t="s">
        <v>255</v>
      </c>
      <c r="E69" s="114" t="str">
        <f>VLOOKUP(D69,Data!H:I,2,0)</f>
        <v>Mardin</v>
      </c>
      <c r="F69" s="115" t="str">
        <f>VLOOKUP(D69,Data!H:J,3,0)</f>
        <v>Nazım Öztel</v>
      </c>
      <c r="G69" s="116" t="b">
        <v>0</v>
      </c>
      <c r="H69" s="116" t="b">
        <v>1</v>
      </c>
      <c r="I69" s="116" t="b">
        <v>0</v>
      </c>
      <c r="J69" s="116" t="b">
        <v>0</v>
      </c>
      <c r="K69" s="116" t="b">
        <v>0</v>
      </c>
      <c r="L69" s="117">
        <f t="shared" si="1"/>
        <v>1</v>
      </c>
      <c r="M69" s="117">
        <f t="shared" si="2"/>
        <v>4</v>
      </c>
      <c r="N69" s="142"/>
      <c r="O69" s="112"/>
    </row>
    <row r="70" ht="15.0" customHeight="1">
      <c r="A70" s="112"/>
      <c r="B70" s="112"/>
      <c r="C70" s="112"/>
      <c r="D70" s="132" t="s">
        <v>99</v>
      </c>
      <c r="E70" s="114" t="str">
        <f>VLOOKUP(D70,Data!H:I,2,0)</f>
        <v>Mersin</v>
      </c>
      <c r="F70" s="115" t="str">
        <f>VLOOKUP(D70,Data!H:J,3,0)</f>
        <v>Nazım Öztel</v>
      </c>
      <c r="G70" s="116" t="b">
        <v>0</v>
      </c>
      <c r="H70" s="116" t="b">
        <v>0</v>
      </c>
      <c r="I70" s="116" t="b">
        <v>0</v>
      </c>
      <c r="J70" s="116" t="b">
        <v>0</v>
      </c>
      <c r="K70" s="116" t="b">
        <v>0</v>
      </c>
      <c r="L70" s="117">
        <f t="shared" si="1"/>
        <v>0</v>
      </c>
      <c r="M70" s="117">
        <f t="shared" si="2"/>
        <v>0</v>
      </c>
      <c r="N70" s="106"/>
      <c r="O70" s="112"/>
    </row>
    <row r="71" ht="15.0" customHeight="1">
      <c r="A71" s="112"/>
      <c r="B71" s="112"/>
      <c r="C71" s="112"/>
      <c r="D71" s="129" t="s">
        <v>169</v>
      </c>
      <c r="E71" s="114" t="str">
        <f>VLOOKUP(D71,Data!H:I,2,0)</f>
        <v>Mersin</v>
      </c>
      <c r="F71" s="115" t="str">
        <f>VLOOKUP(D71,Data!H:J,3,0)</f>
        <v>Nazım Öztel</v>
      </c>
      <c r="G71" s="116" t="b">
        <v>0</v>
      </c>
      <c r="H71" s="116" t="b">
        <v>0</v>
      </c>
      <c r="I71" s="116" t="b">
        <v>0</v>
      </c>
      <c r="J71" s="116" t="b">
        <v>0</v>
      </c>
      <c r="K71" s="116" t="b">
        <v>0</v>
      </c>
      <c r="L71" s="117">
        <f t="shared" si="1"/>
        <v>0</v>
      </c>
      <c r="M71" s="117">
        <f t="shared" si="2"/>
        <v>0</v>
      </c>
      <c r="N71" s="106"/>
      <c r="O71" s="112"/>
    </row>
    <row r="72" ht="15.0" customHeight="1">
      <c r="A72" s="112"/>
      <c r="B72" s="112"/>
      <c r="C72" s="112"/>
      <c r="D72" s="129" t="s">
        <v>148</v>
      </c>
      <c r="E72" s="114" t="str">
        <f>VLOOKUP(D72,Data!H:I,2,0)</f>
        <v>Muğla</v>
      </c>
      <c r="F72" s="115" t="str">
        <f>VLOOKUP(D72,Data!H:J,3,0)</f>
        <v>Nazım Öztel</v>
      </c>
      <c r="G72" s="116" t="b">
        <v>1</v>
      </c>
      <c r="H72" s="116" t="b">
        <v>0</v>
      </c>
      <c r="I72" s="116" t="b">
        <v>0</v>
      </c>
      <c r="J72" s="116" t="b">
        <v>0</v>
      </c>
      <c r="K72" s="116" t="b">
        <v>0</v>
      </c>
      <c r="L72" s="117">
        <f t="shared" si="1"/>
        <v>1</v>
      </c>
      <c r="M72" s="117">
        <f t="shared" si="2"/>
        <v>4</v>
      </c>
      <c r="N72" s="106"/>
      <c r="O72" s="112"/>
    </row>
    <row r="73" ht="15.0" customHeight="1">
      <c r="A73" s="112"/>
      <c r="B73" s="112"/>
      <c r="C73" s="112"/>
      <c r="D73" s="129" t="s">
        <v>266</v>
      </c>
      <c r="E73" s="114" t="str">
        <f>VLOOKUP(D73,Data!H:I,2,0)</f>
        <v>Ordu</v>
      </c>
      <c r="F73" s="115" t="str">
        <f>VLOOKUP(D73,Data!H:J,3,0)</f>
        <v>Nazım Öztel</v>
      </c>
      <c r="G73" s="116" t="b">
        <v>0</v>
      </c>
      <c r="H73" s="116" t="b">
        <v>0</v>
      </c>
      <c r="I73" s="116" t="b">
        <v>0</v>
      </c>
      <c r="J73" s="116" t="b">
        <v>0</v>
      </c>
      <c r="K73" s="116" t="b">
        <v>0</v>
      </c>
      <c r="L73" s="117">
        <f t="shared" si="1"/>
        <v>0</v>
      </c>
      <c r="M73" s="117">
        <f t="shared" si="2"/>
        <v>0</v>
      </c>
      <c r="N73" s="106"/>
      <c r="O73" s="112"/>
    </row>
    <row r="74" ht="15.0" customHeight="1">
      <c r="A74" s="112"/>
      <c r="B74" s="112"/>
      <c r="C74" s="112"/>
      <c r="D74" s="129" t="s">
        <v>256</v>
      </c>
      <c r="E74" s="114" t="s">
        <v>211</v>
      </c>
      <c r="F74" s="115" t="s">
        <v>61</v>
      </c>
      <c r="G74" s="116" t="b">
        <v>0</v>
      </c>
      <c r="H74" s="116" t="b">
        <v>0</v>
      </c>
      <c r="I74" s="116" t="b">
        <v>0</v>
      </c>
      <c r="J74" s="116" t="b">
        <v>0</v>
      </c>
      <c r="K74" s="116" t="b">
        <v>0</v>
      </c>
      <c r="L74" s="117">
        <f t="shared" si="1"/>
        <v>0</v>
      </c>
      <c r="M74" s="117">
        <f t="shared" si="2"/>
        <v>0</v>
      </c>
      <c r="N74" s="106"/>
      <c r="O74" s="112"/>
    </row>
    <row r="75" ht="15.0" customHeight="1">
      <c r="A75" s="112"/>
      <c r="B75" s="112"/>
      <c r="C75" s="112"/>
      <c r="D75" s="129" t="s">
        <v>275</v>
      </c>
      <c r="E75" s="114" t="str">
        <f>VLOOKUP(D75,Data!H:I,2,0)</f>
        <v>Sakarya</v>
      </c>
      <c r="F75" s="115" t="str">
        <f>VLOOKUP(D75,Data!H:J,3,0)</f>
        <v>Nazım Öztel</v>
      </c>
      <c r="G75" s="116" t="b">
        <v>0</v>
      </c>
      <c r="H75" s="116" t="b">
        <v>1</v>
      </c>
      <c r="I75" s="116" t="b">
        <v>0</v>
      </c>
      <c r="J75" s="116" t="b">
        <v>1</v>
      </c>
      <c r="K75" s="116" t="b">
        <v>0</v>
      </c>
      <c r="L75" s="117">
        <f t="shared" si="1"/>
        <v>2</v>
      </c>
      <c r="M75" s="117">
        <f t="shared" si="2"/>
        <v>8</v>
      </c>
      <c r="N75" s="106"/>
      <c r="O75" s="112"/>
    </row>
    <row r="76" ht="15.0" customHeight="1">
      <c r="A76" s="112"/>
      <c r="B76" s="112"/>
      <c r="C76" s="112"/>
      <c r="D76" s="129" t="s">
        <v>257</v>
      </c>
      <c r="E76" s="114" t="str">
        <f>VLOOKUP(D76,Data!H:I,2,0)</f>
        <v>Samsun</v>
      </c>
      <c r="F76" s="115" t="str">
        <f>VLOOKUP(D76,Data!H:J,3,0)</f>
        <v>Nazım Öztel</v>
      </c>
      <c r="G76" s="116" t="b">
        <v>0</v>
      </c>
      <c r="H76" s="116" t="b">
        <v>1</v>
      </c>
      <c r="I76" s="116" t="b">
        <v>0</v>
      </c>
      <c r="J76" s="116" t="b">
        <v>0</v>
      </c>
      <c r="K76" s="116" t="b">
        <v>0</v>
      </c>
      <c r="L76" s="117">
        <f t="shared" si="1"/>
        <v>1</v>
      </c>
      <c r="M76" s="117">
        <f t="shared" si="2"/>
        <v>4</v>
      </c>
      <c r="N76" s="106"/>
      <c r="O76" s="112"/>
    </row>
    <row r="77" ht="15.0" customHeight="1">
      <c r="A77" s="112"/>
      <c r="B77" s="112"/>
      <c r="C77" s="112"/>
      <c r="D77" s="129" t="s">
        <v>267</v>
      </c>
      <c r="E77" s="114" t="str">
        <f>VLOOKUP(D77,Data!H:I,2,0)</f>
        <v>Sinop</v>
      </c>
      <c r="F77" s="115" t="str">
        <f>VLOOKUP(D77,Data!H:J,3,0)</f>
        <v>Nazım Öztel</v>
      </c>
      <c r="G77" s="116" t="b">
        <v>0</v>
      </c>
      <c r="H77" s="116" t="b">
        <v>0</v>
      </c>
      <c r="I77" s="116" t="b">
        <v>1</v>
      </c>
      <c r="J77" s="116" t="b">
        <v>0</v>
      </c>
      <c r="K77" s="116" t="b">
        <v>0</v>
      </c>
      <c r="L77" s="117">
        <f t="shared" si="1"/>
        <v>1</v>
      </c>
      <c r="M77" s="117">
        <f t="shared" si="2"/>
        <v>4</v>
      </c>
      <c r="N77" s="106"/>
      <c r="O77" s="112"/>
    </row>
    <row r="78" ht="15.0" customHeight="1">
      <c r="A78" s="112"/>
      <c r="B78" s="112"/>
      <c r="C78" s="112"/>
      <c r="D78" s="129" t="s">
        <v>268</v>
      </c>
      <c r="E78" s="114" t="str">
        <f>VLOOKUP(D78,Data!H:I,2,0)</f>
        <v>Sivas</v>
      </c>
      <c r="F78" s="115" t="str">
        <f>VLOOKUP(D78,Data!H:J,3,0)</f>
        <v>Nazım Öztel</v>
      </c>
      <c r="G78" s="116" t="b">
        <v>0</v>
      </c>
      <c r="H78" s="116" t="b">
        <v>0</v>
      </c>
      <c r="I78" s="116" t="b">
        <v>0</v>
      </c>
      <c r="J78" s="116" t="b">
        <v>0</v>
      </c>
      <c r="K78" s="116" t="b">
        <v>0</v>
      </c>
      <c r="L78" s="117">
        <f t="shared" si="1"/>
        <v>0</v>
      </c>
      <c r="M78" s="117">
        <f t="shared" si="2"/>
        <v>0</v>
      </c>
      <c r="N78" s="106"/>
      <c r="O78" s="112"/>
    </row>
    <row r="79" ht="15.0" customHeight="1">
      <c r="A79" s="112"/>
      <c r="B79" s="112"/>
      <c r="C79" s="112"/>
      <c r="D79" s="129" t="s">
        <v>104</v>
      </c>
      <c r="E79" s="114" t="str">
        <f>VLOOKUP(D79,Data!H:I,2,0)</f>
        <v>Tekirdağ</v>
      </c>
      <c r="F79" s="115" t="str">
        <f>VLOOKUP(D79,Data!H:J,3,0)</f>
        <v>Freelance</v>
      </c>
      <c r="G79" s="116" t="b">
        <v>0</v>
      </c>
      <c r="H79" s="116" t="b">
        <v>0</v>
      </c>
      <c r="I79" s="116" t="b">
        <v>0</v>
      </c>
      <c r="J79" s="116" t="b">
        <v>1</v>
      </c>
      <c r="K79" s="116" t="b">
        <v>0</v>
      </c>
      <c r="L79" s="117">
        <f t="shared" si="1"/>
        <v>1</v>
      </c>
      <c r="M79" s="117">
        <f t="shared" si="2"/>
        <v>4</v>
      </c>
      <c r="N79" s="112"/>
      <c r="O79" s="112"/>
    </row>
    <row r="80" ht="15.0" customHeight="1">
      <c r="A80" s="112"/>
      <c r="B80" s="112"/>
      <c r="C80" s="112"/>
      <c r="D80" s="129" t="s">
        <v>258</v>
      </c>
      <c r="E80" s="114" t="str">
        <f>VLOOKUP(D80,Data!H:I,2,0)</f>
        <v>Tokat</v>
      </c>
      <c r="F80" s="115" t="str">
        <f>VLOOKUP(D80,Data!H:J,3,0)</f>
        <v>Nazım Öztel</v>
      </c>
      <c r="G80" s="116" t="b">
        <v>0</v>
      </c>
      <c r="H80" s="116" t="b">
        <v>0</v>
      </c>
      <c r="I80" s="116" t="b">
        <v>0</v>
      </c>
      <c r="J80" s="116" t="b">
        <v>0</v>
      </c>
      <c r="K80" s="116" t="b">
        <v>0</v>
      </c>
      <c r="L80" s="117">
        <f t="shared" si="1"/>
        <v>0</v>
      </c>
      <c r="M80" s="117">
        <f t="shared" si="2"/>
        <v>0</v>
      </c>
      <c r="N80" s="112"/>
      <c r="O80" s="112"/>
    </row>
    <row r="81" ht="15.0" customHeight="1">
      <c r="A81" s="112"/>
      <c r="B81" s="112"/>
      <c r="C81" s="112"/>
      <c r="D81" s="129" t="s">
        <v>154</v>
      </c>
      <c r="E81" s="114" t="str">
        <f>VLOOKUP(D81,Data!H:I,2,0)</f>
        <v>Uşak</v>
      </c>
      <c r="F81" s="115" t="str">
        <f>VLOOKUP(D81,Data!H:J,3,0)</f>
        <v>Nazım Öztel</v>
      </c>
      <c r="G81" s="116" t="b">
        <v>0</v>
      </c>
      <c r="H81" s="116" t="b">
        <v>0</v>
      </c>
      <c r="I81" s="116" t="b">
        <v>0</v>
      </c>
      <c r="J81" s="116" t="b">
        <v>0</v>
      </c>
      <c r="K81" s="116" t="b">
        <v>1</v>
      </c>
      <c r="L81" s="117">
        <f t="shared" si="1"/>
        <v>1</v>
      </c>
      <c r="M81" s="117">
        <f t="shared" si="2"/>
        <v>4</v>
      </c>
      <c r="N81" s="112"/>
      <c r="O81" s="112"/>
    </row>
    <row r="82" ht="15.0" customHeight="1">
      <c r="A82" s="112"/>
      <c r="B82" s="112"/>
      <c r="C82" s="112"/>
      <c r="D82" s="129" t="s">
        <v>276</v>
      </c>
      <c r="E82" s="114" t="str">
        <f>VLOOKUP(D82,Data!H:I,2,0)</f>
        <v>Zonguldak</v>
      </c>
      <c r="F82" s="115" t="str">
        <f>VLOOKUP(D82,Data!H:J,3,0)</f>
        <v>Nazım Öztel</v>
      </c>
      <c r="G82" s="116" t="b">
        <v>1</v>
      </c>
      <c r="H82" s="116" t="b">
        <v>0</v>
      </c>
      <c r="I82" s="116" t="b">
        <v>0</v>
      </c>
      <c r="J82" s="116" t="b">
        <v>0</v>
      </c>
      <c r="K82" s="116" t="b">
        <v>0</v>
      </c>
      <c r="L82" s="117">
        <f t="shared" si="1"/>
        <v>1</v>
      </c>
      <c r="M82" s="117">
        <f t="shared" si="2"/>
        <v>4</v>
      </c>
      <c r="N82" s="112"/>
      <c r="O82" s="112"/>
    </row>
    <row r="83" ht="15.0" customHeight="1">
      <c r="A83" s="112"/>
      <c r="B83" s="112"/>
      <c r="C83" s="112"/>
      <c r="D83" s="132"/>
      <c r="E83" s="132"/>
      <c r="F83" s="132"/>
      <c r="G83" s="117">
        <f t="shared" ref="G83:K83" si="3">4*(COUNTIF(G15:G82,"true"))</f>
        <v>104</v>
      </c>
      <c r="H83" s="117">
        <f t="shared" si="3"/>
        <v>108</v>
      </c>
      <c r="I83" s="117">
        <f t="shared" si="3"/>
        <v>96</v>
      </c>
      <c r="J83" s="117">
        <f t="shared" si="3"/>
        <v>92</v>
      </c>
      <c r="K83" s="117">
        <f t="shared" si="3"/>
        <v>80</v>
      </c>
      <c r="L83" s="135"/>
      <c r="M83" s="135">
        <f>SUM(G83:K83)</f>
        <v>480</v>
      </c>
      <c r="N83" s="112"/>
      <c r="O83" s="112"/>
    </row>
  </sheetData>
  <customSheetViews>
    <customSheetView guid="{90E1DF85-7252-44D2-BA7D-CC3767CD0E8B}" filter="1" showAutoFilter="1">
      <autoFilter ref="$A$14:$O$83">
        <filterColumn colId="4">
          <filters>
            <filter val="Kırklareli"/>
            <filter val="Samsun"/>
            <filter val="Sakarya"/>
            <filter val="Zonguldak"/>
            <filter val="Elazığ"/>
            <filter val="Kayseri"/>
            <filter val="Düzce"/>
            <filter val="Malatya"/>
            <filter val="Hatay"/>
            <filter val="Sinop"/>
            <filter val="Denizli"/>
            <filter val="Amasya"/>
            <filter val="Çanakkale"/>
            <filter val="Aydın"/>
            <filter val="Bolu"/>
            <filter val="Çorum"/>
            <filter val="Osmaniye"/>
            <filter val="Adıyaman"/>
            <filter val="Edirne"/>
            <filter val="Tokat"/>
            <filter val="Ordu"/>
            <filter val="Sivas"/>
            <filter val="Mardin"/>
            <filter val="Muğla"/>
            <filter val="Eskişehir"/>
            <filter val="Kahramanmaraş"/>
            <filter val="Balıkesir"/>
            <filter val="Uşak"/>
          </filters>
        </filterColumn>
      </autoFilter>
    </customSheetView>
    <customSheetView guid="{70B995D3-3AEB-4DFE-A0CA-D6FFCCE596BC}" filter="1" showAutoFilter="1">
      <autoFilter ref="$D$14:$D$82"/>
    </customSheetView>
  </customSheetViews>
  <mergeCells count="4">
    <mergeCell ref="D6:K6"/>
    <mergeCell ref="D7:F7"/>
    <mergeCell ref="D9:D12"/>
    <mergeCell ref="F10:M11"/>
  </mergeCells>
  <conditionalFormatting sqref="G15:K82">
    <cfRule type="cellIs" dxfId="1" priority="1" operator="equal">
      <formula>"False"</formula>
    </cfRule>
  </conditionalFormatting>
  <conditionalFormatting sqref="G15:K82">
    <cfRule type="cellIs" dxfId="0" priority="2" operator="equal">
      <formula>"TRUE"</formula>
    </cfRule>
  </conditionalFormatting>
  <dataValidations>
    <dataValidation type="list" allowBlank="1" showErrorMessage="1" sqref="E15:E82">
      <formula1>Data!$A$2:$A$100</formula1>
    </dataValidation>
    <dataValidation type="list" allowBlank="1" showErrorMessage="1" sqref="F15:F82">
      <formula1>Data!$C$2:$C$8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3" width="2.63"/>
    <col customWidth="1" min="4" max="4" width="20.38"/>
    <col customWidth="1" min="5" max="5" width="11.38"/>
    <col customWidth="1" min="6" max="6" width="16.63"/>
    <col customWidth="1" min="7" max="11" width="8.63"/>
    <col customWidth="1" min="12" max="12" width="12.63"/>
    <col customWidth="1" min="13" max="13" width="15.13"/>
    <col customWidth="1" min="14" max="15" width="2.63"/>
  </cols>
  <sheetData>
    <row r="1" ht="7.5" customHeight="1">
      <c r="A1" s="140"/>
      <c r="B1" s="84"/>
      <c r="C1" s="84"/>
      <c r="D1" s="84"/>
      <c r="E1" s="84"/>
      <c r="F1" s="84"/>
      <c r="G1" s="84"/>
      <c r="H1" s="84"/>
      <c r="I1" s="84"/>
      <c r="J1" s="84"/>
      <c r="K1" s="84"/>
      <c r="L1" s="85"/>
      <c r="M1" s="86"/>
      <c r="N1" s="86"/>
      <c r="O1" s="86"/>
    </row>
    <row r="2" ht="15.0" customHeight="1">
      <c r="A2" s="87"/>
      <c r="B2" s="87"/>
      <c r="C2" s="87"/>
      <c r="D2" s="88"/>
      <c r="E2" s="88"/>
      <c r="F2" s="88"/>
      <c r="G2" s="88"/>
      <c r="H2" s="88"/>
      <c r="I2" s="88"/>
      <c r="J2" s="88"/>
      <c r="K2" s="88"/>
      <c r="L2" s="88"/>
      <c r="M2" s="87"/>
      <c r="N2" s="87"/>
      <c r="O2" s="87"/>
    </row>
    <row r="3" ht="3.75" customHeight="1">
      <c r="A3" s="87"/>
      <c r="B3" s="87"/>
      <c r="C3" s="87"/>
      <c r="D3" s="89"/>
      <c r="E3" s="90"/>
      <c r="F3" s="90"/>
      <c r="G3" s="90"/>
      <c r="H3" s="90"/>
      <c r="I3" s="90"/>
      <c r="J3" s="90"/>
      <c r="K3" s="90"/>
      <c r="L3" s="90"/>
      <c r="M3" s="87"/>
      <c r="N3" s="87"/>
      <c r="O3" s="87"/>
    </row>
    <row r="4" ht="15.0" customHeight="1">
      <c r="A4" s="87"/>
      <c r="B4" s="87"/>
      <c r="C4" s="87"/>
      <c r="D4" s="88"/>
      <c r="E4" s="88"/>
      <c r="F4" s="88"/>
      <c r="G4" s="91"/>
      <c r="H4" s="91"/>
      <c r="I4" s="91"/>
      <c r="J4" s="91"/>
      <c r="K4" s="91"/>
      <c r="L4" s="91"/>
      <c r="M4" s="87"/>
      <c r="N4" s="87"/>
      <c r="O4" s="87"/>
    </row>
    <row r="5" ht="15.0" customHeight="1">
      <c r="A5" s="92"/>
      <c r="B5" s="92"/>
      <c r="C5" s="92"/>
      <c r="D5" s="88"/>
      <c r="E5" s="88"/>
      <c r="F5" s="88"/>
      <c r="G5" s="93"/>
      <c r="H5" s="93"/>
      <c r="I5" s="93"/>
      <c r="J5" s="93"/>
      <c r="K5" s="93"/>
      <c r="L5" s="94"/>
      <c r="M5" s="88"/>
      <c r="N5" s="92"/>
      <c r="O5" s="92"/>
    </row>
    <row r="6" ht="15.0" customHeight="1">
      <c r="A6" s="92"/>
      <c r="B6" s="92"/>
      <c r="C6" s="92"/>
      <c r="D6" s="95" t="s">
        <v>277</v>
      </c>
      <c r="L6" s="94"/>
      <c r="M6" s="88"/>
      <c r="N6" s="92"/>
      <c r="O6" s="92"/>
    </row>
    <row r="7" ht="15.0" customHeight="1">
      <c r="A7" s="92"/>
      <c r="B7" s="92"/>
      <c r="C7" s="92"/>
      <c r="D7" s="96" t="s">
        <v>278</v>
      </c>
      <c r="G7" s="97"/>
      <c r="H7" s="97"/>
      <c r="I7" s="97"/>
      <c r="J7" s="97"/>
      <c r="K7" s="97"/>
      <c r="L7" s="92"/>
      <c r="M7" s="92"/>
      <c r="N7" s="92"/>
      <c r="O7" s="92"/>
    </row>
    <row r="8" ht="15.0" customHeight="1">
      <c r="A8" s="92"/>
      <c r="B8" s="92"/>
      <c r="C8" s="92"/>
      <c r="D8" s="97"/>
      <c r="E8" s="97"/>
      <c r="F8" s="97"/>
      <c r="G8" s="97"/>
      <c r="H8" s="97"/>
      <c r="I8" s="97"/>
      <c r="J8" s="97"/>
      <c r="K8" s="97"/>
      <c r="L8" s="92"/>
      <c r="M8" s="92"/>
      <c r="N8" s="92"/>
      <c r="O8" s="92"/>
    </row>
    <row r="9" ht="15.0" customHeight="1">
      <c r="A9" s="92"/>
      <c r="B9" s="92"/>
      <c r="C9" s="98"/>
      <c r="D9" s="99" t="s">
        <v>35</v>
      </c>
      <c r="E9" s="100"/>
      <c r="F9" s="101"/>
      <c r="G9" s="101"/>
      <c r="H9" s="101"/>
      <c r="I9" s="101"/>
      <c r="J9" s="101"/>
      <c r="K9" s="101"/>
      <c r="L9" s="101"/>
      <c r="M9" s="100"/>
      <c r="N9" s="102"/>
      <c r="O9" s="102"/>
    </row>
    <row r="10" ht="15.0" customHeight="1">
      <c r="A10" s="92"/>
      <c r="B10" s="92"/>
      <c r="C10" s="98"/>
      <c r="E10" s="100"/>
      <c r="F10" s="103" t="s">
        <v>36</v>
      </c>
      <c r="N10" s="102"/>
      <c r="O10" s="102"/>
    </row>
    <row r="11" ht="15.0" customHeight="1">
      <c r="A11" s="92"/>
      <c r="B11" s="92"/>
      <c r="C11" s="98"/>
      <c r="E11" s="100"/>
      <c r="N11" s="102"/>
      <c r="O11" s="102"/>
    </row>
    <row r="12" ht="15.0" customHeight="1">
      <c r="A12" s="88"/>
      <c r="B12" s="92"/>
      <c r="C12" s="92"/>
      <c r="E12" s="100"/>
      <c r="F12" s="100"/>
      <c r="G12" s="100"/>
      <c r="H12" s="100"/>
      <c r="I12" s="100"/>
      <c r="J12" s="100"/>
      <c r="K12" s="100"/>
      <c r="L12" s="100"/>
      <c r="M12" s="100"/>
      <c r="N12" s="102"/>
      <c r="O12" s="102"/>
    </row>
    <row r="13" ht="15.0" customHeight="1">
      <c r="A13" s="88"/>
      <c r="B13" s="104"/>
      <c r="C13" s="104"/>
      <c r="D13" s="104"/>
      <c r="E13" s="104"/>
      <c r="F13" s="105"/>
      <c r="G13" s="105"/>
      <c r="H13" s="105"/>
      <c r="I13" s="105"/>
      <c r="J13" s="105"/>
      <c r="K13" s="105"/>
      <c r="L13" s="104"/>
      <c r="M13" s="104"/>
      <c r="N13" s="104"/>
      <c r="O13" s="104"/>
    </row>
    <row r="14" ht="15.0" customHeight="1">
      <c r="A14" s="106"/>
      <c r="B14" s="106"/>
      <c r="C14" s="106"/>
      <c r="D14" s="107" t="s">
        <v>37</v>
      </c>
      <c r="E14" s="108" t="s">
        <v>38</v>
      </c>
      <c r="F14" s="109" t="s">
        <v>39</v>
      </c>
      <c r="G14" s="110">
        <v>44620.0</v>
      </c>
      <c r="H14" s="110">
        <v>44621.0</v>
      </c>
      <c r="I14" s="110">
        <v>44622.0</v>
      </c>
      <c r="J14" s="110">
        <v>44623.0</v>
      </c>
      <c r="K14" s="110">
        <v>44624.0</v>
      </c>
      <c r="L14" s="111" t="s">
        <v>40</v>
      </c>
      <c r="M14" s="111" t="s">
        <v>41</v>
      </c>
      <c r="N14" s="88"/>
      <c r="O14" s="88"/>
    </row>
    <row r="15" ht="15.0" customHeight="1">
      <c r="A15" s="112"/>
      <c r="B15" s="112"/>
      <c r="C15" s="112"/>
      <c r="D15" s="129" t="s">
        <v>271</v>
      </c>
      <c r="E15" s="114" t="str">
        <f>VLOOKUP(D15,Data!H:I,2,0)</f>
        <v>Adıyaman</v>
      </c>
      <c r="F15" s="115" t="str">
        <f>VLOOKUP(D15,Data!H:J,3,0)</f>
        <v>Nazım Öztel</v>
      </c>
      <c r="G15" s="116" t="b">
        <v>0</v>
      </c>
      <c r="H15" s="116" t="b">
        <v>0</v>
      </c>
      <c r="I15" s="116" t="b">
        <v>0</v>
      </c>
      <c r="J15" s="116" t="b">
        <v>0</v>
      </c>
      <c r="K15" s="116" t="b">
        <v>0</v>
      </c>
      <c r="L15" s="117">
        <f t="shared" ref="L15:L82" si="1">COUNTIF(G15:K15,"TRUE")</f>
        <v>0</v>
      </c>
      <c r="M15" s="117">
        <f t="shared" ref="M15:M82" si="2">L15*4</f>
        <v>0</v>
      </c>
      <c r="N15" s="112"/>
      <c r="O15" s="88"/>
    </row>
    <row r="16" ht="15.0" customHeight="1">
      <c r="A16" s="112"/>
      <c r="B16" s="112"/>
      <c r="C16" s="112"/>
      <c r="D16" s="129" t="s">
        <v>279</v>
      </c>
      <c r="E16" s="114" t="str">
        <f>VLOOKUP(D16,Data!H:I,2,0)</f>
        <v>Amasya</v>
      </c>
      <c r="F16" s="115" t="str">
        <f>VLOOKUP(D16,Data!H:J,3,0)</f>
        <v>Nazım Öztel</v>
      </c>
      <c r="G16" s="116" t="b">
        <v>0</v>
      </c>
      <c r="H16" s="116" t="b">
        <v>0</v>
      </c>
      <c r="I16" s="116" t="b">
        <v>0</v>
      </c>
      <c r="J16" s="116" t="b">
        <v>0</v>
      </c>
      <c r="K16" s="116" t="b">
        <v>0</v>
      </c>
      <c r="L16" s="117">
        <f t="shared" si="1"/>
        <v>0</v>
      </c>
      <c r="M16" s="117">
        <f t="shared" si="2"/>
        <v>0</v>
      </c>
      <c r="N16" s="112"/>
      <c r="O16" s="88"/>
    </row>
    <row r="17" ht="15.0" customHeight="1">
      <c r="A17" s="112"/>
      <c r="B17" s="112"/>
      <c r="C17" s="112"/>
      <c r="D17" s="129" t="s">
        <v>246</v>
      </c>
      <c r="E17" s="114" t="str">
        <f>VLOOKUP(D17,Data!H:I,2,0)</f>
        <v>Ankara</v>
      </c>
      <c r="F17" s="115" t="str">
        <f>VLOOKUP(D17,Data!H:J,3,0)</f>
        <v>Nazım Öztel</v>
      </c>
      <c r="G17" s="116" t="b">
        <v>0</v>
      </c>
      <c r="H17" s="116" t="b">
        <v>0</v>
      </c>
      <c r="I17" s="116" t="b">
        <v>0</v>
      </c>
      <c r="J17" s="116" t="b">
        <v>0</v>
      </c>
      <c r="K17" s="116" t="b">
        <v>0</v>
      </c>
      <c r="L17" s="117">
        <f t="shared" si="1"/>
        <v>0</v>
      </c>
      <c r="M17" s="117">
        <f t="shared" si="2"/>
        <v>0</v>
      </c>
      <c r="N17" s="112"/>
      <c r="O17" s="88"/>
    </row>
    <row r="18" ht="15.0" customHeight="1">
      <c r="A18" s="112"/>
      <c r="B18" s="112"/>
      <c r="C18" s="112"/>
      <c r="D18" s="129" t="s">
        <v>261</v>
      </c>
      <c r="E18" s="114" t="str">
        <f>VLOOKUP(D18,Data!H:I,2,0)</f>
        <v>Ankara</v>
      </c>
      <c r="F18" s="115" t="str">
        <f>VLOOKUP(D18,Data!H:J,3,0)</f>
        <v>Nazım Öztel</v>
      </c>
      <c r="G18" s="116" t="b">
        <v>0</v>
      </c>
      <c r="H18" s="116" t="b">
        <v>0</v>
      </c>
      <c r="I18" s="116" t="b">
        <v>0</v>
      </c>
      <c r="J18" s="116" t="b">
        <v>0</v>
      </c>
      <c r="K18" s="116" t="b">
        <v>0</v>
      </c>
      <c r="L18" s="117">
        <f t="shared" si="1"/>
        <v>0</v>
      </c>
      <c r="M18" s="117">
        <f t="shared" si="2"/>
        <v>0</v>
      </c>
      <c r="N18" s="112"/>
      <c r="O18" s="88"/>
    </row>
    <row r="19" ht="15.0" customHeight="1">
      <c r="A19" s="106"/>
      <c r="B19" s="106"/>
      <c r="C19" s="106"/>
      <c r="D19" s="129" t="s">
        <v>164</v>
      </c>
      <c r="E19" s="114" t="str">
        <f>VLOOKUP(D19,Data!H:I,2,0)</f>
        <v>Antalya</v>
      </c>
      <c r="F19" s="115" t="str">
        <f>VLOOKUP(D19,Data!H:J,3,0)</f>
        <v>Nazım Öztel</v>
      </c>
      <c r="G19" s="116" t="b">
        <v>0</v>
      </c>
      <c r="H19" s="116" t="b">
        <v>0</v>
      </c>
      <c r="I19" s="116" t="b">
        <v>0</v>
      </c>
      <c r="J19" s="116" t="b">
        <v>0</v>
      </c>
      <c r="K19" s="116" t="b">
        <v>0</v>
      </c>
      <c r="L19" s="117">
        <f t="shared" si="1"/>
        <v>0</v>
      </c>
      <c r="M19" s="117">
        <f t="shared" si="2"/>
        <v>0</v>
      </c>
      <c r="N19" s="112"/>
      <c r="O19" s="106"/>
    </row>
    <row r="20" ht="15.0" customHeight="1">
      <c r="A20" s="106"/>
      <c r="B20" s="106"/>
      <c r="C20" s="106"/>
      <c r="D20" s="129" t="s">
        <v>272</v>
      </c>
      <c r="E20" s="114" t="s">
        <v>262</v>
      </c>
      <c r="F20" s="115" t="s">
        <v>61</v>
      </c>
      <c r="G20" s="116" t="b">
        <v>0</v>
      </c>
      <c r="H20" s="116" t="b">
        <v>0</v>
      </c>
      <c r="I20" s="116" t="b">
        <v>0</v>
      </c>
      <c r="J20" s="116" t="b">
        <v>0</v>
      </c>
      <c r="K20" s="116" t="b">
        <v>0</v>
      </c>
      <c r="L20" s="117">
        <f t="shared" si="1"/>
        <v>0</v>
      </c>
      <c r="M20" s="117">
        <f t="shared" si="2"/>
        <v>0</v>
      </c>
      <c r="N20" s="112"/>
      <c r="O20" s="106"/>
    </row>
    <row r="21" ht="15.0" customHeight="1">
      <c r="A21" s="112"/>
      <c r="B21" s="112"/>
      <c r="C21" s="112"/>
      <c r="D21" s="129" t="s">
        <v>241</v>
      </c>
      <c r="E21" s="114" t="s">
        <v>184</v>
      </c>
      <c r="F21" s="115" t="s">
        <v>61</v>
      </c>
      <c r="G21" s="116" t="b">
        <v>0</v>
      </c>
      <c r="H21" s="116" t="b">
        <v>0</v>
      </c>
      <c r="I21" s="116" t="b">
        <v>0</v>
      </c>
      <c r="J21" s="116" t="b">
        <v>0</v>
      </c>
      <c r="K21" s="116" t="b">
        <v>0</v>
      </c>
      <c r="L21" s="117">
        <f t="shared" si="1"/>
        <v>0</v>
      </c>
      <c r="M21" s="117">
        <f t="shared" si="2"/>
        <v>0</v>
      </c>
      <c r="N21" s="112"/>
      <c r="O21" s="112"/>
    </row>
    <row r="22" ht="15.0" customHeight="1">
      <c r="A22" s="112"/>
      <c r="B22" s="112"/>
      <c r="C22" s="112"/>
      <c r="D22" s="129" t="s">
        <v>263</v>
      </c>
      <c r="E22" s="114" t="str">
        <f>VLOOKUP(D22,Data!H:I,2,0)</f>
        <v>Bolu</v>
      </c>
      <c r="F22" s="115" t="str">
        <f>VLOOKUP(D22,Data!H:J,3,0)</f>
        <v>Nazım Öztel</v>
      </c>
      <c r="G22" s="116" t="b">
        <v>0</v>
      </c>
      <c r="H22" s="116" t="b">
        <v>0</v>
      </c>
      <c r="I22" s="116" t="b">
        <v>0</v>
      </c>
      <c r="J22" s="116" t="b">
        <v>0</v>
      </c>
      <c r="K22" s="116" t="b">
        <v>0</v>
      </c>
      <c r="L22" s="117">
        <f t="shared" si="1"/>
        <v>0</v>
      </c>
      <c r="M22" s="117">
        <f t="shared" si="2"/>
        <v>0</v>
      </c>
      <c r="N22" s="112"/>
      <c r="O22" s="112"/>
    </row>
    <row r="23" ht="15.0" customHeight="1">
      <c r="A23" s="112"/>
      <c r="B23" s="112"/>
      <c r="C23" s="112"/>
      <c r="D23" s="129" t="s">
        <v>53</v>
      </c>
      <c r="E23" s="114" t="str">
        <f>VLOOKUP(D23,Data!H:I,2,0)</f>
        <v>Bursa</v>
      </c>
      <c r="F23" s="115" t="str">
        <f>VLOOKUP(D23,Data!H:J,3,0)</f>
        <v>Freelance</v>
      </c>
      <c r="G23" s="116" t="b">
        <v>0</v>
      </c>
      <c r="H23" s="116" t="b">
        <v>0</v>
      </c>
      <c r="I23" s="116" t="b">
        <v>0</v>
      </c>
      <c r="J23" s="116" t="b">
        <v>0</v>
      </c>
      <c r="K23" s="116" t="b">
        <v>0</v>
      </c>
      <c r="L23" s="117">
        <f t="shared" si="1"/>
        <v>0</v>
      </c>
      <c r="M23" s="117">
        <f t="shared" si="2"/>
        <v>0</v>
      </c>
      <c r="N23" s="112"/>
      <c r="O23" s="112"/>
    </row>
    <row r="24" ht="15.0" customHeight="1">
      <c r="A24" s="112"/>
      <c r="B24" s="112"/>
      <c r="C24" s="112"/>
      <c r="D24" s="129" t="s">
        <v>247</v>
      </c>
      <c r="E24" s="114" t="str">
        <f>VLOOKUP(D24,Data!H:I,2,0)</f>
        <v>Çanakkale</v>
      </c>
      <c r="F24" s="115" t="str">
        <f>VLOOKUP(D24,Data!H:J,3,0)</f>
        <v>Nazım Öztel</v>
      </c>
      <c r="G24" s="116" t="b">
        <v>0</v>
      </c>
      <c r="H24" s="116" t="b">
        <v>0</v>
      </c>
      <c r="I24" s="116" t="b">
        <v>0</v>
      </c>
      <c r="J24" s="116" t="b">
        <v>0</v>
      </c>
      <c r="K24" s="116" t="b">
        <v>0</v>
      </c>
      <c r="L24" s="117">
        <f t="shared" si="1"/>
        <v>0</v>
      </c>
      <c r="M24" s="117">
        <f t="shared" si="2"/>
        <v>0</v>
      </c>
      <c r="N24" s="112"/>
      <c r="O24" s="112"/>
    </row>
    <row r="25" ht="15.0" customHeight="1">
      <c r="A25" s="112"/>
      <c r="B25" s="112"/>
      <c r="C25" s="112"/>
      <c r="D25" s="129" t="s">
        <v>221</v>
      </c>
      <c r="E25" s="114" t="str">
        <f>VLOOKUP(D25,Data!H:I,2,0)</f>
        <v>Çorum</v>
      </c>
      <c r="F25" s="115" t="str">
        <f>VLOOKUP(D25,Data!H:J,3,0)</f>
        <v>Nazım Öztel</v>
      </c>
      <c r="G25" s="116" t="b">
        <v>0</v>
      </c>
      <c r="H25" s="116" t="b">
        <v>0</v>
      </c>
      <c r="I25" s="116" t="b">
        <v>0</v>
      </c>
      <c r="J25" s="116" t="b">
        <v>0</v>
      </c>
      <c r="K25" s="116" t="b">
        <v>0</v>
      </c>
      <c r="L25" s="117">
        <f t="shared" si="1"/>
        <v>0</v>
      </c>
      <c r="M25" s="117">
        <f t="shared" si="2"/>
        <v>0</v>
      </c>
      <c r="N25" s="112"/>
      <c r="O25" s="112"/>
    </row>
    <row r="26" ht="15.0" customHeight="1">
      <c r="A26" s="112"/>
      <c r="B26" s="112"/>
      <c r="C26" s="112"/>
      <c r="D26" s="129" t="s">
        <v>264</v>
      </c>
      <c r="E26" s="114" t="str">
        <f>VLOOKUP(D26,Data!H:I,2,0)</f>
        <v>Denizli</v>
      </c>
      <c r="F26" s="115" t="str">
        <f>VLOOKUP(D26,Data!H:J,3,0)</f>
        <v>Nazım Öztel</v>
      </c>
      <c r="G26" s="116" t="b">
        <v>0</v>
      </c>
      <c r="H26" s="116" t="b">
        <v>0</v>
      </c>
      <c r="I26" s="116" t="b">
        <v>0</v>
      </c>
      <c r="J26" s="116" t="b">
        <v>0</v>
      </c>
      <c r="K26" s="116" t="b">
        <v>0</v>
      </c>
      <c r="L26" s="117">
        <f t="shared" si="1"/>
        <v>0</v>
      </c>
      <c r="M26" s="117">
        <f t="shared" si="2"/>
        <v>0</v>
      </c>
      <c r="N26" s="112"/>
      <c r="O26" s="112"/>
    </row>
    <row r="27" ht="15.0" customHeight="1">
      <c r="A27" s="112"/>
      <c r="B27" s="112"/>
      <c r="C27" s="112"/>
      <c r="D27" s="132" t="s">
        <v>54</v>
      </c>
      <c r="E27" s="114" t="str">
        <f>VLOOKUP(D27,Data!H:I,2,0)</f>
        <v>Diyarbakır</v>
      </c>
      <c r="F27" s="115" t="str">
        <f>VLOOKUP(D27,Data!H:J,3,0)</f>
        <v>Nazım Öztel</v>
      </c>
      <c r="G27" s="116" t="b">
        <v>0</v>
      </c>
      <c r="H27" s="116" t="b">
        <v>0</v>
      </c>
      <c r="I27" s="116" t="b">
        <v>0</v>
      </c>
      <c r="J27" s="116" t="b">
        <v>0</v>
      </c>
      <c r="K27" s="116" t="b">
        <v>0</v>
      </c>
      <c r="L27" s="117">
        <f t="shared" si="1"/>
        <v>0</v>
      </c>
      <c r="M27" s="117">
        <f t="shared" si="2"/>
        <v>0</v>
      </c>
      <c r="N27" s="112"/>
      <c r="O27" s="112"/>
    </row>
    <row r="28" ht="15.0" customHeight="1">
      <c r="A28" s="112"/>
      <c r="B28" s="112"/>
      <c r="C28" s="112"/>
      <c r="D28" s="129" t="s">
        <v>173</v>
      </c>
      <c r="E28" s="114" t="str">
        <f>VLOOKUP(D28,Data!H:I,2,0)</f>
        <v>Düzce</v>
      </c>
      <c r="F28" s="115" t="str">
        <f>VLOOKUP(D28,Data!H:J,3,0)</f>
        <v>Nazım Öztel</v>
      </c>
      <c r="G28" s="116" t="b">
        <v>0</v>
      </c>
      <c r="H28" s="116" t="b">
        <v>0</v>
      </c>
      <c r="I28" s="116" t="b">
        <v>0</v>
      </c>
      <c r="J28" s="116" t="b">
        <v>0</v>
      </c>
      <c r="K28" s="116" t="b">
        <v>0</v>
      </c>
      <c r="L28" s="117">
        <f t="shared" si="1"/>
        <v>0</v>
      </c>
      <c r="M28" s="117">
        <f t="shared" si="2"/>
        <v>0</v>
      </c>
      <c r="N28" s="112"/>
      <c r="O28" s="112"/>
    </row>
    <row r="29" ht="15.0" customHeight="1">
      <c r="A29" s="112"/>
      <c r="B29" s="112"/>
      <c r="C29" s="112"/>
      <c r="D29" s="129" t="s">
        <v>153</v>
      </c>
      <c r="E29" s="114" t="str">
        <f>VLOOKUP(D29,Data!H:I,2,0)</f>
        <v>Edirne</v>
      </c>
      <c r="F29" s="115" t="str">
        <f>VLOOKUP(D29,Data!H:J,3,0)</f>
        <v>Nazım Öztel</v>
      </c>
      <c r="G29" s="116" t="b">
        <v>0</v>
      </c>
      <c r="H29" s="116" t="b">
        <v>0</v>
      </c>
      <c r="I29" s="116" t="b">
        <v>0</v>
      </c>
      <c r="J29" s="116" t="b">
        <v>0</v>
      </c>
      <c r="K29" s="116" t="b">
        <v>0</v>
      </c>
      <c r="L29" s="117">
        <f t="shared" si="1"/>
        <v>0</v>
      </c>
      <c r="M29" s="117">
        <f t="shared" si="2"/>
        <v>0</v>
      </c>
      <c r="N29" s="112"/>
      <c r="O29" s="112"/>
    </row>
    <row r="30" ht="15.0" customHeight="1">
      <c r="A30" s="112"/>
      <c r="B30" s="112"/>
      <c r="C30" s="112"/>
      <c r="D30" s="129" t="s">
        <v>199</v>
      </c>
      <c r="E30" s="114" t="str">
        <f>VLOOKUP(D30,Data!H:I,2,0)</f>
        <v>Elazığ</v>
      </c>
      <c r="F30" s="115" t="str">
        <f>VLOOKUP(D30,Data!H:J,3,0)</f>
        <v>Nazım Öztel</v>
      </c>
      <c r="G30" s="116" t="b">
        <v>0</v>
      </c>
      <c r="H30" s="116" t="b">
        <v>0</v>
      </c>
      <c r="I30" s="116" t="b">
        <v>0</v>
      </c>
      <c r="J30" s="116" t="b">
        <v>0</v>
      </c>
      <c r="K30" s="116" t="b">
        <v>0</v>
      </c>
      <c r="L30" s="117">
        <f t="shared" si="1"/>
        <v>0</v>
      </c>
      <c r="M30" s="117">
        <f t="shared" si="2"/>
        <v>0</v>
      </c>
      <c r="N30" s="112"/>
      <c r="O30" s="112"/>
    </row>
    <row r="31" ht="15.0" customHeight="1">
      <c r="A31" s="112"/>
      <c r="B31" s="112"/>
      <c r="C31" s="112"/>
      <c r="D31" s="132" t="s">
        <v>55</v>
      </c>
      <c r="E31" s="114" t="str">
        <f>VLOOKUP(D31,Data!H:I,2,0)</f>
        <v>Erzurum</v>
      </c>
      <c r="F31" s="115" t="str">
        <f>VLOOKUP(D31,Data!H:J,3,0)</f>
        <v>Nazım Öztel</v>
      </c>
      <c r="G31" s="116" t="b">
        <v>0</v>
      </c>
      <c r="H31" s="116" t="b">
        <v>0</v>
      </c>
      <c r="I31" s="116" t="b">
        <v>0</v>
      </c>
      <c r="J31" s="116" t="b">
        <v>0</v>
      </c>
      <c r="K31" s="116" t="b">
        <v>0</v>
      </c>
      <c r="L31" s="117">
        <f t="shared" si="1"/>
        <v>0</v>
      </c>
      <c r="M31" s="117">
        <f t="shared" si="2"/>
        <v>0</v>
      </c>
      <c r="N31" s="112"/>
      <c r="O31" s="112"/>
    </row>
    <row r="32" ht="15.0" customHeight="1">
      <c r="A32" s="112"/>
      <c r="B32" s="112"/>
      <c r="C32" s="112"/>
      <c r="D32" s="129" t="s">
        <v>165</v>
      </c>
      <c r="E32" s="114" t="str">
        <f>VLOOKUP(D32,Data!H:I,2,0)</f>
        <v>Eskişehir</v>
      </c>
      <c r="F32" s="115" t="str">
        <f>VLOOKUP(D32,Data!H:J,3,0)</f>
        <v>Nazım Öztel</v>
      </c>
      <c r="G32" s="116" t="b">
        <v>0</v>
      </c>
      <c r="H32" s="116" t="b">
        <v>0</v>
      </c>
      <c r="I32" s="116" t="b">
        <v>0</v>
      </c>
      <c r="J32" s="116" t="b">
        <v>0</v>
      </c>
      <c r="K32" s="116" t="b">
        <v>0</v>
      </c>
      <c r="L32" s="117">
        <f t="shared" si="1"/>
        <v>0</v>
      </c>
      <c r="M32" s="117">
        <f t="shared" si="2"/>
        <v>0</v>
      </c>
      <c r="N32" s="112"/>
      <c r="O32" s="112"/>
    </row>
    <row r="33" ht="15.0" customHeight="1">
      <c r="A33" s="112"/>
      <c r="B33" s="112"/>
      <c r="C33" s="112"/>
      <c r="D33" s="129" t="s">
        <v>273</v>
      </c>
      <c r="E33" s="114" t="str">
        <f>VLOOKUP(D33,Data!H:I,2,0)</f>
        <v>Gaziantep</v>
      </c>
      <c r="F33" s="115" t="str">
        <f>VLOOKUP(D33,Data!H:J,3,0)</f>
        <v>Nazım Öztel</v>
      </c>
      <c r="G33" s="116" t="b">
        <v>0</v>
      </c>
      <c r="H33" s="116" t="b">
        <v>0</v>
      </c>
      <c r="I33" s="116" t="b">
        <v>0</v>
      </c>
      <c r="J33" s="116" t="b">
        <v>0</v>
      </c>
      <c r="K33" s="116" t="b">
        <v>0</v>
      </c>
      <c r="L33" s="117">
        <f t="shared" si="1"/>
        <v>0</v>
      </c>
      <c r="M33" s="117">
        <f t="shared" si="2"/>
        <v>0</v>
      </c>
      <c r="N33" s="112"/>
      <c r="O33" s="112"/>
    </row>
    <row r="34" ht="15.0" customHeight="1">
      <c r="A34" s="112"/>
      <c r="B34" s="112"/>
      <c r="C34" s="112"/>
      <c r="D34" s="129" t="s">
        <v>248</v>
      </c>
      <c r="E34" s="114" t="str">
        <f>VLOOKUP(D34,Data!H:I,2,0)</f>
        <v>Hatay</v>
      </c>
      <c r="F34" s="115" t="str">
        <f>VLOOKUP(D34,Data!H:J,3,0)</f>
        <v>Nazım Öztel</v>
      </c>
      <c r="G34" s="116" t="b">
        <v>0</v>
      </c>
      <c r="H34" s="116" t="b">
        <v>0</v>
      </c>
      <c r="I34" s="116" t="b">
        <v>0</v>
      </c>
      <c r="J34" s="116" t="b">
        <v>0</v>
      </c>
      <c r="K34" s="116" t="b">
        <v>0</v>
      </c>
      <c r="L34" s="117">
        <f t="shared" si="1"/>
        <v>0</v>
      </c>
      <c r="M34" s="117">
        <f t="shared" si="2"/>
        <v>0</v>
      </c>
      <c r="N34" s="112"/>
      <c r="O34" s="112"/>
    </row>
    <row r="35" ht="15.0" customHeight="1">
      <c r="A35" s="112"/>
      <c r="B35" s="112"/>
      <c r="C35" s="112"/>
      <c r="D35" s="129" t="s">
        <v>58</v>
      </c>
      <c r="E35" s="114" t="str">
        <f>VLOOKUP(D35,Data!H:I,2,0)</f>
        <v>İstanbul</v>
      </c>
      <c r="F35" s="115" t="str">
        <f>VLOOKUP(D35,Data!H:J,3,0)</f>
        <v>Freelance</v>
      </c>
      <c r="G35" s="116" t="b">
        <v>0</v>
      </c>
      <c r="H35" s="116" t="b">
        <v>0</v>
      </c>
      <c r="I35" s="116" t="b">
        <v>0</v>
      </c>
      <c r="J35" s="116" t="b">
        <v>0</v>
      </c>
      <c r="K35" s="116" t="b">
        <v>0</v>
      </c>
      <c r="L35" s="117">
        <f t="shared" si="1"/>
        <v>0</v>
      </c>
      <c r="M35" s="117">
        <f t="shared" si="2"/>
        <v>0</v>
      </c>
      <c r="N35" s="88"/>
      <c r="O35" s="112"/>
    </row>
    <row r="36" ht="15.0" customHeight="1">
      <c r="A36" s="121"/>
      <c r="B36" s="121"/>
      <c r="C36" s="121"/>
      <c r="D36" s="129" t="s">
        <v>236</v>
      </c>
      <c r="E36" s="114" t="str">
        <f>VLOOKUP(D36,Data!H:I,2,0)</f>
        <v>İstanbul</v>
      </c>
      <c r="F36" s="115" t="str">
        <f>VLOOKUP(D36,Data!H:J,3,0)</f>
        <v>Filamingo</v>
      </c>
      <c r="G36" s="116" t="b">
        <v>0</v>
      </c>
      <c r="H36" s="116" t="b">
        <v>0</v>
      </c>
      <c r="I36" s="116" t="b">
        <v>0</v>
      </c>
      <c r="J36" s="116" t="b">
        <v>0</v>
      </c>
      <c r="K36" s="116" t="b">
        <v>0</v>
      </c>
      <c r="L36" s="117">
        <f t="shared" si="1"/>
        <v>0</v>
      </c>
      <c r="M36" s="117">
        <f t="shared" si="2"/>
        <v>0</v>
      </c>
      <c r="N36" s="121"/>
      <c r="O36" s="121"/>
    </row>
    <row r="37" ht="15.0" customHeight="1">
      <c r="A37" s="112"/>
      <c r="B37" s="112"/>
      <c r="C37" s="112"/>
      <c r="D37" s="129" t="s">
        <v>135</v>
      </c>
      <c r="E37" s="114" t="str">
        <f>VLOOKUP(D37,Data!H:I,2,0)</f>
        <v>İstanbul</v>
      </c>
      <c r="F37" s="115" t="str">
        <f>VLOOKUP(D37,Data!H:J,3,0)</f>
        <v>Freelance</v>
      </c>
      <c r="G37" s="116" t="b">
        <v>0</v>
      </c>
      <c r="H37" s="116" t="b">
        <v>0</v>
      </c>
      <c r="I37" s="116" t="b">
        <v>0</v>
      </c>
      <c r="J37" s="116" t="b">
        <v>0</v>
      </c>
      <c r="K37" s="116" t="b">
        <v>0</v>
      </c>
      <c r="L37" s="117">
        <f t="shared" si="1"/>
        <v>0</v>
      </c>
      <c r="M37" s="117">
        <f t="shared" si="2"/>
        <v>0</v>
      </c>
      <c r="N37" s="112"/>
      <c r="O37" s="112"/>
    </row>
    <row r="38" ht="15.0" customHeight="1">
      <c r="A38" s="112"/>
      <c r="B38" s="112"/>
      <c r="C38" s="112"/>
      <c r="D38" s="129" t="s">
        <v>70</v>
      </c>
      <c r="E38" s="114" t="str">
        <f>VLOOKUP(D38,Data!H:I,2,0)</f>
        <v>İstanbul</v>
      </c>
      <c r="F38" s="115" t="str">
        <f>VLOOKUP(D38,Data!H:J,3,0)</f>
        <v>Freelance</v>
      </c>
      <c r="G38" s="116" t="b">
        <v>0</v>
      </c>
      <c r="H38" s="116" t="b">
        <v>0</v>
      </c>
      <c r="I38" s="116" t="b">
        <v>0</v>
      </c>
      <c r="J38" s="116" t="b">
        <v>0</v>
      </c>
      <c r="K38" s="116" t="b">
        <v>0</v>
      </c>
      <c r="L38" s="117">
        <f t="shared" si="1"/>
        <v>0</v>
      </c>
      <c r="M38" s="117">
        <f t="shared" si="2"/>
        <v>0</v>
      </c>
      <c r="N38" s="112"/>
      <c r="O38" s="112"/>
    </row>
    <row r="39" ht="15.0" customHeight="1">
      <c r="A39" s="112"/>
      <c r="B39" s="112"/>
      <c r="C39" s="112"/>
      <c r="D39" s="129" t="s">
        <v>78</v>
      </c>
      <c r="E39" s="114" t="str">
        <f>VLOOKUP(D39,Data!H:I,2,0)</f>
        <v>İstanbul</v>
      </c>
      <c r="F39" s="115" t="str">
        <f>VLOOKUP(D39,Data!H:J,3,0)</f>
        <v>Freelance</v>
      </c>
      <c r="G39" s="116" t="b">
        <v>0</v>
      </c>
      <c r="H39" s="116" t="b">
        <v>0</v>
      </c>
      <c r="I39" s="116" t="b">
        <v>0</v>
      </c>
      <c r="J39" s="116" t="b">
        <v>0</v>
      </c>
      <c r="K39" s="116" t="b">
        <v>0</v>
      </c>
      <c r="L39" s="117">
        <f t="shared" si="1"/>
        <v>0</v>
      </c>
      <c r="M39" s="117">
        <f t="shared" si="2"/>
        <v>0</v>
      </c>
      <c r="N39" s="120"/>
      <c r="O39" s="112"/>
    </row>
    <row r="40" ht="15.0" customHeight="1">
      <c r="A40" s="112"/>
      <c r="B40" s="112"/>
      <c r="C40" s="112"/>
      <c r="D40" s="129" t="s">
        <v>79</v>
      </c>
      <c r="E40" s="114" t="str">
        <f>VLOOKUP(D40,Data!H:I,2,0)</f>
        <v>İstanbul</v>
      </c>
      <c r="F40" s="115" t="str">
        <f>VLOOKUP(D40,Data!H:J,3,0)</f>
        <v>Freelance</v>
      </c>
      <c r="G40" s="116" t="b">
        <v>0</v>
      </c>
      <c r="H40" s="116" t="b">
        <v>0</v>
      </c>
      <c r="I40" s="116" t="b">
        <v>0</v>
      </c>
      <c r="J40" s="116" t="b">
        <v>0</v>
      </c>
      <c r="K40" s="116" t="b">
        <v>0</v>
      </c>
      <c r="L40" s="117">
        <f t="shared" si="1"/>
        <v>0</v>
      </c>
      <c r="M40" s="117">
        <f t="shared" si="2"/>
        <v>0</v>
      </c>
      <c r="N40" s="120"/>
      <c r="O40" s="112"/>
    </row>
    <row r="41" ht="15.0" customHeight="1">
      <c r="A41" s="122"/>
      <c r="B41" s="122"/>
      <c r="C41" s="122"/>
      <c r="D41" s="129" t="s">
        <v>80</v>
      </c>
      <c r="E41" s="114" t="str">
        <f>VLOOKUP(D41,Data!H:I,2,0)</f>
        <v>İstanbul</v>
      </c>
      <c r="F41" s="115" t="str">
        <f>VLOOKUP(D41,Data!H:J,3,0)</f>
        <v>Freelance</v>
      </c>
      <c r="G41" s="116" t="b">
        <v>0</v>
      </c>
      <c r="H41" s="116" t="b">
        <v>0</v>
      </c>
      <c r="I41" s="116" t="b">
        <v>0</v>
      </c>
      <c r="J41" s="116" t="b">
        <v>0</v>
      </c>
      <c r="K41" s="116" t="b">
        <v>0</v>
      </c>
      <c r="L41" s="117">
        <f t="shared" si="1"/>
        <v>0</v>
      </c>
      <c r="M41" s="117">
        <f t="shared" si="2"/>
        <v>0</v>
      </c>
      <c r="N41" s="112"/>
      <c r="O41" s="122"/>
    </row>
    <row r="42" ht="15.0" customHeight="1">
      <c r="A42" s="112"/>
      <c r="B42" s="112"/>
      <c r="C42" s="112"/>
      <c r="D42" s="132" t="s">
        <v>119</v>
      </c>
      <c r="E42" s="114" t="str">
        <f>VLOOKUP(D42,Data!H:I,2,0)</f>
        <v>İstanbul</v>
      </c>
      <c r="F42" s="115" t="str">
        <f>VLOOKUP(D42,Data!H:J,3,0)</f>
        <v>Filamingo</v>
      </c>
      <c r="G42" s="116" t="b">
        <v>0</v>
      </c>
      <c r="H42" s="116" t="b">
        <v>0</v>
      </c>
      <c r="I42" s="116" t="b">
        <v>0</v>
      </c>
      <c r="J42" s="116" t="b">
        <v>0</v>
      </c>
      <c r="K42" s="116" t="b">
        <v>0</v>
      </c>
      <c r="L42" s="117">
        <f t="shared" si="1"/>
        <v>0</v>
      </c>
      <c r="M42" s="117">
        <f t="shared" si="2"/>
        <v>0</v>
      </c>
      <c r="N42" s="124"/>
      <c r="O42" s="112"/>
    </row>
    <row r="43" ht="15.0" customHeight="1">
      <c r="A43" s="112"/>
      <c r="B43" s="112"/>
      <c r="C43" s="112"/>
      <c r="D43" s="129" t="s">
        <v>96</v>
      </c>
      <c r="E43" s="114" t="s">
        <v>237</v>
      </c>
      <c r="F43" s="115" t="s">
        <v>61</v>
      </c>
      <c r="G43" s="116" t="b">
        <v>0</v>
      </c>
      <c r="H43" s="116" t="b">
        <v>0</v>
      </c>
      <c r="I43" s="116" t="b">
        <v>0</v>
      </c>
      <c r="J43" s="116" t="b">
        <v>0</v>
      </c>
      <c r="K43" s="116" t="b">
        <v>0</v>
      </c>
      <c r="L43" s="117">
        <f t="shared" si="1"/>
        <v>0</v>
      </c>
      <c r="M43" s="117">
        <f t="shared" si="2"/>
        <v>0</v>
      </c>
      <c r="N43" s="124"/>
      <c r="O43" s="112"/>
    </row>
    <row r="44" ht="15.0" customHeight="1">
      <c r="A44" s="112"/>
      <c r="B44" s="112"/>
      <c r="C44" s="112"/>
      <c r="D44" s="129" t="s">
        <v>217</v>
      </c>
      <c r="E44" s="114" t="str">
        <f>VLOOKUP(D44,Data!H:I,2,0)</f>
        <v>İstanbul</v>
      </c>
      <c r="F44" s="115" t="str">
        <f>VLOOKUP(D44,Data!H:J,3,0)</f>
        <v>Freelance</v>
      </c>
      <c r="G44" s="116" t="b">
        <v>0</v>
      </c>
      <c r="H44" s="116" t="b">
        <v>0</v>
      </c>
      <c r="I44" s="116" t="b">
        <v>0</v>
      </c>
      <c r="J44" s="116" t="b">
        <v>0</v>
      </c>
      <c r="K44" s="116" t="b">
        <v>0</v>
      </c>
      <c r="L44" s="117">
        <f t="shared" si="1"/>
        <v>0</v>
      </c>
      <c r="M44" s="117">
        <f t="shared" si="2"/>
        <v>0</v>
      </c>
      <c r="N44" s="112"/>
      <c r="O44" s="112"/>
    </row>
    <row r="45" ht="15.0" customHeight="1">
      <c r="A45" s="112"/>
      <c r="B45" s="112"/>
      <c r="C45" s="112"/>
      <c r="D45" s="129" t="s">
        <v>81</v>
      </c>
      <c r="E45" s="114" t="str">
        <f>VLOOKUP(D45,Data!H:I,2,0)</f>
        <v>İstanbul</v>
      </c>
      <c r="F45" s="115" t="str">
        <f>VLOOKUP(D45,Data!H:J,3,0)</f>
        <v>Freelance</v>
      </c>
      <c r="G45" s="116" t="b">
        <v>0</v>
      </c>
      <c r="H45" s="116" t="b">
        <v>0</v>
      </c>
      <c r="I45" s="116" t="b">
        <v>0</v>
      </c>
      <c r="J45" s="116" t="b">
        <v>0</v>
      </c>
      <c r="K45" s="116" t="b">
        <v>0</v>
      </c>
      <c r="L45" s="117">
        <f t="shared" si="1"/>
        <v>0</v>
      </c>
      <c r="M45" s="117">
        <f t="shared" si="2"/>
        <v>0</v>
      </c>
      <c r="N45" s="112"/>
      <c r="O45" s="112"/>
    </row>
    <row r="46" ht="15.0" customHeight="1">
      <c r="A46" s="112"/>
      <c r="B46" s="112"/>
      <c r="C46" s="112"/>
      <c r="D46" s="129" t="s">
        <v>201</v>
      </c>
      <c r="E46" s="114" t="str">
        <f>VLOOKUP(D46,Data!H:I,2,0)</f>
        <v>İstanbul</v>
      </c>
      <c r="F46" s="114" t="str">
        <f>VLOOKUP(D46,Data!H:J,3,0)</f>
        <v>Freelance</v>
      </c>
      <c r="G46" s="116" t="b">
        <v>0</v>
      </c>
      <c r="H46" s="116" t="b">
        <v>0</v>
      </c>
      <c r="I46" s="116" t="b">
        <v>0</v>
      </c>
      <c r="J46" s="116" t="b">
        <v>0</v>
      </c>
      <c r="K46" s="116" t="b">
        <v>0</v>
      </c>
      <c r="L46" s="117">
        <f t="shared" si="1"/>
        <v>0</v>
      </c>
      <c r="M46" s="117">
        <f t="shared" si="2"/>
        <v>0</v>
      </c>
      <c r="N46" s="112"/>
      <c r="O46" s="112"/>
    </row>
    <row r="47" ht="15.0" customHeight="1">
      <c r="A47" s="112"/>
      <c r="B47" s="112"/>
      <c r="C47" s="112"/>
      <c r="D47" s="132" t="s">
        <v>83</v>
      </c>
      <c r="E47" s="114" t="str">
        <f>VLOOKUP(D47,Data!H:I,2,0)</f>
        <v>İstanbul</v>
      </c>
      <c r="F47" s="115" t="str">
        <f>VLOOKUP(D47,Data!H:J,3,0)</f>
        <v>Nazım Öztel</v>
      </c>
      <c r="G47" s="116" t="b">
        <v>0</v>
      </c>
      <c r="H47" s="116" t="b">
        <v>0</v>
      </c>
      <c r="I47" s="116" t="b">
        <v>0</v>
      </c>
      <c r="J47" s="116" t="b">
        <v>0</v>
      </c>
      <c r="K47" s="116" t="b">
        <v>0</v>
      </c>
      <c r="L47" s="117">
        <f t="shared" si="1"/>
        <v>0</v>
      </c>
      <c r="M47" s="117">
        <f t="shared" si="2"/>
        <v>0</v>
      </c>
      <c r="N47" s="112"/>
      <c r="O47" s="112"/>
    </row>
    <row r="48" ht="15.0" customHeight="1">
      <c r="A48" s="112"/>
      <c r="B48" s="112"/>
      <c r="C48" s="112"/>
      <c r="D48" s="129" t="s">
        <v>224</v>
      </c>
      <c r="E48" s="145" t="str">
        <f>VLOOKUP(D48,Data!H:I,2,0)</f>
        <v>İstanbul</v>
      </c>
      <c r="F48" s="147" t="str">
        <f>VLOOKUP(D48,Data!H:J,3,0)</f>
        <v>Filamingo</v>
      </c>
      <c r="G48" s="116" t="b">
        <v>0</v>
      </c>
      <c r="H48" s="116" t="b">
        <v>0</v>
      </c>
      <c r="I48" s="116" t="b">
        <v>0</v>
      </c>
      <c r="J48" s="116" t="b">
        <v>0</v>
      </c>
      <c r="K48" s="116" t="b">
        <v>0</v>
      </c>
      <c r="L48" s="146">
        <f t="shared" si="1"/>
        <v>0</v>
      </c>
      <c r="M48" s="146">
        <f t="shared" si="2"/>
        <v>0</v>
      </c>
      <c r="N48" s="125"/>
      <c r="O48" s="112"/>
    </row>
    <row r="49" ht="15.0" customHeight="1">
      <c r="A49" s="125"/>
      <c r="B49" s="125"/>
      <c r="C49" s="125"/>
      <c r="D49" s="129" t="s">
        <v>225</v>
      </c>
      <c r="E49" s="114" t="str">
        <f>VLOOKUP(D49,Data!H:I,2,0)</f>
        <v>İstanbul</v>
      </c>
      <c r="F49" s="115" t="str">
        <f>VLOOKUP(D49,Data!H:J,3,0)</f>
        <v>Filamingo</v>
      </c>
      <c r="G49" s="116" t="b">
        <v>0</v>
      </c>
      <c r="H49" s="116" t="b">
        <v>0</v>
      </c>
      <c r="I49" s="116" t="b">
        <v>0</v>
      </c>
      <c r="J49" s="116" t="b">
        <v>0</v>
      </c>
      <c r="K49" s="116" t="b">
        <v>0</v>
      </c>
      <c r="L49" s="117">
        <f t="shared" si="1"/>
        <v>0</v>
      </c>
      <c r="M49" s="117">
        <f t="shared" si="2"/>
        <v>0</v>
      </c>
      <c r="N49" s="112"/>
      <c r="O49" s="125"/>
    </row>
    <row r="50" ht="15.0" customHeight="1">
      <c r="A50" s="125"/>
      <c r="B50" s="125"/>
      <c r="C50" s="125"/>
      <c r="D50" s="129" t="s">
        <v>145</v>
      </c>
      <c r="E50" s="114" t="str">
        <f>VLOOKUP(D50,Data!H:I,2,0)</f>
        <v>İstanbul</v>
      </c>
      <c r="F50" s="115" t="str">
        <f>VLOOKUP(D50,Data!H:J,3,0)</f>
        <v>Filamingo</v>
      </c>
      <c r="G50" s="116" t="b">
        <v>0</v>
      </c>
      <c r="H50" s="116" t="b">
        <v>0</v>
      </c>
      <c r="I50" s="116" t="b">
        <v>0</v>
      </c>
      <c r="J50" s="116" t="b">
        <v>0</v>
      </c>
      <c r="K50" s="116" t="b">
        <v>0</v>
      </c>
      <c r="L50" s="117">
        <f t="shared" si="1"/>
        <v>0</v>
      </c>
      <c r="M50" s="117">
        <f t="shared" si="2"/>
        <v>0</v>
      </c>
      <c r="N50" s="112"/>
      <c r="O50" s="125"/>
    </row>
    <row r="51" ht="15.0" customHeight="1">
      <c r="A51" s="125"/>
      <c r="B51" s="125"/>
      <c r="C51" s="125"/>
      <c r="D51" s="129" t="s">
        <v>274</v>
      </c>
      <c r="E51" s="114" t="str">
        <f>VLOOKUP(D51,Data!H:I,2,0)</f>
        <v>İstanbul</v>
      </c>
      <c r="F51" s="115" t="str">
        <f>VLOOKUP(D51,Data!H:J,3,0)</f>
        <v>Filamingo</v>
      </c>
      <c r="G51" s="116" t="b">
        <v>0</v>
      </c>
      <c r="H51" s="116" t="b">
        <v>0</v>
      </c>
      <c r="I51" s="116" t="b">
        <v>0</v>
      </c>
      <c r="J51" s="116" t="b">
        <v>0</v>
      </c>
      <c r="K51" s="116" t="b">
        <v>0</v>
      </c>
      <c r="L51" s="117">
        <f t="shared" si="1"/>
        <v>0</v>
      </c>
      <c r="M51" s="117">
        <f t="shared" si="2"/>
        <v>0</v>
      </c>
      <c r="N51" s="112"/>
      <c r="O51" s="125"/>
    </row>
    <row r="52" ht="15.0" customHeight="1">
      <c r="A52" s="125"/>
      <c r="B52" s="125"/>
      <c r="C52" s="125"/>
      <c r="D52" s="129" t="s">
        <v>87</v>
      </c>
      <c r="E52" s="114" t="str">
        <f>VLOOKUP(D52,Data!H:I,2,0)</f>
        <v>İstanbul</v>
      </c>
      <c r="F52" s="115" t="str">
        <f>VLOOKUP(D52,Data!H:J,3,0)</f>
        <v>Freelance</v>
      </c>
      <c r="G52" s="116" t="b">
        <v>0</v>
      </c>
      <c r="H52" s="116" t="b">
        <v>0</v>
      </c>
      <c r="I52" s="116" t="b">
        <v>0</v>
      </c>
      <c r="J52" s="116" t="b">
        <v>0</v>
      </c>
      <c r="K52" s="116" t="b">
        <v>0</v>
      </c>
      <c r="L52" s="117">
        <f t="shared" si="1"/>
        <v>0</v>
      </c>
      <c r="M52" s="117">
        <f t="shared" si="2"/>
        <v>0</v>
      </c>
      <c r="N52" s="112"/>
      <c r="O52" s="125"/>
    </row>
    <row r="53" ht="15.0" customHeight="1">
      <c r="A53" s="125"/>
      <c r="B53" s="125"/>
      <c r="C53" s="125"/>
      <c r="D53" s="129" t="s">
        <v>226</v>
      </c>
      <c r="E53" s="114" t="str">
        <f>VLOOKUP(D53,Data!H:I,2,0)</f>
        <v>İstanbul</v>
      </c>
      <c r="F53" s="115" t="str">
        <f>VLOOKUP(D53,Data!H:J,3,0)</f>
        <v>Filamingo</v>
      </c>
      <c r="G53" s="116" t="b">
        <v>0</v>
      </c>
      <c r="H53" s="116" t="b">
        <v>0</v>
      </c>
      <c r="I53" s="116" t="b">
        <v>0</v>
      </c>
      <c r="J53" s="116" t="b">
        <v>0</v>
      </c>
      <c r="K53" s="116" t="b">
        <v>0</v>
      </c>
      <c r="L53" s="117">
        <f t="shared" si="1"/>
        <v>0</v>
      </c>
      <c r="M53" s="117">
        <f t="shared" si="2"/>
        <v>0</v>
      </c>
      <c r="N53" s="112"/>
      <c r="O53" s="125"/>
    </row>
    <row r="54" ht="15.0" customHeight="1">
      <c r="A54" s="112"/>
      <c r="B54" s="112"/>
      <c r="C54" s="112"/>
      <c r="D54" s="129" t="s">
        <v>249</v>
      </c>
      <c r="E54" s="114" t="str">
        <f>VLOOKUP(D54,Data!H:I,2,0)</f>
        <v>İstanbul</v>
      </c>
      <c r="F54" s="115" t="str">
        <f>VLOOKUP(D54,Data!H:J,3,0)</f>
        <v>Nazım Öztel</v>
      </c>
      <c r="G54" s="116" t="b">
        <v>0</v>
      </c>
      <c r="H54" s="116" t="b">
        <v>0</v>
      </c>
      <c r="I54" s="116" t="b">
        <v>0</v>
      </c>
      <c r="J54" s="116" t="b">
        <v>0</v>
      </c>
      <c r="K54" s="116" t="b">
        <v>0</v>
      </c>
      <c r="L54" s="117">
        <f t="shared" si="1"/>
        <v>0</v>
      </c>
      <c r="M54" s="117">
        <f t="shared" si="2"/>
        <v>0</v>
      </c>
      <c r="N54" s="112"/>
      <c r="O54" s="112"/>
    </row>
    <row r="55" ht="15.0" customHeight="1">
      <c r="A55" s="112"/>
      <c r="B55" s="112"/>
      <c r="C55" s="112"/>
      <c r="D55" s="129" t="s">
        <v>250</v>
      </c>
      <c r="E55" s="114" t="str">
        <f>VLOOKUP(D55,Data!H:I,2,0)</f>
        <v>İstanbul</v>
      </c>
      <c r="F55" s="115" t="str">
        <f>VLOOKUP(D55,Data!H:J,3,0)</f>
        <v>Filamingo</v>
      </c>
      <c r="G55" s="116" t="b">
        <v>0</v>
      </c>
      <c r="H55" s="116" t="b">
        <v>0</v>
      </c>
      <c r="I55" s="116" t="b">
        <v>0</v>
      </c>
      <c r="J55" s="116" t="b">
        <v>0</v>
      </c>
      <c r="K55" s="116" t="b">
        <v>0</v>
      </c>
      <c r="L55" s="117">
        <f t="shared" si="1"/>
        <v>0</v>
      </c>
      <c r="M55" s="117">
        <f t="shared" si="2"/>
        <v>0</v>
      </c>
      <c r="N55" s="125"/>
      <c r="O55" s="112"/>
    </row>
    <row r="56" ht="15.0" customHeight="1">
      <c r="A56" s="112"/>
      <c r="B56" s="112"/>
      <c r="C56" s="112"/>
      <c r="D56" s="129" t="s">
        <v>251</v>
      </c>
      <c r="E56" s="114" t="str">
        <f>VLOOKUP(D56,Data!H:I,2,0)</f>
        <v>İstanbul</v>
      </c>
      <c r="F56" s="115" t="str">
        <f>VLOOKUP(D56,Data!H:J,3,0)</f>
        <v>Filamingo</v>
      </c>
      <c r="G56" s="116" t="b">
        <v>0</v>
      </c>
      <c r="H56" s="116" t="b">
        <v>0</v>
      </c>
      <c r="I56" s="116" t="b">
        <v>0</v>
      </c>
      <c r="J56" s="116" t="b">
        <v>0</v>
      </c>
      <c r="K56" s="116" t="b">
        <v>0</v>
      </c>
      <c r="L56" s="117">
        <f t="shared" si="1"/>
        <v>0</v>
      </c>
      <c r="M56" s="117">
        <f t="shared" si="2"/>
        <v>0</v>
      </c>
      <c r="N56" s="125"/>
      <c r="O56" s="112"/>
    </row>
    <row r="57" ht="15.0" customHeight="1">
      <c r="A57" s="112"/>
      <c r="B57" s="112"/>
      <c r="C57" s="112"/>
      <c r="D57" s="129" t="s">
        <v>252</v>
      </c>
      <c r="E57" s="114" t="str">
        <f>VLOOKUP(D57,Data!H:I,2,0)</f>
        <v>İzmir</v>
      </c>
      <c r="F57" s="115" t="str">
        <f>VLOOKUP(D57,Data!H:J,3,0)</f>
        <v>Nazım Öztel</v>
      </c>
      <c r="G57" s="116" t="b">
        <v>0</v>
      </c>
      <c r="H57" s="116" t="b">
        <v>0</v>
      </c>
      <c r="I57" s="116" t="b">
        <v>0</v>
      </c>
      <c r="J57" s="116" t="b">
        <v>0</v>
      </c>
      <c r="K57" s="116" t="b">
        <v>0</v>
      </c>
      <c r="L57" s="117">
        <f t="shared" si="1"/>
        <v>0</v>
      </c>
      <c r="M57" s="117">
        <f t="shared" si="2"/>
        <v>0</v>
      </c>
      <c r="N57" s="125"/>
      <c r="O57" s="112"/>
    </row>
    <row r="58" ht="15.0" customHeight="1">
      <c r="A58" s="112"/>
      <c r="B58" s="112"/>
      <c r="C58" s="112"/>
      <c r="D58" s="132" t="s">
        <v>92</v>
      </c>
      <c r="E58" s="114" t="str">
        <f>VLOOKUP(D58,Data!H:I,2,0)</f>
        <v>İzmir</v>
      </c>
      <c r="F58" s="115" t="str">
        <f>VLOOKUP(D58,Data!H:J,3,0)</f>
        <v>Nazım Öztel</v>
      </c>
      <c r="G58" s="116" t="b">
        <v>0</v>
      </c>
      <c r="H58" s="116" t="b">
        <v>0</v>
      </c>
      <c r="I58" s="116" t="b">
        <v>0</v>
      </c>
      <c r="J58" s="116" t="b">
        <v>0</v>
      </c>
      <c r="K58" s="116" t="b">
        <v>0</v>
      </c>
      <c r="L58" s="117">
        <f t="shared" si="1"/>
        <v>0</v>
      </c>
      <c r="M58" s="117">
        <f t="shared" si="2"/>
        <v>0</v>
      </c>
      <c r="N58" s="112"/>
      <c r="O58" s="112"/>
    </row>
    <row r="59" ht="15.0" customHeight="1">
      <c r="A59" s="112"/>
      <c r="B59" s="112"/>
      <c r="C59" s="112"/>
      <c r="D59" s="129" t="s">
        <v>93</v>
      </c>
      <c r="E59" s="114" t="str">
        <f>VLOOKUP(D59,Data!H:I,2,0)</f>
        <v>İzmir</v>
      </c>
      <c r="F59" s="115" t="str">
        <f>VLOOKUP(D59,Data!H:J,3,0)</f>
        <v>Freelance</v>
      </c>
      <c r="G59" s="116" t="b">
        <v>0</v>
      </c>
      <c r="H59" s="116" t="b">
        <v>0</v>
      </c>
      <c r="I59" s="116" t="b">
        <v>0</v>
      </c>
      <c r="J59" s="116" t="b">
        <v>0</v>
      </c>
      <c r="K59" s="116" t="b">
        <v>0</v>
      </c>
      <c r="L59" s="117">
        <f t="shared" si="1"/>
        <v>0</v>
      </c>
      <c r="M59" s="117">
        <f t="shared" si="2"/>
        <v>0</v>
      </c>
      <c r="N59" s="112"/>
      <c r="O59" s="112"/>
    </row>
    <row r="60" ht="15.0" customHeight="1">
      <c r="A60" s="112"/>
      <c r="B60" s="112"/>
      <c r="C60" s="112"/>
      <c r="D60" s="129" t="s">
        <v>161</v>
      </c>
      <c r="E60" s="143" t="str">
        <f>VLOOKUP(D60,Data!H:I,2,0)</f>
        <v>Kahramanmaraş</v>
      </c>
      <c r="F60" s="115" t="str">
        <f>VLOOKUP(D60,Data!H:J,3,0)</f>
        <v>Nazım Öztel</v>
      </c>
      <c r="G60" s="116" t="b">
        <v>0</v>
      </c>
      <c r="H60" s="116" t="b">
        <v>0</v>
      </c>
      <c r="I60" s="116" t="b">
        <v>0</v>
      </c>
      <c r="J60" s="116" t="b">
        <v>0</v>
      </c>
      <c r="K60" s="116" t="b">
        <v>0</v>
      </c>
      <c r="L60" s="117">
        <f t="shared" si="1"/>
        <v>0</v>
      </c>
      <c r="M60" s="117">
        <f t="shared" si="2"/>
        <v>0</v>
      </c>
      <c r="N60" s="112"/>
      <c r="O60" s="112"/>
    </row>
    <row r="61" ht="15.0" customHeight="1">
      <c r="A61" s="112"/>
      <c r="B61" s="112"/>
      <c r="C61" s="112"/>
      <c r="D61" s="129" t="s">
        <v>243</v>
      </c>
      <c r="E61" s="114" t="str">
        <f>VLOOKUP(D61,Data!H:I,2,0)</f>
        <v>Kayseri</v>
      </c>
      <c r="F61" s="115" t="str">
        <f>VLOOKUP(D61,Data!H:J,3,0)</f>
        <v>Nazım Öztel</v>
      </c>
      <c r="G61" s="116" t="b">
        <v>0</v>
      </c>
      <c r="H61" s="116" t="b">
        <v>0</v>
      </c>
      <c r="I61" s="116" t="b">
        <v>0</v>
      </c>
      <c r="J61" s="116" t="b">
        <v>0</v>
      </c>
      <c r="K61" s="116" t="b">
        <v>0</v>
      </c>
      <c r="L61" s="117">
        <f t="shared" si="1"/>
        <v>0</v>
      </c>
      <c r="M61" s="117">
        <f t="shared" si="2"/>
        <v>0</v>
      </c>
      <c r="N61" s="112"/>
      <c r="O61" s="112"/>
    </row>
    <row r="62" ht="15.0" customHeight="1">
      <c r="A62" s="112"/>
      <c r="B62" s="112"/>
      <c r="C62" s="112"/>
      <c r="D62" s="129" t="s">
        <v>253</v>
      </c>
      <c r="E62" s="114" t="str">
        <f>VLOOKUP(D62,Data!H:I,2,0)</f>
        <v>Kırklareli</v>
      </c>
      <c r="F62" s="115" t="str">
        <f>VLOOKUP(D62,Data!H:J,3,0)</f>
        <v>Nazım Öztel</v>
      </c>
      <c r="G62" s="116" t="b">
        <v>0</v>
      </c>
      <c r="H62" s="116" t="b">
        <v>0</v>
      </c>
      <c r="I62" s="116" t="b">
        <v>0</v>
      </c>
      <c r="J62" s="116" t="b">
        <v>0</v>
      </c>
      <c r="K62" s="116" t="b">
        <v>0</v>
      </c>
      <c r="L62" s="117">
        <f t="shared" si="1"/>
        <v>0</v>
      </c>
      <c r="M62" s="117">
        <f t="shared" si="2"/>
        <v>0</v>
      </c>
      <c r="N62" s="112"/>
      <c r="O62" s="112"/>
    </row>
    <row r="63" ht="15.0" customHeight="1">
      <c r="A63" s="112"/>
      <c r="B63" s="112"/>
      <c r="C63" s="112"/>
      <c r="D63" s="132" t="s">
        <v>96</v>
      </c>
      <c r="E63" s="114" t="str">
        <f>VLOOKUP(D63,Data!H:I,2,0)</f>
        <v>Kocaeli</v>
      </c>
      <c r="F63" s="115" t="str">
        <f>VLOOKUP(D63,Data!H:J,3,0)</f>
        <v>Nazım Öztel</v>
      </c>
      <c r="G63" s="116" t="b">
        <v>0</v>
      </c>
      <c r="H63" s="116" t="b">
        <v>0</v>
      </c>
      <c r="I63" s="116" t="b">
        <v>0</v>
      </c>
      <c r="J63" s="116" t="b">
        <v>0</v>
      </c>
      <c r="K63" s="116" t="b">
        <v>0</v>
      </c>
      <c r="L63" s="117">
        <f t="shared" si="1"/>
        <v>0</v>
      </c>
      <c r="M63" s="117">
        <f t="shared" si="2"/>
        <v>0</v>
      </c>
      <c r="N63" s="112"/>
      <c r="O63" s="112"/>
    </row>
    <row r="64" ht="15.0" customHeight="1">
      <c r="A64" s="112"/>
      <c r="B64" s="112"/>
      <c r="C64" s="112"/>
      <c r="D64" s="129" t="s">
        <v>147</v>
      </c>
      <c r="E64" s="114" t="str">
        <f>VLOOKUP(D64,Data!H:I,2,0)</f>
        <v>Kocaeli</v>
      </c>
      <c r="F64" s="115" t="str">
        <f>VLOOKUP(D64,Data!H:J,3,0)</f>
        <v>Nazım Öztel</v>
      </c>
      <c r="G64" s="116" t="b">
        <v>0</v>
      </c>
      <c r="H64" s="116" t="b">
        <v>0</v>
      </c>
      <c r="I64" s="116" t="b">
        <v>0</v>
      </c>
      <c r="J64" s="116" t="b">
        <v>0</v>
      </c>
      <c r="K64" s="116" t="b">
        <v>0</v>
      </c>
      <c r="L64" s="117">
        <f t="shared" si="1"/>
        <v>0</v>
      </c>
      <c r="M64" s="117">
        <f t="shared" si="2"/>
        <v>0</v>
      </c>
      <c r="N64" s="112"/>
      <c r="O64" s="112"/>
    </row>
    <row r="65" ht="15.0" customHeight="1">
      <c r="A65" s="112"/>
      <c r="B65" s="112"/>
      <c r="C65" s="112"/>
      <c r="D65" s="129" t="s">
        <v>227</v>
      </c>
      <c r="E65" s="114" t="str">
        <f>VLOOKUP(D65,Data!H:I,2,0)</f>
        <v>Konya</v>
      </c>
      <c r="F65" s="115" t="str">
        <f>VLOOKUP(D65,Data!H:J,3,0)</f>
        <v>Nazım Öztel</v>
      </c>
      <c r="G65" s="116" t="b">
        <v>0</v>
      </c>
      <c r="H65" s="116" t="b">
        <v>0</v>
      </c>
      <c r="I65" s="116" t="b">
        <v>0</v>
      </c>
      <c r="J65" s="116" t="b">
        <v>0</v>
      </c>
      <c r="K65" s="116" t="b">
        <v>0</v>
      </c>
      <c r="L65" s="117">
        <f t="shared" si="1"/>
        <v>0</v>
      </c>
      <c r="M65" s="117">
        <f t="shared" si="2"/>
        <v>0</v>
      </c>
      <c r="N65" s="112"/>
      <c r="O65" s="112"/>
    </row>
    <row r="66" ht="15.0" customHeight="1">
      <c r="A66" s="112"/>
      <c r="B66" s="112"/>
      <c r="C66" s="112"/>
      <c r="D66" s="129" t="s">
        <v>265</v>
      </c>
      <c r="E66" s="114" t="str">
        <f>VLOOKUP(D66,Data!H:I,2,0)</f>
        <v>Konya</v>
      </c>
      <c r="F66" s="115" t="str">
        <f>VLOOKUP(D66,Data!H:J,3,0)</f>
        <v>Nazım Öztel</v>
      </c>
      <c r="G66" s="116" t="b">
        <v>0</v>
      </c>
      <c r="H66" s="116" t="b">
        <v>0</v>
      </c>
      <c r="I66" s="116" t="b">
        <v>0</v>
      </c>
      <c r="J66" s="116" t="b">
        <v>0</v>
      </c>
      <c r="K66" s="116" t="b">
        <v>0</v>
      </c>
      <c r="L66" s="117">
        <f t="shared" si="1"/>
        <v>0</v>
      </c>
      <c r="M66" s="117">
        <f t="shared" si="2"/>
        <v>0</v>
      </c>
      <c r="N66" s="112"/>
      <c r="O66" s="112"/>
    </row>
    <row r="67" ht="15.0" customHeight="1">
      <c r="A67" s="112"/>
      <c r="B67" s="112"/>
      <c r="C67" s="112"/>
      <c r="D67" s="129" t="s">
        <v>203</v>
      </c>
      <c r="E67" s="114" t="str">
        <f>VLOOKUP(D67,Data!H:I,2,0)</f>
        <v>Malatya</v>
      </c>
      <c r="F67" s="115" t="str">
        <f>VLOOKUP(D67,Data!H:J,3,0)</f>
        <v>Nazım Öztel</v>
      </c>
      <c r="G67" s="116" t="b">
        <v>0</v>
      </c>
      <c r="H67" s="116" t="b">
        <v>0</v>
      </c>
      <c r="I67" s="116" t="b">
        <v>0</v>
      </c>
      <c r="J67" s="116" t="b">
        <v>0</v>
      </c>
      <c r="K67" s="116" t="b">
        <v>0</v>
      </c>
      <c r="L67" s="117">
        <f t="shared" si="1"/>
        <v>0</v>
      </c>
      <c r="M67" s="117">
        <f t="shared" si="2"/>
        <v>0</v>
      </c>
      <c r="N67" s="112"/>
      <c r="O67" s="112"/>
    </row>
    <row r="68" ht="15.0" customHeight="1">
      <c r="A68" s="112"/>
      <c r="B68" s="112"/>
      <c r="C68" s="112"/>
      <c r="D68" s="129" t="s">
        <v>254</v>
      </c>
      <c r="E68" s="114" t="str">
        <f>VLOOKUP(D68,Data!H:I,2,0)</f>
        <v>Manisa</v>
      </c>
      <c r="F68" s="115" t="str">
        <f>VLOOKUP(D68,Data!H:J,3,0)</f>
        <v>Nazım Öztel</v>
      </c>
      <c r="G68" s="116" t="b">
        <v>0</v>
      </c>
      <c r="H68" s="116" t="b">
        <v>0</v>
      </c>
      <c r="I68" s="116" t="b">
        <v>0</v>
      </c>
      <c r="J68" s="116" t="b">
        <v>0</v>
      </c>
      <c r="K68" s="116" t="b">
        <v>0</v>
      </c>
      <c r="L68" s="117">
        <f t="shared" si="1"/>
        <v>0</v>
      </c>
      <c r="M68" s="117">
        <f t="shared" si="2"/>
        <v>0</v>
      </c>
      <c r="N68" s="112"/>
      <c r="O68" s="112"/>
    </row>
    <row r="69" ht="15.0" customHeight="1">
      <c r="A69" s="112"/>
      <c r="B69" s="112"/>
      <c r="C69" s="112"/>
      <c r="D69" s="129" t="s">
        <v>255</v>
      </c>
      <c r="E69" s="114" t="str">
        <f>VLOOKUP(D69,Data!H:I,2,0)</f>
        <v>Mardin</v>
      </c>
      <c r="F69" s="115" t="str">
        <f>VLOOKUP(D69,Data!H:J,3,0)</f>
        <v>Nazım Öztel</v>
      </c>
      <c r="G69" s="116" t="b">
        <v>0</v>
      </c>
      <c r="H69" s="116" t="b">
        <v>0</v>
      </c>
      <c r="I69" s="116" t="b">
        <v>0</v>
      </c>
      <c r="J69" s="116" t="b">
        <v>0</v>
      </c>
      <c r="K69" s="116" t="b">
        <v>0</v>
      </c>
      <c r="L69" s="117">
        <f t="shared" si="1"/>
        <v>0</v>
      </c>
      <c r="M69" s="117">
        <f t="shared" si="2"/>
        <v>0</v>
      </c>
      <c r="N69" s="142"/>
      <c r="O69" s="112"/>
    </row>
    <row r="70" ht="15.0" customHeight="1">
      <c r="A70" s="112"/>
      <c r="B70" s="112"/>
      <c r="C70" s="112"/>
      <c r="D70" s="132" t="s">
        <v>99</v>
      </c>
      <c r="E70" s="114" t="str">
        <f>VLOOKUP(D70,Data!H:I,2,0)</f>
        <v>Mersin</v>
      </c>
      <c r="F70" s="115" t="str">
        <f>VLOOKUP(D70,Data!H:J,3,0)</f>
        <v>Nazım Öztel</v>
      </c>
      <c r="G70" s="116" t="b">
        <v>0</v>
      </c>
      <c r="H70" s="116" t="b">
        <v>0</v>
      </c>
      <c r="I70" s="116" t="b">
        <v>0</v>
      </c>
      <c r="J70" s="116" t="b">
        <v>0</v>
      </c>
      <c r="K70" s="116" t="b">
        <v>0</v>
      </c>
      <c r="L70" s="117">
        <f t="shared" si="1"/>
        <v>0</v>
      </c>
      <c r="M70" s="117">
        <f t="shared" si="2"/>
        <v>0</v>
      </c>
      <c r="N70" s="106"/>
      <c r="O70" s="112"/>
    </row>
    <row r="71" ht="15.0" customHeight="1">
      <c r="A71" s="112"/>
      <c r="B71" s="112"/>
      <c r="C71" s="112"/>
      <c r="D71" s="129" t="s">
        <v>169</v>
      </c>
      <c r="E71" s="114" t="str">
        <f>VLOOKUP(D71,Data!H:I,2,0)</f>
        <v>Mersin</v>
      </c>
      <c r="F71" s="115" t="str">
        <f>VLOOKUP(D71,Data!H:J,3,0)</f>
        <v>Nazım Öztel</v>
      </c>
      <c r="G71" s="116" t="b">
        <v>0</v>
      </c>
      <c r="H71" s="116" t="b">
        <v>0</v>
      </c>
      <c r="I71" s="116" t="b">
        <v>0</v>
      </c>
      <c r="J71" s="116" t="b">
        <v>0</v>
      </c>
      <c r="K71" s="116" t="b">
        <v>0</v>
      </c>
      <c r="L71" s="117">
        <f t="shared" si="1"/>
        <v>0</v>
      </c>
      <c r="M71" s="117">
        <f t="shared" si="2"/>
        <v>0</v>
      </c>
      <c r="N71" s="106"/>
      <c r="O71" s="112"/>
    </row>
    <row r="72" ht="15.0" customHeight="1">
      <c r="A72" s="112"/>
      <c r="B72" s="112"/>
      <c r="C72" s="112"/>
      <c r="D72" s="129" t="s">
        <v>148</v>
      </c>
      <c r="E72" s="114" t="str">
        <f>VLOOKUP(D72,Data!H:I,2,0)</f>
        <v>Muğla</v>
      </c>
      <c r="F72" s="115" t="str">
        <f>VLOOKUP(D72,Data!H:J,3,0)</f>
        <v>Nazım Öztel</v>
      </c>
      <c r="G72" s="116" t="b">
        <v>0</v>
      </c>
      <c r="H72" s="116" t="b">
        <v>0</v>
      </c>
      <c r="I72" s="116" t="b">
        <v>0</v>
      </c>
      <c r="J72" s="116" t="b">
        <v>0</v>
      </c>
      <c r="K72" s="116" t="b">
        <v>0</v>
      </c>
      <c r="L72" s="117">
        <f t="shared" si="1"/>
        <v>0</v>
      </c>
      <c r="M72" s="117">
        <f t="shared" si="2"/>
        <v>0</v>
      </c>
      <c r="N72" s="106"/>
      <c r="O72" s="112"/>
    </row>
    <row r="73" ht="15.0" customHeight="1">
      <c r="A73" s="112"/>
      <c r="B73" s="112"/>
      <c r="C73" s="112"/>
      <c r="D73" s="129" t="s">
        <v>266</v>
      </c>
      <c r="E73" s="114" t="str">
        <f>VLOOKUP(D73,Data!H:I,2,0)</f>
        <v>Ordu</v>
      </c>
      <c r="F73" s="115" t="str">
        <f>VLOOKUP(D73,Data!H:J,3,0)</f>
        <v>Nazım Öztel</v>
      </c>
      <c r="G73" s="116" t="b">
        <v>0</v>
      </c>
      <c r="H73" s="116" t="b">
        <v>0</v>
      </c>
      <c r="I73" s="116" t="b">
        <v>0</v>
      </c>
      <c r="J73" s="116" t="b">
        <v>0</v>
      </c>
      <c r="K73" s="116" t="b">
        <v>0</v>
      </c>
      <c r="L73" s="117">
        <f t="shared" si="1"/>
        <v>0</v>
      </c>
      <c r="M73" s="117">
        <f t="shared" si="2"/>
        <v>0</v>
      </c>
      <c r="N73" s="106"/>
      <c r="O73" s="112"/>
    </row>
    <row r="74" ht="15.0" customHeight="1">
      <c r="A74" s="112"/>
      <c r="B74" s="112"/>
      <c r="C74" s="112"/>
      <c r="D74" s="129" t="s">
        <v>256</v>
      </c>
      <c r="E74" s="114" t="s">
        <v>211</v>
      </c>
      <c r="F74" s="115" t="s">
        <v>61</v>
      </c>
      <c r="G74" s="116" t="b">
        <v>0</v>
      </c>
      <c r="H74" s="116" t="b">
        <v>0</v>
      </c>
      <c r="I74" s="116" t="b">
        <v>0</v>
      </c>
      <c r="J74" s="116" t="b">
        <v>0</v>
      </c>
      <c r="K74" s="116" t="b">
        <v>0</v>
      </c>
      <c r="L74" s="117">
        <f t="shared" si="1"/>
        <v>0</v>
      </c>
      <c r="M74" s="117">
        <f t="shared" si="2"/>
        <v>0</v>
      </c>
      <c r="N74" s="106"/>
      <c r="O74" s="112"/>
    </row>
    <row r="75" ht="15.0" customHeight="1">
      <c r="A75" s="112"/>
      <c r="B75" s="112"/>
      <c r="C75" s="112"/>
      <c r="D75" s="129" t="s">
        <v>275</v>
      </c>
      <c r="E75" s="114" t="str">
        <f>VLOOKUP(D75,Data!H:I,2,0)</f>
        <v>Sakarya</v>
      </c>
      <c r="F75" s="115" t="str">
        <f>VLOOKUP(D75,Data!H:J,3,0)</f>
        <v>Nazım Öztel</v>
      </c>
      <c r="G75" s="116" t="b">
        <v>0</v>
      </c>
      <c r="H75" s="116" t="b">
        <v>0</v>
      </c>
      <c r="I75" s="116" t="b">
        <v>0</v>
      </c>
      <c r="J75" s="116" t="b">
        <v>0</v>
      </c>
      <c r="K75" s="116" t="b">
        <v>0</v>
      </c>
      <c r="L75" s="117">
        <f t="shared" si="1"/>
        <v>0</v>
      </c>
      <c r="M75" s="117">
        <f t="shared" si="2"/>
        <v>0</v>
      </c>
      <c r="N75" s="106"/>
      <c r="O75" s="112"/>
    </row>
    <row r="76" ht="15.0" customHeight="1">
      <c r="A76" s="112"/>
      <c r="B76" s="112"/>
      <c r="C76" s="112"/>
      <c r="D76" s="129" t="s">
        <v>257</v>
      </c>
      <c r="E76" s="114" t="str">
        <f>VLOOKUP(D76,Data!H:I,2,0)</f>
        <v>Samsun</v>
      </c>
      <c r="F76" s="115" t="str">
        <f>VLOOKUP(D76,Data!H:J,3,0)</f>
        <v>Nazım Öztel</v>
      </c>
      <c r="G76" s="116" t="b">
        <v>0</v>
      </c>
      <c r="H76" s="116" t="b">
        <v>0</v>
      </c>
      <c r="I76" s="116" t="b">
        <v>0</v>
      </c>
      <c r="J76" s="116" t="b">
        <v>0</v>
      </c>
      <c r="K76" s="116" t="b">
        <v>0</v>
      </c>
      <c r="L76" s="117">
        <f t="shared" si="1"/>
        <v>0</v>
      </c>
      <c r="M76" s="117">
        <f t="shared" si="2"/>
        <v>0</v>
      </c>
      <c r="N76" s="106"/>
      <c r="O76" s="112"/>
    </row>
    <row r="77" ht="15.0" customHeight="1">
      <c r="A77" s="112"/>
      <c r="B77" s="112"/>
      <c r="C77" s="112"/>
      <c r="D77" s="129" t="s">
        <v>267</v>
      </c>
      <c r="E77" s="114" t="str">
        <f>VLOOKUP(D77,Data!H:I,2,0)</f>
        <v>Sinop</v>
      </c>
      <c r="F77" s="115" t="str">
        <f>VLOOKUP(D77,Data!H:J,3,0)</f>
        <v>Nazım Öztel</v>
      </c>
      <c r="G77" s="116" t="b">
        <v>0</v>
      </c>
      <c r="H77" s="116" t="b">
        <v>0</v>
      </c>
      <c r="I77" s="116" t="b">
        <v>0</v>
      </c>
      <c r="J77" s="116" t="b">
        <v>0</v>
      </c>
      <c r="K77" s="116" t="b">
        <v>0</v>
      </c>
      <c r="L77" s="117">
        <f t="shared" si="1"/>
        <v>0</v>
      </c>
      <c r="M77" s="117">
        <f t="shared" si="2"/>
        <v>0</v>
      </c>
      <c r="N77" s="106"/>
      <c r="O77" s="112"/>
    </row>
    <row r="78" ht="15.0" customHeight="1">
      <c r="A78" s="112"/>
      <c r="B78" s="112"/>
      <c r="C78" s="112"/>
      <c r="D78" s="129" t="s">
        <v>268</v>
      </c>
      <c r="E78" s="114" t="str">
        <f>VLOOKUP(D78,Data!H:I,2,0)</f>
        <v>Sivas</v>
      </c>
      <c r="F78" s="115" t="str">
        <f>VLOOKUP(D78,Data!H:J,3,0)</f>
        <v>Nazım Öztel</v>
      </c>
      <c r="G78" s="116" t="b">
        <v>0</v>
      </c>
      <c r="H78" s="116" t="b">
        <v>0</v>
      </c>
      <c r="I78" s="116" t="b">
        <v>0</v>
      </c>
      <c r="J78" s="116" t="b">
        <v>0</v>
      </c>
      <c r="K78" s="116" t="b">
        <v>0</v>
      </c>
      <c r="L78" s="117">
        <f t="shared" si="1"/>
        <v>0</v>
      </c>
      <c r="M78" s="117">
        <f t="shared" si="2"/>
        <v>0</v>
      </c>
      <c r="N78" s="106"/>
      <c r="O78" s="112"/>
    </row>
    <row r="79" ht="15.0" customHeight="1">
      <c r="A79" s="112"/>
      <c r="B79" s="112"/>
      <c r="C79" s="112"/>
      <c r="D79" s="129" t="s">
        <v>104</v>
      </c>
      <c r="E79" s="114" t="str">
        <f>VLOOKUP(D79,Data!H:I,2,0)</f>
        <v>Tekirdağ</v>
      </c>
      <c r="F79" s="115" t="str">
        <f>VLOOKUP(D79,Data!H:J,3,0)</f>
        <v>Freelance</v>
      </c>
      <c r="G79" s="116" t="b">
        <v>0</v>
      </c>
      <c r="H79" s="116" t="b">
        <v>0</v>
      </c>
      <c r="I79" s="116" t="b">
        <v>0</v>
      </c>
      <c r="J79" s="116" t="b">
        <v>0</v>
      </c>
      <c r="K79" s="116" t="b">
        <v>0</v>
      </c>
      <c r="L79" s="117">
        <f t="shared" si="1"/>
        <v>0</v>
      </c>
      <c r="M79" s="117">
        <f t="shared" si="2"/>
        <v>0</v>
      </c>
      <c r="N79" s="112"/>
      <c r="O79" s="112"/>
    </row>
    <row r="80" ht="15.0" customHeight="1">
      <c r="A80" s="112"/>
      <c r="B80" s="112"/>
      <c r="C80" s="112"/>
      <c r="D80" s="129" t="s">
        <v>258</v>
      </c>
      <c r="E80" s="114" t="str">
        <f>VLOOKUP(D80,Data!H:I,2,0)</f>
        <v>Tokat</v>
      </c>
      <c r="F80" s="115" t="str">
        <f>VLOOKUP(D80,Data!H:J,3,0)</f>
        <v>Nazım Öztel</v>
      </c>
      <c r="G80" s="116" t="b">
        <v>0</v>
      </c>
      <c r="H80" s="116" t="b">
        <v>0</v>
      </c>
      <c r="I80" s="116" t="b">
        <v>0</v>
      </c>
      <c r="J80" s="116" t="b">
        <v>0</v>
      </c>
      <c r="K80" s="116" t="b">
        <v>0</v>
      </c>
      <c r="L80" s="117">
        <f t="shared" si="1"/>
        <v>0</v>
      </c>
      <c r="M80" s="117">
        <f t="shared" si="2"/>
        <v>0</v>
      </c>
      <c r="N80" s="112"/>
      <c r="O80" s="112"/>
    </row>
    <row r="81" ht="15.0" customHeight="1">
      <c r="A81" s="112"/>
      <c r="B81" s="112"/>
      <c r="C81" s="112"/>
      <c r="D81" s="129" t="s">
        <v>154</v>
      </c>
      <c r="E81" s="114" t="str">
        <f>VLOOKUP(D81,Data!H:I,2,0)</f>
        <v>Uşak</v>
      </c>
      <c r="F81" s="115" t="str">
        <f>VLOOKUP(D81,Data!H:J,3,0)</f>
        <v>Nazım Öztel</v>
      </c>
      <c r="G81" s="116" t="b">
        <v>0</v>
      </c>
      <c r="H81" s="116" t="b">
        <v>0</v>
      </c>
      <c r="I81" s="116" t="b">
        <v>0</v>
      </c>
      <c r="J81" s="116" t="b">
        <v>0</v>
      </c>
      <c r="K81" s="116" t="b">
        <v>0</v>
      </c>
      <c r="L81" s="117">
        <f t="shared" si="1"/>
        <v>0</v>
      </c>
      <c r="M81" s="117">
        <f t="shared" si="2"/>
        <v>0</v>
      </c>
      <c r="N81" s="112"/>
      <c r="O81" s="112"/>
    </row>
    <row r="82" ht="15.0" customHeight="1">
      <c r="A82" s="112"/>
      <c r="B82" s="112"/>
      <c r="C82" s="112"/>
      <c r="D82" s="129" t="s">
        <v>276</v>
      </c>
      <c r="E82" s="114" t="str">
        <f>VLOOKUP(D82,Data!H:I,2,0)</f>
        <v>Zonguldak</v>
      </c>
      <c r="F82" s="115" t="str">
        <f>VLOOKUP(D82,Data!H:J,3,0)</f>
        <v>Nazım Öztel</v>
      </c>
      <c r="G82" s="116" t="b">
        <v>0</v>
      </c>
      <c r="H82" s="116" t="b">
        <v>0</v>
      </c>
      <c r="I82" s="116" t="b">
        <v>0</v>
      </c>
      <c r="J82" s="116" t="b">
        <v>0</v>
      </c>
      <c r="K82" s="116" t="b">
        <v>0</v>
      </c>
      <c r="L82" s="117">
        <f t="shared" si="1"/>
        <v>0</v>
      </c>
      <c r="M82" s="117">
        <f t="shared" si="2"/>
        <v>0</v>
      </c>
      <c r="N82" s="112"/>
      <c r="O82" s="112"/>
    </row>
    <row r="83" ht="15.0" customHeight="1">
      <c r="A83" s="112"/>
      <c r="B83" s="112"/>
      <c r="C83" s="112"/>
      <c r="D83" s="132"/>
      <c r="E83" s="132"/>
      <c r="F83" s="132"/>
      <c r="G83" s="117">
        <f t="shared" ref="G83:K83" si="3">4*(COUNTIF(G15:G82,"true"))</f>
        <v>0</v>
      </c>
      <c r="H83" s="117">
        <f t="shared" si="3"/>
        <v>0</v>
      </c>
      <c r="I83" s="117">
        <f t="shared" si="3"/>
        <v>0</v>
      </c>
      <c r="J83" s="117">
        <f t="shared" si="3"/>
        <v>0</v>
      </c>
      <c r="K83" s="117">
        <f t="shared" si="3"/>
        <v>0</v>
      </c>
      <c r="L83" s="135"/>
      <c r="M83" s="135">
        <f>SUM(G83:K83)</f>
        <v>0</v>
      </c>
      <c r="N83" s="112"/>
      <c r="O83" s="112"/>
    </row>
  </sheetData>
  <customSheetViews>
    <customSheetView guid="{70B995D3-3AEB-4DFE-A0CA-D6FFCCE596BC}" filter="1" showAutoFilter="1">
      <autoFilter ref="$D$14:$D$82"/>
    </customSheetView>
    <customSheetView guid="{90E1DF85-7252-44D2-BA7D-CC3767CD0E8B}" filter="1" showAutoFilter="1">
      <autoFilter ref="$A$14:$O$83">
        <filterColumn colId="4">
          <filters>
            <filter val="Kırklareli"/>
            <filter val="Samsun"/>
            <filter val="Sakarya"/>
            <filter val="Zonguldak"/>
            <filter val="Elazığ"/>
            <filter val="Kayseri"/>
            <filter val="Düzce"/>
            <filter val="Malatya"/>
            <filter val="Hatay"/>
            <filter val="Sinop"/>
            <filter val="Denizli"/>
            <filter val="Amasya"/>
            <filter val="Çanakkale"/>
            <filter val="Aydın"/>
            <filter val="Bolu"/>
            <filter val="Çorum"/>
            <filter val="Osmaniye"/>
            <filter val="Adıyaman"/>
            <filter val="Edirne"/>
            <filter val="Tokat"/>
            <filter val="Ordu"/>
            <filter val="Sivas"/>
            <filter val="Mardin"/>
            <filter val="Muğla"/>
            <filter val="Eskişehir"/>
            <filter val="Kahramanmaraş"/>
            <filter val="Balıkesir"/>
            <filter val="Uşak"/>
          </filters>
        </filterColumn>
      </autoFilter>
    </customSheetView>
  </customSheetViews>
  <mergeCells count="4">
    <mergeCell ref="D6:K6"/>
    <mergeCell ref="D7:F7"/>
    <mergeCell ref="D9:D12"/>
    <mergeCell ref="F10:M11"/>
  </mergeCells>
  <conditionalFormatting sqref="G15:K82">
    <cfRule type="cellIs" dxfId="1" priority="1" operator="equal">
      <formula>"False"</formula>
    </cfRule>
  </conditionalFormatting>
  <conditionalFormatting sqref="G15:K82">
    <cfRule type="cellIs" dxfId="0" priority="2" operator="equal">
      <formula>"TRUE"</formula>
    </cfRule>
  </conditionalFormatting>
  <dataValidations>
    <dataValidation type="list" allowBlank="1" showErrorMessage="1" sqref="E15:E82">
      <formula1>Data!$A$2:$A$100</formula1>
    </dataValidation>
    <dataValidation type="list" allowBlank="1" showErrorMessage="1" sqref="F15:F82">
      <formula1>Data!$C$2:$C$8</formula1>
    </dataValidation>
  </dataValidation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3" width="2.63"/>
    <col customWidth="1" min="4" max="4" width="20.38"/>
    <col customWidth="1" min="5" max="5" width="11.38"/>
    <col customWidth="1" min="6" max="6" width="16.63"/>
    <col customWidth="1" min="7" max="13" width="8.63"/>
    <col customWidth="1" min="14" max="14" width="12.63"/>
    <col customWidth="1" min="15" max="15" width="15.13"/>
    <col customWidth="1" min="16" max="16" width="15.88"/>
    <col customWidth="1" min="17" max="17" width="2.63"/>
  </cols>
  <sheetData>
    <row r="1" ht="7.5" customHeight="1">
      <c r="A1" s="140"/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5"/>
      <c r="O1" s="86"/>
      <c r="P1" s="86"/>
      <c r="Q1" s="86"/>
    </row>
    <row r="2" ht="15.0" customHeight="1">
      <c r="A2" s="87"/>
      <c r="B2" s="87"/>
      <c r="C2" s="87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7"/>
      <c r="P2" s="87"/>
      <c r="Q2" s="87"/>
    </row>
    <row r="3" ht="3.75" customHeight="1">
      <c r="A3" s="87"/>
      <c r="B3" s="87"/>
      <c r="C3" s="87"/>
      <c r="D3" s="89"/>
      <c r="E3" s="90"/>
      <c r="F3" s="90"/>
      <c r="G3" s="90"/>
      <c r="H3" s="90"/>
      <c r="I3" s="90"/>
      <c r="J3" s="90"/>
      <c r="K3" s="90"/>
      <c r="L3" s="90"/>
      <c r="M3" s="90"/>
      <c r="N3" s="90"/>
      <c r="O3" s="87"/>
      <c r="P3" s="87"/>
      <c r="Q3" s="87"/>
    </row>
    <row r="4" ht="15.0" customHeight="1">
      <c r="A4" s="87"/>
      <c r="B4" s="87"/>
      <c r="C4" s="87"/>
      <c r="D4" s="88"/>
      <c r="E4" s="88"/>
      <c r="F4" s="88"/>
      <c r="G4" s="91"/>
      <c r="H4" s="91"/>
      <c r="I4" s="91"/>
      <c r="J4" s="91"/>
      <c r="K4" s="91"/>
      <c r="L4" s="91"/>
      <c r="M4" s="91"/>
      <c r="N4" s="91"/>
      <c r="O4" s="87"/>
      <c r="P4" s="87"/>
      <c r="Q4" s="87"/>
    </row>
    <row r="5" ht="15.0" customHeight="1">
      <c r="A5" s="92"/>
      <c r="B5" s="92"/>
      <c r="C5" s="92"/>
      <c r="D5" s="88"/>
      <c r="E5" s="88"/>
      <c r="F5" s="88"/>
      <c r="G5" s="93"/>
      <c r="H5" s="93"/>
      <c r="I5" s="93"/>
      <c r="J5" s="93"/>
      <c r="K5" s="93"/>
      <c r="L5" s="93"/>
      <c r="M5" s="93"/>
      <c r="N5" s="94"/>
      <c r="O5" s="88"/>
      <c r="P5" s="92"/>
      <c r="Q5" s="92"/>
    </row>
    <row r="6" ht="15.0" customHeight="1">
      <c r="A6" s="92"/>
      <c r="B6" s="92"/>
      <c r="C6" s="92"/>
      <c r="D6" s="95" t="s">
        <v>280</v>
      </c>
      <c r="N6" s="94"/>
      <c r="O6" s="88"/>
      <c r="P6" s="92"/>
      <c r="Q6" s="92"/>
    </row>
    <row r="7" ht="15.0" customHeight="1">
      <c r="A7" s="92"/>
      <c r="B7" s="92"/>
      <c r="C7" s="92"/>
      <c r="D7" s="96" t="s">
        <v>278</v>
      </c>
      <c r="G7" s="97"/>
      <c r="H7" s="97"/>
      <c r="I7" s="97"/>
      <c r="J7" s="97"/>
      <c r="K7" s="97"/>
      <c r="L7" s="97"/>
      <c r="M7" s="97"/>
      <c r="N7" s="92"/>
      <c r="O7" s="92"/>
      <c r="P7" s="92"/>
      <c r="Q7" s="92"/>
    </row>
    <row r="8" ht="15.0" customHeight="1">
      <c r="A8" s="92"/>
      <c r="B8" s="92"/>
      <c r="C8" s="92"/>
      <c r="D8" s="97"/>
      <c r="E8" s="97"/>
      <c r="F8" s="97"/>
      <c r="G8" s="97"/>
      <c r="H8" s="97"/>
      <c r="I8" s="97"/>
      <c r="J8" s="97"/>
      <c r="K8" s="97"/>
      <c r="L8" s="97"/>
      <c r="M8" s="97"/>
      <c r="N8" s="92"/>
      <c r="O8" s="92"/>
      <c r="P8" s="92"/>
      <c r="Q8" s="92"/>
    </row>
    <row r="9" ht="15.0" customHeight="1">
      <c r="A9" s="92"/>
      <c r="B9" s="92"/>
      <c r="C9" s="98"/>
      <c r="D9" s="99" t="s">
        <v>35</v>
      </c>
      <c r="E9" s="100"/>
      <c r="F9" s="101"/>
      <c r="G9" s="101"/>
      <c r="H9" s="101"/>
      <c r="I9" s="101"/>
      <c r="J9" s="101"/>
      <c r="K9" s="101"/>
      <c r="L9" s="101"/>
      <c r="M9" s="101"/>
      <c r="N9" s="101"/>
      <c r="O9" s="100"/>
      <c r="P9" s="102"/>
      <c r="Q9" s="102"/>
    </row>
    <row r="10" ht="15.0" customHeight="1">
      <c r="A10" s="92"/>
      <c r="B10" s="92"/>
      <c r="C10" s="98"/>
      <c r="E10" s="100"/>
      <c r="F10" s="103" t="s">
        <v>36</v>
      </c>
      <c r="P10" s="102"/>
      <c r="Q10" s="102"/>
    </row>
    <row r="11" ht="15.0" customHeight="1">
      <c r="A11" s="92"/>
      <c r="B11" s="92"/>
      <c r="C11" s="98"/>
      <c r="E11" s="100"/>
      <c r="P11" s="102"/>
      <c r="Q11" s="102"/>
    </row>
    <row r="12" ht="15.0" customHeight="1">
      <c r="A12" s="88"/>
      <c r="B12" s="92"/>
      <c r="C12" s="92"/>
      <c r="E12" s="100"/>
      <c r="F12" s="100"/>
      <c r="G12" s="100"/>
      <c r="H12" s="100"/>
      <c r="I12" s="100"/>
      <c r="J12" s="100"/>
      <c r="K12" s="100"/>
      <c r="L12" s="100"/>
      <c r="M12" s="100"/>
      <c r="N12" s="100"/>
      <c r="O12" s="100"/>
      <c r="P12" s="102"/>
      <c r="Q12" s="102"/>
    </row>
    <row r="13" ht="15.0" customHeight="1">
      <c r="A13" s="88"/>
      <c r="B13" s="104"/>
      <c r="C13" s="104"/>
      <c r="D13" s="104"/>
      <c r="E13" s="104"/>
      <c r="F13" s="105"/>
      <c r="G13" s="105"/>
      <c r="H13" s="105"/>
      <c r="I13" s="105"/>
      <c r="J13" s="105"/>
      <c r="K13" s="105"/>
      <c r="L13" s="105"/>
      <c r="M13" s="105"/>
      <c r="N13" s="104"/>
      <c r="O13" s="104"/>
      <c r="P13" s="104"/>
      <c r="Q13" s="104"/>
    </row>
    <row r="14" ht="15.0" customHeight="1">
      <c r="A14" s="106"/>
      <c r="B14" s="106"/>
      <c r="C14" s="106"/>
      <c r="D14" s="107" t="s">
        <v>37</v>
      </c>
      <c r="E14" s="108" t="s">
        <v>38</v>
      </c>
      <c r="F14" s="109" t="s">
        <v>39</v>
      </c>
      <c r="G14" s="110">
        <v>44627.0</v>
      </c>
      <c r="H14" s="110">
        <v>44628.0</v>
      </c>
      <c r="I14" s="110">
        <v>44629.0</v>
      </c>
      <c r="J14" s="110">
        <v>44630.0</v>
      </c>
      <c r="K14" s="110">
        <v>44631.0</v>
      </c>
      <c r="L14" s="110">
        <v>44632.0</v>
      </c>
      <c r="M14" s="110">
        <v>44633.0</v>
      </c>
      <c r="N14" s="111" t="s">
        <v>40</v>
      </c>
      <c r="O14" s="111" t="s">
        <v>41</v>
      </c>
      <c r="P14" s="111" t="s">
        <v>281</v>
      </c>
      <c r="Q14" s="88"/>
    </row>
    <row r="15" ht="15.0" customHeight="1">
      <c r="A15" s="112"/>
      <c r="B15" s="112"/>
      <c r="C15" s="112"/>
      <c r="D15" s="129" t="s">
        <v>271</v>
      </c>
      <c r="E15" s="114" t="str">
        <f>VLOOKUP(D15,Data!H:I,2,0)</f>
        <v>Adıyaman</v>
      </c>
      <c r="F15" s="115" t="str">
        <f>VLOOKUP(D15,Data!H:J,3,0)</f>
        <v>Nazım Öztel</v>
      </c>
      <c r="G15" s="116" t="b">
        <v>0</v>
      </c>
      <c r="H15" s="116" t="b">
        <v>0</v>
      </c>
      <c r="I15" s="116" t="b">
        <v>0</v>
      </c>
      <c r="J15" s="116" t="b">
        <v>0</v>
      </c>
      <c r="K15" s="116" t="b">
        <v>0</v>
      </c>
      <c r="L15" s="116" t="b">
        <v>0</v>
      </c>
      <c r="M15" s="116" t="b">
        <v>0</v>
      </c>
      <c r="N15" s="117">
        <f t="shared" ref="N15:N96" si="1">COUNTIF(G15:M15,"TRUE")</f>
        <v>0</v>
      </c>
      <c r="O15" s="117">
        <f t="shared" ref="O15:O96" si="2">N15*4</f>
        <v>0</v>
      </c>
      <c r="P15" s="117"/>
      <c r="Q15" s="88"/>
    </row>
    <row r="16" ht="15.0" customHeight="1">
      <c r="A16" s="112"/>
      <c r="B16" s="112"/>
      <c r="C16" s="112"/>
      <c r="D16" s="129" t="s">
        <v>279</v>
      </c>
      <c r="E16" s="114" t="str">
        <f>VLOOKUP(D16,Data!H:I,2,0)</f>
        <v>Amasya</v>
      </c>
      <c r="F16" s="115" t="str">
        <f>VLOOKUP(D16,Data!H:J,3,0)</f>
        <v>Nazım Öztel</v>
      </c>
      <c r="G16" s="116" t="b">
        <v>0</v>
      </c>
      <c r="H16" s="116" t="b">
        <v>0</v>
      </c>
      <c r="I16" s="116" t="b">
        <v>0</v>
      </c>
      <c r="J16" s="116" t="b">
        <v>0</v>
      </c>
      <c r="K16" s="116" t="b">
        <v>0</v>
      </c>
      <c r="L16" s="116" t="b">
        <v>0</v>
      </c>
      <c r="M16" s="116" t="b">
        <v>0</v>
      </c>
      <c r="N16" s="117">
        <f t="shared" si="1"/>
        <v>0</v>
      </c>
      <c r="O16" s="117">
        <f t="shared" si="2"/>
        <v>0</v>
      </c>
      <c r="P16" s="117"/>
      <c r="Q16" s="88"/>
    </row>
    <row r="17" ht="15.0" customHeight="1">
      <c r="A17" s="112"/>
      <c r="B17" s="112"/>
      <c r="C17" s="112"/>
      <c r="D17" s="129" t="s">
        <v>246</v>
      </c>
      <c r="E17" s="114" t="str">
        <f>VLOOKUP(D17,Data!H:I,2,0)</f>
        <v>Ankara</v>
      </c>
      <c r="F17" s="115" t="str">
        <f>VLOOKUP(D17,Data!H:J,3,0)</f>
        <v>Nazım Öztel</v>
      </c>
      <c r="G17" s="116" t="b">
        <v>0</v>
      </c>
      <c r="H17" s="116" t="b">
        <v>0</v>
      </c>
      <c r="I17" s="116" t="b">
        <v>0</v>
      </c>
      <c r="J17" s="116" t="b">
        <v>0</v>
      </c>
      <c r="K17" s="116" t="b">
        <v>0</v>
      </c>
      <c r="L17" s="116" t="b">
        <v>0</v>
      </c>
      <c r="M17" s="116" t="b">
        <v>0</v>
      </c>
      <c r="N17" s="117">
        <f t="shared" si="1"/>
        <v>0</v>
      </c>
      <c r="O17" s="117">
        <f t="shared" si="2"/>
        <v>0</v>
      </c>
      <c r="P17" s="117"/>
      <c r="Q17" s="88"/>
    </row>
    <row r="18" ht="15.0" customHeight="1">
      <c r="A18" s="112"/>
      <c r="B18" s="112"/>
      <c r="C18" s="112"/>
      <c r="D18" s="129" t="s">
        <v>261</v>
      </c>
      <c r="E18" s="114" t="str">
        <f>VLOOKUP(D18,Data!H:I,2,0)</f>
        <v>Ankara</v>
      </c>
      <c r="F18" s="115" t="str">
        <f>VLOOKUP(D18,Data!H:J,3,0)</f>
        <v>Nazım Öztel</v>
      </c>
      <c r="G18" s="116" t="b">
        <v>0</v>
      </c>
      <c r="H18" s="116" t="b">
        <v>0</v>
      </c>
      <c r="I18" s="116" t="b">
        <v>0</v>
      </c>
      <c r="J18" s="116" t="b">
        <v>0</v>
      </c>
      <c r="K18" s="116" t="b">
        <v>0</v>
      </c>
      <c r="L18" s="116" t="b">
        <v>0</v>
      </c>
      <c r="M18" s="116" t="b">
        <v>0</v>
      </c>
      <c r="N18" s="117">
        <f t="shared" si="1"/>
        <v>0</v>
      </c>
      <c r="O18" s="117">
        <f t="shared" si="2"/>
        <v>0</v>
      </c>
      <c r="P18" s="117"/>
      <c r="Q18" s="88"/>
    </row>
    <row r="19" ht="15.0" customHeight="1">
      <c r="A19" s="106"/>
      <c r="B19" s="106"/>
      <c r="C19" s="106"/>
      <c r="D19" s="129" t="s">
        <v>164</v>
      </c>
      <c r="E19" s="114" t="str">
        <f>VLOOKUP(D19,Data!H:I,2,0)</f>
        <v>Antalya</v>
      </c>
      <c r="F19" s="115" t="str">
        <f>VLOOKUP(D19,Data!H:J,3,0)</f>
        <v>Nazım Öztel</v>
      </c>
      <c r="G19" s="116" t="b">
        <v>0</v>
      </c>
      <c r="H19" s="116" t="b">
        <v>0</v>
      </c>
      <c r="I19" s="116" t="b">
        <v>0</v>
      </c>
      <c r="J19" s="116" t="b">
        <v>0</v>
      </c>
      <c r="K19" s="116" t="b">
        <v>0</v>
      </c>
      <c r="L19" s="116" t="b">
        <v>0</v>
      </c>
      <c r="M19" s="116" t="b">
        <v>0</v>
      </c>
      <c r="N19" s="117">
        <f t="shared" si="1"/>
        <v>0</v>
      </c>
      <c r="O19" s="117">
        <f t="shared" si="2"/>
        <v>0</v>
      </c>
      <c r="P19" s="117"/>
      <c r="Q19" s="106"/>
    </row>
    <row r="20" ht="15.0" customHeight="1">
      <c r="A20" s="106"/>
      <c r="B20" s="106"/>
      <c r="C20" s="106"/>
      <c r="D20" s="129" t="s">
        <v>272</v>
      </c>
      <c r="E20" s="114" t="s">
        <v>262</v>
      </c>
      <c r="F20" s="115" t="s">
        <v>61</v>
      </c>
      <c r="G20" s="116" t="b">
        <v>0</v>
      </c>
      <c r="H20" s="116" t="b">
        <v>0</v>
      </c>
      <c r="I20" s="116" t="b">
        <v>0</v>
      </c>
      <c r="J20" s="116" t="b">
        <v>0</v>
      </c>
      <c r="K20" s="116" t="b">
        <v>0</v>
      </c>
      <c r="L20" s="116" t="b">
        <v>0</v>
      </c>
      <c r="M20" s="116" t="b">
        <v>0</v>
      </c>
      <c r="N20" s="117">
        <f t="shared" si="1"/>
        <v>0</v>
      </c>
      <c r="O20" s="117">
        <f t="shared" si="2"/>
        <v>0</v>
      </c>
      <c r="P20" s="117"/>
      <c r="Q20" s="106"/>
    </row>
    <row r="21" ht="15.0" customHeight="1">
      <c r="A21" s="112"/>
      <c r="B21" s="112"/>
      <c r="C21" s="112"/>
      <c r="D21" s="129" t="s">
        <v>241</v>
      </c>
      <c r="E21" s="114" t="s">
        <v>184</v>
      </c>
      <c r="F21" s="115" t="s">
        <v>61</v>
      </c>
      <c r="G21" s="116" t="b">
        <v>0</v>
      </c>
      <c r="H21" s="116" t="b">
        <v>0</v>
      </c>
      <c r="I21" s="116" t="b">
        <v>0</v>
      </c>
      <c r="J21" s="116" t="b">
        <v>0</v>
      </c>
      <c r="K21" s="116" t="b">
        <v>0</v>
      </c>
      <c r="L21" s="116" t="b">
        <v>0</v>
      </c>
      <c r="M21" s="116" t="b">
        <v>0</v>
      </c>
      <c r="N21" s="117">
        <f t="shared" si="1"/>
        <v>0</v>
      </c>
      <c r="O21" s="117">
        <f t="shared" si="2"/>
        <v>0</v>
      </c>
      <c r="P21" s="117"/>
      <c r="Q21" s="112"/>
    </row>
    <row r="22" ht="15.0" customHeight="1">
      <c r="A22" s="112"/>
      <c r="B22" s="112"/>
      <c r="C22" s="112"/>
      <c r="D22" s="129" t="s">
        <v>263</v>
      </c>
      <c r="E22" s="114" t="str">
        <f>VLOOKUP(D22,Data!H:I,2,0)</f>
        <v>Bolu</v>
      </c>
      <c r="F22" s="115" t="str">
        <f>VLOOKUP(D22,Data!H:J,3,0)</f>
        <v>Nazım Öztel</v>
      </c>
      <c r="G22" s="116" t="b">
        <v>0</v>
      </c>
      <c r="H22" s="116" t="b">
        <v>0</v>
      </c>
      <c r="I22" s="116" t="b">
        <v>0</v>
      </c>
      <c r="J22" s="116" t="b">
        <v>0</v>
      </c>
      <c r="K22" s="116" t="b">
        <v>0</v>
      </c>
      <c r="L22" s="116" t="b">
        <v>0</v>
      </c>
      <c r="M22" s="116" t="b">
        <v>0</v>
      </c>
      <c r="N22" s="117">
        <f t="shared" si="1"/>
        <v>0</v>
      </c>
      <c r="O22" s="117">
        <f t="shared" si="2"/>
        <v>0</v>
      </c>
      <c r="P22" s="117"/>
      <c r="Q22" s="112"/>
    </row>
    <row r="23" ht="15.0" customHeight="1">
      <c r="A23" s="112"/>
      <c r="B23" s="112"/>
      <c r="C23" s="112"/>
      <c r="D23" s="129" t="s">
        <v>53</v>
      </c>
      <c r="E23" s="114" t="str">
        <f>VLOOKUP(D23,Data!H:I,2,0)</f>
        <v>Bursa</v>
      </c>
      <c r="F23" s="115" t="str">
        <f>VLOOKUP(D23,Data!H:J,3,0)</f>
        <v>Freelance</v>
      </c>
      <c r="G23" s="116" t="b">
        <v>0</v>
      </c>
      <c r="H23" s="116" t="b">
        <v>0</v>
      </c>
      <c r="I23" s="116" t="b">
        <v>0</v>
      </c>
      <c r="J23" s="116" t="b">
        <v>0</v>
      </c>
      <c r="K23" s="116" t="b">
        <v>0</v>
      </c>
      <c r="L23" s="116" t="b">
        <v>0</v>
      </c>
      <c r="M23" s="116" t="b">
        <v>0</v>
      </c>
      <c r="N23" s="117">
        <f t="shared" si="1"/>
        <v>0</v>
      </c>
      <c r="O23" s="117">
        <f t="shared" si="2"/>
        <v>0</v>
      </c>
      <c r="P23" s="117"/>
      <c r="Q23" s="112"/>
    </row>
    <row r="24" ht="15.0" customHeight="1">
      <c r="A24" s="112"/>
      <c r="B24" s="112"/>
      <c r="C24" s="112"/>
      <c r="D24" s="129" t="s">
        <v>247</v>
      </c>
      <c r="E24" s="114" t="str">
        <f>VLOOKUP(D24,Data!H:I,2,0)</f>
        <v>Çanakkale</v>
      </c>
      <c r="F24" s="115" t="str">
        <f>VLOOKUP(D24,Data!H:J,3,0)</f>
        <v>Nazım Öztel</v>
      </c>
      <c r="G24" s="116" t="b">
        <v>0</v>
      </c>
      <c r="H24" s="116" t="b">
        <v>0</v>
      </c>
      <c r="I24" s="116" t="b">
        <v>0</v>
      </c>
      <c r="J24" s="116" t="b">
        <v>0</v>
      </c>
      <c r="K24" s="116" t="b">
        <v>0</v>
      </c>
      <c r="L24" s="116" t="b">
        <v>0</v>
      </c>
      <c r="M24" s="116" t="b">
        <v>0</v>
      </c>
      <c r="N24" s="117">
        <f t="shared" si="1"/>
        <v>0</v>
      </c>
      <c r="O24" s="117">
        <f t="shared" si="2"/>
        <v>0</v>
      </c>
      <c r="P24" s="117"/>
      <c r="Q24" s="112"/>
    </row>
    <row r="25" ht="15.0" customHeight="1">
      <c r="A25" s="112"/>
      <c r="B25" s="112"/>
      <c r="C25" s="112"/>
      <c r="D25" s="129" t="s">
        <v>221</v>
      </c>
      <c r="E25" s="114" t="str">
        <f>VLOOKUP(D25,Data!H:I,2,0)</f>
        <v>Çorum</v>
      </c>
      <c r="F25" s="115" t="str">
        <f>VLOOKUP(D25,Data!H:J,3,0)</f>
        <v>Nazım Öztel</v>
      </c>
      <c r="G25" s="116" t="b">
        <v>0</v>
      </c>
      <c r="H25" s="116" t="b">
        <v>0</v>
      </c>
      <c r="I25" s="116" t="b">
        <v>0</v>
      </c>
      <c r="J25" s="116" t="b">
        <v>0</v>
      </c>
      <c r="K25" s="116" t="b">
        <v>0</v>
      </c>
      <c r="L25" s="116" t="b">
        <v>0</v>
      </c>
      <c r="M25" s="116" t="b">
        <v>0</v>
      </c>
      <c r="N25" s="117">
        <f t="shared" si="1"/>
        <v>0</v>
      </c>
      <c r="O25" s="117">
        <f t="shared" si="2"/>
        <v>0</v>
      </c>
      <c r="P25" s="117"/>
      <c r="Q25" s="112"/>
    </row>
    <row r="26" ht="15.0" customHeight="1">
      <c r="A26" s="112"/>
      <c r="B26" s="112"/>
      <c r="C26" s="112"/>
      <c r="D26" s="129" t="s">
        <v>264</v>
      </c>
      <c r="E26" s="114" t="str">
        <f>VLOOKUP(D26,Data!H:I,2,0)</f>
        <v>Denizli</v>
      </c>
      <c r="F26" s="115" t="str">
        <f>VLOOKUP(D26,Data!H:J,3,0)</f>
        <v>Nazım Öztel</v>
      </c>
      <c r="G26" s="116" t="b">
        <v>0</v>
      </c>
      <c r="H26" s="116" t="b">
        <v>0</v>
      </c>
      <c r="I26" s="116" t="b">
        <v>0</v>
      </c>
      <c r="J26" s="116" t="b">
        <v>0</v>
      </c>
      <c r="K26" s="116" t="b">
        <v>0</v>
      </c>
      <c r="L26" s="116" t="b">
        <v>0</v>
      </c>
      <c r="M26" s="116" t="b">
        <v>0</v>
      </c>
      <c r="N26" s="117">
        <f t="shared" si="1"/>
        <v>0</v>
      </c>
      <c r="O26" s="117">
        <f t="shared" si="2"/>
        <v>0</v>
      </c>
      <c r="P26" s="117"/>
      <c r="Q26" s="112"/>
    </row>
    <row r="27" ht="15.0" customHeight="1">
      <c r="A27" s="112"/>
      <c r="B27" s="112"/>
      <c r="C27" s="112"/>
      <c r="D27" s="132" t="s">
        <v>54</v>
      </c>
      <c r="E27" s="114" t="str">
        <f>VLOOKUP(D27,Data!H:I,2,0)</f>
        <v>Diyarbakır</v>
      </c>
      <c r="F27" s="115" t="str">
        <f>VLOOKUP(D27,Data!H:J,3,0)</f>
        <v>Nazım Öztel</v>
      </c>
      <c r="G27" s="116" t="b">
        <v>0</v>
      </c>
      <c r="H27" s="116" t="b">
        <v>0</v>
      </c>
      <c r="I27" s="116" t="b">
        <v>0</v>
      </c>
      <c r="J27" s="116" t="b">
        <v>0</v>
      </c>
      <c r="K27" s="116" t="b">
        <v>0</v>
      </c>
      <c r="L27" s="116" t="b">
        <v>0</v>
      </c>
      <c r="M27" s="116" t="b">
        <v>0</v>
      </c>
      <c r="N27" s="117">
        <f t="shared" si="1"/>
        <v>0</v>
      </c>
      <c r="O27" s="117">
        <f t="shared" si="2"/>
        <v>0</v>
      </c>
      <c r="P27" s="117"/>
      <c r="Q27" s="112"/>
    </row>
    <row r="28" ht="15.0" customHeight="1">
      <c r="A28" s="112"/>
      <c r="B28" s="112"/>
      <c r="C28" s="112"/>
      <c r="D28" s="129" t="s">
        <v>173</v>
      </c>
      <c r="E28" s="114" t="str">
        <f>VLOOKUP(D28,Data!H:I,2,0)</f>
        <v>Düzce</v>
      </c>
      <c r="F28" s="115" t="str">
        <f>VLOOKUP(D28,Data!H:J,3,0)</f>
        <v>Nazım Öztel</v>
      </c>
      <c r="G28" s="116" t="b">
        <v>0</v>
      </c>
      <c r="H28" s="116" t="b">
        <v>0</v>
      </c>
      <c r="I28" s="116" t="b">
        <v>0</v>
      </c>
      <c r="J28" s="116" t="b">
        <v>0</v>
      </c>
      <c r="K28" s="116" t="b">
        <v>0</v>
      </c>
      <c r="L28" s="116" t="b">
        <v>0</v>
      </c>
      <c r="M28" s="116" t="b">
        <v>0</v>
      </c>
      <c r="N28" s="117">
        <f t="shared" si="1"/>
        <v>0</v>
      </c>
      <c r="O28" s="117">
        <f t="shared" si="2"/>
        <v>0</v>
      </c>
      <c r="P28" s="117"/>
      <c r="Q28" s="112"/>
    </row>
    <row r="29" ht="15.0" customHeight="1">
      <c r="A29" s="112"/>
      <c r="B29" s="112"/>
      <c r="C29" s="112"/>
      <c r="D29" s="129" t="s">
        <v>153</v>
      </c>
      <c r="E29" s="114" t="str">
        <f>VLOOKUP(D29,Data!H:I,2,0)</f>
        <v>Edirne</v>
      </c>
      <c r="F29" s="115" t="str">
        <f>VLOOKUP(D29,Data!H:J,3,0)</f>
        <v>Nazım Öztel</v>
      </c>
      <c r="G29" s="116" t="b">
        <v>0</v>
      </c>
      <c r="H29" s="116" t="b">
        <v>0</v>
      </c>
      <c r="I29" s="116" t="b">
        <v>0</v>
      </c>
      <c r="J29" s="116" t="b">
        <v>0</v>
      </c>
      <c r="K29" s="116" t="b">
        <v>0</v>
      </c>
      <c r="L29" s="116" t="b">
        <v>0</v>
      </c>
      <c r="M29" s="116" t="b">
        <v>0</v>
      </c>
      <c r="N29" s="117">
        <f t="shared" si="1"/>
        <v>0</v>
      </c>
      <c r="O29" s="117">
        <f t="shared" si="2"/>
        <v>0</v>
      </c>
      <c r="P29" s="117"/>
      <c r="Q29" s="112"/>
    </row>
    <row r="30" ht="15.0" customHeight="1">
      <c r="A30" s="112"/>
      <c r="B30" s="112"/>
      <c r="C30" s="112"/>
      <c r="D30" s="129" t="s">
        <v>199</v>
      </c>
      <c r="E30" s="114" t="str">
        <f>VLOOKUP(D30,Data!H:I,2,0)</f>
        <v>Elazığ</v>
      </c>
      <c r="F30" s="115" t="str">
        <f>VLOOKUP(D30,Data!H:J,3,0)</f>
        <v>Nazım Öztel</v>
      </c>
      <c r="G30" s="116" t="b">
        <v>0</v>
      </c>
      <c r="H30" s="116" t="b">
        <v>0</v>
      </c>
      <c r="I30" s="116" t="b">
        <v>0</v>
      </c>
      <c r="J30" s="116" t="b">
        <v>0</v>
      </c>
      <c r="K30" s="116" t="b">
        <v>0</v>
      </c>
      <c r="L30" s="116" t="b">
        <v>0</v>
      </c>
      <c r="M30" s="116" t="b">
        <v>0</v>
      </c>
      <c r="N30" s="117">
        <f t="shared" si="1"/>
        <v>0</v>
      </c>
      <c r="O30" s="117">
        <f t="shared" si="2"/>
        <v>0</v>
      </c>
      <c r="P30" s="117"/>
      <c r="Q30" s="112"/>
    </row>
    <row r="31" ht="15.0" customHeight="1">
      <c r="A31" s="112"/>
      <c r="B31" s="112"/>
      <c r="C31" s="112"/>
      <c r="D31" s="132" t="s">
        <v>55</v>
      </c>
      <c r="E31" s="114" t="str">
        <f>VLOOKUP(D31,Data!H:I,2,0)</f>
        <v>Erzurum</v>
      </c>
      <c r="F31" s="115" t="str">
        <f>VLOOKUP(D31,Data!H:J,3,0)</f>
        <v>Nazım Öztel</v>
      </c>
      <c r="G31" s="116" t="b">
        <v>0</v>
      </c>
      <c r="H31" s="116" t="b">
        <v>0</v>
      </c>
      <c r="I31" s="116" t="b">
        <v>0</v>
      </c>
      <c r="J31" s="116" t="b">
        <v>0</v>
      </c>
      <c r="K31" s="116" t="b">
        <v>0</v>
      </c>
      <c r="L31" s="116" t="b">
        <v>0</v>
      </c>
      <c r="M31" s="116" t="b">
        <v>0</v>
      </c>
      <c r="N31" s="117">
        <f t="shared" si="1"/>
        <v>0</v>
      </c>
      <c r="O31" s="117">
        <f t="shared" si="2"/>
        <v>0</v>
      </c>
      <c r="P31" s="117"/>
      <c r="Q31" s="112"/>
    </row>
    <row r="32" ht="15.0" customHeight="1">
      <c r="A32" s="112"/>
      <c r="B32" s="112"/>
      <c r="C32" s="112"/>
      <c r="D32" s="129" t="s">
        <v>165</v>
      </c>
      <c r="E32" s="114" t="str">
        <f>VLOOKUP(D32,Data!H:I,2,0)</f>
        <v>Eskişehir</v>
      </c>
      <c r="F32" s="115" t="str">
        <f>VLOOKUP(D32,Data!H:J,3,0)</f>
        <v>Nazım Öztel</v>
      </c>
      <c r="G32" s="116" t="b">
        <v>0</v>
      </c>
      <c r="H32" s="116" t="b">
        <v>0</v>
      </c>
      <c r="I32" s="116" t="b">
        <v>0</v>
      </c>
      <c r="J32" s="116" t="b">
        <v>0</v>
      </c>
      <c r="K32" s="116" t="b">
        <v>0</v>
      </c>
      <c r="L32" s="116" t="b">
        <v>0</v>
      </c>
      <c r="M32" s="116" t="b">
        <v>0</v>
      </c>
      <c r="N32" s="117">
        <f t="shared" si="1"/>
        <v>0</v>
      </c>
      <c r="O32" s="117">
        <f t="shared" si="2"/>
        <v>0</v>
      </c>
      <c r="P32" s="117"/>
      <c r="Q32" s="112"/>
    </row>
    <row r="33" ht="15.0" customHeight="1">
      <c r="A33" s="112"/>
      <c r="B33" s="112"/>
      <c r="C33" s="112"/>
      <c r="D33" s="129" t="s">
        <v>273</v>
      </c>
      <c r="E33" s="114" t="str">
        <f>VLOOKUP(D33,Data!H:I,2,0)</f>
        <v>Gaziantep</v>
      </c>
      <c r="F33" s="115" t="str">
        <f>VLOOKUP(D33,Data!H:J,3,0)</f>
        <v>Nazım Öztel</v>
      </c>
      <c r="G33" s="116" t="b">
        <v>0</v>
      </c>
      <c r="H33" s="116" t="b">
        <v>0</v>
      </c>
      <c r="I33" s="116" t="b">
        <v>0</v>
      </c>
      <c r="J33" s="116" t="b">
        <v>0</v>
      </c>
      <c r="K33" s="116" t="b">
        <v>0</v>
      </c>
      <c r="L33" s="116" t="b">
        <v>0</v>
      </c>
      <c r="M33" s="116" t="b">
        <v>0</v>
      </c>
      <c r="N33" s="117">
        <f t="shared" si="1"/>
        <v>0</v>
      </c>
      <c r="O33" s="117">
        <f t="shared" si="2"/>
        <v>0</v>
      </c>
      <c r="P33" s="117"/>
      <c r="Q33" s="112"/>
    </row>
    <row r="34" ht="15.0" customHeight="1">
      <c r="A34" s="112"/>
      <c r="B34" s="112"/>
      <c r="C34" s="112"/>
      <c r="D34" s="129" t="s">
        <v>248</v>
      </c>
      <c r="E34" s="114" t="str">
        <f>VLOOKUP(D34,Data!H:I,2,0)</f>
        <v>Hatay</v>
      </c>
      <c r="F34" s="115" t="str">
        <f>VLOOKUP(D34,Data!H:J,3,0)</f>
        <v>Nazım Öztel</v>
      </c>
      <c r="G34" s="116" t="b">
        <v>0</v>
      </c>
      <c r="H34" s="116" t="b">
        <v>0</v>
      </c>
      <c r="I34" s="116" t="b">
        <v>0</v>
      </c>
      <c r="J34" s="116" t="b">
        <v>0</v>
      </c>
      <c r="K34" s="116" t="b">
        <v>0</v>
      </c>
      <c r="L34" s="116" t="b">
        <v>0</v>
      </c>
      <c r="M34" s="116" t="b">
        <v>0</v>
      </c>
      <c r="N34" s="117">
        <f t="shared" si="1"/>
        <v>0</v>
      </c>
      <c r="O34" s="117">
        <f t="shared" si="2"/>
        <v>0</v>
      </c>
      <c r="P34" s="117"/>
      <c r="Q34" s="112"/>
    </row>
    <row r="35" ht="15.0" customHeight="1">
      <c r="A35" s="112"/>
      <c r="B35" s="112"/>
      <c r="C35" s="112"/>
      <c r="D35" s="129" t="s">
        <v>58</v>
      </c>
      <c r="E35" s="114" t="str">
        <f>VLOOKUP(D35,Data!H:I,2,0)</f>
        <v>İstanbul</v>
      </c>
      <c r="F35" s="115" t="str">
        <f>VLOOKUP(D35,Data!H:J,3,0)</f>
        <v>Freelance</v>
      </c>
      <c r="G35" s="116" t="b">
        <v>0</v>
      </c>
      <c r="H35" s="116" t="b">
        <v>0</v>
      </c>
      <c r="I35" s="116" t="b">
        <v>0</v>
      </c>
      <c r="J35" s="116" t="b">
        <v>0</v>
      </c>
      <c r="K35" s="116" t="b">
        <v>0</v>
      </c>
      <c r="L35" s="116" t="b">
        <v>0</v>
      </c>
      <c r="M35" s="116" t="b">
        <v>0</v>
      </c>
      <c r="N35" s="117">
        <f t="shared" si="1"/>
        <v>0</v>
      </c>
      <c r="O35" s="117">
        <f t="shared" si="2"/>
        <v>0</v>
      </c>
      <c r="P35" s="117"/>
      <c r="Q35" s="112"/>
    </row>
    <row r="36" ht="15.0" customHeight="1">
      <c r="A36" s="121"/>
      <c r="B36" s="121"/>
      <c r="C36" s="121"/>
      <c r="D36" s="129" t="s">
        <v>236</v>
      </c>
      <c r="E36" s="114" t="str">
        <f>VLOOKUP(D36,Data!H:I,2,0)</f>
        <v>İstanbul</v>
      </c>
      <c r="F36" s="115" t="str">
        <f>VLOOKUP(D36,Data!H:J,3,0)</f>
        <v>Filamingo</v>
      </c>
      <c r="G36" s="116" t="b">
        <v>0</v>
      </c>
      <c r="H36" s="116" t="b">
        <v>0</v>
      </c>
      <c r="I36" s="116" t="b">
        <v>0</v>
      </c>
      <c r="J36" s="116" t="b">
        <v>0</v>
      </c>
      <c r="K36" s="116" t="b">
        <v>0</v>
      </c>
      <c r="L36" s="116" t="b">
        <v>0</v>
      </c>
      <c r="M36" s="116" t="b">
        <v>0</v>
      </c>
      <c r="N36" s="117">
        <f t="shared" si="1"/>
        <v>0</v>
      </c>
      <c r="O36" s="117">
        <f t="shared" si="2"/>
        <v>0</v>
      </c>
      <c r="P36" s="117"/>
      <c r="Q36" s="121"/>
    </row>
    <row r="37" ht="15.0" customHeight="1">
      <c r="A37" s="112"/>
      <c r="B37" s="112"/>
      <c r="C37" s="112"/>
      <c r="D37" s="129" t="s">
        <v>135</v>
      </c>
      <c r="E37" s="114" t="str">
        <f>VLOOKUP(D37,Data!H:I,2,0)</f>
        <v>İstanbul</v>
      </c>
      <c r="F37" s="115" t="str">
        <f>VLOOKUP(D37,Data!H:J,3,0)</f>
        <v>Freelance</v>
      </c>
      <c r="G37" s="116" t="b">
        <v>0</v>
      </c>
      <c r="H37" s="116" t="b">
        <v>0</v>
      </c>
      <c r="I37" s="116" t="b">
        <v>0</v>
      </c>
      <c r="J37" s="116" t="b">
        <v>0</v>
      </c>
      <c r="K37" s="116" t="b">
        <v>0</v>
      </c>
      <c r="L37" s="116" t="b">
        <v>0</v>
      </c>
      <c r="M37" s="116" t="b">
        <v>0</v>
      </c>
      <c r="N37" s="117">
        <f t="shared" si="1"/>
        <v>0</v>
      </c>
      <c r="O37" s="117">
        <f t="shared" si="2"/>
        <v>0</v>
      </c>
      <c r="P37" s="117"/>
      <c r="Q37" s="112"/>
    </row>
    <row r="38" ht="15.0" customHeight="1">
      <c r="A38" s="112"/>
      <c r="B38" s="112"/>
      <c r="C38" s="112"/>
      <c r="D38" s="129" t="s">
        <v>70</v>
      </c>
      <c r="E38" s="114" t="str">
        <f>VLOOKUP(D38,Data!H:I,2,0)</f>
        <v>İstanbul</v>
      </c>
      <c r="F38" s="115" t="str">
        <f>VLOOKUP(D38,Data!H:J,3,0)</f>
        <v>Freelance</v>
      </c>
      <c r="G38" s="116" t="b">
        <v>0</v>
      </c>
      <c r="H38" s="116" t="b">
        <v>0</v>
      </c>
      <c r="I38" s="116" t="b">
        <v>0</v>
      </c>
      <c r="J38" s="116" t="b">
        <v>0</v>
      </c>
      <c r="K38" s="116" t="b">
        <v>0</v>
      </c>
      <c r="L38" s="116" t="b">
        <v>0</v>
      </c>
      <c r="M38" s="116" t="b">
        <v>0</v>
      </c>
      <c r="N38" s="117">
        <f t="shared" si="1"/>
        <v>0</v>
      </c>
      <c r="O38" s="117">
        <f t="shared" si="2"/>
        <v>0</v>
      </c>
      <c r="P38" s="117"/>
      <c r="Q38" s="112"/>
    </row>
    <row r="39" ht="15.0" customHeight="1">
      <c r="A39" s="112"/>
      <c r="B39" s="112"/>
      <c r="C39" s="112"/>
      <c r="D39" s="129" t="s">
        <v>78</v>
      </c>
      <c r="E39" s="114" t="str">
        <f>VLOOKUP(D39,Data!H:I,2,0)</f>
        <v>İstanbul</v>
      </c>
      <c r="F39" s="115" t="str">
        <f>VLOOKUP(D39,Data!H:J,3,0)</f>
        <v>Freelance</v>
      </c>
      <c r="G39" s="116" t="b">
        <v>0</v>
      </c>
      <c r="H39" s="116" t="b">
        <v>0</v>
      </c>
      <c r="I39" s="116" t="b">
        <v>0</v>
      </c>
      <c r="J39" s="116" t="b">
        <v>0</v>
      </c>
      <c r="K39" s="116" t="b">
        <v>0</v>
      </c>
      <c r="L39" s="116" t="b">
        <v>0</v>
      </c>
      <c r="M39" s="116" t="b">
        <v>0</v>
      </c>
      <c r="N39" s="117">
        <f t="shared" si="1"/>
        <v>0</v>
      </c>
      <c r="O39" s="117">
        <f t="shared" si="2"/>
        <v>0</v>
      </c>
      <c r="P39" s="117"/>
      <c r="Q39" s="112"/>
    </row>
    <row r="40" ht="15.0" customHeight="1">
      <c r="A40" s="112"/>
      <c r="B40" s="112"/>
      <c r="C40" s="112"/>
      <c r="D40" s="129" t="s">
        <v>79</v>
      </c>
      <c r="E40" s="114" t="str">
        <f>VLOOKUP(D40,Data!H:I,2,0)</f>
        <v>İstanbul</v>
      </c>
      <c r="F40" s="115" t="str">
        <f>VLOOKUP(D40,Data!H:J,3,0)</f>
        <v>Freelance</v>
      </c>
      <c r="G40" s="116" t="b">
        <v>0</v>
      </c>
      <c r="H40" s="116" t="b">
        <v>0</v>
      </c>
      <c r="I40" s="116" t="b">
        <v>0</v>
      </c>
      <c r="J40" s="116" t="b">
        <v>0</v>
      </c>
      <c r="K40" s="116" t="b">
        <v>0</v>
      </c>
      <c r="L40" s="116" t="b">
        <v>0</v>
      </c>
      <c r="M40" s="116" t="b">
        <v>0</v>
      </c>
      <c r="N40" s="117">
        <f t="shared" si="1"/>
        <v>0</v>
      </c>
      <c r="O40" s="117">
        <f t="shared" si="2"/>
        <v>0</v>
      </c>
      <c r="P40" s="117"/>
      <c r="Q40" s="112"/>
    </row>
    <row r="41" ht="15.0" customHeight="1">
      <c r="A41" s="122"/>
      <c r="B41" s="122"/>
      <c r="C41" s="122"/>
      <c r="D41" s="129" t="s">
        <v>80</v>
      </c>
      <c r="E41" s="114" t="str">
        <f>VLOOKUP(D41,Data!H:I,2,0)</f>
        <v>İstanbul</v>
      </c>
      <c r="F41" s="115" t="str">
        <f>VLOOKUP(D41,Data!H:J,3,0)</f>
        <v>Freelance</v>
      </c>
      <c r="G41" s="116" t="b">
        <v>0</v>
      </c>
      <c r="H41" s="116" t="b">
        <v>0</v>
      </c>
      <c r="I41" s="116" t="b">
        <v>0</v>
      </c>
      <c r="J41" s="116" t="b">
        <v>0</v>
      </c>
      <c r="K41" s="116" t="b">
        <v>0</v>
      </c>
      <c r="L41" s="116" t="b">
        <v>0</v>
      </c>
      <c r="M41" s="116" t="b">
        <v>0</v>
      </c>
      <c r="N41" s="117">
        <f t="shared" si="1"/>
        <v>0</v>
      </c>
      <c r="O41" s="117">
        <f t="shared" si="2"/>
        <v>0</v>
      </c>
      <c r="P41" s="117"/>
      <c r="Q41" s="122"/>
    </row>
    <row r="42" ht="15.0" customHeight="1">
      <c r="A42" s="112"/>
      <c r="B42" s="112"/>
      <c r="C42" s="112"/>
      <c r="D42" s="132" t="s">
        <v>119</v>
      </c>
      <c r="E42" s="114" t="str">
        <f>VLOOKUP(D42,Data!H:I,2,0)</f>
        <v>İstanbul</v>
      </c>
      <c r="F42" s="115" t="str">
        <f>VLOOKUP(D42,Data!H:J,3,0)</f>
        <v>Filamingo</v>
      </c>
      <c r="G42" s="116" t="b">
        <v>0</v>
      </c>
      <c r="H42" s="116" t="b">
        <v>0</v>
      </c>
      <c r="I42" s="116" t="b">
        <v>0</v>
      </c>
      <c r="J42" s="116" t="b">
        <v>0</v>
      </c>
      <c r="K42" s="116" t="b">
        <v>0</v>
      </c>
      <c r="L42" s="116" t="b">
        <v>0</v>
      </c>
      <c r="M42" s="116" t="b">
        <v>0</v>
      </c>
      <c r="N42" s="117">
        <f t="shared" si="1"/>
        <v>0</v>
      </c>
      <c r="O42" s="117">
        <f t="shared" si="2"/>
        <v>0</v>
      </c>
      <c r="P42" s="117"/>
      <c r="Q42" s="112"/>
    </row>
    <row r="43" ht="15.0" customHeight="1">
      <c r="A43" s="112"/>
      <c r="B43" s="112"/>
      <c r="C43" s="112"/>
      <c r="D43" s="129" t="s">
        <v>96</v>
      </c>
      <c r="E43" s="114" t="s">
        <v>237</v>
      </c>
      <c r="F43" s="115" t="s">
        <v>61</v>
      </c>
      <c r="G43" s="116" t="b">
        <v>0</v>
      </c>
      <c r="H43" s="116" t="b">
        <v>0</v>
      </c>
      <c r="I43" s="116" t="b">
        <v>0</v>
      </c>
      <c r="J43" s="116" t="b">
        <v>0</v>
      </c>
      <c r="K43" s="116" t="b">
        <v>0</v>
      </c>
      <c r="L43" s="116" t="b">
        <v>0</v>
      </c>
      <c r="M43" s="116" t="b">
        <v>0</v>
      </c>
      <c r="N43" s="117">
        <f t="shared" si="1"/>
        <v>0</v>
      </c>
      <c r="O43" s="117">
        <f t="shared" si="2"/>
        <v>0</v>
      </c>
      <c r="P43" s="117"/>
      <c r="Q43" s="112"/>
    </row>
    <row r="44" ht="15.0" customHeight="1">
      <c r="A44" s="112"/>
      <c r="B44" s="112"/>
      <c r="C44" s="112"/>
      <c r="D44" s="129" t="s">
        <v>217</v>
      </c>
      <c r="E44" s="114" t="str">
        <f>VLOOKUP(D44,Data!H:I,2,0)</f>
        <v>İstanbul</v>
      </c>
      <c r="F44" s="115" t="str">
        <f>VLOOKUP(D44,Data!H:J,3,0)</f>
        <v>Freelance</v>
      </c>
      <c r="G44" s="116" t="b">
        <v>0</v>
      </c>
      <c r="H44" s="116" t="b">
        <v>0</v>
      </c>
      <c r="I44" s="116" t="b">
        <v>0</v>
      </c>
      <c r="J44" s="116" t="b">
        <v>0</v>
      </c>
      <c r="K44" s="116" t="b">
        <v>0</v>
      </c>
      <c r="L44" s="116" t="b">
        <v>0</v>
      </c>
      <c r="M44" s="116" t="b">
        <v>0</v>
      </c>
      <c r="N44" s="117">
        <f t="shared" si="1"/>
        <v>0</v>
      </c>
      <c r="O44" s="117">
        <f t="shared" si="2"/>
        <v>0</v>
      </c>
      <c r="P44" s="117"/>
      <c r="Q44" s="112"/>
    </row>
    <row r="45" ht="15.0" customHeight="1">
      <c r="A45" s="112"/>
      <c r="B45" s="112"/>
      <c r="C45" s="112"/>
      <c r="D45" s="129" t="s">
        <v>81</v>
      </c>
      <c r="E45" s="114" t="str">
        <f>VLOOKUP(D45,Data!H:I,2,0)</f>
        <v>İstanbul</v>
      </c>
      <c r="F45" s="115" t="str">
        <f>VLOOKUP(D45,Data!H:J,3,0)</f>
        <v>Freelance</v>
      </c>
      <c r="G45" s="116" t="b">
        <v>0</v>
      </c>
      <c r="H45" s="116" t="b">
        <v>0</v>
      </c>
      <c r="I45" s="116" t="b">
        <v>0</v>
      </c>
      <c r="J45" s="116" t="b">
        <v>0</v>
      </c>
      <c r="K45" s="116" t="b">
        <v>0</v>
      </c>
      <c r="L45" s="116" t="b">
        <v>0</v>
      </c>
      <c r="M45" s="116" t="b">
        <v>0</v>
      </c>
      <c r="N45" s="117">
        <f t="shared" si="1"/>
        <v>0</v>
      </c>
      <c r="O45" s="117">
        <f t="shared" si="2"/>
        <v>0</v>
      </c>
      <c r="P45" s="117"/>
      <c r="Q45" s="112"/>
    </row>
    <row r="46" ht="15.0" customHeight="1">
      <c r="A46" s="112"/>
      <c r="B46" s="112"/>
      <c r="C46" s="112"/>
      <c r="D46" s="129" t="s">
        <v>201</v>
      </c>
      <c r="E46" s="114" t="str">
        <f>VLOOKUP(D46,Data!H:I,2,0)</f>
        <v>İstanbul</v>
      </c>
      <c r="F46" s="114" t="str">
        <f>VLOOKUP(D46,Data!H:J,3,0)</f>
        <v>Freelance</v>
      </c>
      <c r="G46" s="116" t="b">
        <v>0</v>
      </c>
      <c r="H46" s="116" t="b">
        <v>0</v>
      </c>
      <c r="I46" s="116" t="b">
        <v>0</v>
      </c>
      <c r="J46" s="116" t="b">
        <v>0</v>
      </c>
      <c r="K46" s="116" t="b">
        <v>0</v>
      </c>
      <c r="L46" s="116" t="b">
        <v>0</v>
      </c>
      <c r="M46" s="116" t="b">
        <v>0</v>
      </c>
      <c r="N46" s="117">
        <f t="shared" si="1"/>
        <v>0</v>
      </c>
      <c r="O46" s="117">
        <f t="shared" si="2"/>
        <v>0</v>
      </c>
      <c r="P46" s="117"/>
      <c r="Q46" s="112"/>
    </row>
    <row r="47" ht="15.0" customHeight="1">
      <c r="A47" s="112"/>
      <c r="B47" s="112"/>
      <c r="C47" s="112"/>
      <c r="D47" s="132" t="s">
        <v>83</v>
      </c>
      <c r="E47" s="114" t="str">
        <f>VLOOKUP(D47,Data!H:I,2,0)</f>
        <v>İstanbul</v>
      </c>
      <c r="F47" s="115" t="str">
        <f>VLOOKUP(D47,Data!H:J,3,0)</f>
        <v>Nazım Öztel</v>
      </c>
      <c r="G47" s="116" t="b">
        <v>0</v>
      </c>
      <c r="H47" s="116" t="b">
        <v>0</v>
      </c>
      <c r="I47" s="116" t="b">
        <v>0</v>
      </c>
      <c r="J47" s="116" t="b">
        <v>0</v>
      </c>
      <c r="K47" s="116" t="b">
        <v>0</v>
      </c>
      <c r="L47" s="116" t="b">
        <v>0</v>
      </c>
      <c r="M47" s="116" t="b">
        <v>0</v>
      </c>
      <c r="N47" s="117">
        <f t="shared" si="1"/>
        <v>0</v>
      </c>
      <c r="O47" s="117">
        <f t="shared" si="2"/>
        <v>0</v>
      </c>
      <c r="P47" s="117"/>
      <c r="Q47" s="112"/>
    </row>
    <row r="48" ht="15.0" customHeight="1">
      <c r="A48" s="112"/>
      <c r="B48" s="112"/>
      <c r="C48" s="112"/>
      <c r="D48" s="129" t="s">
        <v>224</v>
      </c>
      <c r="E48" s="145" t="str">
        <f>VLOOKUP(D48,Data!H:I,2,0)</f>
        <v>İstanbul</v>
      </c>
      <c r="F48" s="147" t="str">
        <f>VLOOKUP(D48,Data!H:J,3,0)</f>
        <v>Filamingo</v>
      </c>
      <c r="G48" s="116" t="b">
        <v>0</v>
      </c>
      <c r="H48" s="116" t="b">
        <v>0</v>
      </c>
      <c r="I48" s="116" t="b">
        <v>0</v>
      </c>
      <c r="J48" s="116" t="b">
        <v>0</v>
      </c>
      <c r="K48" s="116" t="b">
        <v>0</v>
      </c>
      <c r="L48" s="116" t="b">
        <v>0</v>
      </c>
      <c r="M48" s="116" t="b">
        <v>0</v>
      </c>
      <c r="N48" s="146">
        <f t="shared" si="1"/>
        <v>0</v>
      </c>
      <c r="O48" s="146">
        <f t="shared" si="2"/>
        <v>0</v>
      </c>
      <c r="P48" s="146"/>
      <c r="Q48" s="112"/>
    </row>
    <row r="49" ht="15.0" customHeight="1">
      <c r="A49" s="125"/>
      <c r="B49" s="125"/>
      <c r="C49" s="125"/>
      <c r="D49" s="129" t="s">
        <v>225</v>
      </c>
      <c r="E49" s="114" t="str">
        <f>VLOOKUP(D49,Data!H:I,2,0)</f>
        <v>İstanbul</v>
      </c>
      <c r="F49" s="115" t="str">
        <f>VLOOKUP(D49,Data!H:J,3,0)</f>
        <v>Filamingo</v>
      </c>
      <c r="G49" s="116" t="b">
        <v>0</v>
      </c>
      <c r="H49" s="116" t="b">
        <v>0</v>
      </c>
      <c r="I49" s="116" t="b">
        <v>0</v>
      </c>
      <c r="J49" s="116" t="b">
        <v>0</v>
      </c>
      <c r="K49" s="116" t="b">
        <v>0</v>
      </c>
      <c r="L49" s="116" t="b">
        <v>0</v>
      </c>
      <c r="M49" s="116" t="b">
        <v>0</v>
      </c>
      <c r="N49" s="117">
        <f t="shared" si="1"/>
        <v>0</v>
      </c>
      <c r="O49" s="117">
        <f t="shared" si="2"/>
        <v>0</v>
      </c>
      <c r="P49" s="117"/>
      <c r="Q49" s="125"/>
    </row>
    <row r="50" ht="15.0" customHeight="1">
      <c r="A50" s="125"/>
      <c r="B50" s="125"/>
      <c r="C50" s="125"/>
      <c r="D50" s="129" t="s">
        <v>145</v>
      </c>
      <c r="E50" s="114" t="str">
        <f>VLOOKUP(D50,Data!H:I,2,0)</f>
        <v>İstanbul</v>
      </c>
      <c r="F50" s="115" t="str">
        <f>VLOOKUP(D50,Data!H:J,3,0)</f>
        <v>Filamingo</v>
      </c>
      <c r="G50" s="116" t="b">
        <v>0</v>
      </c>
      <c r="H50" s="116" t="b">
        <v>0</v>
      </c>
      <c r="I50" s="116" t="b">
        <v>0</v>
      </c>
      <c r="J50" s="116" t="b">
        <v>0</v>
      </c>
      <c r="K50" s="116" t="b">
        <v>0</v>
      </c>
      <c r="L50" s="116" t="b">
        <v>0</v>
      </c>
      <c r="M50" s="116" t="b">
        <v>0</v>
      </c>
      <c r="N50" s="117">
        <f t="shared" si="1"/>
        <v>0</v>
      </c>
      <c r="O50" s="117">
        <f t="shared" si="2"/>
        <v>0</v>
      </c>
      <c r="P50" s="117"/>
      <c r="Q50" s="125"/>
    </row>
    <row r="51" ht="15.0" customHeight="1">
      <c r="A51" s="125"/>
      <c r="B51" s="125"/>
      <c r="C51" s="125"/>
      <c r="D51" s="129" t="s">
        <v>274</v>
      </c>
      <c r="E51" s="114" t="str">
        <f>VLOOKUP(D51,Data!H:I,2,0)</f>
        <v>İstanbul</v>
      </c>
      <c r="F51" s="115" t="str">
        <f>VLOOKUP(D51,Data!H:J,3,0)</f>
        <v>Filamingo</v>
      </c>
      <c r="G51" s="116" t="b">
        <v>0</v>
      </c>
      <c r="H51" s="116" t="b">
        <v>0</v>
      </c>
      <c r="I51" s="116" t="b">
        <v>0</v>
      </c>
      <c r="J51" s="116" t="b">
        <v>0</v>
      </c>
      <c r="K51" s="116" t="b">
        <v>0</v>
      </c>
      <c r="L51" s="116" t="b">
        <v>0</v>
      </c>
      <c r="M51" s="116" t="b">
        <v>0</v>
      </c>
      <c r="N51" s="117">
        <f t="shared" si="1"/>
        <v>0</v>
      </c>
      <c r="O51" s="117">
        <f t="shared" si="2"/>
        <v>0</v>
      </c>
      <c r="P51" s="117"/>
      <c r="Q51" s="125"/>
    </row>
    <row r="52" ht="15.0" customHeight="1">
      <c r="A52" s="125"/>
      <c r="B52" s="125"/>
      <c r="C52" s="125"/>
      <c r="D52" s="129" t="s">
        <v>87</v>
      </c>
      <c r="E52" s="114" t="str">
        <f>VLOOKUP(D52,Data!H:I,2,0)</f>
        <v>İstanbul</v>
      </c>
      <c r="F52" s="115" t="str">
        <f>VLOOKUP(D52,Data!H:J,3,0)</f>
        <v>Freelance</v>
      </c>
      <c r="G52" s="116" t="b">
        <v>0</v>
      </c>
      <c r="H52" s="116" t="b">
        <v>0</v>
      </c>
      <c r="I52" s="116" t="b">
        <v>0</v>
      </c>
      <c r="J52" s="116" t="b">
        <v>0</v>
      </c>
      <c r="K52" s="116" t="b">
        <v>0</v>
      </c>
      <c r="L52" s="116" t="b">
        <v>0</v>
      </c>
      <c r="M52" s="116" t="b">
        <v>0</v>
      </c>
      <c r="N52" s="117">
        <f t="shared" si="1"/>
        <v>0</v>
      </c>
      <c r="O52" s="117">
        <f t="shared" si="2"/>
        <v>0</v>
      </c>
      <c r="P52" s="117"/>
      <c r="Q52" s="125"/>
    </row>
    <row r="53" ht="15.0" customHeight="1">
      <c r="A53" s="125"/>
      <c r="B53" s="125"/>
      <c r="C53" s="125"/>
      <c r="D53" s="129" t="s">
        <v>226</v>
      </c>
      <c r="E53" s="114" t="str">
        <f>VLOOKUP(D53,Data!H:I,2,0)</f>
        <v>İstanbul</v>
      </c>
      <c r="F53" s="115" t="str">
        <f>VLOOKUP(D53,Data!H:J,3,0)</f>
        <v>Filamingo</v>
      </c>
      <c r="G53" s="116" t="b">
        <v>0</v>
      </c>
      <c r="H53" s="116" t="b">
        <v>0</v>
      </c>
      <c r="I53" s="116" t="b">
        <v>0</v>
      </c>
      <c r="J53" s="116" t="b">
        <v>0</v>
      </c>
      <c r="K53" s="116" t="b">
        <v>0</v>
      </c>
      <c r="L53" s="116" t="b">
        <v>0</v>
      </c>
      <c r="M53" s="116" t="b">
        <v>0</v>
      </c>
      <c r="N53" s="117">
        <f t="shared" si="1"/>
        <v>0</v>
      </c>
      <c r="O53" s="117">
        <f t="shared" si="2"/>
        <v>0</v>
      </c>
      <c r="P53" s="117"/>
      <c r="Q53" s="125"/>
    </row>
    <row r="54" ht="15.0" customHeight="1">
      <c r="A54" s="112"/>
      <c r="B54" s="112"/>
      <c r="C54" s="112"/>
      <c r="D54" s="129" t="s">
        <v>249</v>
      </c>
      <c r="E54" s="114" t="str">
        <f>VLOOKUP(D54,Data!H:I,2,0)</f>
        <v>İstanbul</v>
      </c>
      <c r="F54" s="115" t="str">
        <f>VLOOKUP(D54,Data!H:J,3,0)</f>
        <v>Nazım Öztel</v>
      </c>
      <c r="G54" s="116" t="b">
        <v>0</v>
      </c>
      <c r="H54" s="116" t="b">
        <v>0</v>
      </c>
      <c r="I54" s="116" t="b">
        <v>0</v>
      </c>
      <c r="J54" s="116" t="b">
        <v>0</v>
      </c>
      <c r="K54" s="116" t="b">
        <v>0</v>
      </c>
      <c r="L54" s="116" t="b">
        <v>0</v>
      </c>
      <c r="M54" s="116" t="b">
        <v>0</v>
      </c>
      <c r="N54" s="117">
        <f t="shared" si="1"/>
        <v>0</v>
      </c>
      <c r="O54" s="117">
        <f t="shared" si="2"/>
        <v>0</v>
      </c>
      <c r="P54" s="117"/>
      <c r="Q54" s="112"/>
    </row>
    <row r="55" ht="15.0" customHeight="1">
      <c r="A55" s="112"/>
      <c r="B55" s="112"/>
      <c r="C55" s="112"/>
      <c r="D55" s="129" t="s">
        <v>250</v>
      </c>
      <c r="E55" s="114" t="str">
        <f>VLOOKUP(D55,Data!H:I,2,0)</f>
        <v>İstanbul</v>
      </c>
      <c r="F55" s="115" t="str">
        <f>VLOOKUP(D55,Data!H:J,3,0)</f>
        <v>Filamingo</v>
      </c>
      <c r="G55" s="116" t="b">
        <v>0</v>
      </c>
      <c r="H55" s="116" t="b">
        <v>0</v>
      </c>
      <c r="I55" s="116" t="b">
        <v>0</v>
      </c>
      <c r="J55" s="116" t="b">
        <v>0</v>
      </c>
      <c r="K55" s="116" t="b">
        <v>0</v>
      </c>
      <c r="L55" s="116" t="b">
        <v>0</v>
      </c>
      <c r="M55" s="116" t="b">
        <v>0</v>
      </c>
      <c r="N55" s="117">
        <f t="shared" si="1"/>
        <v>0</v>
      </c>
      <c r="O55" s="117">
        <f t="shared" si="2"/>
        <v>0</v>
      </c>
      <c r="P55" s="117"/>
      <c r="Q55" s="112"/>
    </row>
    <row r="56" ht="15.0" customHeight="1">
      <c r="A56" s="112"/>
      <c r="B56" s="112"/>
      <c r="C56" s="112"/>
      <c r="D56" s="129" t="s">
        <v>251</v>
      </c>
      <c r="E56" s="114" t="str">
        <f>VLOOKUP(D56,Data!H:I,2,0)</f>
        <v>İstanbul</v>
      </c>
      <c r="F56" s="115" t="str">
        <f>VLOOKUP(D56,Data!H:J,3,0)</f>
        <v>Filamingo</v>
      </c>
      <c r="G56" s="116" t="b">
        <v>0</v>
      </c>
      <c r="H56" s="116" t="b">
        <v>0</v>
      </c>
      <c r="I56" s="116" t="b">
        <v>0</v>
      </c>
      <c r="J56" s="116" t="b">
        <v>0</v>
      </c>
      <c r="K56" s="116" t="b">
        <v>0</v>
      </c>
      <c r="L56" s="116" t="b">
        <v>0</v>
      </c>
      <c r="M56" s="116" t="b">
        <v>0</v>
      </c>
      <c r="N56" s="117">
        <f t="shared" si="1"/>
        <v>0</v>
      </c>
      <c r="O56" s="117">
        <f t="shared" si="2"/>
        <v>0</v>
      </c>
      <c r="P56" s="117"/>
      <c r="Q56" s="112"/>
    </row>
    <row r="57" ht="15.0" customHeight="1">
      <c r="A57" s="112"/>
      <c r="B57" s="112"/>
      <c r="C57" s="112"/>
      <c r="D57" s="129" t="s">
        <v>252</v>
      </c>
      <c r="E57" s="114" t="str">
        <f>VLOOKUP(D57,Data!H:I,2,0)</f>
        <v>İzmir</v>
      </c>
      <c r="F57" s="115" t="str">
        <f>VLOOKUP(D57,Data!H:J,3,0)</f>
        <v>Nazım Öztel</v>
      </c>
      <c r="G57" s="116" t="b">
        <v>0</v>
      </c>
      <c r="H57" s="116" t="b">
        <v>0</v>
      </c>
      <c r="I57" s="116" t="b">
        <v>0</v>
      </c>
      <c r="J57" s="116" t="b">
        <v>0</v>
      </c>
      <c r="K57" s="116" t="b">
        <v>0</v>
      </c>
      <c r="L57" s="116" t="b">
        <v>0</v>
      </c>
      <c r="M57" s="116" t="b">
        <v>0</v>
      </c>
      <c r="N57" s="117">
        <f t="shared" si="1"/>
        <v>0</v>
      </c>
      <c r="O57" s="117">
        <f t="shared" si="2"/>
        <v>0</v>
      </c>
      <c r="P57" s="117"/>
      <c r="Q57" s="112"/>
    </row>
    <row r="58" ht="15.0" customHeight="1">
      <c r="A58" s="112"/>
      <c r="B58" s="112"/>
      <c r="C58" s="112"/>
      <c r="D58" s="132" t="s">
        <v>92</v>
      </c>
      <c r="E58" s="114" t="str">
        <f>VLOOKUP(D58,Data!H:I,2,0)</f>
        <v>İzmir</v>
      </c>
      <c r="F58" s="115" t="str">
        <f>VLOOKUP(D58,Data!H:J,3,0)</f>
        <v>Nazım Öztel</v>
      </c>
      <c r="G58" s="116" t="b">
        <v>0</v>
      </c>
      <c r="H58" s="116" t="b">
        <v>0</v>
      </c>
      <c r="I58" s="116" t="b">
        <v>0</v>
      </c>
      <c r="J58" s="116" t="b">
        <v>0</v>
      </c>
      <c r="K58" s="116" t="b">
        <v>0</v>
      </c>
      <c r="L58" s="116" t="b">
        <v>0</v>
      </c>
      <c r="M58" s="116" t="b">
        <v>0</v>
      </c>
      <c r="N58" s="117">
        <f t="shared" si="1"/>
        <v>0</v>
      </c>
      <c r="O58" s="117">
        <f t="shared" si="2"/>
        <v>0</v>
      </c>
      <c r="P58" s="117"/>
      <c r="Q58" s="112"/>
    </row>
    <row r="59" ht="15.0" customHeight="1">
      <c r="A59" s="112"/>
      <c r="B59" s="112"/>
      <c r="C59" s="112"/>
      <c r="D59" s="129" t="s">
        <v>93</v>
      </c>
      <c r="E59" s="114" t="str">
        <f>VLOOKUP(D59,Data!H:I,2,0)</f>
        <v>İzmir</v>
      </c>
      <c r="F59" s="115" t="str">
        <f>VLOOKUP(D59,Data!H:J,3,0)</f>
        <v>Freelance</v>
      </c>
      <c r="G59" s="116" t="b">
        <v>0</v>
      </c>
      <c r="H59" s="116" t="b">
        <v>0</v>
      </c>
      <c r="I59" s="116" t="b">
        <v>0</v>
      </c>
      <c r="J59" s="116" t="b">
        <v>0</v>
      </c>
      <c r="K59" s="116" t="b">
        <v>0</v>
      </c>
      <c r="L59" s="116" t="b">
        <v>0</v>
      </c>
      <c r="M59" s="116" t="b">
        <v>0</v>
      </c>
      <c r="N59" s="117">
        <f t="shared" si="1"/>
        <v>0</v>
      </c>
      <c r="O59" s="117">
        <f t="shared" si="2"/>
        <v>0</v>
      </c>
      <c r="P59" s="117"/>
      <c r="Q59" s="112"/>
    </row>
    <row r="60" ht="15.0" customHeight="1">
      <c r="A60" s="112"/>
      <c r="B60" s="112"/>
      <c r="C60" s="112"/>
      <c r="D60" s="129" t="s">
        <v>161</v>
      </c>
      <c r="E60" s="143" t="str">
        <f>VLOOKUP(D60,Data!H:I,2,0)</f>
        <v>Kahramanmaraş</v>
      </c>
      <c r="F60" s="115" t="str">
        <f>VLOOKUP(D60,Data!H:J,3,0)</f>
        <v>Nazım Öztel</v>
      </c>
      <c r="G60" s="116" t="b">
        <v>0</v>
      </c>
      <c r="H60" s="116" t="b">
        <v>0</v>
      </c>
      <c r="I60" s="116" t="b">
        <v>0</v>
      </c>
      <c r="J60" s="116" t="b">
        <v>0</v>
      </c>
      <c r="K60" s="116" t="b">
        <v>0</v>
      </c>
      <c r="L60" s="116" t="b">
        <v>0</v>
      </c>
      <c r="M60" s="116" t="b">
        <v>0</v>
      </c>
      <c r="N60" s="117">
        <f t="shared" si="1"/>
        <v>0</v>
      </c>
      <c r="O60" s="117">
        <f t="shared" si="2"/>
        <v>0</v>
      </c>
      <c r="P60" s="117"/>
      <c r="Q60" s="112"/>
    </row>
    <row r="61" ht="15.0" customHeight="1">
      <c r="A61" s="112"/>
      <c r="B61" s="112"/>
      <c r="C61" s="112"/>
      <c r="D61" s="129" t="s">
        <v>243</v>
      </c>
      <c r="E61" s="114" t="str">
        <f>VLOOKUP(D61,Data!H:I,2,0)</f>
        <v>Kayseri</v>
      </c>
      <c r="F61" s="115" t="str">
        <f>VLOOKUP(D61,Data!H:J,3,0)</f>
        <v>Nazım Öztel</v>
      </c>
      <c r="G61" s="116" t="b">
        <v>0</v>
      </c>
      <c r="H61" s="116" t="b">
        <v>0</v>
      </c>
      <c r="I61" s="116" t="b">
        <v>0</v>
      </c>
      <c r="J61" s="116" t="b">
        <v>0</v>
      </c>
      <c r="K61" s="116" t="b">
        <v>0</v>
      </c>
      <c r="L61" s="116" t="b">
        <v>0</v>
      </c>
      <c r="M61" s="116" t="b">
        <v>0</v>
      </c>
      <c r="N61" s="117">
        <f t="shared" si="1"/>
        <v>0</v>
      </c>
      <c r="O61" s="117">
        <f t="shared" si="2"/>
        <v>0</v>
      </c>
      <c r="P61" s="117"/>
      <c r="Q61" s="112"/>
    </row>
    <row r="62" ht="15.0" customHeight="1">
      <c r="A62" s="112"/>
      <c r="B62" s="112"/>
      <c r="C62" s="112"/>
      <c r="D62" s="129" t="s">
        <v>253</v>
      </c>
      <c r="E62" s="114" t="str">
        <f>VLOOKUP(D62,Data!H:I,2,0)</f>
        <v>Kırklareli</v>
      </c>
      <c r="F62" s="115" t="str">
        <f>VLOOKUP(D62,Data!H:J,3,0)</f>
        <v>Nazım Öztel</v>
      </c>
      <c r="G62" s="116" t="b">
        <v>0</v>
      </c>
      <c r="H62" s="116" t="b">
        <v>0</v>
      </c>
      <c r="I62" s="116" t="b">
        <v>0</v>
      </c>
      <c r="J62" s="116" t="b">
        <v>0</v>
      </c>
      <c r="K62" s="116" t="b">
        <v>0</v>
      </c>
      <c r="L62" s="116" t="b">
        <v>0</v>
      </c>
      <c r="M62" s="116" t="b">
        <v>0</v>
      </c>
      <c r="N62" s="117">
        <f t="shared" si="1"/>
        <v>0</v>
      </c>
      <c r="O62" s="117">
        <f t="shared" si="2"/>
        <v>0</v>
      </c>
      <c r="P62" s="117"/>
      <c r="Q62" s="112"/>
    </row>
    <row r="63" ht="15.0" customHeight="1">
      <c r="A63" s="112"/>
      <c r="B63" s="112"/>
      <c r="C63" s="112"/>
      <c r="D63" s="132" t="s">
        <v>96</v>
      </c>
      <c r="E63" s="114" t="str">
        <f>VLOOKUP(D63,Data!H:I,2,0)</f>
        <v>Kocaeli</v>
      </c>
      <c r="F63" s="115" t="str">
        <f>VLOOKUP(D63,Data!H:J,3,0)</f>
        <v>Nazım Öztel</v>
      </c>
      <c r="G63" s="116" t="b">
        <v>0</v>
      </c>
      <c r="H63" s="116" t="b">
        <v>0</v>
      </c>
      <c r="I63" s="116" t="b">
        <v>0</v>
      </c>
      <c r="J63" s="116" t="b">
        <v>0</v>
      </c>
      <c r="K63" s="116" t="b">
        <v>0</v>
      </c>
      <c r="L63" s="116" t="b">
        <v>0</v>
      </c>
      <c r="M63" s="116" t="b">
        <v>0</v>
      </c>
      <c r="N63" s="117">
        <f t="shared" si="1"/>
        <v>0</v>
      </c>
      <c r="O63" s="117">
        <f t="shared" si="2"/>
        <v>0</v>
      </c>
      <c r="P63" s="117"/>
      <c r="Q63" s="112"/>
    </row>
    <row r="64" ht="15.0" customHeight="1">
      <c r="A64" s="112"/>
      <c r="B64" s="112"/>
      <c r="C64" s="112"/>
      <c r="D64" s="129" t="s">
        <v>147</v>
      </c>
      <c r="E64" s="114" t="str">
        <f>VLOOKUP(D64,Data!H:I,2,0)</f>
        <v>Kocaeli</v>
      </c>
      <c r="F64" s="115" t="str">
        <f>VLOOKUP(D64,Data!H:J,3,0)</f>
        <v>Nazım Öztel</v>
      </c>
      <c r="G64" s="116" t="b">
        <v>0</v>
      </c>
      <c r="H64" s="116" t="b">
        <v>0</v>
      </c>
      <c r="I64" s="116" t="b">
        <v>0</v>
      </c>
      <c r="J64" s="116" t="b">
        <v>0</v>
      </c>
      <c r="K64" s="116" t="b">
        <v>0</v>
      </c>
      <c r="L64" s="116" t="b">
        <v>0</v>
      </c>
      <c r="M64" s="116" t="b">
        <v>0</v>
      </c>
      <c r="N64" s="117">
        <f t="shared" si="1"/>
        <v>0</v>
      </c>
      <c r="O64" s="117">
        <f t="shared" si="2"/>
        <v>0</v>
      </c>
      <c r="P64" s="117"/>
      <c r="Q64" s="112"/>
    </row>
    <row r="65" ht="15.0" customHeight="1">
      <c r="A65" s="112"/>
      <c r="B65" s="112"/>
      <c r="C65" s="112"/>
      <c r="D65" s="129" t="s">
        <v>227</v>
      </c>
      <c r="E65" s="114" t="str">
        <f>VLOOKUP(D65,Data!H:I,2,0)</f>
        <v>Konya</v>
      </c>
      <c r="F65" s="115" t="str">
        <f>VLOOKUP(D65,Data!H:J,3,0)</f>
        <v>Nazım Öztel</v>
      </c>
      <c r="G65" s="116" t="b">
        <v>0</v>
      </c>
      <c r="H65" s="116" t="b">
        <v>0</v>
      </c>
      <c r="I65" s="116" t="b">
        <v>0</v>
      </c>
      <c r="J65" s="116" t="b">
        <v>0</v>
      </c>
      <c r="K65" s="116" t="b">
        <v>0</v>
      </c>
      <c r="L65" s="116" t="b">
        <v>0</v>
      </c>
      <c r="M65" s="116" t="b">
        <v>0</v>
      </c>
      <c r="N65" s="117">
        <f t="shared" si="1"/>
        <v>0</v>
      </c>
      <c r="O65" s="117">
        <f t="shared" si="2"/>
        <v>0</v>
      </c>
      <c r="P65" s="117"/>
      <c r="Q65" s="112"/>
    </row>
    <row r="66" ht="15.0" customHeight="1">
      <c r="A66" s="112"/>
      <c r="B66" s="112"/>
      <c r="C66" s="112"/>
      <c r="D66" s="129" t="s">
        <v>265</v>
      </c>
      <c r="E66" s="114" t="str">
        <f>VLOOKUP(D66,Data!H:I,2,0)</f>
        <v>Konya</v>
      </c>
      <c r="F66" s="115" t="str">
        <f>VLOOKUP(D66,Data!H:J,3,0)</f>
        <v>Nazım Öztel</v>
      </c>
      <c r="G66" s="116" t="b">
        <v>0</v>
      </c>
      <c r="H66" s="116" t="b">
        <v>0</v>
      </c>
      <c r="I66" s="116" t="b">
        <v>0</v>
      </c>
      <c r="J66" s="116" t="b">
        <v>0</v>
      </c>
      <c r="K66" s="116" t="b">
        <v>0</v>
      </c>
      <c r="L66" s="116" t="b">
        <v>0</v>
      </c>
      <c r="M66" s="116" t="b">
        <v>0</v>
      </c>
      <c r="N66" s="117">
        <f t="shared" si="1"/>
        <v>0</v>
      </c>
      <c r="O66" s="117">
        <f t="shared" si="2"/>
        <v>0</v>
      </c>
      <c r="P66" s="117"/>
      <c r="Q66" s="112"/>
    </row>
    <row r="67" ht="15.0" customHeight="1">
      <c r="A67" s="112"/>
      <c r="B67" s="112"/>
      <c r="C67" s="112"/>
      <c r="D67" s="129" t="s">
        <v>203</v>
      </c>
      <c r="E67" s="114" t="str">
        <f>VLOOKUP(D67,Data!H:I,2,0)</f>
        <v>Malatya</v>
      </c>
      <c r="F67" s="115" t="str">
        <f>VLOOKUP(D67,Data!H:J,3,0)</f>
        <v>Nazım Öztel</v>
      </c>
      <c r="G67" s="116" t="b">
        <v>0</v>
      </c>
      <c r="H67" s="116" t="b">
        <v>0</v>
      </c>
      <c r="I67" s="116" t="b">
        <v>0</v>
      </c>
      <c r="J67" s="116" t="b">
        <v>0</v>
      </c>
      <c r="K67" s="116" t="b">
        <v>0</v>
      </c>
      <c r="L67" s="116" t="b">
        <v>0</v>
      </c>
      <c r="M67" s="116" t="b">
        <v>0</v>
      </c>
      <c r="N67" s="117">
        <f t="shared" si="1"/>
        <v>0</v>
      </c>
      <c r="O67" s="117">
        <f t="shared" si="2"/>
        <v>0</v>
      </c>
      <c r="P67" s="117"/>
      <c r="Q67" s="112"/>
    </row>
    <row r="68" ht="15.0" customHeight="1">
      <c r="A68" s="112"/>
      <c r="B68" s="112"/>
      <c r="C68" s="112"/>
      <c r="D68" s="129" t="s">
        <v>254</v>
      </c>
      <c r="E68" s="114" t="str">
        <f>VLOOKUP(D68,Data!H:I,2,0)</f>
        <v>Manisa</v>
      </c>
      <c r="F68" s="115" t="str">
        <f>VLOOKUP(D68,Data!H:J,3,0)</f>
        <v>Nazım Öztel</v>
      </c>
      <c r="G68" s="116" t="b">
        <v>0</v>
      </c>
      <c r="H68" s="116" t="b">
        <v>0</v>
      </c>
      <c r="I68" s="116" t="b">
        <v>0</v>
      </c>
      <c r="J68" s="116" t="b">
        <v>0</v>
      </c>
      <c r="K68" s="116" t="b">
        <v>0</v>
      </c>
      <c r="L68" s="116" t="b">
        <v>0</v>
      </c>
      <c r="M68" s="116" t="b">
        <v>0</v>
      </c>
      <c r="N68" s="117">
        <f t="shared" si="1"/>
        <v>0</v>
      </c>
      <c r="O68" s="117">
        <f t="shared" si="2"/>
        <v>0</v>
      </c>
      <c r="P68" s="117"/>
      <c r="Q68" s="112"/>
    </row>
    <row r="69" ht="15.0" customHeight="1">
      <c r="A69" s="112"/>
      <c r="B69" s="112"/>
      <c r="C69" s="112"/>
      <c r="D69" s="129" t="s">
        <v>255</v>
      </c>
      <c r="E69" s="114" t="str">
        <f>VLOOKUP(D69,Data!H:I,2,0)</f>
        <v>Mardin</v>
      </c>
      <c r="F69" s="115" t="str">
        <f>VLOOKUP(D69,Data!H:J,3,0)</f>
        <v>Nazım Öztel</v>
      </c>
      <c r="G69" s="116" t="b">
        <v>0</v>
      </c>
      <c r="H69" s="116" t="b">
        <v>0</v>
      </c>
      <c r="I69" s="116" t="b">
        <v>0</v>
      </c>
      <c r="J69" s="116" t="b">
        <v>0</v>
      </c>
      <c r="K69" s="116" t="b">
        <v>0</v>
      </c>
      <c r="L69" s="116" t="b">
        <v>0</v>
      </c>
      <c r="M69" s="116" t="b">
        <v>0</v>
      </c>
      <c r="N69" s="117">
        <f t="shared" si="1"/>
        <v>0</v>
      </c>
      <c r="O69" s="117">
        <f t="shared" si="2"/>
        <v>0</v>
      </c>
      <c r="P69" s="117"/>
      <c r="Q69" s="112"/>
    </row>
    <row r="70" ht="15.0" customHeight="1">
      <c r="A70" s="112"/>
      <c r="B70" s="112"/>
      <c r="C70" s="112"/>
      <c r="D70" s="132" t="s">
        <v>99</v>
      </c>
      <c r="E70" s="114" t="str">
        <f>VLOOKUP(D70,Data!H:I,2,0)</f>
        <v>Mersin</v>
      </c>
      <c r="F70" s="115" t="str">
        <f>VLOOKUP(D70,Data!H:J,3,0)</f>
        <v>Nazım Öztel</v>
      </c>
      <c r="G70" s="116" t="b">
        <v>0</v>
      </c>
      <c r="H70" s="116" t="b">
        <v>0</v>
      </c>
      <c r="I70" s="116" t="b">
        <v>0</v>
      </c>
      <c r="J70" s="116" t="b">
        <v>0</v>
      </c>
      <c r="K70" s="116" t="b">
        <v>0</v>
      </c>
      <c r="L70" s="116" t="b">
        <v>0</v>
      </c>
      <c r="M70" s="116" t="b">
        <v>0</v>
      </c>
      <c r="N70" s="117">
        <f t="shared" si="1"/>
        <v>0</v>
      </c>
      <c r="O70" s="117">
        <f t="shared" si="2"/>
        <v>0</v>
      </c>
      <c r="P70" s="117"/>
      <c r="Q70" s="112"/>
    </row>
    <row r="71" ht="15.0" customHeight="1">
      <c r="A71" s="112"/>
      <c r="B71" s="112"/>
      <c r="C71" s="112"/>
      <c r="D71" s="129" t="s">
        <v>169</v>
      </c>
      <c r="E71" s="114" t="str">
        <f>VLOOKUP(D71,Data!H:I,2,0)</f>
        <v>Mersin</v>
      </c>
      <c r="F71" s="115" t="str">
        <f>VLOOKUP(D71,Data!H:J,3,0)</f>
        <v>Nazım Öztel</v>
      </c>
      <c r="G71" s="116" t="b">
        <v>0</v>
      </c>
      <c r="H71" s="116" t="b">
        <v>0</v>
      </c>
      <c r="I71" s="116" t="b">
        <v>0</v>
      </c>
      <c r="J71" s="116" t="b">
        <v>0</v>
      </c>
      <c r="K71" s="116" t="b">
        <v>0</v>
      </c>
      <c r="L71" s="116" t="b">
        <v>0</v>
      </c>
      <c r="M71" s="116" t="b">
        <v>0</v>
      </c>
      <c r="N71" s="117">
        <f t="shared" si="1"/>
        <v>0</v>
      </c>
      <c r="O71" s="117">
        <f t="shared" si="2"/>
        <v>0</v>
      </c>
      <c r="P71" s="117"/>
      <c r="Q71" s="112"/>
    </row>
    <row r="72" ht="15.0" customHeight="1">
      <c r="A72" s="112"/>
      <c r="B72" s="112"/>
      <c r="C72" s="112"/>
      <c r="D72" s="129" t="s">
        <v>148</v>
      </c>
      <c r="E72" s="114" t="str">
        <f>VLOOKUP(D72,Data!H:I,2,0)</f>
        <v>Muğla</v>
      </c>
      <c r="F72" s="115" t="str">
        <f>VLOOKUP(D72,Data!H:J,3,0)</f>
        <v>Nazım Öztel</v>
      </c>
      <c r="G72" s="116" t="b">
        <v>0</v>
      </c>
      <c r="H72" s="116" t="b">
        <v>0</v>
      </c>
      <c r="I72" s="116" t="b">
        <v>0</v>
      </c>
      <c r="J72" s="116" t="b">
        <v>0</v>
      </c>
      <c r="K72" s="116" t="b">
        <v>0</v>
      </c>
      <c r="L72" s="116" t="b">
        <v>0</v>
      </c>
      <c r="M72" s="116" t="b">
        <v>0</v>
      </c>
      <c r="N72" s="117">
        <f t="shared" si="1"/>
        <v>0</v>
      </c>
      <c r="O72" s="117">
        <f t="shared" si="2"/>
        <v>0</v>
      </c>
      <c r="P72" s="117"/>
      <c r="Q72" s="112"/>
    </row>
    <row r="73" ht="15.0" customHeight="1">
      <c r="A73" s="112"/>
      <c r="B73" s="112"/>
      <c r="C73" s="112"/>
      <c r="D73" s="129" t="s">
        <v>266</v>
      </c>
      <c r="E73" s="114" t="str">
        <f>VLOOKUP(D73,Data!H:I,2,0)</f>
        <v>Ordu</v>
      </c>
      <c r="F73" s="115" t="str">
        <f>VLOOKUP(D73,Data!H:J,3,0)</f>
        <v>Nazım Öztel</v>
      </c>
      <c r="G73" s="116" t="b">
        <v>0</v>
      </c>
      <c r="H73" s="116" t="b">
        <v>0</v>
      </c>
      <c r="I73" s="116" t="b">
        <v>0</v>
      </c>
      <c r="J73" s="116" t="b">
        <v>0</v>
      </c>
      <c r="K73" s="116" t="b">
        <v>0</v>
      </c>
      <c r="L73" s="116" t="b">
        <v>0</v>
      </c>
      <c r="M73" s="116" t="b">
        <v>0</v>
      </c>
      <c r="N73" s="117">
        <f t="shared" si="1"/>
        <v>0</v>
      </c>
      <c r="O73" s="117">
        <f t="shared" si="2"/>
        <v>0</v>
      </c>
      <c r="P73" s="117"/>
      <c r="Q73" s="112"/>
    </row>
    <row r="74" ht="15.0" customHeight="1">
      <c r="A74" s="112"/>
      <c r="B74" s="112"/>
      <c r="C74" s="112"/>
      <c r="D74" s="129" t="s">
        <v>256</v>
      </c>
      <c r="E74" s="114" t="s">
        <v>211</v>
      </c>
      <c r="F74" s="115" t="s">
        <v>61</v>
      </c>
      <c r="G74" s="116" t="b">
        <v>0</v>
      </c>
      <c r="H74" s="116" t="b">
        <v>0</v>
      </c>
      <c r="I74" s="116" t="b">
        <v>0</v>
      </c>
      <c r="J74" s="116" t="b">
        <v>0</v>
      </c>
      <c r="K74" s="116" t="b">
        <v>0</v>
      </c>
      <c r="L74" s="116" t="b">
        <v>0</v>
      </c>
      <c r="M74" s="116" t="b">
        <v>0</v>
      </c>
      <c r="N74" s="117">
        <f t="shared" si="1"/>
        <v>0</v>
      </c>
      <c r="O74" s="117">
        <f t="shared" si="2"/>
        <v>0</v>
      </c>
      <c r="P74" s="117"/>
      <c r="Q74" s="112"/>
    </row>
    <row r="75" ht="15.0" customHeight="1">
      <c r="A75" s="112"/>
      <c r="B75" s="112"/>
      <c r="C75" s="112"/>
      <c r="D75" s="129" t="s">
        <v>275</v>
      </c>
      <c r="E75" s="114" t="str">
        <f>VLOOKUP(D75,Data!H:I,2,0)</f>
        <v>Sakarya</v>
      </c>
      <c r="F75" s="115" t="str">
        <f>VLOOKUP(D75,Data!H:J,3,0)</f>
        <v>Nazım Öztel</v>
      </c>
      <c r="G75" s="116" t="b">
        <v>0</v>
      </c>
      <c r="H75" s="116" t="b">
        <v>0</v>
      </c>
      <c r="I75" s="116" t="b">
        <v>0</v>
      </c>
      <c r="J75" s="116" t="b">
        <v>0</v>
      </c>
      <c r="K75" s="116" t="b">
        <v>0</v>
      </c>
      <c r="L75" s="116" t="b">
        <v>0</v>
      </c>
      <c r="M75" s="116" t="b">
        <v>0</v>
      </c>
      <c r="N75" s="117">
        <f t="shared" si="1"/>
        <v>0</v>
      </c>
      <c r="O75" s="117">
        <f t="shared" si="2"/>
        <v>0</v>
      </c>
      <c r="P75" s="117"/>
      <c r="Q75" s="112"/>
    </row>
    <row r="76" ht="15.0" customHeight="1">
      <c r="A76" s="112"/>
      <c r="B76" s="112"/>
      <c r="C76" s="112"/>
      <c r="D76" s="129" t="s">
        <v>257</v>
      </c>
      <c r="E76" s="114" t="str">
        <f>VLOOKUP(D76,Data!H:I,2,0)</f>
        <v>Samsun</v>
      </c>
      <c r="F76" s="115" t="str">
        <f>VLOOKUP(D76,Data!H:J,3,0)</f>
        <v>Nazım Öztel</v>
      </c>
      <c r="G76" s="116" t="b">
        <v>0</v>
      </c>
      <c r="H76" s="116" t="b">
        <v>0</v>
      </c>
      <c r="I76" s="116" t="b">
        <v>0</v>
      </c>
      <c r="J76" s="116" t="b">
        <v>0</v>
      </c>
      <c r="K76" s="116" t="b">
        <v>0</v>
      </c>
      <c r="L76" s="116" t="b">
        <v>0</v>
      </c>
      <c r="M76" s="116" t="b">
        <v>0</v>
      </c>
      <c r="N76" s="117">
        <f t="shared" si="1"/>
        <v>0</v>
      </c>
      <c r="O76" s="117">
        <f t="shared" si="2"/>
        <v>0</v>
      </c>
      <c r="P76" s="117"/>
      <c r="Q76" s="112"/>
    </row>
    <row r="77" ht="15.0" customHeight="1">
      <c r="A77" s="112"/>
      <c r="B77" s="112"/>
      <c r="C77" s="112"/>
      <c r="D77" s="129" t="s">
        <v>267</v>
      </c>
      <c r="E77" s="114" t="str">
        <f>VLOOKUP(D77,Data!H:I,2,0)</f>
        <v>Sinop</v>
      </c>
      <c r="F77" s="115" t="str">
        <f>VLOOKUP(D77,Data!H:J,3,0)</f>
        <v>Nazım Öztel</v>
      </c>
      <c r="G77" s="116" t="b">
        <v>0</v>
      </c>
      <c r="H77" s="116" t="b">
        <v>0</v>
      </c>
      <c r="I77" s="116" t="b">
        <v>0</v>
      </c>
      <c r="J77" s="116" t="b">
        <v>0</v>
      </c>
      <c r="K77" s="116" t="b">
        <v>0</v>
      </c>
      <c r="L77" s="116" t="b">
        <v>0</v>
      </c>
      <c r="M77" s="116" t="b">
        <v>0</v>
      </c>
      <c r="N77" s="117">
        <f t="shared" si="1"/>
        <v>0</v>
      </c>
      <c r="O77" s="117">
        <f t="shared" si="2"/>
        <v>0</v>
      </c>
      <c r="P77" s="117"/>
      <c r="Q77" s="112"/>
    </row>
    <row r="78" ht="15.0" customHeight="1">
      <c r="A78" s="112"/>
      <c r="B78" s="112"/>
      <c r="C78" s="112"/>
      <c r="D78" s="129" t="s">
        <v>268</v>
      </c>
      <c r="E78" s="114" t="str">
        <f>VLOOKUP(D78,Data!H:I,2,0)</f>
        <v>Sivas</v>
      </c>
      <c r="F78" s="115" t="str">
        <f>VLOOKUP(D78,Data!H:J,3,0)</f>
        <v>Nazım Öztel</v>
      </c>
      <c r="G78" s="116" t="b">
        <v>0</v>
      </c>
      <c r="H78" s="116" t="b">
        <v>0</v>
      </c>
      <c r="I78" s="116" t="b">
        <v>0</v>
      </c>
      <c r="J78" s="116" t="b">
        <v>0</v>
      </c>
      <c r="K78" s="116" t="b">
        <v>0</v>
      </c>
      <c r="L78" s="116" t="b">
        <v>0</v>
      </c>
      <c r="M78" s="116" t="b">
        <v>0</v>
      </c>
      <c r="N78" s="117">
        <f t="shared" si="1"/>
        <v>0</v>
      </c>
      <c r="O78" s="117">
        <f t="shared" si="2"/>
        <v>0</v>
      </c>
      <c r="P78" s="117"/>
      <c r="Q78" s="112"/>
    </row>
    <row r="79" ht="15.0" customHeight="1">
      <c r="A79" s="112"/>
      <c r="B79" s="112"/>
      <c r="C79" s="112"/>
      <c r="D79" s="129" t="s">
        <v>104</v>
      </c>
      <c r="E79" s="114" t="str">
        <f>VLOOKUP(D79,Data!H:I,2,0)</f>
        <v>Tekirdağ</v>
      </c>
      <c r="F79" s="115" t="str">
        <f>VLOOKUP(D79,Data!H:J,3,0)</f>
        <v>Freelance</v>
      </c>
      <c r="G79" s="116" t="b">
        <v>0</v>
      </c>
      <c r="H79" s="116" t="b">
        <v>0</v>
      </c>
      <c r="I79" s="116" t="b">
        <v>0</v>
      </c>
      <c r="J79" s="116" t="b">
        <v>0</v>
      </c>
      <c r="K79" s="116" t="b">
        <v>0</v>
      </c>
      <c r="L79" s="116" t="b">
        <v>0</v>
      </c>
      <c r="M79" s="116" t="b">
        <v>0</v>
      </c>
      <c r="N79" s="117">
        <f t="shared" si="1"/>
        <v>0</v>
      </c>
      <c r="O79" s="117">
        <f t="shared" si="2"/>
        <v>0</v>
      </c>
      <c r="P79" s="117"/>
      <c r="Q79" s="112"/>
    </row>
    <row r="80" ht="15.0" customHeight="1">
      <c r="A80" s="112"/>
      <c r="B80" s="112"/>
      <c r="C80" s="112"/>
      <c r="D80" s="129" t="s">
        <v>258</v>
      </c>
      <c r="E80" s="114" t="str">
        <f>VLOOKUP(D80,Data!H:I,2,0)</f>
        <v>Tokat</v>
      </c>
      <c r="F80" s="115" t="str">
        <f>VLOOKUP(D80,Data!H:J,3,0)</f>
        <v>Nazım Öztel</v>
      </c>
      <c r="G80" s="116" t="b">
        <v>0</v>
      </c>
      <c r="H80" s="116" t="b">
        <v>0</v>
      </c>
      <c r="I80" s="116" t="b">
        <v>0</v>
      </c>
      <c r="J80" s="116" t="b">
        <v>0</v>
      </c>
      <c r="K80" s="116" t="b">
        <v>0</v>
      </c>
      <c r="L80" s="116" t="b">
        <v>0</v>
      </c>
      <c r="M80" s="116" t="b">
        <v>0</v>
      </c>
      <c r="N80" s="117">
        <f t="shared" si="1"/>
        <v>0</v>
      </c>
      <c r="O80" s="117">
        <f t="shared" si="2"/>
        <v>0</v>
      </c>
      <c r="P80" s="117"/>
      <c r="Q80" s="112"/>
    </row>
    <row r="81" ht="15.0" customHeight="1">
      <c r="A81" s="112"/>
      <c r="B81" s="112"/>
      <c r="C81" s="112"/>
      <c r="D81" s="129" t="s">
        <v>154</v>
      </c>
      <c r="E81" s="114" t="str">
        <f>VLOOKUP(D81,Data!H:I,2,0)</f>
        <v>Uşak</v>
      </c>
      <c r="F81" s="115" t="str">
        <f>VLOOKUP(D81,Data!H:J,3,0)</f>
        <v>Nazım Öztel</v>
      </c>
      <c r="G81" s="116" t="b">
        <v>0</v>
      </c>
      <c r="H81" s="116" t="b">
        <v>0</v>
      </c>
      <c r="I81" s="116" t="b">
        <v>0</v>
      </c>
      <c r="J81" s="116" t="b">
        <v>0</v>
      </c>
      <c r="K81" s="116" t="b">
        <v>0</v>
      </c>
      <c r="L81" s="116" t="b">
        <v>0</v>
      </c>
      <c r="M81" s="116" t="b">
        <v>0</v>
      </c>
      <c r="N81" s="117">
        <f t="shared" si="1"/>
        <v>0</v>
      </c>
      <c r="O81" s="117">
        <f t="shared" si="2"/>
        <v>0</v>
      </c>
      <c r="P81" s="117"/>
      <c r="Q81" s="112"/>
    </row>
    <row r="82" ht="15.0" customHeight="1">
      <c r="A82" s="112"/>
      <c r="B82" s="112"/>
      <c r="C82" s="112"/>
      <c r="D82" s="129" t="s">
        <v>276</v>
      </c>
      <c r="E82" s="114" t="str">
        <f>VLOOKUP(D82,Data!H:I,2,0)</f>
        <v>Zonguldak</v>
      </c>
      <c r="F82" s="115" t="str">
        <f>VLOOKUP(D82,Data!H:J,3,0)</f>
        <v>Nazım Öztel</v>
      </c>
      <c r="G82" s="116" t="b">
        <v>0</v>
      </c>
      <c r="H82" s="116" t="b">
        <v>0</v>
      </c>
      <c r="I82" s="116" t="b">
        <v>0</v>
      </c>
      <c r="J82" s="116" t="b">
        <v>0</v>
      </c>
      <c r="K82" s="116" t="b">
        <v>0</v>
      </c>
      <c r="L82" s="116" t="b">
        <v>0</v>
      </c>
      <c r="M82" s="116" t="b">
        <v>0</v>
      </c>
      <c r="N82" s="117">
        <f t="shared" si="1"/>
        <v>0</v>
      </c>
      <c r="O82" s="117">
        <f t="shared" si="2"/>
        <v>0</v>
      </c>
      <c r="P82" s="117"/>
      <c r="Q82" s="112"/>
    </row>
    <row r="83" ht="15.0" customHeight="1">
      <c r="A83" s="112"/>
      <c r="B83" s="112"/>
      <c r="C83" s="112"/>
      <c r="D83" s="148" t="s">
        <v>282</v>
      </c>
      <c r="E83" s="114" t="str">
        <f>VLOOKUP(D83,Data!H:I,2,0)</f>
        <v>Antalya</v>
      </c>
      <c r="F83" s="115" t="str">
        <f>VLOOKUP(D83,Data!H:J,3,0)</f>
        <v>Nazım Öztel</v>
      </c>
      <c r="G83" s="116" t="b">
        <v>0</v>
      </c>
      <c r="H83" s="116" t="b">
        <v>0</v>
      </c>
      <c r="I83" s="116" t="b">
        <v>0</v>
      </c>
      <c r="J83" s="116" t="b">
        <v>0</v>
      </c>
      <c r="K83" s="116" t="b">
        <v>0</v>
      </c>
      <c r="L83" s="116" t="b">
        <v>0</v>
      </c>
      <c r="M83" s="116" t="b">
        <v>0</v>
      </c>
      <c r="N83" s="117">
        <f t="shared" si="1"/>
        <v>0</v>
      </c>
      <c r="O83" s="117">
        <f t="shared" si="2"/>
        <v>0</v>
      </c>
      <c r="P83" s="117"/>
      <c r="Q83" s="112"/>
    </row>
    <row r="84" ht="15.0" customHeight="1">
      <c r="A84" s="112"/>
      <c r="B84" s="112"/>
      <c r="C84" s="112"/>
      <c r="D84" s="149" t="s">
        <v>283</v>
      </c>
      <c r="E84" s="114" t="str">
        <f>VLOOKUP(D84,Data!H:I,2,0)</f>
        <v>Adana</v>
      </c>
      <c r="F84" s="115" t="str">
        <f>VLOOKUP(D84,Data!H:J,3,0)</f>
        <v>Nazım Öztel</v>
      </c>
      <c r="G84" s="116" t="b">
        <v>0</v>
      </c>
      <c r="H84" s="116" t="b">
        <v>0</v>
      </c>
      <c r="I84" s="116" t="b">
        <v>0</v>
      </c>
      <c r="J84" s="116" t="b">
        <v>0</v>
      </c>
      <c r="K84" s="116" t="b">
        <v>0</v>
      </c>
      <c r="L84" s="116" t="b">
        <v>0</v>
      </c>
      <c r="M84" s="116" t="b">
        <v>0</v>
      </c>
      <c r="N84" s="117">
        <f t="shared" si="1"/>
        <v>0</v>
      </c>
      <c r="O84" s="117">
        <f t="shared" si="2"/>
        <v>0</v>
      </c>
      <c r="P84" s="117"/>
      <c r="Q84" s="112"/>
    </row>
    <row r="85" ht="15.0" customHeight="1">
      <c r="A85" s="112"/>
      <c r="B85" s="112"/>
      <c r="C85" s="112"/>
      <c r="D85" s="150" t="s">
        <v>284</v>
      </c>
      <c r="E85" s="114" t="str">
        <f>VLOOKUP(D85,Data!H:I,2,0)</f>
        <v>Iğdır</v>
      </c>
      <c r="F85" s="115" t="str">
        <f>VLOOKUP(D85,Data!H:J,3,0)</f>
        <v>Nazım Öztel</v>
      </c>
      <c r="G85" s="116" t="b">
        <v>0</v>
      </c>
      <c r="H85" s="116" t="b">
        <v>0</v>
      </c>
      <c r="I85" s="116" t="b">
        <v>0</v>
      </c>
      <c r="J85" s="116" t="b">
        <v>0</v>
      </c>
      <c r="K85" s="116" t="b">
        <v>0</v>
      </c>
      <c r="L85" s="116" t="b">
        <v>0</v>
      </c>
      <c r="M85" s="116" t="b">
        <v>0</v>
      </c>
      <c r="N85" s="117">
        <f t="shared" si="1"/>
        <v>0</v>
      </c>
      <c r="O85" s="117">
        <f t="shared" si="2"/>
        <v>0</v>
      </c>
      <c r="P85" s="117"/>
      <c r="Q85" s="112"/>
    </row>
    <row r="86" ht="15.0" customHeight="1">
      <c r="A86" s="112"/>
      <c r="B86" s="112"/>
      <c r="C86" s="112"/>
      <c r="D86" s="150" t="s">
        <v>285</v>
      </c>
      <c r="E86" s="114" t="str">
        <f>VLOOKUP(D86,Data!H:I,2,0)</f>
        <v>Bitlis</v>
      </c>
      <c r="F86" s="115" t="str">
        <f>VLOOKUP(D86,Data!H:J,3,0)</f>
        <v>Nazım Öztel</v>
      </c>
      <c r="G86" s="116" t="b">
        <v>0</v>
      </c>
      <c r="H86" s="116" t="b">
        <v>0</v>
      </c>
      <c r="I86" s="116" t="b">
        <v>0</v>
      </c>
      <c r="J86" s="116" t="b">
        <v>0</v>
      </c>
      <c r="K86" s="116" t="b">
        <v>0</v>
      </c>
      <c r="L86" s="116" t="b">
        <v>0</v>
      </c>
      <c r="M86" s="116" t="b">
        <v>0</v>
      </c>
      <c r="N86" s="117">
        <f t="shared" si="1"/>
        <v>0</v>
      </c>
      <c r="O86" s="117">
        <f t="shared" si="2"/>
        <v>0</v>
      </c>
      <c r="P86" s="117"/>
      <c r="Q86" s="112"/>
    </row>
    <row r="87" ht="15.0" customHeight="1">
      <c r="A87" s="112"/>
      <c r="B87" s="112"/>
      <c r="C87" s="112"/>
      <c r="D87" s="149" t="s">
        <v>286</v>
      </c>
      <c r="E87" s="114" t="str">
        <f>VLOOKUP(D87,Data!H:I,2,0)</f>
        <v>Trabzon</v>
      </c>
      <c r="F87" s="115" t="str">
        <f>VLOOKUP(D87,Data!H:J,3,0)</f>
        <v>Nazım Öztel</v>
      </c>
      <c r="G87" s="116" t="b">
        <v>0</v>
      </c>
      <c r="H87" s="116" t="b">
        <v>0</v>
      </c>
      <c r="I87" s="116" t="b">
        <v>0</v>
      </c>
      <c r="J87" s="116" t="b">
        <v>0</v>
      </c>
      <c r="K87" s="116" t="b">
        <v>0</v>
      </c>
      <c r="L87" s="116" t="b">
        <v>0</v>
      </c>
      <c r="M87" s="116" t="b">
        <v>0</v>
      </c>
      <c r="N87" s="117">
        <f t="shared" si="1"/>
        <v>0</v>
      </c>
      <c r="O87" s="117">
        <f t="shared" si="2"/>
        <v>0</v>
      </c>
      <c r="P87" s="117"/>
      <c r="Q87" s="112"/>
    </row>
    <row r="88" ht="15.0" customHeight="1">
      <c r="A88" s="112"/>
      <c r="B88" s="112"/>
      <c r="C88" s="112"/>
      <c r="D88" s="150" t="s">
        <v>287</v>
      </c>
      <c r="E88" s="114" t="str">
        <f>VLOOKUP(D88,Data!H:I,2,0)</f>
        <v>Ankara</v>
      </c>
      <c r="F88" s="115" t="str">
        <f>VLOOKUP(D88,Data!H:J,3,0)</f>
        <v>Nazım Öztel</v>
      </c>
      <c r="G88" s="116" t="b">
        <v>0</v>
      </c>
      <c r="H88" s="116" t="b">
        <v>0</v>
      </c>
      <c r="I88" s="116" t="b">
        <v>0</v>
      </c>
      <c r="J88" s="116" t="b">
        <v>0</v>
      </c>
      <c r="K88" s="116" t="b">
        <v>0</v>
      </c>
      <c r="L88" s="116" t="b">
        <v>0</v>
      </c>
      <c r="M88" s="116" t="b">
        <v>0</v>
      </c>
      <c r="N88" s="117">
        <f t="shared" si="1"/>
        <v>0</v>
      </c>
      <c r="O88" s="117">
        <f t="shared" si="2"/>
        <v>0</v>
      </c>
      <c r="P88" s="117"/>
      <c r="Q88" s="112"/>
    </row>
    <row r="89" ht="15.0" customHeight="1">
      <c r="A89" s="112"/>
      <c r="B89" s="112"/>
      <c r="C89" s="112"/>
      <c r="D89" s="150" t="s">
        <v>288</v>
      </c>
      <c r="E89" s="114" t="str">
        <f>VLOOKUP(D89,Data!H:I,2,0)</f>
        <v>Şanlıurfa</v>
      </c>
      <c r="F89" s="115" t="str">
        <f>VLOOKUP(D89,Data!H:J,3,0)</f>
        <v>Nazım Öztel</v>
      </c>
      <c r="G89" s="116" t="b">
        <v>0</v>
      </c>
      <c r="H89" s="116" t="b">
        <v>0</v>
      </c>
      <c r="I89" s="116" t="b">
        <v>0</v>
      </c>
      <c r="J89" s="116" t="b">
        <v>0</v>
      </c>
      <c r="K89" s="116" t="b">
        <v>0</v>
      </c>
      <c r="L89" s="116" t="b">
        <v>0</v>
      </c>
      <c r="M89" s="116" t="b">
        <v>0</v>
      </c>
      <c r="N89" s="117">
        <f t="shared" si="1"/>
        <v>0</v>
      </c>
      <c r="O89" s="117">
        <f t="shared" si="2"/>
        <v>0</v>
      </c>
      <c r="P89" s="117"/>
      <c r="Q89" s="112"/>
    </row>
    <row r="90" ht="15.0" customHeight="1">
      <c r="A90" s="112"/>
      <c r="B90" s="112"/>
      <c r="C90" s="112"/>
      <c r="D90" s="149" t="s">
        <v>289</v>
      </c>
      <c r="E90" s="114" t="str">
        <f>VLOOKUP(D90,Data!H:I,2,0)</f>
        <v>Elazığ</v>
      </c>
      <c r="F90" s="115" t="str">
        <f>VLOOKUP(D90,Data!H:J,3,0)</f>
        <v>Nazım Öztel</v>
      </c>
      <c r="G90" s="116" t="b">
        <v>0</v>
      </c>
      <c r="H90" s="116" t="b">
        <v>0</v>
      </c>
      <c r="I90" s="116" t="b">
        <v>0</v>
      </c>
      <c r="J90" s="116" t="b">
        <v>0</v>
      </c>
      <c r="K90" s="116" t="b">
        <v>0</v>
      </c>
      <c r="L90" s="116" t="b">
        <v>0</v>
      </c>
      <c r="M90" s="116" t="b">
        <v>0</v>
      </c>
      <c r="N90" s="117">
        <f t="shared" si="1"/>
        <v>0</v>
      </c>
      <c r="O90" s="117">
        <f t="shared" si="2"/>
        <v>0</v>
      </c>
      <c r="P90" s="117"/>
      <c r="Q90" s="112"/>
    </row>
    <row r="91" ht="15.0" customHeight="1">
      <c r="A91" s="112"/>
      <c r="B91" s="112"/>
      <c r="C91" s="112"/>
      <c r="D91" s="149" t="s">
        <v>290</v>
      </c>
      <c r="E91" s="114" t="str">
        <f>VLOOKUP(D91,Data!H:I,2,0)</f>
        <v>Bayburt</v>
      </c>
      <c r="F91" s="115" t="str">
        <f>VLOOKUP(D91,Data!H:J,3,0)</f>
        <v>Nazım Öztel</v>
      </c>
      <c r="G91" s="116" t="b">
        <v>0</v>
      </c>
      <c r="H91" s="116" t="b">
        <v>0</v>
      </c>
      <c r="I91" s="116" t="b">
        <v>0</v>
      </c>
      <c r="J91" s="116" t="b">
        <v>0</v>
      </c>
      <c r="K91" s="116" t="b">
        <v>0</v>
      </c>
      <c r="L91" s="116" t="b">
        <v>0</v>
      </c>
      <c r="M91" s="116" t="b">
        <v>0</v>
      </c>
      <c r="N91" s="117">
        <f t="shared" si="1"/>
        <v>0</v>
      </c>
      <c r="O91" s="117">
        <f t="shared" si="2"/>
        <v>0</v>
      </c>
      <c r="P91" s="117"/>
      <c r="Q91" s="112"/>
    </row>
    <row r="92" ht="15.0" customHeight="1">
      <c r="A92" s="112"/>
      <c r="B92" s="112"/>
      <c r="C92" s="112"/>
      <c r="D92" s="149" t="s">
        <v>291</v>
      </c>
      <c r="E92" s="114" t="str">
        <f>VLOOKUP(D92,Data!H:I,2,0)</f>
        <v>Bingöl</v>
      </c>
      <c r="F92" s="115" t="str">
        <f>VLOOKUP(D92,Data!H:J,3,0)</f>
        <v>Nazım Öztel</v>
      </c>
      <c r="G92" s="116" t="b">
        <v>0</v>
      </c>
      <c r="H92" s="116" t="b">
        <v>0</v>
      </c>
      <c r="I92" s="116" t="b">
        <v>0</v>
      </c>
      <c r="J92" s="116" t="b">
        <v>0</v>
      </c>
      <c r="K92" s="116" t="b">
        <v>0</v>
      </c>
      <c r="L92" s="116" t="b">
        <v>0</v>
      </c>
      <c r="M92" s="116" t="b">
        <v>0</v>
      </c>
      <c r="N92" s="117">
        <f t="shared" si="1"/>
        <v>0</v>
      </c>
      <c r="O92" s="117">
        <f t="shared" si="2"/>
        <v>0</v>
      </c>
      <c r="P92" s="117"/>
      <c r="Q92" s="112"/>
    </row>
    <row r="93" ht="15.0" customHeight="1">
      <c r="A93" s="112"/>
      <c r="B93" s="112"/>
      <c r="C93" s="112"/>
      <c r="D93" s="149" t="s">
        <v>292</v>
      </c>
      <c r="E93" s="114" t="str">
        <f>VLOOKUP(D93,Data!H:I,2,0)</f>
        <v>Diyarbakır</v>
      </c>
      <c r="F93" s="115" t="str">
        <f>VLOOKUP(D93,Data!H:J,3,0)</f>
        <v>Nazım Öztel</v>
      </c>
      <c r="G93" s="116" t="b">
        <v>0</v>
      </c>
      <c r="H93" s="116" t="b">
        <v>0</v>
      </c>
      <c r="I93" s="116" t="b">
        <v>0</v>
      </c>
      <c r="J93" s="116" t="b">
        <v>0</v>
      </c>
      <c r="K93" s="116" t="b">
        <v>0</v>
      </c>
      <c r="L93" s="116" t="b">
        <v>0</v>
      </c>
      <c r="M93" s="116" t="b">
        <v>0</v>
      </c>
      <c r="N93" s="117">
        <f t="shared" si="1"/>
        <v>0</v>
      </c>
      <c r="O93" s="117">
        <f t="shared" si="2"/>
        <v>0</v>
      </c>
      <c r="P93" s="117"/>
      <c r="Q93" s="112"/>
    </row>
    <row r="94" ht="15.0" customHeight="1">
      <c r="A94" s="112"/>
      <c r="B94" s="112"/>
      <c r="C94" s="112"/>
      <c r="D94" s="151" t="s">
        <v>293</v>
      </c>
      <c r="E94" s="114" t="str">
        <f>VLOOKUP(D94,Data!H:I,2,0)</f>
        <v>Çanakkale</v>
      </c>
      <c r="F94" s="115" t="str">
        <f>VLOOKUP(D94,Data!H:J,3,0)</f>
        <v>Nazım Öztel</v>
      </c>
      <c r="G94" s="116" t="b">
        <v>0</v>
      </c>
      <c r="H94" s="116" t="b">
        <v>0</v>
      </c>
      <c r="I94" s="116" t="b">
        <v>0</v>
      </c>
      <c r="J94" s="116" t="b">
        <v>0</v>
      </c>
      <c r="K94" s="116" t="b">
        <v>0</v>
      </c>
      <c r="L94" s="116" t="b">
        <v>0</v>
      </c>
      <c r="M94" s="116" t="b">
        <v>0</v>
      </c>
      <c r="N94" s="117">
        <f t="shared" si="1"/>
        <v>0</v>
      </c>
      <c r="O94" s="117">
        <f t="shared" si="2"/>
        <v>0</v>
      </c>
      <c r="P94" s="117"/>
      <c r="Q94" s="112"/>
    </row>
    <row r="95" ht="15.0" customHeight="1">
      <c r="A95" s="112"/>
      <c r="B95" s="112"/>
      <c r="C95" s="112"/>
      <c r="D95" s="149" t="s">
        <v>294</v>
      </c>
      <c r="E95" s="114" t="str">
        <f>VLOOKUP(D95,Data!H:I,2,0)</f>
        <v>Mersin</v>
      </c>
      <c r="F95" s="115" t="str">
        <f>VLOOKUP(D95,Data!H:J,3,0)</f>
        <v>Nazım Öztel</v>
      </c>
      <c r="G95" s="116" t="b">
        <v>0</v>
      </c>
      <c r="H95" s="116" t="b">
        <v>0</v>
      </c>
      <c r="I95" s="116" t="b">
        <v>0</v>
      </c>
      <c r="J95" s="116" t="b">
        <v>0</v>
      </c>
      <c r="K95" s="116" t="b">
        <v>0</v>
      </c>
      <c r="L95" s="116" t="b">
        <v>0</v>
      </c>
      <c r="M95" s="116" t="b">
        <v>0</v>
      </c>
      <c r="N95" s="117">
        <f t="shared" si="1"/>
        <v>0</v>
      </c>
      <c r="O95" s="117">
        <f t="shared" si="2"/>
        <v>0</v>
      </c>
      <c r="P95" s="117"/>
      <c r="Q95" s="112"/>
    </row>
    <row r="96" ht="15.0" customHeight="1">
      <c r="A96" s="112"/>
      <c r="B96" s="112"/>
      <c r="C96" s="112"/>
      <c r="D96" s="150" t="s">
        <v>295</v>
      </c>
      <c r="E96" s="114" t="str">
        <f>VLOOKUP(D96,Data!H:I,2,0)</f>
        <v>Giresun</v>
      </c>
      <c r="F96" s="115" t="str">
        <f>VLOOKUP(D96,Data!H:J,3,0)</f>
        <v>Nazım Öztel</v>
      </c>
      <c r="G96" s="139" t="b">
        <v>0</v>
      </c>
      <c r="H96" s="139" t="b">
        <v>0</v>
      </c>
      <c r="I96" s="139" t="b">
        <v>0</v>
      </c>
      <c r="J96" s="139" t="b">
        <v>0</v>
      </c>
      <c r="K96" s="139" t="b">
        <v>0</v>
      </c>
      <c r="L96" s="139" t="b">
        <v>0</v>
      </c>
      <c r="M96" s="139" t="b">
        <v>0</v>
      </c>
      <c r="N96" s="117">
        <f t="shared" si="1"/>
        <v>0</v>
      </c>
      <c r="O96" s="117">
        <f t="shared" si="2"/>
        <v>0</v>
      </c>
      <c r="P96" s="117"/>
      <c r="Q96" s="112"/>
    </row>
    <row r="97" ht="15.0" customHeight="1">
      <c r="A97" s="112"/>
      <c r="B97" s="112"/>
      <c r="C97" s="112"/>
      <c r="D97" s="149" t="s">
        <v>296</v>
      </c>
      <c r="E97" s="114" t="str">
        <f>VLOOKUP(D97,Data!H:I,2,0)</f>
        <v>Bilecik</v>
      </c>
      <c r="F97" s="115" t="str">
        <f>VLOOKUP(D97,Data!H:J,3,0)</f>
        <v>Nazım Öztel</v>
      </c>
      <c r="G97" s="139" t="b">
        <v>0</v>
      </c>
      <c r="H97" s="139" t="b">
        <v>0</v>
      </c>
      <c r="I97" s="139" t="b">
        <v>0</v>
      </c>
      <c r="J97" s="139" t="b">
        <v>0</v>
      </c>
      <c r="K97" s="139" t="b">
        <v>0</v>
      </c>
      <c r="L97" s="139" t="b">
        <v>0</v>
      </c>
      <c r="M97" s="139" t="b">
        <v>0</v>
      </c>
      <c r="N97" s="117">
        <f t="shared" ref="N97:O97" si="3">SUM(N15:N95)</f>
        <v>0</v>
      </c>
      <c r="O97" s="117">
        <f t="shared" si="3"/>
        <v>0</v>
      </c>
      <c r="P97" s="117"/>
      <c r="Q97" s="112"/>
    </row>
    <row r="98" ht="15.0" customHeight="1">
      <c r="A98" s="112"/>
      <c r="B98" s="112"/>
      <c r="C98" s="112"/>
      <c r="D98" s="149"/>
      <c r="E98" s="144"/>
      <c r="F98" s="144"/>
      <c r="G98" s="117">
        <f t="shared" ref="G98:M98" si="4">4*(COUNTIF(G15:G96,"true"))</f>
        <v>0</v>
      </c>
      <c r="H98" s="117">
        <f t="shared" si="4"/>
        <v>0</v>
      </c>
      <c r="I98" s="117">
        <f t="shared" si="4"/>
        <v>0</v>
      </c>
      <c r="J98" s="117">
        <f t="shared" si="4"/>
        <v>0</v>
      </c>
      <c r="K98" s="117">
        <f t="shared" si="4"/>
        <v>0</v>
      </c>
      <c r="L98" s="117">
        <f t="shared" si="4"/>
        <v>0</v>
      </c>
      <c r="M98" s="117">
        <f t="shared" si="4"/>
        <v>0</v>
      </c>
      <c r="N98" s="117">
        <f t="shared" ref="N98:O98" si="5">SUM(N15:N97)</f>
        <v>0</v>
      </c>
      <c r="O98" s="117">
        <f t="shared" si="5"/>
        <v>0</v>
      </c>
      <c r="P98" s="135"/>
      <c r="Q98" s="112"/>
    </row>
    <row r="99" ht="15.0" customHeight="1">
      <c r="A99" s="112"/>
      <c r="B99" s="112"/>
      <c r="C99" s="112"/>
      <c r="D99" s="149"/>
      <c r="E99" s="144"/>
      <c r="F99" s="144"/>
      <c r="G99" s="135"/>
      <c r="H99" s="135"/>
      <c r="I99" s="135"/>
      <c r="J99" s="135"/>
      <c r="K99" s="135"/>
      <c r="L99" s="135"/>
      <c r="M99" s="135"/>
      <c r="N99" s="135"/>
      <c r="O99" s="135"/>
      <c r="P99" s="135"/>
      <c r="Q99" s="112"/>
    </row>
    <row r="100" ht="15.0" customHeight="1">
      <c r="A100" s="112"/>
      <c r="B100" s="112"/>
      <c r="C100" s="112"/>
      <c r="D100" s="149"/>
      <c r="E100" s="144"/>
      <c r="F100" s="144"/>
      <c r="G100" s="135"/>
      <c r="H100" s="135"/>
      <c r="I100" s="135"/>
      <c r="J100" s="135"/>
      <c r="K100" s="135"/>
      <c r="L100" s="135"/>
      <c r="M100" s="135"/>
      <c r="N100" s="135"/>
      <c r="O100" s="135"/>
      <c r="P100" s="135"/>
      <c r="Q100" s="112"/>
    </row>
    <row r="101" ht="15.0" customHeight="1">
      <c r="A101" s="112"/>
      <c r="B101" s="112"/>
      <c r="C101" s="112"/>
      <c r="D101" s="149"/>
      <c r="E101" s="144"/>
      <c r="F101" s="144"/>
      <c r="G101" s="135"/>
      <c r="H101" s="135"/>
      <c r="I101" s="135"/>
      <c r="J101" s="135"/>
      <c r="K101" s="135"/>
      <c r="L101" s="135"/>
      <c r="M101" s="135"/>
      <c r="N101" s="135"/>
      <c r="O101" s="135"/>
      <c r="P101" s="135"/>
      <c r="Q101" s="112"/>
    </row>
    <row r="102" ht="15.0" customHeight="1">
      <c r="A102" s="112"/>
      <c r="B102" s="112"/>
      <c r="C102" s="112"/>
      <c r="D102" s="149"/>
      <c r="E102" s="144"/>
      <c r="F102" s="144"/>
      <c r="G102" s="135"/>
      <c r="H102" s="135"/>
      <c r="I102" s="135"/>
      <c r="J102" s="135"/>
      <c r="K102" s="135"/>
      <c r="L102" s="135"/>
      <c r="M102" s="135"/>
      <c r="N102" s="135"/>
      <c r="O102" s="135"/>
      <c r="P102" s="135"/>
      <c r="Q102" s="112"/>
    </row>
  </sheetData>
  <customSheetViews>
    <customSheetView guid="{9DC5C3C4-AFDD-406F-8560-4376B76F2AB6}" filter="1" showAutoFilter="1">
      <autoFilter ref="$D$14:$P$97">
        <filterColumn colId="1">
          <filters>
            <filter val="İstanbul"/>
          </filters>
        </filterColumn>
      </autoFilter>
    </customSheetView>
    <customSheetView guid="{90E1DF85-7252-44D2-BA7D-CC3767CD0E8B}" filter="1" showAutoFilter="1">
      <autoFilter ref="$A$14:$Q$98">
        <filterColumn colId="4">
          <filters>
            <filter val="Samsun"/>
            <filter val="Iğdır"/>
            <filter val="Sakarya"/>
            <filter val="Giresun"/>
            <filter val="Zonguldak"/>
            <filter val="Bilecik"/>
            <filter val="Bingöl"/>
            <filter val="Elazığ"/>
            <filter val="Kayseri"/>
            <filter val="Bitlis"/>
            <filter val="Düzce"/>
            <filter val="Denizli"/>
            <filter val="Amasya"/>
            <filter val="Çanakkale"/>
            <filter val="Aydın"/>
            <filter val="Bolu"/>
            <filter val="Çorum"/>
            <filter val="Adıyaman"/>
            <filter val="Edirne"/>
            <filter val="Tokat"/>
            <filter val="Sivas"/>
            <filter val="Şanlıurfa"/>
            <filter val="Eskişehir"/>
            <filter val="Kırklareli"/>
            <filter val="Malatya"/>
            <filter val="Hatay"/>
            <filter val="Sinop"/>
            <filter val="Osmaniye"/>
            <filter val="Ordu"/>
            <filter val="Bayburt"/>
            <filter val="Mardin"/>
            <filter val="Muğla"/>
            <filter val="Kahramanmaraş"/>
            <filter val="Balıkesir"/>
            <filter val="Uşak"/>
          </filters>
        </filterColumn>
      </autoFilter>
    </customSheetView>
    <customSheetView guid="{70B995D3-3AEB-4DFE-A0CA-D6FFCCE596BC}" filter="1" showAutoFilter="1">
      <autoFilter ref="$D$14:$D$83"/>
    </customSheetView>
  </customSheetViews>
  <mergeCells count="4">
    <mergeCell ref="D6:M6"/>
    <mergeCell ref="D7:F7"/>
    <mergeCell ref="D9:D12"/>
    <mergeCell ref="F10:O11"/>
  </mergeCells>
  <conditionalFormatting sqref="G15:M97">
    <cfRule type="cellIs" dxfId="1" priority="1" operator="equal">
      <formula>"False"</formula>
    </cfRule>
  </conditionalFormatting>
  <conditionalFormatting sqref="G15:M97">
    <cfRule type="cellIs" dxfId="0" priority="2" operator="equal">
      <formula>"TRUE"</formula>
    </cfRule>
  </conditionalFormatting>
  <dataValidations>
    <dataValidation type="list" allowBlank="1" showErrorMessage="1" sqref="E15:E102">
      <formula1>Data!$A$2:$A$100</formula1>
    </dataValidation>
    <dataValidation type="list" allowBlank="1" showErrorMessage="1" sqref="F15:F102">
      <formula1>Data!$C$2:$C$8</formula1>
    </dataValidation>
  </dataValidation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3" width="2.63"/>
    <col customWidth="1" min="4" max="4" width="20.38"/>
    <col customWidth="1" min="5" max="5" width="11.38"/>
    <col customWidth="1" min="6" max="6" width="16.63"/>
    <col customWidth="1" min="7" max="13" width="8.63"/>
    <col customWidth="1" min="14" max="14" width="12.63"/>
    <col customWidth="1" min="15" max="15" width="15.13"/>
    <col customWidth="1" min="16" max="16" width="15.88"/>
    <col customWidth="1" min="17" max="17" width="2.63"/>
  </cols>
  <sheetData>
    <row r="1" ht="7.5" customHeight="1">
      <c r="A1" s="140"/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5"/>
      <c r="O1" s="86"/>
      <c r="P1" s="86"/>
      <c r="Q1" s="86"/>
    </row>
    <row r="2" ht="15.0" customHeight="1">
      <c r="A2" s="87"/>
      <c r="B2" s="87"/>
      <c r="C2" s="87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7"/>
      <c r="P2" s="87"/>
      <c r="Q2" s="87"/>
    </row>
    <row r="3" ht="3.75" customHeight="1">
      <c r="A3" s="87"/>
      <c r="B3" s="87"/>
      <c r="C3" s="87"/>
      <c r="D3" s="89"/>
      <c r="E3" s="90"/>
      <c r="F3" s="90"/>
      <c r="G3" s="90"/>
      <c r="H3" s="90"/>
      <c r="I3" s="90"/>
      <c r="J3" s="90"/>
      <c r="K3" s="90"/>
      <c r="L3" s="90"/>
      <c r="M3" s="90"/>
      <c r="N3" s="90"/>
      <c r="O3" s="87"/>
      <c r="P3" s="87"/>
      <c r="Q3" s="87"/>
    </row>
    <row r="4" ht="15.0" customHeight="1">
      <c r="A4" s="87"/>
      <c r="B4" s="87"/>
      <c r="C4" s="87"/>
      <c r="D4" s="88"/>
      <c r="E4" s="88"/>
      <c r="F4" s="88"/>
      <c r="G4" s="91"/>
      <c r="H4" s="91"/>
      <c r="I4" s="91"/>
      <c r="J4" s="91"/>
      <c r="K4" s="91"/>
      <c r="L4" s="91"/>
      <c r="M4" s="91"/>
      <c r="N4" s="91"/>
      <c r="O4" s="87"/>
      <c r="P4" s="87"/>
      <c r="Q4" s="87"/>
    </row>
    <row r="5" ht="15.0" customHeight="1">
      <c r="A5" s="92"/>
      <c r="B5" s="92"/>
      <c r="C5" s="92"/>
      <c r="D5" s="88"/>
      <c r="E5" s="88"/>
      <c r="F5" s="88"/>
      <c r="G5" s="93"/>
      <c r="H5" s="93"/>
      <c r="I5" s="93"/>
      <c r="J5" s="93"/>
      <c r="K5" s="93"/>
      <c r="L5" s="93"/>
      <c r="M5" s="93"/>
      <c r="N5" s="94"/>
      <c r="O5" s="88"/>
      <c r="P5" s="92"/>
      <c r="Q5" s="92"/>
    </row>
    <row r="6" ht="15.0" customHeight="1">
      <c r="A6" s="92"/>
      <c r="B6" s="92"/>
      <c r="C6" s="92"/>
      <c r="D6" s="95" t="s">
        <v>297</v>
      </c>
      <c r="N6" s="94"/>
      <c r="O6" s="88"/>
      <c r="P6" s="92"/>
      <c r="Q6" s="92"/>
    </row>
    <row r="7" ht="15.0" customHeight="1">
      <c r="A7" s="92"/>
      <c r="B7" s="92"/>
      <c r="C7" s="92"/>
      <c r="D7" s="96" t="s">
        <v>278</v>
      </c>
      <c r="G7" s="97"/>
      <c r="H7" s="97"/>
      <c r="I7" s="97"/>
      <c r="J7" s="97"/>
      <c r="K7" s="97"/>
      <c r="L7" s="97"/>
      <c r="M7" s="97"/>
      <c r="N7" s="92"/>
      <c r="O7" s="92"/>
      <c r="P7" s="92"/>
      <c r="Q7" s="92"/>
    </row>
    <row r="8" ht="15.0" customHeight="1">
      <c r="A8" s="92"/>
      <c r="B8" s="92"/>
      <c r="C8" s="92"/>
      <c r="D8" s="97"/>
      <c r="E8" s="97"/>
      <c r="F8" s="97"/>
      <c r="G8" s="97"/>
      <c r="H8" s="97"/>
      <c r="I8" s="97"/>
      <c r="J8" s="97"/>
      <c r="K8" s="97"/>
      <c r="L8" s="97"/>
      <c r="M8" s="97"/>
      <c r="N8" s="92"/>
      <c r="O8" s="92"/>
      <c r="P8" s="92"/>
      <c r="Q8" s="92"/>
    </row>
    <row r="9" ht="15.0" customHeight="1">
      <c r="A9" s="92"/>
      <c r="B9" s="92"/>
      <c r="C9" s="98"/>
      <c r="D9" s="99" t="s">
        <v>35</v>
      </c>
      <c r="E9" s="100"/>
      <c r="F9" s="101"/>
      <c r="G9" s="101"/>
      <c r="H9" s="101"/>
      <c r="I9" s="101"/>
      <c r="J9" s="101"/>
      <c r="K9" s="101"/>
      <c r="L9" s="101"/>
      <c r="M9" s="101"/>
      <c r="N9" s="101"/>
      <c r="O9" s="100"/>
      <c r="P9" s="102"/>
      <c r="Q9" s="102"/>
    </row>
    <row r="10" ht="15.0" customHeight="1">
      <c r="A10" s="92"/>
      <c r="B10" s="92"/>
      <c r="C10" s="98"/>
      <c r="E10" s="100"/>
      <c r="F10" s="103" t="s">
        <v>36</v>
      </c>
      <c r="P10" s="102"/>
      <c r="Q10" s="102"/>
    </row>
    <row r="11" ht="15.0" customHeight="1">
      <c r="A11" s="92"/>
      <c r="B11" s="92"/>
      <c r="C11" s="98"/>
      <c r="E11" s="100"/>
      <c r="P11" s="102"/>
      <c r="Q11" s="102"/>
    </row>
    <row r="12" ht="15.0" customHeight="1">
      <c r="A12" s="88"/>
      <c r="B12" s="92"/>
      <c r="C12" s="92"/>
      <c r="E12" s="100"/>
      <c r="F12" s="100"/>
      <c r="G12" s="100"/>
      <c r="H12" s="100"/>
      <c r="I12" s="100"/>
      <c r="J12" s="100"/>
      <c r="K12" s="100"/>
      <c r="L12" s="100"/>
      <c r="M12" s="100"/>
      <c r="N12" s="100"/>
      <c r="O12" s="100"/>
      <c r="P12" s="102"/>
      <c r="Q12" s="102"/>
    </row>
    <row r="13" ht="15.0" customHeight="1">
      <c r="A13" s="88"/>
      <c r="B13" s="104"/>
      <c r="C13" s="104"/>
      <c r="D13" s="104"/>
      <c r="E13" s="104"/>
      <c r="F13" s="105"/>
      <c r="G13" s="105"/>
      <c r="H13" s="105"/>
      <c r="I13" s="105"/>
      <c r="J13" s="105"/>
      <c r="K13" s="105"/>
      <c r="L13" s="105"/>
      <c r="M13" s="105"/>
      <c r="N13" s="104"/>
      <c r="O13" s="104"/>
      <c r="P13" s="104"/>
      <c r="Q13" s="104"/>
    </row>
    <row r="14" ht="15.0" customHeight="1">
      <c r="A14" s="106"/>
      <c r="B14" s="106"/>
      <c r="C14" s="106"/>
      <c r="D14" s="107" t="s">
        <v>37</v>
      </c>
      <c r="E14" s="108" t="s">
        <v>38</v>
      </c>
      <c r="F14" s="109" t="s">
        <v>39</v>
      </c>
      <c r="G14" s="110">
        <v>44634.0</v>
      </c>
      <c r="H14" s="110">
        <v>44635.0</v>
      </c>
      <c r="I14" s="110">
        <v>44636.0</v>
      </c>
      <c r="J14" s="110">
        <v>44637.0</v>
      </c>
      <c r="K14" s="110">
        <v>44638.0</v>
      </c>
      <c r="L14" s="110">
        <v>44639.0</v>
      </c>
      <c r="M14" s="110">
        <v>44640.0</v>
      </c>
      <c r="N14" s="111" t="s">
        <v>40</v>
      </c>
      <c r="O14" s="111" t="s">
        <v>41</v>
      </c>
      <c r="P14" s="111" t="s">
        <v>281</v>
      </c>
      <c r="Q14" s="88"/>
    </row>
    <row r="15" ht="15.0" customHeight="1">
      <c r="A15" s="112"/>
      <c r="B15" s="112"/>
      <c r="C15" s="112"/>
      <c r="D15" s="129" t="s">
        <v>271</v>
      </c>
      <c r="E15" s="114" t="str">
        <f>VLOOKUP(D15,Data!H:I,2,0)</f>
        <v>Adıyaman</v>
      </c>
      <c r="F15" s="115" t="str">
        <f>VLOOKUP(D15,Data!H:J,3,0)</f>
        <v>Nazım Öztel</v>
      </c>
      <c r="G15" s="116" t="b">
        <v>0</v>
      </c>
      <c r="H15" s="116" t="b">
        <v>0</v>
      </c>
      <c r="I15" s="116" t="b">
        <v>0</v>
      </c>
      <c r="J15" s="116" t="b">
        <v>0</v>
      </c>
      <c r="K15" s="116" t="b">
        <v>0</v>
      </c>
      <c r="L15" s="116" t="b">
        <v>0</v>
      </c>
      <c r="M15" s="116" t="b">
        <v>0</v>
      </c>
      <c r="N15" s="117">
        <f t="shared" ref="N15:N56" si="1">COUNTIF(G15:M15,"TRUE")</f>
        <v>0</v>
      </c>
      <c r="O15" s="117">
        <f t="shared" ref="O15:O56" si="2">N15*4</f>
        <v>0</v>
      </c>
      <c r="P15" s="117"/>
      <c r="Q15" s="88"/>
    </row>
    <row r="16" ht="15.0" customHeight="1">
      <c r="A16" s="112"/>
      <c r="B16" s="112"/>
      <c r="C16" s="112"/>
      <c r="D16" s="129" t="s">
        <v>279</v>
      </c>
      <c r="E16" s="114" t="str">
        <f>VLOOKUP(D16,Data!H:I,2,0)</f>
        <v>Amasya</v>
      </c>
      <c r="F16" s="115" t="str">
        <f>VLOOKUP(D16,Data!H:J,3,0)</f>
        <v>Nazım Öztel</v>
      </c>
      <c r="G16" s="116" t="b">
        <v>0</v>
      </c>
      <c r="H16" s="116" t="b">
        <v>0</v>
      </c>
      <c r="I16" s="116" t="b">
        <v>0</v>
      </c>
      <c r="J16" s="116" t="b">
        <v>0</v>
      </c>
      <c r="K16" s="116" t="b">
        <v>0</v>
      </c>
      <c r="L16" s="116" t="b">
        <v>0</v>
      </c>
      <c r="M16" s="116" t="b">
        <v>0</v>
      </c>
      <c r="N16" s="117">
        <f t="shared" si="1"/>
        <v>0</v>
      </c>
      <c r="O16" s="117">
        <f t="shared" si="2"/>
        <v>0</v>
      </c>
      <c r="P16" s="117"/>
      <c r="Q16" s="88"/>
    </row>
    <row r="17" ht="15.0" customHeight="1">
      <c r="A17" s="112"/>
      <c r="B17" s="112"/>
      <c r="C17" s="112"/>
      <c r="D17" s="129" t="s">
        <v>246</v>
      </c>
      <c r="E17" s="114" t="str">
        <f>VLOOKUP(D17,Data!H:I,2,0)</f>
        <v>Ankara</v>
      </c>
      <c r="F17" s="115" t="str">
        <f>VLOOKUP(D17,Data!H:J,3,0)</f>
        <v>Nazım Öztel</v>
      </c>
      <c r="G17" s="116" t="b">
        <v>0</v>
      </c>
      <c r="H17" s="116" t="b">
        <v>0</v>
      </c>
      <c r="I17" s="116" t="b">
        <v>0</v>
      </c>
      <c r="J17" s="116" t="b">
        <v>0</v>
      </c>
      <c r="K17" s="116" t="b">
        <v>0</v>
      </c>
      <c r="L17" s="116" t="b">
        <v>0</v>
      </c>
      <c r="M17" s="116" t="b">
        <v>0</v>
      </c>
      <c r="N17" s="117">
        <f t="shared" si="1"/>
        <v>0</v>
      </c>
      <c r="O17" s="117">
        <f t="shared" si="2"/>
        <v>0</v>
      </c>
      <c r="P17" s="117" t="s">
        <v>298</v>
      </c>
      <c r="Q17" s="88"/>
    </row>
    <row r="18" ht="15.0" customHeight="1">
      <c r="A18" s="112"/>
      <c r="B18" s="112"/>
      <c r="C18" s="112"/>
      <c r="D18" s="129" t="s">
        <v>261</v>
      </c>
      <c r="E18" s="114" t="str">
        <f>VLOOKUP(D18,Data!H:I,2,0)</f>
        <v>Ankara</v>
      </c>
      <c r="F18" s="115" t="str">
        <f>VLOOKUP(D18,Data!H:J,3,0)</f>
        <v>Nazım Öztel</v>
      </c>
      <c r="G18" s="116" t="b">
        <v>0</v>
      </c>
      <c r="H18" s="116" t="b">
        <v>0</v>
      </c>
      <c r="I18" s="116" t="b">
        <v>0</v>
      </c>
      <c r="J18" s="116" t="b">
        <v>0</v>
      </c>
      <c r="K18" s="116" t="b">
        <v>0</v>
      </c>
      <c r="L18" s="116" t="b">
        <v>0</v>
      </c>
      <c r="M18" s="116" t="b">
        <v>0</v>
      </c>
      <c r="N18" s="117">
        <f t="shared" si="1"/>
        <v>0</v>
      </c>
      <c r="O18" s="117">
        <f t="shared" si="2"/>
        <v>0</v>
      </c>
      <c r="P18" s="117"/>
      <c r="Q18" s="88"/>
    </row>
    <row r="19" ht="15.0" customHeight="1">
      <c r="A19" s="106"/>
      <c r="B19" s="106"/>
      <c r="C19" s="106"/>
      <c r="D19" s="129" t="s">
        <v>164</v>
      </c>
      <c r="E19" s="114" t="str">
        <f>VLOOKUP(D19,Data!H:I,2,0)</f>
        <v>Antalya</v>
      </c>
      <c r="F19" s="115" t="str">
        <f>VLOOKUP(D19,Data!H:J,3,0)</f>
        <v>Nazım Öztel</v>
      </c>
      <c r="G19" s="116" t="b">
        <v>0</v>
      </c>
      <c r="H19" s="116" t="b">
        <v>0</v>
      </c>
      <c r="I19" s="116" t="b">
        <v>0</v>
      </c>
      <c r="J19" s="116" t="b">
        <v>0</v>
      </c>
      <c r="K19" s="116" t="b">
        <v>0</v>
      </c>
      <c r="L19" s="116" t="b">
        <v>0</v>
      </c>
      <c r="M19" s="116" t="b">
        <v>0</v>
      </c>
      <c r="N19" s="117">
        <f t="shared" si="1"/>
        <v>0</v>
      </c>
      <c r="O19" s="117">
        <f t="shared" si="2"/>
        <v>0</v>
      </c>
      <c r="P19" s="117"/>
      <c r="Q19" s="106"/>
    </row>
    <row r="20" ht="15.0" customHeight="1">
      <c r="A20" s="106"/>
      <c r="B20" s="106"/>
      <c r="C20" s="106"/>
      <c r="D20" s="129" t="s">
        <v>272</v>
      </c>
      <c r="E20" s="114" t="s">
        <v>262</v>
      </c>
      <c r="F20" s="115" t="s">
        <v>61</v>
      </c>
      <c r="G20" s="116" t="b">
        <v>0</v>
      </c>
      <c r="H20" s="116" t="b">
        <v>0</v>
      </c>
      <c r="I20" s="116" t="b">
        <v>0</v>
      </c>
      <c r="J20" s="116" t="b">
        <v>0</v>
      </c>
      <c r="K20" s="116" t="b">
        <v>0</v>
      </c>
      <c r="L20" s="116" t="b">
        <v>0</v>
      </c>
      <c r="M20" s="116" t="b">
        <v>0</v>
      </c>
      <c r="N20" s="117">
        <f t="shared" si="1"/>
        <v>0</v>
      </c>
      <c r="O20" s="117">
        <f t="shared" si="2"/>
        <v>0</v>
      </c>
      <c r="P20" s="117"/>
      <c r="Q20" s="106"/>
    </row>
    <row r="21" ht="15.0" customHeight="1">
      <c r="A21" s="112"/>
      <c r="B21" s="112"/>
      <c r="C21" s="112"/>
      <c r="D21" s="129" t="s">
        <v>241</v>
      </c>
      <c r="E21" s="114" t="s">
        <v>184</v>
      </c>
      <c r="F21" s="115" t="s">
        <v>61</v>
      </c>
      <c r="G21" s="116" t="b">
        <v>0</v>
      </c>
      <c r="H21" s="116" t="b">
        <v>0</v>
      </c>
      <c r="I21" s="116" t="b">
        <v>0</v>
      </c>
      <c r="J21" s="116" t="b">
        <v>0</v>
      </c>
      <c r="K21" s="116" t="b">
        <v>0</v>
      </c>
      <c r="L21" s="116" t="b">
        <v>0</v>
      </c>
      <c r="M21" s="116" t="b">
        <v>0</v>
      </c>
      <c r="N21" s="117">
        <f t="shared" si="1"/>
        <v>0</v>
      </c>
      <c r="O21" s="117">
        <f t="shared" si="2"/>
        <v>0</v>
      </c>
      <c r="P21" s="117"/>
      <c r="Q21" s="112"/>
    </row>
    <row r="22" ht="15.0" customHeight="1">
      <c r="A22" s="112"/>
      <c r="B22" s="112"/>
      <c r="C22" s="112"/>
      <c r="D22" s="129" t="s">
        <v>263</v>
      </c>
      <c r="E22" s="114" t="str">
        <f>VLOOKUP(D22,Data!H:I,2,0)</f>
        <v>Bolu</v>
      </c>
      <c r="F22" s="115" t="str">
        <f>VLOOKUP(D22,Data!H:J,3,0)</f>
        <v>Nazım Öztel</v>
      </c>
      <c r="G22" s="116" t="b">
        <v>0</v>
      </c>
      <c r="H22" s="116" t="b">
        <v>0</v>
      </c>
      <c r="I22" s="116" t="b">
        <v>0</v>
      </c>
      <c r="J22" s="116" t="b">
        <v>0</v>
      </c>
      <c r="K22" s="116" t="b">
        <v>0</v>
      </c>
      <c r="L22" s="116" t="b">
        <v>0</v>
      </c>
      <c r="M22" s="116" t="b">
        <v>0</v>
      </c>
      <c r="N22" s="117">
        <f t="shared" si="1"/>
        <v>0</v>
      </c>
      <c r="O22" s="117">
        <f t="shared" si="2"/>
        <v>0</v>
      </c>
      <c r="P22" s="117" t="s">
        <v>299</v>
      </c>
      <c r="Q22" s="112"/>
    </row>
    <row r="23" ht="15.0" customHeight="1">
      <c r="A23" s="112"/>
      <c r="B23" s="112"/>
      <c r="C23" s="112"/>
      <c r="D23" s="129" t="s">
        <v>53</v>
      </c>
      <c r="E23" s="114" t="str">
        <f>VLOOKUP(D23,Data!H:I,2,0)</f>
        <v>Bursa</v>
      </c>
      <c r="F23" s="115" t="str">
        <f>VLOOKUP(D23,Data!H:J,3,0)</f>
        <v>Freelance</v>
      </c>
      <c r="G23" s="116" t="b">
        <v>0</v>
      </c>
      <c r="H23" s="116" t="b">
        <v>0</v>
      </c>
      <c r="I23" s="116" t="b">
        <v>0</v>
      </c>
      <c r="J23" s="116" t="b">
        <v>0</v>
      </c>
      <c r="K23" s="116" t="b">
        <v>0</v>
      </c>
      <c r="L23" s="116" t="b">
        <v>0</v>
      </c>
      <c r="M23" s="116" t="b">
        <v>0</v>
      </c>
      <c r="N23" s="117">
        <f t="shared" si="1"/>
        <v>0</v>
      </c>
      <c r="O23" s="117">
        <f t="shared" si="2"/>
        <v>0</v>
      </c>
      <c r="P23" s="117"/>
      <c r="Q23" s="112"/>
    </row>
    <row r="24" ht="15.0" customHeight="1">
      <c r="A24" s="112"/>
      <c r="B24" s="112"/>
      <c r="C24" s="112"/>
      <c r="D24" s="129" t="s">
        <v>247</v>
      </c>
      <c r="E24" s="114" t="str">
        <f>VLOOKUP(D24,Data!H:I,2,0)</f>
        <v>Çanakkale</v>
      </c>
      <c r="F24" s="115" t="str">
        <f>VLOOKUP(D24,Data!H:J,3,0)</f>
        <v>Nazım Öztel</v>
      </c>
      <c r="G24" s="116" t="b">
        <v>0</v>
      </c>
      <c r="H24" s="116" t="b">
        <v>0</v>
      </c>
      <c r="I24" s="116" t="b">
        <v>0</v>
      </c>
      <c r="J24" s="116" t="b">
        <v>0</v>
      </c>
      <c r="K24" s="116" t="b">
        <v>0</v>
      </c>
      <c r="L24" s="116" t="b">
        <v>1</v>
      </c>
      <c r="M24" s="116" t="b">
        <v>0</v>
      </c>
      <c r="N24" s="117">
        <f t="shared" si="1"/>
        <v>1</v>
      </c>
      <c r="O24" s="117">
        <f t="shared" si="2"/>
        <v>4</v>
      </c>
      <c r="P24" s="117" t="s">
        <v>298</v>
      </c>
      <c r="Q24" s="112"/>
    </row>
    <row r="25" ht="15.0" customHeight="1">
      <c r="A25" s="112"/>
      <c r="B25" s="112"/>
      <c r="C25" s="112"/>
      <c r="D25" s="129" t="s">
        <v>221</v>
      </c>
      <c r="E25" s="114" t="str">
        <f>VLOOKUP(D25,Data!H:I,2,0)</f>
        <v>Çorum</v>
      </c>
      <c r="F25" s="115" t="str">
        <f>VLOOKUP(D25,Data!H:J,3,0)</f>
        <v>Nazım Öztel</v>
      </c>
      <c r="G25" s="116" t="b">
        <v>0</v>
      </c>
      <c r="H25" s="116" t="b">
        <v>0</v>
      </c>
      <c r="I25" s="116" t="b">
        <v>0</v>
      </c>
      <c r="J25" s="116" t="b">
        <v>0</v>
      </c>
      <c r="K25" s="116" t="b">
        <v>0</v>
      </c>
      <c r="L25" s="116" t="b">
        <v>0</v>
      </c>
      <c r="M25" s="116" t="b">
        <v>0</v>
      </c>
      <c r="N25" s="117">
        <f t="shared" si="1"/>
        <v>0</v>
      </c>
      <c r="O25" s="117">
        <f t="shared" si="2"/>
        <v>0</v>
      </c>
      <c r="P25" s="117"/>
      <c r="Q25" s="112"/>
    </row>
    <row r="26" ht="15.0" customHeight="1">
      <c r="A26" s="112"/>
      <c r="B26" s="112"/>
      <c r="C26" s="112"/>
      <c r="D26" s="129" t="s">
        <v>264</v>
      </c>
      <c r="E26" s="114" t="str">
        <f>VLOOKUP(D26,Data!H:I,2,0)</f>
        <v>Denizli</v>
      </c>
      <c r="F26" s="115" t="str">
        <f>VLOOKUP(D26,Data!H:J,3,0)</f>
        <v>Nazım Öztel</v>
      </c>
      <c r="G26" s="116" t="b">
        <v>1</v>
      </c>
      <c r="H26" s="116" t="b">
        <v>1</v>
      </c>
      <c r="I26" s="116" t="b">
        <v>1</v>
      </c>
      <c r="J26" s="116" t="b">
        <v>1</v>
      </c>
      <c r="K26" s="116" t="b">
        <v>0</v>
      </c>
      <c r="L26" s="116" t="b">
        <v>0</v>
      </c>
      <c r="M26" s="116" t="b">
        <v>0</v>
      </c>
      <c r="N26" s="117">
        <f t="shared" si="1"/>
        <v>4</v>
      </c>
      <c r="O26" s="117">
        <f t="shared" si="2"/>
        <v>16</v>
      </c>
      <c r="P26" s="117"/>
      <c r="Q26" s="112"/>
    </row>
    <row r="27" ht="15.0" customHeight="1">
      <c r="A27" s="112"/>
      <c r="B27" s="112"/>
      <c r="C27" s="112"/>
      <c r="D27" s="129" t="s">
        <v>300</v>
      </c>
      <c r="E27" s="114" t="s">
        <v>301</v>
      </c>
      <c r="F27" s="115" t="s">
        <v>61</v>
      </c>
      <c r="G27" s="116" t="b">
        <v>0</v>
      </c>
      <c r="H27" s="116" t="b">
        <v>1</v>
      </c>
      <c r="I27" s="116" t="b">
        <v>1</v>
      </c>
      <c r="J27" s="116" t="b">
        <v>0</v>
      </c>
      <c r="K27" s="116" t="b">
        <v>0</v>
      </c>
      <c r="L27" s="116" t="b">
        <v>0</v>
      </c>
      <c r="M27" s="116" t="b">
        <v>0</v>
      </c>
      <c r="N27" s="117">
        <f t="shared" si="1"/>
        <v>2</v>
      </c>
      <c r="O27" s="117">
        <f t="shared" si="2"/>
        <v>8</v>
      </c>
      <c r="P27" s="117"/>
      <c r="Q27" s="112"/>
    </row>
    <row r="28" ht="15.0" customHeight="1">
      <c r="A28" s="112"/>
      <c r="B28" s="112"/>
      <c r="C28" s="112"/>
      <c r="D28" s="129" t="s">
        <v>173</v>
      </c>
      <c r="E28" s="114" t="str">
        <f>VLOOKUP(D28,Data!H:I,2,0)</f>
        <v>Düzce</v>
      </c>
      <c r="F28" s="115" t="str">
        <f>VLOOKUP(D28,Data!H:J,3,0)</f>
        <v>Nazım Öztel</v>
      </c>
      <c r="G28" s="116" t="b">
        <v>0</v>
      </c>
      <c r="H28" s="116" t="b">
        <v>0</v>
      </c>
      <c r="I28" s="116" t="b">
        <v>0</v>
      </c>
      <c r="J28" s="116" t="b">
        <v>0</v>
      </c>
      <c r="K28" s="116" t="b">
        <v>0</v>
      </c>
      <c r="L28" s="116" t="b">
        <v>0</v>
      </c>
      <c r="M28" s="116" t="b">
        <v>0</v>
      </c>
      <c r="N28" s="117">
        <f t="shared" si="1"/>
        <v>0</v>
      </c>
      <c r="O28" s="117">
        <f t="shared" si="2"/>
        <v>0</v>
      </c>
      <c r="P28" s="117" t="s">
        <v>298</v>
      </c>
      <c r="Q28" s="112"/>
    </row>
    <row r="29" ht="15.0" customHeight="1">
      <c r="A29" s="112"/>
      <c r="B29" s="112"/>
      <c r="C29" s="112"/>
      <c r="D29" s="129" t="s">
        <v>153</v>
      </c>
      <c r="E29" s="114" t="str">
        <f>VLOOKUP(D29,Data!H:I,2,0)</f>
        <v>Edirne</v>
      </c>
      <c r="F29" s="115" t="str">
        <f>VLOOKUP(D29,Data!H:J,3,0)</f>
        <v>Nazım Öztel</v>
      </c>
      <c r="G29" s="116" t="b">
        <v>0</v>
      </c>
      <c r="H29" s="116" t="b">
        <v>0</v>
      </c>
      <c r="I29" s="116" t="b">
        <v>0</v>
      </c>
      <c r="J29" s="116" t="b">
        <v>0</v>
      </c>
      <c r="K29" s="116" t="b">
        <v>0</v>
      </c>
      <c r="L29" s="116" t="b">
        <v>0</v>
      </c>
      <c r="M29" s="116" t="b">
        <v>0</v>
      </c>
      <c r="N29" s="117">
        <f t="shared" si="1"/>
        <v>0</v>
      </c>
      <c r="O29" s="117">
        <f t="shared" si="2"/>
        <v>0</v>
      </c>
      <c r="P29" s="117" t="s">
        <v>298</v>
      </c>
      <c r="Q29" s="112"/>
    </row>
    <row r="30" ht="15.0" customHeight="1">
      <c r="A30" s="112"/>
      <c r="B30" s="112"/>
      <c r="C30" s="112"/>
      <c r="D30" s="129" t="s">
        <v>289</v>
      </c>
      <c r="E30" s="114" t="str">
        <f>VLOOKUP(D30,Data!H:I,2,0)</f>
        <v>Elazığ</v>
      </c>
      <c r="F30" s="115" t="str">
        <f>VLOOKUP(D30,Data!H:J,3,0)</f>
        <v>Nazım Öztel</v>
      </c>
      <c r="G30" s="116" t="b">
        <v>0</v>
      </c>
      <c r="H30" s="116" t="b">
        <v>0</v>
      </c>
      <c r="I30" s="116" t="b">
        <v>0</v>
      </c>
      <c r="J30" s="116" t="b">
        <v>0</v>
      </c>
      <c r="K30" s="116" t="b">
        <v>0</v>
      </c>
      <c r="L30" s="116" t="b">
        <v>0</v>
      </c>
      <c r="M30" s="116" t="b">
        <v>0</v>
      </c>
      <c r="N30" s="117">
        <f t="shared" si="1"/>
        <v>0</v>
      </c>
      <c r="O30" s="117">
        <f t="shared" si="2"/>
        <v>0</v>
      </c>
      <c r="P30" s="117"/>
      <c r="Q30" s="112"/>
    </row>
    <row r="31" ht="15.0" customHeight="1">
      <c r="A31" s="112"/>
      <c r="B31" s="112"/>
      <c r="C31" s="112"/>
      <c r="D31" s="132" t="s">
        <v>55</v>
      </c>
      <c r="E31" s="114" t="str">
        <f>VLOOKUP(D31,Data!H:I,2,0)</f>
        <v>Erzurum</v>
      </c>
      <c r="F31" s="115" t="str">
        <f>VLOOKUP(D31,Data!H:J,3,0)</f>
        <v>Nazım Öztel</v>
      </c>
      <c r="G31" s="116" t="b">
        <v>0</v>
      </c>
      <c r="H31" s="116" t="b">
        <v>0</v>
      </c>
      <c r="I31" s="116" t="b">
        <v>0</v>
      </c>
      <c r="J31" s="116" t="b">
        <v>0</v>
      </c>
      <c r="K31" s="116" t="b">
        <v>0</v>
      </c>
      <c r="L31" s="116" t="b">
        <v>0</v>
      </c>
      <c r="M31" s="116" t="b">
        <v>0</v>
      </c>
      <c r="N31" s="117">
        <f t="shared" si="1"/>
        <v>0</v>
      </c>
      <c r="O31" s="117">
        <f t="shared" si="2"/>
        <v>0</v>
      </c>
      <c r="P31" s="117" t="s">
        <v>298</v>
      </c>
      <c r="Q31" s="112"/>
    </row>
    <row r="32" ht="15.0" customHeight="1">
      <c r="A32" s="112"/>
      <c r="B32" s="112"/>
      <c r="C32" s="112"/>
      <c r="D32" s="129" t="s">
        <v>165</v>
      </c>
      <c r="E32" s="114" t="str">
        <f>VLOOKUP(D32,Data!H:I,2,0)</f>
        <v>Eskişehir</v>
      </c>
      <c r="F32" s="115" t="str">
        <f>VLOOKUP(D32,Data!H:J,3,0)</f>
        <v>Nazım Öztel</v>
      </c>
      <c r="G32" s="116" t="b">
        <v>0</v>
      </c>
      <c r="H32" s="116" t="b">
        <v>0</v>
      </c>
      <c r="I32" s="116" t="b">
        <v>0</v>
      </c>
      <c r="J32" s="116" t="b">
        <v>0</v>
      </c>
      <c r="K32" s="116" t="b">
        <v>0</v>
      </c>
      <c r="L32" s="116" t="b">
        <v>0</v>
      </c>
      <c r="M32" s="116" t="b">
        <v>0</v>
      </c>
      <c r="N32" s="117">
        <f t="shared" si="1"/>
        <v>0</v>
      </c>
      <c r="O32" s="117">
        <f t="shared" si="2"/>
        <v>0</v>
      </c>
      <c r="P32" s="117"/>
      <c r="Q32" s="112"/>
    </row>
    <row r="33" ht="15.0" customHeight="1">
      <c r="A33" s="112"/>
      <c r="B33" s="112"/>
      <c r="C33" s="112"/>
      <c r="D33" s="129" t="s">
        <v>273</v>
      </c>
      <c r="E33" s="114" t="str">
        <f>VLOOKUP(D33,Data!H:I,2,0)</f>
        <v>Gaziantep</v>
      </c>
      <c r="F33" s="115" t="str">
        <f>VLOOKUP(D33,Data!H:J,3,0)</f>
        <v>Nazım Öztel</v>
      </c>
      <c r="G33" s="116" t="b">
        <v>0</v>
      </c>
      <c r="H33" s="116" t="b">
        <v>0</v>
      </c>
      <c r="I33" s="116" t="b">
        <v>0</v>
      </c>
      <c r="J33" s="116" t="b">
        <v>0</v>
      </c>
      <c r="K33" s="116" t="b">
        <v>0</v>
      </c>
      <c r="L33" s="116" t="b">
        <v>0</v>
      </c>
      <c r="M33" s="116" t="b">
        <v>0</v>
      </c>
      <c r="N33" s="117">
        <f t="shared" si="1"/>
        <v>0</v>
      </c>
      <c r="O33" s="117">
        <f t="shared" si="2"/>
        <v>0</v>
      </c>
      <c r="P33" s="117"/>
      <c r="Q33" s="112"/>
    </row>
    <row r="34" ht="15.0" customHeight="1">
      <c r="A34" s="112"/>
      <c r="B34" s="112"/>
      <c r="C34" s="112"/>
      <c r="D34" s="129" t="s">
        <v>248</v>
      </c>
      <c r="E34" s="114" t="str">
        <f>VLOOKUP(D34,Data!H:I,2,0)</f>
        <v>Hatay</v>
      </c>
      <c r="F34" s="115" t="str">
        <f>VLOOKUP(D34,Data!H:J,3,0)</f>
        <v>Nazım Öztel</v>
      </c>
      <c r="G34" s="116" t="b">
        <v>0</v>
      </c>
      <c r="H34" s="116" t="b">
        <v>0</v>
      </c>
      <c r="I34" s="116" t="b">
        <v>0</v>
      </c>
      <c r="J34" s="116" t="b">
        <v>0</v>
      </c>
      <c r="K34" s="116" t="b">
        <v>0</v>
      </c>
      <c r="L34" s="116" t="b">
        <v>0</v>
      </c>
      <c r="M34" s="116" t="b">
        <v>0</v>
      </c>
      <c r="N34" s="117">
        <f t="shared" si="1"/>
        <v>0</v>
      </c>
      <c r="O34" s="117">
        <f t="shared" si="2"/>
        <v>0</v>
      </c>
      <c r="P34" s="117"/>
      <c r="Q34" s="112"/>
    </row>
    <row r="35" ht="15.0" customHeight="1">
      <c r="A35" s="112"/>
      <c r="B35" s="112"/>
      <c r="C35" s="112"/>
      <c r="D35" s="129" t="s">
        <v>58</v>
      </c>
      <c r="E35" s="114" t="str">
        <f>VLOOKUP(D35,Data!H:I,2,0)</f>
        <v>İstanbul</v>
      </c>
      <c r="F35" s="115" t="str">
        <f>VLOOKUP(D35,Data!H:J,3,0)</f>
        <v>Freelance</v>
      </c>
      <c r="G35" s="116" t="b">
        <v>0</v>
      </c>
      <c r="H35" s="116" t="b">
        <v>0</v>
      </c>
      <c r="I35" s="116" t="b">
        <v>0</v>
      </c>
      <c r="J35" s="116" t="b">
        <v>0</v>
      </c>
      <c r="K35" s="116" t="b">
        <v>0</v>
      </c>
      <c r="L35" s="116" t="b">
        <v>0</v>
      </c>
      <c r="M35" s="116" t="b">
        <v>0</v>
      </c>
      <c r="N35" s="117">
        <f t="shared" si="1"/>
        <v>0</v>
      </c>
      <c r="O35" s="117">
        <f t="shared" si="2"/>
        <v>0</v>
      </c>
      <c r="P35" s="117"/>
      <c r="Q35" s="112"/>
    </row>
    <row r="36" ht="15.0" customHeight="1">
      <c r="A36" s="121"/>
      <c r="B36" s="121"/>
      <c r="C36" s="121"/>
      <c r="D36" s="129" t="s">
        <v>236</v>
      </c>
      <c r="E36" s="114" t="str">
        <f>VLOOKUP(D36,Data!H:I,2,0)</f>
        <v>İstanbul</v>
      </c>
      <c r="F36" s="115" t="str">
        <f>VLOOKUP(D36,Data!H:J,3,0)</f>
        <v>Filamingo</v>
      </c>
      <c r="G36" s="116" t="b">
        <v>0</v>
      </c>
      <c r="H36" s="116" t="b">
        <v>0</v>
      </c>
      <c r="I36" s="116" t="b">
        <v>0</v>
      </c>
      <c r="J36" s="116" t="b">
        <v>0</v>
      </c>
      <c r="K36" s="116" t="b">
        <v>0</v>
      </c>
      <c r="L36" s="116" t="b">
        <v>0</v>
      </c>
      <c r="M36" s="116" t="b">
        <v>0</v>
      </c>
      <c r="N36" s="117">
        <f t="shared" si="1"/>
        <v>0</v>
      </c>
      <c r="O36" s="117">
        <f t="shared" si="2"/>
        <v>0</v>
      </c>
      <c r="P36" s="117" t="s">
        <v>298</v>
      </c>
      <c r="Q36" s="121"/>
    </row>
    <row r="37" ht="15.0" customHeight="1">
      <c r="A37" s="112"/>
      <c r="B37" s="112"/>
      <c r="C37" s="112"/>
      <c r="D37" s="129" t="s">
        <v>135</v>
      </c>
      <c r="E37" s="114" t="str">
        <f>VLOOKUP(D37,Data!H:I,2,0)</f>
        <v>İstanbul</v>
      </c>
      <c r="F37" s="115" t="str">
        <f>VLOOKUP(D37,Data!H:J,3,0)</f>
        <v>Freelance</v>
      </c>
      <c r="G37" s="116" t="b">
        <v>0</v>
      </c>
      <c r="H37" s="116" t="b">
        <v>0</v>
      </c>
      <c r="I37" s="116" t="b">
        <v>0</v>
      </c>
      <c r="J37" s="116" t="b">
        <v>0</v>
      </c>
      <c r="K37" s="116" t="b">
        <v>0</v>
      </c>
      <c r="L37" s="116" t="b">
        <v>0</v>
      </c>
      <c r="M37" s="116" t="b">
        <v>0</v>
      </c>
      <c r="N37" s="117">
        <f t="shared" si="1"/>
        <v>0</v>
      </c>
      <c r="O37" s="117">
        <f t="shared" si="2"/>
        <v>0</v>
      </c>
      <c r="P37" s="117"/>
      <c r="Q37" s="112"/>
    </row>
    <row r="38" ht="15.0" customHeight="1">
      <c r="A38" s="112"/>
      <c r="B38" s="112"/>
      <c r="C38" s="112"/>
      <c r="D38" s="129" t="s">
        <v>70</v>
      </c>
      <c r="E38" s="114" t="str">
        <f>VLOOKUP(D38,Data!H:I,2,0)</f>
        <v>İstanbul</v>
      </c>
      <c r="F38" s="115" t="str">
        <f>VLOOKUP(D38,Data!H:J,3,0)</f>
        <v>Freelance</v>
      </c>
      <c r="G38" s="116" t="b">
        <v>0</v>
      </c>
      <c r="H38" s="116" t="b">
        <v>0</v>
      </c>
      <c r="I38" s="116" t="b">
        <v>0</v>
      </c>
      <c r="J38" s="116" t="b">
        <v>0</v>
      </c>
      <c r="K38" s="116" t="b">
        <v>0</v>
      </c>
      <c r="L38" s="116" t="b">
        <v>0</v>
      </c>
      <c r="M38" s="116" t="b">
        <v>0</v>
      </c>
      <c r="N38" s="117">
        <f t="shared" si="1"/>
        <v>0</v>
      </c>
      <c r="O38" s="117">
        <f t="shared" si="2"/>
        <v>0</v>
      </c>
      <c r="P38" s="117" t="s">
        <v>298</v>
      </c>
      <c r="Q38" s="112"/>
    </row>
    <row r="39" ht="15.0" customHeight="1">
      <c r="A39" s="112"/>
      <c r="B39" s="112"/>
      <c r="C39" s="112"/>
      <c r="D39" s="129" t="s">
        <v>78</v>
      </c>
      <c r="E39" s="114" t="str">
        <f>VLOOKUP(D39,Data!H:I,2,0)</f>
        <v>İstanbul</v>
      </c>
      <c r="F39" s="115" t="str">
        <f>VLOOKUP(D39,Data!H:J,3,0)</f>
        <v>Freelance</v>
      </c>
      <c r="G39" s="116" t="b">
        <v>0</v>
      </c>
      <c r="H39" s="116" t="b">
        <v>0</v>
      </c>
      <c r="I39" s="116" t="b">
        <v>0</v>
      </c>
      <c r="J39" s="116" t="b">
        <v>0</v>
      </c>
      <c r="K39" s="116" t="b">
        <v>0</v>
      </c>
      <c r="L39" s="116" t="b">
        <v>0</v>
      </c>
      <c r="M39" s="116" t="b">
        <v>0</v>
      </c>
      <c r="N39" s="117">
        <f t="shared" si="1"/>
        <v>0</v>
      </c>
      <c r="O39" s="117">
        <f t="shared" si="2"/>
        <v>0</v>
      </c>
      <c r="P39" s="117"/>
      <c r="Q39" s="112"/>
    </row>
    <row r="40" ht="15.0" customHeight="1">
      <c r="A40" s="112"/>
      <c r="B40" s="112"/>
      <c r="C40" s="112"/>
      <c r="D40" s="129" t="s">
        <v>79</v>
      </c>
      <c r="E40" s="114" t="str">
        <f>VLOOKUP(D40,Data!H:I,2,0)</f>
        <v>İstanbul</v>
      </c>
      <c r="F40" s="115" t="str">
        <f>VLOOKUP(D40,Data!H:J,3,0)</f>
        <v>Freelance</v>
      </c>
      <c r="G40" s="116" t="b">
        <v>0</v>
      </c>
      <c r="H40" s="116" t="b">
        <v>0</v>
      </c>
      <c r="I40" s="116" t="b">
        <v>0</v>
      </c>
      <c r="J40" s="116" t="b">
        <v>0</v>
      </c>
      <c r="K40" s="116" t="b">
        <v>0</v>
      </c>
      <c r="L40" s="116" t="b">
        <v>0</v>
      </c>
      <c r="M40" s="116" t="b">
        <v>0</v>
      </c>
      <c r="N40" s="117">
        <f t="shared" si="1"/>
        <v>0</v>
      </c>
      <c r="O40" s="117">
        <f t="shared" si="2"/>
        <v>0</v>
      </c>
      <c r="P40" s="117"/>
      <c r="Q40" s="112"/>
    </row>
    <row r="41" ht="15.0" customHeight="1">
      <c r="A41" s="122"/>
      <c r="B41" s="122"/>
      <c r="C41" s="122"/>
      <c r="D41" s="129" t="s">
        <v>80</v>
      </c>
      <c r="E41" s="114" t="str">
        <f>VLOOKUP(D41,Data!H:I,2,0)</f>
        <v>İstanbul</v>
      </c>
      <c r="F41" s="115" t="str">
        <f>VLOOKUP(D41,Data!H:J,3,0)</f>
        <v>Freelance</v>
      </c>
      <c r="G41" s="116" t="b">
        <v>1</v>
      </c>
      <c r="H41" s="116" t="b">
        <v>1</v>
      </c>
      <c r="I41" s="116" t="b">
        <v>1</v>
      </c>
      <c r="J41" s="116" t="b">
        <v>1</v>
      </c>
      <c r="K41" s="116" t="b">
        <v>1</v>
      </c>
      <c r="L41" s="116" t="b">
        <v>0</v>
      </c>
      <c r="M41" s="116" t="b">
        <v>0</v>
      </c>
      <c r="N41" s="117">
        <f t="shared" si="1"/>
        <v>5</v>
      </c>
      <c r="O41" s="117">
        <f t="shared" si="2"/>
        <v>20</v>
      </c>
      <c r="P41" s="117"/>
      <c r="Q41" s="122"/>
    </row>
    <row r="42" ht="15.0" customHeight="1">
      <c r="A42" s="112"/>
      <c r="B42" s="112"/>
      <c r="C42" s="112"/>
      <c r="D42" s="132" t="s">
        <v>119</v>
      </c>
      <c r="E42" s="114" t="str">
        <f>VLOOKUP(D42,Data!H:I,2,0)</f>
        <v>İstanbul</v>
      </c>
      <c r="F42" s="115" t="str">
        <f>VLOOKUP(D42,Data!H:J,3,0)</f>
        <v>Filamingo</v>
      </c>
      <c r="G42" s="116" t="b">
        <v>0</v>
      </c>
      <c r="H42" s="116" t="b">
        <v>0</v>
      </c>
      <c r="I42" s="116" t="b">
        <v>0</v>
      </c>
      <c r="J42" s="116" t="b">
        <v>0</v>
      </c>
      <c r="K42" s="116" t="b">
        <v>0</v>
      </c>
      <c r="L42" s="116" t="b">
        <v>0</v>
      </c>
      <c r="M42" s="116" t="b">
        <v>0</v>
      </c>
      <c r="N42" s="117">
        <f t="shared" si="1"/>
        <v>0</v>
      </c>
      <c r="O42" s="117">
        <f t="shared" si="2"/>
        <v>0</v>
      </c>
      <c r="P42" s="117"/>
      <c r="Q42" s="112"/>
    </row>
    <row r="43" ht="15.0" customHeight="1">
      <c r="A43" s="112"/>
      <c r="B43" s="112"/>
      <c r="C43" s="112"/>
      <c r="D43" s="129" t="s">
        <v>96</v>
      </c>
      <c r="E43" s="114" t="s">
        <v>237</v>
      </c>
      <c r="F43" s="115" t="s">
        <v>61</v>
      </c>
      <c r="G43" s="116" t="b">
        <v>0</v>
      </c>
      <c r="H43" s="116" t="b">
        <v>0</v>
      </c>
      <c r="I43" s="116" t="b">
        <v>0</v>
      </c>
      <c r="J43" s="116" t="b">
        <v>0</v>
      </c>
      <c r="K43" s="116" t="b">
        <v>0</v>
      </c>
      <c r="L43" s="116" t="b">
        <v>0</v>
      </c>
      <c r="M43" s="116" t="b">
        <v>0</v>
      </c>
      <c r="N43" s="117">
        <f t="shared" si="1"/>
        <v>0</v>
      </c>
      <c r="O43" s="117">
        <f t="shared" si="2"/>
        <v>0</v>
      </c>
      <c r="P43" s="117"/>
      <c r="Q43" s="112"/>
    </row>
    <row r="44" ht="15.0" customHeight="1">
      <c r="A44" s="112"/>
      <c r="B44" s="112"/>
      <c r="C44" s="112"/>
      <c r="D44" s="129" t="s">
        <v>217</v>
      </c>
      <c r="E44" s="114" t="str">
        <f>VLOOKUP(D44,Data!H:I,2,0)</f>
        <v>İstanbul</v>
      </c>
      <c r="F44" s="115" t="str">
        <f>VLOOKUP(D44,Data!H:J,3,0)</f>
        <v>Freelance</v>
      </c>
      <c r="G44" s="116" t="b">
        <v>0</v>
      </c>
      <c r="H44" s="116" t="b">
        <v>0</v>
      </c>
      <c r="I44" s="116" t="b">
        <v>0</v>
      </c>
      <c r="J44" s="116" t="b">
        <v>0</v>
      </c>
      <c r="K44" s="116" t="b">
        <v>0</v>
      </c>
      <c r="L44" s="116" t="b">
        <v>0</v>
      </c>
      <c r="M44" s="116" t="b">
        <v>0</v>
      </c>
      <c r="N44" s="117">
        <f t="shared" si="1"/>
        <v>0</v>
      </c>
      <c r="O44" s="117">
        <f t="shared" si="2"/>
        <v>0</v>
      </c>
      <c r="P44" s="117"/>
      <c r="Q44" s="112"/>
    </row>
    <row r="45" ht="15.0" customHeight="1">
      <c r="A45" s="112"/>
      <c r="B45" s="112"/>
      <c r="C45" s="112"/>
      <c r="D45" s="129" t="s">
        <v>81</v>
      </c>
      <c r="E45" s="114" t="str">
        <f>VLOOKUP(D45,Data!H:I,2,0)</f>
        <v>İstanbul</v>
      </c>
      <c r="F45" s="115" t="str">
        <f>VLOOKUP(D45,Data!H:J,3,0)</f>
        <v>Freelance</v>
      </c>
      <c r="G45" s="116" t="b">
        <v>0</v>
      </c>
      <c r="H45" s="116" t="b">
        <v>0</v>
      </c>
      <c r="I45" s="116" t="b">
        <v>0</v>
      </c>
      <c r="J45" s="116" t="b">
        <v>0</v>
      </c>
      <c r="K45" s="116" t="b">
        <v>0</v>
      </c>
      <c r="L45" s="116" t="b">
        <v>0</v>
      </c>
      <c r="M45" s="116" t="b">
        <v>0</v>
      </c>
      <c r="N45" s="117">
        <f t="shared" si="1"/>
        <v>0</v>
      </c>
      <c r="O45" s="117">
        <f t="shared" si="2"/>
        <v>0</v>
      </c>
      <c r="P45" s="117"/>
      <c r="Q45" s="112"/>
    </row>
    <row r="46" ht="15.0" customHeight="1">
      <c r="A46" s="112"/>
      <c r="B46" s="112"/>
      <c r="C46" s="112"/>
      <c r="D46" s="129" t="s">
        <v>201</v>
      </c>
      <c r="E46" s="114" t="str">
        <f>VLOOKUP(D46,Data!H:I,2,0)</f>
        <v>İstanbul</v>
      </c>
      <c r="F46" s="114" t="str">
        <f>VLOOKUP(D46,Data!H:J,3,0)</f>
        <v>Freelance</v>
      </c>
      <c r="G46" s="116" t="b">
        <v>0</v>
      </c>
      <c r="H46" s="116" t="b">
        <v>0</v>
      </c>
      <c r="I46" s="116" t="b">
        <v>0</v>
      </c>
      <c r="J46" s="116" t="b">
        <v>0</v>
      </c>
      <c r="K46" s="116" t="b">
        <v>0</v>
      </c>
      <c r="L46" s="116" t="b">
        <v>0</v>
      </c>
      <c r="M46" s="116" t="b">
        <v>0</v>
      </c>
      <c r="N46" s="117">
        <f t="shared" si="1"/>
        <v>0</v>
      </c>
      <c r="O46" s="117">
        <f t="shared" si="2"/>
        <v>0</v>
      </c>
      <c r="P46" s="117"/>
      <c r="Q46" s="112"/>
    </row>
    <row r="47" ht="15.0" customHeight="1">
      <c r="A47" s="112"/>
      <c r="B47" s="112"/>
      <c r="C47" s="112"/>
      <c r="D47" s="132" t="s">
        <v>83</v>
      </c>
      <c r="E47" s="114" t="str">
        <f>VLOOKUP(D47,Data!H:I,2,0)</f>
        <v>İstanbul</v>
      </c>
      <c r="F47" s="115" t="str">
        <f>VLOOKUP(D47,Data!H:J,3,0)</f>
        <v>Nazım Öztel</v>
      </c>
      <c r="G47" s="116" t="b">
        <v>0</v>
      </c>
      <c r="H47" s="116" t="b">
        <v>0</v>
      </c>
      <c r="I47" s="116" t="b">
        <v>0</v>
      </c>
      <c r="J47" s="116" t="b">
        <v>0</v>
      </c>
      <c r="K47" s="116" t="b">
        <v>0</v>
      </c>
      <c r="L47" s="116" t="b">
        <v>0</v>
      </c>
      <c r="M47" s="116" t="b">
        <v>0</v>
      </c>
      <c r="N47" s="117">
        <f t="shared" si="1"/>
        <v>0</v>
      </c>
      <c r="O47" s="117">
        <f t="shared" si="2"/>
        <v>0</v>
      </c>
      <c r="P47" s="117"/>
      <c r="Q47" s="112"/>
    </row>
    <row r="48" ht="15.0" customHeight="1">
      <c r="A48" s="112"/>
      <c r="B48" s="112"/>
      <c r="C48" s="112"/>
      <c r="D48" s="129" t="s">
        <v>224</v>
      </c>
      <c r="E48" s="145" t="str">
        <f>VLOOKUP(D48,Data!H:I,2,0)</f>
        <v>İstanbul</v>
      </c>
      <c r="F48" s="147" t="str">
        <f>VLOOKUP(D48,Data!H:J,3,0)</f>
        <v>Filamingo</v>
      </c>
      <c r="G48" s="116" t="b">
        <v>0</v>
      </c>
      <c r="H48" s="116" t="b">
        <v>0</v>
      </c>
      <c r="I48" s="116" t="b">
        <v>0</v>
      </c>
      <c r="J48" s="116" t="b">
        <v>0</v>
      </c>
      <c r="K48" s="116" t="b">
        <v>0</v>
      </c>
      <c r="L48" s="116" t="b">
        <v>0</v>
      </c>
      <c r="M48" s="116" t="b">
        <v>0</v>
      </c>
      <c r="N48" s="146">
        <f t="shared" si="1"/>
        <v>0</v>
      </c>
      <c r="O48" s="146">
        <f t="shared" si="2"/>
        <v>0</v>
      </c>
      <c r="P48" s="117" t="s">
        <v>298</v>
      </c>
      <c r="Q48" s="112"/>
    </row>
    <row r="49" ht="15.0" customHeight="1">
      <c r="A49" s="125"/>
      <c r="B49" s="125"/>
      <c r="C49" s="125"/>
      <c r="D49" s="129" t="s">
        <v>225</v>
      </c>
      <c r="E49" s="114" t="str">
        <f>VLOOKUP(D49,Data!H:I,2,0)</f>
        <v>İstanbul</v>
      </c>
      <c r="F49" s="115" t="str">
        <f>VLOOKUP(D49,Data!H:J,3,0)</f>
        <v>Filamingo</v>
      </c>
      <c r="G49" s="116" t="b">
        <v>0</v>
      </c>
      <c r="H49" s="116" t="b">
        <v>1</v>
      </c>
      <c r="I49" s="116" t="b">
        <v>0</v>
      </c>
      <c r="J49" s="116" t="b">
        <v>0</v>
      </c>
      <c r="K49" s="116" t="b">
        <v>1</v>
      </c>
      <c r="L49" s="116" t="b">
        <v>0</v>
      </c>
      <c r="M49" s="116" t="b">
        <v>0</v>
      </c>
      <c r="N49" s="117">
        <f t="shared" si="1"/>
        <v>2</v>
      </c>
      <c r="O49" s="117">
        <f t="shared" si="2"/>
        <v>8</v>
      </c>
      <c r="P49" s="117"/>
      <c r="Q49" s="125"/>
    </row>
    <row r="50" ht="15.0" customHeight="1">
      <c r="A50" s="125"/>
      <c r="B50" s="125"/>
      <c r="C50" s="125"/>
      <c r="D50" s="129" t="s">
        <v>145</v>
      </c>
      <c r="E50" s="114" t="str">
        <f>VLOOKUP(D50,Data!H:I,2,0)</f>
        <v>İstanbul</v>
      </c>
      <c r="F50" s="115" t="str">
        <f>VLOOKUP(D50,Data!H:J,3,0)</f>
        <v>Filamingo</v>
      </c>
      <c r="G50" s="116" t="b">
        <v>0</v>
      </c>
      <c r="H50" s="116" t="b">
        <v>0</v>
      </c>
      <c r="I50" s="116" t="b">
        <v>0</v>
      </c>
      <c r="J50" s="116" t="b">
        <v>0</v>
      </c>
      <c r="K50" s="116" t="b">
        <v>0</v>
      </c>
      <c r="L50" s="116" t="b">
        <v>0</v>
      </c>
      <c r="M50" s="116" t="b">
        <v>0</v>
      </c>
      <c r="N50" s="117">
        <f t="shared" si="1"/>
        <v>0</v>
      </c>
      <c r="O50" s="117">
        <f t="shared" si="2"/>
        <v>0</v>
      </c>
      <c r="P50" s="117"/>
      <c r="Q50" s="125"/>
    </row>
    <row r="51" ht="15.0" customHeight="1">
      <c r="A51" s="125"/>
      <c r="B51" s="125"/>
      <c r="C51" s="125"/>
      <c r="D51" s="129" t="s">
        <v>274</v>
      </c>
      <c r="E51" s="114" t="str">
        <f>VLOOKUP(D51,Data!H:I,2,0)</f>
        <v>İstanbul</v>
      </c>
      <c r="F51" s="115" t="str">
        <f>VLOOKUP(D51,Data!H:J,3,0)</f>
        <v>Filamingo</v>
      </c>
      <c r="G51" s="116" t="b">
        <v>1</v>
      </c>
      <c r="H51" s="116" t="b">
        <v>1</v>
      </c>
      <c r="I51" s="116" t="b">
        <v>0</v>
      </c>
      <c r="J51" s="116" t="b">
        <v>1</v>
      </c>
      <c r="K51" s="116" t="b">
        <v>0</v>
      </c>
      <c r="L51" s="116" t="b">
        <v>0</v>
      </c>
      <c r="M51" s="116" t="b">
        <v>0</v>
      </c>
      <c r="N51" s="117">
        <f t="shared" si="1"/>
        <v>3</v>
      </c>
      <c r="O51" s="117">
        <f t="shared" si="2"/>
        <v>12</v>
      </c>
      <c r="P51" s="117"/>
      <c r="Q51" s="125"/>
    </row>
    <row r="52" ht="15.0" customHeight="1">
      <c r="A52" s="125"/>
      <c r="B52" s="125"/>
      <c r="C52" s="125"/>
      <c r="D52" s="129" t="s">
        <v>87</v>
      </c>
      <c r="E52" s="114" t="str">
        <f>VLOOKUP(D52,Data!H:I,2,0)</f>
        <v>İstanbul</v>
      </c>
      <c r="F52" s="115" t="str">
        <f>VLOOKUP(D52,Data!H:J,3,0)</f>
        <v>Freelance</v>
      </c>
      <c r="G52" s="116" t="b">
        <v>0</v>
      </c>
      <c r="H52" s="116" t="b">
        <v>0</v>
      </c>
      <c r="I52" s="116" t="b">
        <v>0</v>
      </c>
      <c r="J52" s="116" t="b">
        <v>0</v>
      </c>
      <c r="K52" s="116" t="b">
        <v>0</v>
      </c>
      <c r="L52" s="116" t="b">
        <v>0</v>
      </c>
      <c r="M52" s="116" t="b">
        <v>0</v>
      </c>
      <c r="N52" s="117">
        <f t="shared" si="1"/>
        <v>0</v>
      </c>
      <c r="O52" s="117">
        <f t="shared" si="2"/>
        <v>0</v>
      </c>
      <c r="P52" s="117"/>
      <c r="Q52" s="125"/>
    </row>
    <row r="53" ht="15.0" customHeight="1">
      <c r="A53" s="125"/>
      <c r="B53" s="125"/>
      <c r="C53" s="125"/>
      <c r="D53" s="129" t="s">
        <v>226</v>
      </c>
      <c r="E53" s="114" t="str">
        <f>VLOOKUP(D53,Data!H:I,2,0)</f>
        <v>İstanbul</v>
      </c>
      <c r="F53" s="115" t="str">
        <f>VLOOKUP(D53,Data!H:J,3,0)</f>
        <v>Filamingo</v>
      </c>
      <c r="G53" s="116" t="b">
        <v>0</v>
      </c>
      <c r="H53" s="116" t="b">
        <v>0</v>
      </c>
      <c r="I53" s="116" t="b">
        <v>0</v>
      </c>
      <c r="J53" s="116" t="b">
        <v>0</v>
      </c>
      <c r="K53" s="116" t="b">
        <v>0</v>
      </c>
      <c r="L53" s="116" t="b">
        <v>0</v>
      </c>
      <c r="M53" s="116" t="b">
        <v>0</v>
      </c>
      <c r="N53" s="117">
        <f t="shared" si="1"/>
        <v>0</v>
      </c>
      <c r="O53" s="117">
        <f t="shared" si="2"/>
        <v>0</v>
      </c>
      <c r="P53" s="117"/>
      <c r="Q53" s="125"/>
    </row>
    <row r="54" ht="15.0" customHeight="1">
      <c r="A54" s="112"/>
      <c r="B54" s="112"/>
      <c r="C54" s="112"/>
      <c r="D54" s="129" t="s">
        <v>249</v>
      </c>
      <c r="E54" s="114" t="str">
        <f>VLOOKUP(D54,Data!H:I,2,0)</f>
        <v>İstanbul</v>
      </c>
      <c r="F54" s="115" t="str">
        <f>VLOOKUP(D54,Data!H:J,3,0)</f>
        <v>Nazım Öztel</v>
      </c>
      <c r="G54" s="116" t="b">
        <v>0</v>
      </c>
      <c r="H54" s="116" t="b">
        <v>1</v>
      </c>
      <c r="I54" s="116" t="b">
        <v>1</v>
      </c>
      <c r="J54" s="116" t="b">
        <v>0</v>
      </c>
      <c r="K54" s="116" t="b">
        <v>1</v>
      </c>
      <c r="L54" s="116" t="b">
        <v>0</v>
      </c>
      <c r="M54" s="116" t="b">
        <v>0</v>
      </c>
      <c r="N54" s="117">
        <f t="shared" si="1"/>
        <v>3</v>
      </c>
      <c r="O54" s="117">
        <f t="shared" si="2"/>
        <v>12</v>
      </c>
      <c r="P54" s="117"/>
      <c r="Q54" s="112"/>
    </row>
    <row r="55" ht="15.0" customHeight="1">
      <c r="A55" s="112"/>
      <c r="B55" s="112"/>
      <c r="C55" s="112"/>
      <c r="D55" s="129" t="s">
        <v>250</v>
      </c>
      <c r="E55" s="114" t="str">
        <f>VLOOKUP(D55,Data!H:I,2,0)</f>
        <v>İstanbul</v>
      </c>
      <c r="F55" s="115" t="str">
        <f>VLOOKUP(D55,Data!H:J,3,0)</f>
        <v>Filamingo</v>
      </c>
      <c r="G55" s="116" t="b">
        <v>0</v>
      </c>
      <c r="H55" s="116" t="b">
        <v>0</v>
      </c>
      <c r="I55" s="116" t="b">
        <v>0</v>
      </c>
      <c r="J55" s="116" t="b">
        <v>0</v>
      </c>
      <c r="K55" s="116" t="b">
        <v>0</v>
      </c>
      <c r="L55" s="116" t="b">
        <v>0</v>
      </c>
      <c r="M55" s="116" t="b">
        <v>0</v>
      </c>
      <c r="N55" s="117">
        <f t="shared" si="1"/>
        <v>0</v>
      </c>
      <c r="O55" s="117">
        <f t="shared" si="2"/>
        <v>0</v>
      </c>
      <c r="P55" s="117"/>
      <c r="Q55" s="112"/>
    </row>
    <row r="56" ht="15.0" customHeight="1">
      <c r="A56" s="112"/>
      <c r="B56" s="112"/>
      <c r="C56" s="112"/>
      <c r="D56" s="129" t="s">
        <v>251</v>
      </c>
      <c r="E56" s="114" t="str">
        <f>VLOOKUP(D56,Data!H:I,2,0)</f>
        <v>İstanbul</v>
      </c>
      <c r="F56" s="115" t="str">
        <f>VLOOKUP(D56,Data!H:J,3,0)</f>
        <v>Filamingo</v>
      </c>
      <c r="G56" s="116" t="b">
        <v>1</v>
      </c>
      <c r="H56" s="116" t="b">
        <v>1</v>
      </c>
      <c r="I56" s="116" t="b">
        <v>1</v>
      </c>
      <c r="J56" s="116" t="b">
        <v>1</v>
      </c>
      <c r="K56" s="116" t="b">
        <v>1</v>
      </c>
      <c r="L56" s="116" t="b">
        <v>0</v>
      </c>
      <c r="M56" s="116" t="b">
        <v>0</v>
      </c>
      <c r="N56" s="117">
        <f t="shared" si="1"/>
        <v>5</v>
      </c>
      <c r="O56" s="117">
        <f t="shared" si="2"/>
        <v>20</v>
      </c>
      <c r="P56" s="117"/>
      <c r="Q56" s="112"/>
    </row>
    <row r="57" ht="15.0" customHeight="1">
      <c r="A57" s="112"/>
      <c r="B57" s="112"/>
      <c r="C57" s="112"/>
      <c r="D57" s="129" t="s">
        <v>302</v>
      </c>
      <c r="E57" s="114" t="s">
        <v>237</v>
      </c>
      <c r="F57" s="115" t="s">
        <v>64</v>
      </c>
      <c r="G57" s="116" t="b">
        <v>1</v>
      </c>
      <c r="H57" s="116" t="b">
        <v>1</v>
      </c>
      <c r="I57" s="116" t="b">
        <v>1</v>
      </c>
      <c r="J57" s="116" t="b">
        <v>1</v>
      </c>
      <c r="K57" s="116" t="b">
        <v>1</v>
      </c>
      <c r="L57" s="116" t="b">
        <v>0</v>
      </c>
      <c r="M57" s="116" t="b">
        <v>0</v>
      </c>
      <c r="N57" s="117">
        <v>5.0</v>
      </c>
      <c r="O57" s="117">
        <v>20.0</v>
      </c>
      <c r="P57" s="117"/>
      <c r="Q57" s="112"/>
    </row>
    <row r="58" ht="15.0" customHeight="1">
      <c r="A58" s="112"/>
      <c r="B58" s="112"/>
      <c r="C58" s="112"/>
      <c r="D58" s="129" t="s">
        <v>252</v>
      </c>
      <c r="E58" s="114" t="str">
        <f>VLOOKUP(D58,Data!H:I,2,0)</f>
        <v>İzmir</v>
      </c>
      <c r="F58" s="115" t="str">
        <f>VLOOKUP(D58,Data!H:J,3,0)</f>
        <v>Nazım Öztel</v>
      </c>
      <c r="G58" s="116" t="b">
        <v>0</v>
      </c>
      <c r="H58" s="116" t="b">
        <v>0</v>
      </c>
      <c r="I58" s="116" t="b">
        <v>0</v>
      </c>
      <c r="J58" s="116" t="b">
        <v>0</v>
      </c>
      <c r="K58" s="116" t="b">
        <v>1</v>
      </c>
      <c r="L58" s="116" t="b">
        <v>0</v>
      </c>
      <c r="M58" s="116" t="b">
        <v>0</v>
      </c>
      <c r="N58" s="117">
        <f t="shared" ref="N58:N95" si="3">COUNTIF(G58:M58,"TRUE")</f>
        <v>1</v>
      </c>
      <c r="O58" s="117">
        <f t="shared" ref="O58:O95" si="4">N58*4</f>
        <v>4</v>
      </c>
      <c r="P58" s="117"/>
      <c r="Q58" s="112"/>
    </row>
    <row r="59" ht="15.0" customHeight="1">
      <c r="A59" s="112"/>
      <c r="B59" s="112"/>
      <c r="C59" s="112"/>
      <c r="D59" s="132" t="s">
        <v>92</v>
      </c>
      <c r="E59" s="114" t="str">
        <f>VLOOKUP(D59,Data!H:I,2,0)</f>
        <v>İzmir</v>
      </c>
      <c r="F59" s="115" t="str">
        <f>VLOOKUP(D59,Data!H:J,3,0)</f>
        <v>Nazım Öztel</v>
      </c>
      <c r="G59" s="116" t="b">
        <v>0</v>
      </c>
      <c r="H59" s="116" t="b">
        <v>0</v>
      </c>
      <c r="I59" s="116" t="b">
        <v>0</v>
      </c>
      <c r="J59" s="116" t="b">
        <v>0</v>
      </c>
      <c r="K59" s="116" t="b">
        <v>0</v>
      </c>
      <c r="L59" s="116" t="b">
        <v>0</v>
      </c>
      <c r="M59" s="116" t="b">
        <v>0</v>
      </c>
      <c r="N59" s="117">
        <f t="shared" si="3"/>
        <v>0</v>
      </c>
      <c r="O59" s="117">
        <f t="shared" si="4"/>
        <v>0</v>
      </c>
      <c r="P59" s="117"/>
      <c r="Q59" s="112"/>
    </row>
    <row r="60" ht="15.0" customHeight="1">
      <c r="A60" s="112"/>
      <c r="B60" s="112"/>
      <c r="C60" s="112"/>
      <c r="D60" s="129" t="s">
        <v>93</v>
      </c>
      <c r="E60" s="114" t="str">
        <f>VLOOKUP(D60,Data!H:I,2,0)</f>
        <v>İzmir</v>
      </c>
      <c r="F60" s="115" t="str">
        <f>VLOOKUP(D60,Data!H:J,3,0)</f>
        <v>Freelance</v>
      </c>
      <c r="G60" s="116" t="b">
        <v>0</v>
      </c>
      <c r="H60" s="116" t="b">
        <v>0</v>
      </c>
      <c r="I60" s="116" t="b">
        <v>0</v>
      </c>
      <c r="J60" s="116" t="b">
        <v>0</v>
      </c>
      <c r="K60" s="116" t="b">
        <v>0</v>
      </c>
      <c r="L60" s="116" t="b">
        <v>0</v>
      </c>
      <c r="M60" s="116" t="b">
        <v>0</v>
      </c>
      <c r="N60" s="117">
        <f t="shared" si="3"/>
        <v>0</v>
      </c>
      <c r="O60" s="117">
        <f t="shared" si="4"/>
        <v>0</v>
      </c>
      <c r="P60" s="117"/>
      <c r="Q60" s="112"/>
    </row>
    <row r="61" ht="15.0" customHeight="1">
      <c r="A61" s="112"/>
      <c r="B61" s="112"/>
      <c r="C61" s="112"/>
      <c r="D61" s="129" t="s">
        <v>161</v>
      </c>
      <c r="E61" s="143" t="str">
        <f>VLOOKUP(D61,Data!H:I,2,0)</f>
        <v>Kahramanmaraş</v>
      </c>
      <c r="F61" s="115" t="str">
        <f>VLOOKUP(D61,Data!H:J,3,0)</f>
        <v>Nazım Öztel</v>
      </c>
      <c r="G61" s="116" t="b">
        <v>0</v>
      </c>
      <c r="H61" s="116" t="b">
        <v>0</v>
      </c>
      <c r="I61" s="116" t="b">
        <v>0</v>
      </c>
      <c r="J61" s="116" t="b">
        <v>0</v>
      </c>
      <c r="K61" s="116" t="b">
        <v>0</v>
      </c>
      <c r="L61" s="116" t="b">
        <v>0</v>
      </c>
      <c r="M61" s="116" t="b">
        <v>0</v>
      </c>
      <c r="N61" s="117">
        <f t="shared" si="3"/>
        <v>0</v>
      </c>
      <c r="O61" s="117">
        <f t="shared" si="4"/>
        <v>0</v>
      </c>
      <c r="P61" s="117"/>
      <c r="Q61" s="112"/>
    </row>
    <row r="62" ht="15.0" customHeight="1">
      <c r="A62" s="112"/>
      <c r="B62" s="112"/>
      <c r="C62" s="112"/>
      <c r="D62" s="129" t="s">
        <v>243</v>
      </c>
      <c r="E62" s="114" t="str">
        <f>VLOOKUP(D62,Data!H:I,2,0)</f>
        <v>Kayseri</v>
      </c>
      <c r="F62" s="115" t="str">
        <f>VLOOKUP(D62,Data!H:J,3,0)</f>
        <v>Nazım Öztel</v>
      </c>
      <c r="G62" s="116" t="b">
        <v>0</v>
      </c>
      <c r="H62" s="116" t="b">
        <v>0</v>
      </c>
      <c r="I62" s="116" t="b">
        <v>0</v>
      </c>
      <c r="J62" s="116" t="b">
        <v>0</v>
      </c>
      <c r="K62" s="116" t="b">
        <v>0</v>
      </c>
      <c r="L62" s="116" t="b">
        <v>0</v>
      </c>
      <c r="M62" s="116" t="b">
        <v>0</v>
      </c>
      <c r="N62" s="117">
        <f t="shared" si="3"/>
        <v>0</v>
      </c>
      <c r="O62" s="117">
        <f t="shared" si="4"/>
        <v>0</v>
      </c>
      <c r="P62" s="117"/>
      <c r="Q62" s="112"/>
    </row>
    <row r="63" ht="15.0" customHeight="1">
      <c r="A63" s="112"/>
      <c r="B63" s="112"/>
      <c r="C63" s="112"/>
      <c r="D63" s="129" t="s">
        <v>253</v>
      </c>
      <c r="E63" s="114" t="str">
        <f>VLOOKUP(D63,Data!H:I,2,0)</f>
        <v>Kırklareli</v>
      </c>
      <c r="F63" s="115" t="str">
        <f>VLOOKUP(D63,Data!H:J,3,0)</f>
        <v>Nazım Öztel</v>
      </c>
      <c r="G63" s="116" t="b">
        <v>0</v>
      </c>
      <c r="H63" s="116" t="b">
        <v>0</v>
      </c>
      <c r="I63" s="116" t="b">
        <v>0</v>
      </c>
      <c r="J63" s="116" t="b">
        <v>0</v>
      </c>
      <c r="K63" s="116" t="b">
        <v>0</v>
      </c>
      <c r="L63" s="116" t="b">
        <v>0</v>
      </c>
      <c r="M63" s="116" t="b">
        <v>0</v>
      </c>
      <c r="N63" s="117">
        <f t="shared" si="3"/>
        <v>0</v>
      </c>
      <c r="O63" s="117">
        <f t="shared" si="4"/>
        <v>0</v>
      </c>
      <c r="P63" s="117"/>
      <c r="Q63" s="112"/>
    </row>
    <row r="64" ht="15.0" customHeight="1">
      <c r="A64" s="112"/>
      <c r="B64" s="112"/>
      <c r="C64" s="112"/>
      <c r="D64" s="132" t="s">
        <v>96</v>
      </c>
      <c r="E64" s="114" t="str">
        <f>VLOOKUP(D64,Data!H:I,2,0)</f>
        <v>Kocaeli</v>
      </c>
      <c r="F64" s="115" t="str">
        <f>VLOOKUP(D64,Data!H:J,3,0)</f>
        <v>Nazım Öztel</v>
      </c>
      <c r="G64" s="116" t="b">
        <v>0</v>
      </c>
      <c r="H64" s="116" t="b">
        <v>0</v>
      </c>
      <c r="I64" s="116" t="b">
        <v>0</v>
      </c>
      <c r="J64" s="116" t="b">
        <v>0</v>
      </c>
      <c r="K64" s="116" t="b">
        <v>0</v>
      </c>
      <c r="L64" s="116" t="b">
        <v>0</v>
      </c>
      <c r="M64" s="116" t="b">
        <v>0</v>
      </c>
      <c r="N64" s="117">
        <f t="shared" si="3"/>
        <v>0</v>
      </c>
      <c r="O64" s="117">
        <f t="shared" si="4"/>
        <v>0</v>
      </c>
      <c r="P64" s="117"/>
      <c r="Q64" s="112"/>
    </row>
    <row r="65" ht="15.0" customHeight="1">
      <c r="A65" s="112"/>
      <c r="B65" s="112"/>
      <c r="C65" s="112"/>
      <c r="D65" s="129" t="s">
        <v>147</v>
      </c>
      <c r="E65" s="114" t="str">
        <f>VLOOKUP(D65,Data!H:I,2,0)</f>
        <v>Kocaeli</v>
      </c>
      <c r="F65" s="115" t="str">
        <f>VLOOKUP(D65,Data!H:J,3,0)</f>
        <v>Nazım Öztel</v>
      </c>
      <c r="G65" s="116" t="b">
        <v>0</v>
      </c>
      <c r="H65" s="116" t="b">
        <v>0</v>
      </c>
      <c r="I65" s="116" t="b">
        <v>0</v>
      </c>
      <c r="J65" s="116" t="b">
        <v>0</v>
      </c>
      <c r="K65" s="116" t="b">
        <v>0</v>
      </c>
      <c r="L65" s="116" t="b">
        <v>0</v>
      </c>
      <c r="M65" s="116" t="b">
        <v>0</v>
      </c>
      <c r="N65" s="117">
        <f t="shared" si="3"/>
        <v>0</v>
      </c>
      <c r="O65" s="117">
        <f t="shared" si="4"/>
        <v>0</v>
      </c>
      <c r="P65" s="117"/>
      <c r="Q65" s="112"/>
    </row>
    <row r="66" ht="15.0" customHeight="1">
      <c r="A66" s="112"/>
      <c r="B66" s="112"/>
      <c r="C66" s="112"/>
      <c r="D66" s="129" t="s">
        <v>227</v>
      </c>
      <c r="E66" s="114" t="str">
        <f>VLOOKUP(D66,Data!H:I,2,0)</f>
        <v>Konya</v>
      </c>
      <c r="F66" s="115" t="str">
        <f>VLOOKUP(D66,Data!H:J,3,0)</f>
        <v>Nazım Öztel</v>
      </c>
      <c r="G66" s="116" t="b">
        <v>0</v>
      </c>
      <c r="H66" s="116" t="b">
        <v>0</v>
      </c>
      <c r="I66" s="116" t="b">
        <v>0</v>
      </c>
      <c r="J66" s="116" t="b">
        <v>0</v>
      </c>
      <c r="K66" s="116" t="b">
        <v>0</v>
      </c>
      <c r="L66" s="116" t="b">
        <v>0</v>
      </c>
      <c r="M66" s="116" t="b">
        <v>0</v>
      </c>
      <c r="N66" s="117">
        <f t="shared" si="3"/>
        <v>0</v>
      </c>
      <c r="O66" s="117">
        <f t="shared" si="4"/>
        <v>0</v>
      </c>
      <c r="P66" s="117" t="s">
        <v>303</v>
      </c>
      <c r="Q66" s="112"/>
    </row>
    <row r="67" ht="15.0" customHeight="1">
      <c r="A67" s="112"/>
      <c r="B67" s="112"/>
      <c r="C67" s="112"/>
      <c r="D67" s="129" t="s">
        <v>265</v>
      </c>
      <c r="E67" s="114" t="str">
        <f>VLOOKUP(D67,Data!H:I,2,0)</f>
        <v>Konya</v>
      </c>
      <c r="F67" s="115" t="str">
        <f>VLOOKUP(D67,Data!H:J,3,0)</f>
        <v>Nazım Öztel</v>
      </c>
      <c r="G67" s="116" t="b">
        <v>0</v>
      </c>
      <c r="H67" s="116" t="b">
        <v>0</v>
      </c>
      <c r="I67" s="116" t="b">
        <v>0</v>
      </c>
      <c r="J67" s="116" t="b">
        <v>0</v>
      </c>
      <c r="K67" s="116" t="b">
        <v>0</v>
      </c>
      <c r="L67" s="116" t="b">
        <v>0</v>
      </c>
      <c r="M67" s="116" t="b">
        <v>0</v>
      </c>
      <c r="N67" s="117">
        <f t="shared" si="3"/>
        <v>0</v>
      </c>
      <c r="O67" s="117">
        <f t="shared" si="4"/>
        <v>0</v>
      </c>
      <c r="P67" s="117"/>
      <c r="Q67" s="112"/>
    </row>
    <row r="68" ht="15.0" customHeight="1">
      <c r="A68" s="112"/>
      <c r="B68" s="112"/>
      <c r="C68" s="112"/>
      <c r="D68" s="129" t="s">
        <v>203</v>
      </c>
      <c r="E68" s="114" t="str">
        <f>VLOOKUP(D68,Data!H:I,2,0)</f>
        <v>Malatya</v>
      </c>
      <c r="F68" s="115" t="str">
        <f>VLOOKUP(D68,Data!H:J,3,0)</f>
        <v>Nazım Öztel</v>
      </c>
      <c r="G68" s="116" t="b">
        <v>0</v>
      </c>
      <c r="H68" s="116" t="b">
        <v>0</v>
      </c>
      <c r="I68" s="116" t="b">
        <v>0</v>
      </c>
      <c r="J68" s="116" t="b">
        <v>0</v>
      </c>
      <c r="K68" s="116" t="b">
        <v>0</v>
      </c>
      <c r="L68" s="116" t="b">
        <v>0</v>
      </c>
      <c r="M68" s="116" t="b">
        <v>0</v>
      </c>
      <c r="N68" s="117">
        <f t="shared" si="3"/>
        <v>0</v>
      </c>
      <c r="O68" s="117">
        <f t="shared" si="4"/>
        <v>0</v>
      </c>
      <c r="P68" s="117"/>
      <c r="Q68" s="112"/>
    </row>
    <row r="69" ht="15.0" customHeight="1">
      <c r="A69" s="112"/>
      <c r="B69" s="112"/>
      <c r="C69" s="112"/>
      <c r="D69" s="129" t="s">
        <v>254</v>
      </c>
      <c r="E69" s="114" t="str">
        <f>VLOOKUP(D69,Data!H:I,2,0)</f>
        <v>Manisa</v>
      </c>
      <c r="F69" s="115" t="str">
        <f>VLOOKUP(D69,Data!H:J,3,0)</f>
        <v>Nazım Öztel</v>
      </c>
      <c r="G69" s="116" t="b">
        <v>1</v>
      </c>
      <c r="H69" s="116" t="b">
        <v>1</v>
      </c>
      <c r="I69" s="116" t="b">
        <v>1</v>
      </c>
      <c r="J69" s="116" t="b">
        <v>1</v>
      </c>
      <c r="K69" s="116" t="b">
        <v>1</v>
      </c>
      <c r="L69" s="116" t="b">
        <v>0</v>
      </c>
      <c r="M69" s="116" t="b">
        <v>0</v>
      </c>
      <c r="N69" s="117">
        <f t="shared" si="3"/>
        <v>5</v>
      </c>
      <c r="O69" s="117">
        <f t="shared" si="4"/>
        <v>20</v>
      </c>
      <c r="P69" s="117"/>
      <c r="Q69" s="112"/>
    </row>
    <row r="70" ht="15.0" customHeight="1">
      <c r="A70" s="112"/>
      <c r="B70" s="112"/>
      <c r="C70" s="112"/>
      <c r="D70" s="129" t="s">
        <v>255</v>
      </c>
      <c r="E70" s="114" t="str">
        <f>VLOOKUP(D70,Data!H:I,2,0)</f>
        <v>Mardin</v>
      </c>
      <c r="F70" s="115" t="str">
        <f>VLOOKUP(D70,Data!H:J,3,0)</f>
        <v>Nazım Öztel</v>
      </c>
      <c r="G70" s="116" t="b">
        <v>0</v>
      </c>
      <c r="H70" s="116" t="b">
        <v>0</v>
      </c>
      <c r="I70" s="116" t="b">
        <v>0</v>
      </c>
      <c r="J70" s="116" t="b">
        <v>0</v>
      </c>
      <c r="K70" s="116" t="b">
        <v>0</v>
      </c>
      <c r="L70" s="116" t="b">
        <v>0</v>
      </c>
      <c r="M70" s="116" t="b">
        <v>0</v>
      </c>
      <c r="N70" s="117">
        <f t="shared" si="3"/>
        <v>0</v>
      </c>
      <c r="O70" s="117">
        <f t="shared" si="4"/>
        <v>0</v>
      </c>
      <c r="P70" s="117" t="s">
        <v>298</v>
      </c>
      <c r="Q70" s="112"/>
    </row>
    <row r="71" ht="15.0" customHeight="1">
      <c r="A71" s="112"/>
      <c r="B71" s="112"/>
      <c r="C71" s="112"/>
      <c r="D71" s="129" t="s">
        <v>294</v>
      </c>
      <c r="E71" s="114" t="str">
        <f>VLOOKUP(D71,Data!H:I,2,0)</f>
        <v>Mersin</v>
      </c>
      <c r="F71" s="115" t="str">
        <f>VLOOKUP(D71,Data!H:J,3,0)</f>
        <v>Nazım Öztel</v>
      </c>
      <c r="G71" s="116" t="b">
        <v>1</v>
      </c>
      <c r="H71" s="116" t="b">
        <v>1</v>
      </c>
      <c r="I71" s="116" t="b">
        <v>1</v>
      </c>
      <c r="J71" s="116" t="b">
        <v>0</v>
      </c>
      <c r="K71" s="116" t="b">
        <v>0</v>
      </c>
      <c r="L71" s="116" t="b">
        <v>0</v>
      </c>
      <c r="M71" s="116" t="b">
        <v>0</v>
      </c>
      <c r="N71" s="117">
        <f t="shared" si="3"/>
        <v>3</v>
      </c>
      <c r="O71" s="117">
        <f t="shared" si="4"/>
        <v>12</v>
      </c>
      <c r="P71" s="117"/>
      <c r="Q71" s="112"/>
    </row>
    <row r="72" ht="15.0" customHeight="1">
      <c r="A72" s="112"/>
      <c r="B72" s="112"/>
      <c r="C72" s="112"/>
      <c r="D72" s="129" t="s">
        <v>169</v>
      </c>
      <c r="E72" s="114" t="str">
        <f>VLOOKUP(D72,Data!H:I,2,0)</f>
        <v>Mersin</v>
      </c>
      <c r="F72" s="115" t="str">
        <f>VLOOKUP(D72,Data!H:J,3,0)</f>
        <v>Nazım Öztel</v>
      </c>
      <c r="G72" s="116" t="b">
        <v>0</v>
      </c>
      <c r="H72" s="116" t="b">
        <v>0</v>
      </c>
      <c r="I72" s="116" t="b">
        <v>0</v>
      </c>
      <c r="J72" s="116" t="b">
        <v>0</v>
      </c>
      <c r="K72" s="116" t="b">
        <v>0</v>
      </c>
      <c r="L72" s="116" t="b">
        <v>0</v>
      </c>
      <c r="M72" s="116" t="b">
        <v>0</v>
      </c>
      <c r="N72" s="117">
        <f t="shared" si="3"/>
        <v>0</v>
      </c>
      <c r="O72" s="117">
        <f t="shared" si="4"/>
        <v>0</v>
      </c>
      <c r="P72" s="117"/>
      <c r="Q72" s="112"/>
    </row>
    <row r="73" ht="15.0" customHeight="1">
      <c r="A73" s="112"/>
      <c r="B73" s="112"/>
      <c r="C73" s="112"/>
      <c r="D73" s="129" t="s">
        <v>148</v>
      </c>
      <c r="E73" s="114" t="str">
        <f>VLOOKUP(D73,Data!H:I,2,0)</f>
        <v>Muğla</v>
      </c>
      <c r="F73" s="115" t="str">
        <f>VLOOKUP(D73,Data!H:J,3,0)</f>
        <v>Nazım Öztel</v>
      </c>
      <c r="G73" s="116" t="b">
        <v>0</v>
      </c>
      <c r="H73" s="116" t="b">
        <v>0</v>
      </c>
      <c r="I73" s="116" t="b">
        <v>0</v>
      </c>
      <c r="J73" s="116" t="b">
        <v>0</v>
      </c>
      <c r="K73" s="116" t="b">
        <v>0</v>
      </c>
      <c r="L73" s="116" t="b">
        <v>0</v>
      </c>
      <c r="M73" s="116" t="b">
        <v>0</v>
      </c>
      <c r="N73" s="117">
        <f t="shared" si="3"/>
        <v>0</v>
      </c>
      <c r="O73" s="117">
        <f t="shared" si="4"/>
        <v>0</v>
      </c>
      <c r="P73" s="117"/>
      <c r="Q73" s="112"/>
    </row>
    <row r="74" ht="15.0" customHeight="1">
      <c r="A74" s="112"/>
      <c r="B74" s="112"/>
      <c r="C74" s="112"/>
      <c r="D74" s="129" t="s">
        <v>266</v>
      </c>
      <c r="E74" s="114" t="str">
        <f>VLOOKUP(D74,Data!H:I,2,0)</f>
        <v>Ordu</v>
      </c>
      <c r="F74" s="115" t="str">
        <f>VLOOKUP(D74,Data!H:J,3,0)</f>
        <v>Nazım Öztel</v>
      </c>
      <c r="G74" s="116" t="b">
        <v>0</v>
      </c>
      <c r="H74" s="116" t="b">
        <v>0</v>
      </c>
      <c r="I74" s="116" t="b">
        <v>0</v>
      </c>
      <c r="J74" s="116" t="b">
        <v>0</v>
      </c>
      <c r="K74" s="116" t="b">
        <v>0</v>
      </c>
      <c r="L74" s="116" t="b">
        <v>0</v>
      </c>
      <c r="M74" s="116" t="b">
        <v>0</v>
      </c>
      <c r="N74" s="117">
        <f t="shared" si="3"/>
        <v>0</v>
      </c>
      <c r="O74" s="117">
        <f t="shared" si="4"/>
        <v>0</v>
      </c>
      <c r="P74" s="117" t="s">
        <v>298</v>
      </c>
      <c r="Q74" s="112"/>
    </row>
    <row r="75" ht="15.0" customHeight="1">
      <c r="A75" s="112"/>
      <c r="B75" s="112"/>
      <c r="C75" s="112"/>
      <c r="D75" s="129" t="s">
        <v>256</v>
      </c>
      <c r="E75" s="114" t="s">
        <v>211</v>
      </c>
      <c r="F75" s="115" t="s">
        <v>61</v>
      </c>
      <c r="G75" s="116" t="b">
        <v>0</v>
      </c>
      <c r="H75" s="116" t="b">
        <v>0</v>
      </c>
      <c r="I75" s="116" t="b">
        <v>0</v>
      </c>
      <c r="J75" s="116" t="b">
        <v>0</v>
      </c>
      <c r="K75" s="116" t="b">
        <v>0</v>
      </c>
      <c r="L75" s="116" t="b">
        <v>0</v>
      </c>
      <c r="M75" s="116" t="b">
        <v>0</v>
      </c>
      <c r="N75" s="117">
        <f t="shared" si="3"/>
        <v>0</v>
      </c>
      <c r="O75" s="117">
        <f t="shared" si="4"/>
        <v>0</v>
      </c>
      <c r="P75" s="117" t="s">
        <v>298</v>
      </c>
      <c r="Q75" s="112"/>
    </row>
    <row r="76" ht="15.0" customHeight="1">
      <c r="A76" s="112"/>
      <c r="B76" s="112"/>
      <c r="C76" s="112"/>
      <c r="D76" s="129" t="s">
        <v>275</v>
      </c>
      <c r="E76" s="114" t="str">
        <f>VLOOKUP(D76,Data!H:I,2,0)</f>
        <v>Sakarya</v>
      </c>
      <c r="F76" s="115" t="str">
        <f>VLOOKUP(D76,Data!H:J,3,0)</f>
        <v>Nazım Öztel</v>
      </c>
      <c r="G76" s="116" t="b">
        <v>0</v>
      </c>
      <c r="H76" s="116" t="b">
        <v>0</v>
      </c>
      <c r="I76" s="116" t="b">
        <v>0</v>
      </c>
      <c r="J76" s="116" t="b">
        <v>0</v>
      </c>
      <c r="K76" s="116" t="b">
        <v>0</v>
      </c>
      <c r="L76" s="116" t="b">
        <v>0</v>
      </c>
      <c r="M76" s="116" t="b">
        <v>0</v>
      </c>
      <c r="N76" s="117">
        <f t="shared" si="3"/>
        <v>0</v>
      </c>
      <c r="O76" s="117">
        <f t="shared" si="4"/>
        <v>0</v>
      </c>
      <c r="P76" s="117"/>
      <c r="Q76" s="112"/>
    </row>
    <row r="77" ht="15.0" customHeight="1">
      <c r="A77" s="112"/>
      <c r="B77" s="112"/>
      <c r="C77" s="112"/>
      <c r="D77" s="129" t="s">
        <v>257</v>
      </c>
      <c r="E77" s="114" t="str">
        <f>VLOOKUP(D77,Data!H:I,2,0)</f>
        <v>Samsun</v>
      </c>
      <c r="F77" s="115" t="str">
        <f>VLOOKUP(D77,Data!H:J,3,0)</f>
        <v>Nazım Öztel</v>
      </c>
      <c r="G77" s="116" t="b">
        <v>0</v>
      </c>
      <c r="H77" s="116" t="b">
        <v>1</v>
      </c>
      <c r="I77" s="116" t="b">
        <v>0</v>
      </c>
      <c r="J77" s="116" t="b">
        <v>1</v>
      </c>
      <c r="K77" s="116" t="b">
        <v>0</v>
      </c>
      <c r="L77" s="116" t="b">
        <v>0</v>
      </c>
      <c r="M77" s="116" t="b">
        <v>0</v>
      </c>
      <c r="N77" s="117">
        <f t="shared" si="3"/>
        <v>2</v>
      </c>
      <c r="O77" s="117">
        <f t="shared" si="4"/>
        <v>8</v>
      </c>
      <c r="P77" s="117"/>
      <c r="Q77" s="112"/>
    </row>
    <row r="78" ht="15.0" customHeight="1">
      <c r="A78" s="112"/>
      <c r="B78" s="112"/>
      <c r="C78" s="112"/>
      <c r="D78" s="129" t="s">
        <v>267</v>
      </c>
      <c r="E78" s="114" t="str">
        <f>VLOOKUP(D78,Data!H:I,2,0)</f>
        <v>Sinop</v>
      </c>
      <c r="F78" s="115" t="str">
        <f>VLOOKUP(D78,Data!H:J,3,0)</f>
        <v>Nazım Öztel</v>
      </c>
      <c r="G78" s="116" t="b">
        <v>0</v>
      </c>
      <c r="H78" s="116" t="b">
        <v>0</v>
      </c>
      <c r="I78" s="116" t="b">
        <v>0</v>
      </c>
      <c r="J78" s="116" t="b">
        <v>0</v>
      </c>
      <c r="K78" s="116" t="b">
        <v>0</v>
      </c>
      <c r="L78" s="116" t="b">
        <v>0</v>
      </c>
      <c r="M78" s="116" t="b">
        <v>0</v>
      </c>
      <c r="N78" s="117">
        <f t="shared" si="3"/>
        <v>0</v>
      </c>
      <c r="O78" s="117">
        <f t="shared" si="4"/>
        <v>0</v>
      </c>
      <c r="P78" s="117" t="s">
        <v>298</v>
      </c>
      <c r="Q78" s="112"/>
    </row>
    <row r="79" ht="15.0" customHeight="1">
      <c r="A79" s="112"/>
      <c r="B79" s="112"/>
      <c r="C79" s="112"/>
      <c r="D79" s="129" t="s">
        <v>268</v>
      </c>
      <c r="E79" s="114" t="str">
        <f>VLOOKUP(D79,Data!H:I,2,0)</f>
        <v>Sivas</v>
      </c>
      <c r="F79" s="115" t="str">
        <f>VLOOKUP(D79,Data!H:J,3,0)</f>
        <v>Nazım Öztel</v>
      </c>
      <c r="G79" s="116" t="b">
        <v>0</v>
      </c>
      <c r="H79" s="116" t="b">
        <v>0</v>
      </c>
      <c r="I79" s="116" t="b">
        <v>0</v>
      </c>
      <c r="J79" s="116" t="b">
        <v>0</v>
      </c>
      <c r="K79" s="116" t="b">
        <v>0</v>
      </c>
      <c r="L79" s="116" t="b">
        <v>0</v>
      </c>
      <c r="M79" s="116" t="b">
        <v>0</v>
      </c>
      <c r="N79" s="117">
        <f t="shared" si="3"/>
        <v>0</v>
      </c>
      <c r="O79" s="117">
        <f t="shared" si="4"/>
        <v>0</v>
      </c>
      <c r="P79" s="117"/>
      <c r="Q79" s="112"/>
    </row>
    <row r="80" ht="15.0" customHeight="1">
      <c r="A80" s="112"/>
      <c r="B80" s="112"/>
      <c r="C80" s="112"/>
      <c r="D80" s="129" t="s">
        <v>104</v>
      </c>
      <c r="E80" s="114" t="str">
        <f>VLOOKUP(D80,Data!H:I,2,0)</f>
        <v>Tekirdağ</v>
      </c>
      <c r="F80" s="115" t="str">
        <f>VLOOKUP(D80,Data!H:J,3,0)</f>
        <v>Freelance</v>
      </c>
      <c r="G80" s="116" t="b">
        <v>0</v>
      </c>
      <c r="H80" s="116" t="b">
        <v>1</v>
      </c>
      <c r="I80" s="116" t="b">
        <v>1</v>
      </c>
      <c r="J80" s="116" t="b">
        <v>0</v>
      </c>
      <c r="K80" s="116" t="b">
        <v>0</v>
      </c>
      <c r="L80" s="116" t="b">
        <v>0</v>
      </c>
      <c r="M80" s="116" t="b">
        <v>0</v>
      </c>
      <c r="N80" s="117">
        <f t="shared" si="3"/>
        <v>2</v>
      </c>
      <c r="O80" s="117">
        <f t="shared" si="4"/>
        <v>8</v>
      </c>
      <c r="P80" s="117"/>
      <c r="Q80" s="112"/>
    </row>
    <row r="81" ht="15.0" customHeight="1">
      <c r="A81" s="112"/>
      <c r="B81" s="112"/>
      <c r="C81" s="112"/>
      <c r="D81" s="129" t="s">
        <v>258</v>
      </c>
      <c r="E81" s="114" t="str">
        <f>VLOOKUP(D81,Data!H:I,2,0)</f>
        <v>Tokat</v>
      </c>
      <c r="F81" s="115" t="str">
        <f>VLOOKUP(D81,Data!H:J,3,0)</f>
        <v>Nazım Öztel</v>
      </c>
      <c r="G81" s="116" t="b">
        <v>0</v>
      </c>
      <c r="H81" s="116" t="b">
        <v>0</v>
      </c>
      <c r="I81" s="116" t="b">
        <v>0</v>
      </c>
      <c r="J81" s="116" t="b">
        <v>0</v>
      </c>
      <c r="K81" s="116" t="b">
        <v>0</v>
      </c>
      <c r="L81" s="116" t="b">
        <v>0</v>
      </c>
      <c r="M81" s="116" t="b">
        <v>0</v>
      </c>
      <c r="N81" s="117">
        <f t="shared" si="3"/>
        <v>0</v>
      </c>
      <c r="O81" s="117">
        <f t="shared" si="4"/>
        <v>0</v>
      </c>
      <c r="P81" s="117"/>
      <c r="Q81" s="112"/>
    </row>
    <row r="82" ht="15.0" customHeight="1">
      <c r="A82" s="112"/>
      <c r="B82" s="112"/>
      <c r="C82" s="112"/>
      <c r="D82" s="129" t="s">
        <v>154</v>
      </c>
      <c r="E82" s="114" t="str">
        <f>VLOOKUP(D82,Data!H:I,2,0)</f>
        <v>Uşak</v>
      </c>
      <c r="F82" s="115" t="str">
        <f>VLOOKUP(D82,Data!H:J,3,0)</f>
        <v>Nazım Öztel</v>
      </c>
      <c r="G82" s="116" t="b">
        <v>0</v>
      </c>
      <c r="H82" s="116" t="b">
        <v>1</v>
      </c>
      <c r="I82" s="116" t="b">
        <v>0</v>
      </c>
      <c r="J82" s="116" t="b">
        <v>0</v>
      </c>
      <c r="K82" s="116" t="b">
        <v>0</v>
      </c>
      <c r="L82" s="116" t="b">
        <v>0</v>
      </c>
      <c r="M82" s="116" t="b">
        <v>0</v>
      </c>
      <c r="N82" s="117">
        <f t="shared" si="3"/>
        <v>1</v>
      </c>
      <c r="O82" s="117">
        <f t="shared" si="4"/>
        <v>4</v>
      </c>
      <c r="P82" s="117"/>
      <c r="Q82" s="112"/>
    </row>
    <row r="83" ht="15.0" customHeight="1">
      <c r="A83" s="112"/>
      <c r="B83" s="112"/>
      <c r="C83" s="112"/>
      <c r="D83" s="129" t="s">
        <v>276</v>
      </c>
      <c r="E83" s="114" t="str">
        <f>VLOOKUP(D83,Data!H:I,2,0)</f>
        <v>Zonguldak</v>
      </c>
      <c r="F83" s="115" t="str">
        <f>VLOOKUP(D83,Data!H:J,3,0)</f>
        <v>Nazım Öztel</v>
      </c>
      <c r="G83" s="116" t="b">
        <v>0</v>
      </c>
      <c r="H83" s="116" t="b">
        <v>0</v>
      </c>
      <c r="I83" s="116" t="b">
        <v>0</v>
      </c>
      <c r="J83" s="116" t="b">
        <v>0</v>
      </c>
      <c r="K83" s="116" t="b">
        <v>0</v>
      </c>
      <c r="L83" s="116" t="b">
        <v>0</v>
      </c>
      <c r="M83" s="116" t="b">
        <v>0</v>
      </c>
      <c r="N83" s="117">
        <f t="shared" si="3"/>
        <v>0</v>
      </c>
      <c r="O83" s="117">
        <f t="shared" si="4"/>
        <v>0</v>
      </c>
      <c r="P83" s="117"/>
      <c r="Q83" s="112"/>
    </row>
    <row r="84" ht="15.0" customHeight="1">
      <c r="A84" s="112"/>
      <c r="B84" s="112"/>
      <c r="C84" s="112"/>
      <c r="D84" s="148" t="s">
        <v>282</v>
      </c>
      <c r="E84" s="114" t="str">
        <f>VLOOKUP(D84,Data!H:I,2,0)</f>
        <v>Antalya</v>
      </c>
      <c r="F84" s="115" t="str">
        <f>VLOOKUP(D84,Data!H:J,3,0)</f>
        <v>Nazım Öztel</v>
      </c>
      <c r="G84" s="116" t="b">
        <v>0</v>
      </c>
      <c r="H84" s="116" t="b">
        <v>0</v>
      </c>
      <c r="I84" s="116" t="b">
        <v>0</v>
      </c>
      <c r="J84" s="116" t="b">
        <v>0</v>
      </c>
      <c r="K84" s="116" t="b">
        <v>0</v>
      </c>
      <c r="L84" s="116" t="b">
        <v>0</v>
      </c>
      <c r="M84" s="116" t="b">
        <v>0</v>
      </c>
      <c r="N84" s="117">
        <f t="shared" si="3"/>
        <v>0</v>
      </c>
      <c r="O84" s="117">
        <f t="shared" si="4"/>
        <v>0</v>
      </c>
      <c r="P84" s="117"/>
      <c r="Q84" s="112"/>
    </row>
    <row r="85" ht="15.0" customHeight="1">
      <c r="A85" s="112"/>
      <c r="B85" s="112"/>
      <c r="C85" s="112"/>
      <c r="D85" s="149" t="s">
        <v>283</v>
      </c>
      <c r="E85" s="114" t="str">
        <f>VLOOKUP(D85,Data!H:I,2,0)</f>
        <v>Adana</v>
      </c>
      <c r="F85" s="115" t="str">
        <f>VLOOKUP(D85,Data!H:J,3,0)</f>
        <v>Nazım Öztel</v>
      </c>
      <c r="G85" s="116" t="b">
        <v>0</v>
      </c>
      <c r="H85" s="116" t="b">
        <v>0</v>
      </c>
      <c r="I85" s="116" t="b">
        <v>0</v>
      </c>
      <c r="J85" s="116" t="b">
        <v>0</v>
      </c>
      <c r="K85" s="116" t="b">
        <v>0</v>
      </c>
      <c r="L85" s="116" t="b">
        <v>0</v>
      </c>
      <c r="M85" s="116" t="b">
        <v>0</v>
      </c>
      <c r="N85" s="117">
        <f t="shared" si="3"/>
        <v>0</v>
      </c>
      <c r="O85" s="117">
        <f t="shared" si="4"/>
        <v>0</v>
      </c>
      <c r="P85" s="117"/>
      <c r="Q85" s="112"/>
    </row>
    <row r="86" ht="15.0" customHeight="1">
      <c r="A86" s="112"/>
      <c r="B86" s="112"/>
      <c r="C86" s="112"/>
      <c r="D86" s="150" t="s">
        <v>284</v>
      </c>
      <c r="E86" s="114" t="str">
        <f>VLOOKUP(D86,Data!H:I,2,0)</f>
        <v>Iğdır</v>
      </c>
      <c r="F86" s="115" t="str">
        <f>VLOOKUP(D86,Data!H:J,3,0)</f>
        <v>Nazım Öztel</v>
      </c>
      <c r="G86" s="116" t="b">
        <v>0</v>
      </c>
      <c r="H86" s="116" t="b">
        <v>0</v>
      </c>
      <c r="I86" s="116" t="b">
        <v>0</v>
      </c>
      <c r="J86" s="116" t="b">
        <v>0</v>
      </c>
      <c r="K86" s="116" t="b">
        <v>0</v>
      </c>
      <c r="L86" s="116" t="b">
        <v>0</v>
      </c>
      <c r="M86" s="116" t="b">
        <v>0</v>
      </c>
      <c r="N86" s="117">
        <f t="shared" si="3"/>
        <v>0</v>
      </c>
      <c r="O86" s="117">
        <f t="shared" si="4"/>
        <v>0</v>
      </c>
      <c r="P86" s="117"/>
      <c r="Q86" s="112"/>
    </row>
    <row r="87" ht="15.0" customHeight="1">
      <c r="A87" s="112"/>
      <c r="B87" s="112"/>
      <c r="C87" s="112"/>
      <c r="D87" s="150" t="s">
        <v>285</v>
      </c>
      <c r="E87" s="114" t="str">
        <f>VLOOKUP(D87,Data!H:I,2,0)</f>
        <v>Bitlis</v>
      </c>
      <c r="F87" s="115" t="str">
        <f>VLOOKUP(D87,Data!H:J,3,0)</f>
        <v>Nazım Öztel</v>
      </c>
      <c r="G87" s="116" t="b">
        <v>0</v>
      </c>
      <c r="H87" s="116" t="b">
        <v>0</v>
      </c>
      <c r="I87" s="116" t="b">
        <v>0</v>
      </c>
      <c r="J87" s="116" t="b">
        <v>0</v>
      </c>
      <c r="K87" s="116" t="b">
        <v>0</v>
      </c>
      <c r="L87" s="116" t="b">
        <v>0</v>
      </c>
      <c r="M87" s="116" t="b">
        <v>0</v>
      </c>
      <c r="N87" s="117">
        <f t="shared" si="3"/>
        <v>0</v>
      </c>
      <c r="O87" s="117">
        <f t="shared" si="4"/>
        <v>0</v>
      </c>
      <c r="P87" s="117"/>
      <c r="Q87" s="112"/>
    </row>
    <row r="88" ht="15.0" customHeight="1">
      <c r="A88" s="112"/>
      <c r="B88" s="112"/>
      <c r="C88" s="112"/>
      <c r="D88" s="149" t="s">
        <v>286</v>
      </c>
      <c r="E88" s="114" t="str">
        <f>VLOOKUP(D88,Data!H:I,2,0)</f>
        <v>Trabzon</v>
      </c>
      <c r="F88" s="115" t="str">
        <f>VLOOKUP(D88,Data!H:J,3,0)</f>
        <v>Nazım Öztel</v>
      </c>
      <c r="G88" s="116" t="b">
        <v>0</v>
      </c>
      <c r="H88" s="116" t="b">
        <v>0</v>
      </c>
      <c r="I88" s="116" t="b">
        <v>0</v>
      </c>
      <c r="J88" s="116" t="b">
        <v>0</v>
      </c>
      <c r="K88" s="116" t="b">
        <v>0</v>
      </c>
      <c r="L88" s="116" t="b">
        <v>0</v>
      </c>
      <c r="M88" s="116" t="b">
        <v>0</v>
      </c>
      <c r="N88" s="117">
        <f t="shared" si="3"/>
        <v>0</v>
      </c>
      <c r="O88" s="117">
        <f t="shared" si="4"/>
        <v>0</v>
      </c>
      <c r="P88" s="117"/>
      <c r="Q88" s="112"/>
    </row>
    <row r="89" ht="15.0" customHeight="1">
      <c r="A89" s="112"/>
      <c r="B89" s="112"/>
      <c r="C89" s="112"/>
      <c r="D89" s="150" t="s">
        <v>287</v>
      </c>
      <c r="E89" s="114" t="str">
        <f>VLOOKUP(D89,Data!H:I,2,0)</f>
        <v>Ankara</v>
      </c>
      <c r="F89" s="115" t="str">
        <f>VLOOKUP(D89,Data!H:J,3,0)</f>
        <v>Nazım Öztel</v>
      </c>
      <c r="G89" s="116" t="b">
        <v>0</v>
      </c>
      <c r="H89" s="116" t="b">
        <v>0</v>
      </c>
      <c r="I89" s="116" t="b">
        <v>0</v>
      </c>
      <c r="J89" s="116" t="b">
        <v>0</v>
      </c>
      <c r="K89" s="116" t="b">
        <v>0</v>
      </c>
      <c r="L89" s="116" t="b">
        <v>0</v>
      </c>
      <c r="M89" s="116" t="b">
        <v>0</v>
      </c>
      <c r="N89" s="117">
        <f t="shared" si="3"/>
        <v>0</v>
      </c>
      <c r="O89" s="117">
        <f t="shared" si="4"/>
        <v>0</v>
      </c>
      <c r="P89" s="117"/>
      <c r="Q89" s="112"/>
    </row>
    <row r="90" ht="15.0" customHeight="1">
      <c r="A90" s="112"/>
      <c r="B90" s="112"/>
      <c r="C90" s="112"/>
      <c r="D90" s="150" t="s">
        <v>288</v>
      </c>
      <c r="E90" s="114" t="str">
        <f>VLOOKUP(D90,Data!H:I,2,0)</f>
        <v>Şanlıurfa</v>
      </c>
      <c r="F90" s="115" t="str">
        <f>VLOOKUP(D90,Data!H:J,3,0)</f>
        <v>Nazım Öztel</v>
      </c>
      <c r="G90" s="116" t="b">
        <v>0</v>
      </c>
      <c r="H90" s="116" t="b">
        <v>0</v>
      </c>
      <c r="I90" s="116" t="b">
        <v>0</v>
      </c>
      <c r="J90" s="116" t="b">
        <v>0</v>
      </c>
      <c r="K90" s="116" t="b">
        <v>0</v>
      </c>
      <c r="L90" s="116" t="b">
        <v>0</v>
      </c>
      <c r="M90" s="116" t="b">
        <v>0</v>
      </c>
      <c r="N90" s="117">
        <f t="shared" si="3"/>
        <v>0</v>
      </c>
      <c r="O90" s="117">
        <f t="shared" si="4"/>
        <v>0</v>
      </c>
      <c r="P90" s="117"/>
      <c r="Q90" s="112"/>
    </row>
    <row r="91" ht="15.0" customHeight="1">
      <c r="A91" s="112"/>
      <c r="B91" s="112"/>
      <c r="C91" s="112"/>
      <c r="D91" s="149" t="s">
        <v>290</v>
      </c>
      <c r="E91" s="114" t="str">
        <f>VLOOKUP(D91,Data!H:I,2,0)</f>
        <v>Bayburt</v>
      </c>
      <c r="F91" s="115" t="str">
        <f>VLOOKUP(D91,Data!H:J,3,0)</f>
        <v>Nazım Öztel</v>
      </c>
      <c r="G91" s="116" t="b">
        <v>0</v>
      </c>
      <c r="H91" s="116" t="b">
        <v>0</v>
      </c>
      <c r="I91" s="116" t="b">
        <v>0</v>
      </c>
      <c r="J91" s="116" t="b">
        <v>0</v>
      </c>
      <c r="K91" s="116" t="b">
        <v>0</v>
      </c>
      <c r="L91" s="116" t="b">
        <v>0</v>
      </c>
      <c r="M91" s="116" t="b">
        <v>0</v>
      </c>
      <c r="N91" s="117">
        <f t="shared" si="3"/>
        <v>0</v>
      </c>
      <c r="O91" s="117">
        <f t="shared" si="4"/>
        <v>0</v>
      </c>
      <c r="P91" s="117" t="s">
        <v>304</v>
      </c>
      <c r="Q91" s="112"/>
    </row>
    <row r="92" ht="15.0" customHeight="1">
      <c r="A92" s="112"/>
      <c r="B92" s="112"/>
      <c r="C92" s="112"/>
      <c r="D92" s="149" t="s">
        <v>291</v>
      </c>
      <c r="E92" s="114" t="str">
        <f>VLOOKUP(D92,Data!H:I,2,0)</f>
        <v>Bingöl</v>
      </c>
      <c r="F92" s="115" t="str">
        <f>VLOOKUP(D92,Data!H:J,3,0)</f>
        <v>Nazım Öztel</v>
      </c>
      <c r="G92" s="116" t="b">
        <v>0</v>
      </c>
      <c r="H92" s="116" t="b">
        <v>0</v>
      </c>
      <c r="I92" s="116" t="b">
        <v>0</v>
      </c>
      <c r="J92" s="116" t="b">
        <v>0</v>
      </c>
      <c r="K92" s="116" t="b">
        <v>0</v>
      </c>
      <c r="L92" s="116" t="b">
        <v>0</v>
      </c>
      <c r="M92" s="116" t="b">
        <v>0</v>
      </c>
      <c r="N92" s="117">
        <f t="shared" si="3"/>
        <v>0</v>
      </c>
      <c r="O92" s="117">
        <f t="shared" si="4"/>
        <v>0</v>
      </c>
      <c r="P92" s="117"/>
      <c r="Q92" s="112"/>
    </row>
    <row r="93" ht="15.0" customHeight="1">
      <c r="A93" s="112"/>
      <c r="B93" s="112"/>
      <c r="C93" s="112"/>
      <c r="D93" s="151" t="s">
        <v>293</v>
      </c>
      <c r="E93" s="114" t="str">
        <f>VLOOKUP(D93,Data!H:I,2,0)</f>
        <v>Çanakkale</v>
      </c>
      <c r="F93" s="115" t="str">
        <f>VLOOKUP(D93,Data!H:J,3,0)</f>
        <v>Nazım Öztel</v>
      </c>
      <c r="G93" s="116" t="b">
        <v>0</v>
      </c>
      <c r="H93" s="116" t="b">
        <v>0</v>
      </c>
      <c r="I93" s="116" t="b">
        <v>0</v>
      </c>
      <c r="J93" s="116" t="b">
        <v>0</v>
      </c>
      <c r="K93" s="116" t="b">
        <v>0</v>
      </c>
      <c r="L93" s="116" t="b">
        <v>0</v>
      </c>
      <c r="M93" s="116" t="b">
        <v>0</v>
      </c>
      <c r="N93" s="117">
        <f t="shared" si="3"/>
        <v>0</v>
      </c>
      <c r="O93" s="117">
        <f t="shared" si="4"/>
        <v>0</v>
      </c>
      <c r="P93" s="117"/>
      <c r="Q93" s="112"/>
    </row>
    <row r="94" ht="15.0" customHeight="1">
      <c r="A94" s="112"/>
      <c r="B94" s="112"/>
      <c r="C94" s="112"/>
      <c r="D94" s="150" t="s">
        <v>295</v>
      </c>
      <c r="E94" s="114" t="str">
        <f>VLOOKUP(D94,Data!H:I,2,0)</f>
        <v>Giresun</v>
      </c>
      <c r="F94" s="115" t="str">
        <f>VLOOKUP(D94,Data!H:J,3,0)</f>
        <v>Nazım Öztel</v>
      </c>
      <c r="G94" s="139" t="b">
        <v>0</v>
      </c>
      <c r="H94" s="139" t="b">
        <v>0</v>
      </c>
      <c r="I94" s="139" t="b">
        <v>0</v>
      </c>
      <c r="J94" s="139" t="b">
        <v>0</v>
      </c>
      <c r="K94" s="139" t="b">
        <v>0</v>
      </c>
      <c r="L94" s="116" t="b">
        <v>0</v>
      </c>
      <c r="M94" s="116" t="b">
        <v>0</v>
      </c>
      <c r="N94" s="117">
        <f t="shared" si="3"/>
        <v>0</v>
      </c>
      <c r="O94" s="117">
        <f t="shared" si="4"/>
        <v>0</v>
      </c>
      <c r="P94" s="117"/>
      <c r="Q94" s="112"/>
    </row>
    <row r="95" ht="15.0" customHeight="1">
      <c r="A95" s="112"/>
      <c r="B95" s="112"/>
      <c r="C95" s="112"/>
      <c r="D95" s="149" t="s">
        <v>296</v>
      </c>
      <c r="E95" s="114" t="str">
        <f>VLOOKUP(D95,Data!H:I,2,0)</f>
        <v>Bilecik</v>
      </c>
      <c r="F95" s="115" t="str">
        <f>VLOOKUP(D95,Data!H:J,3,0)</f>
        <v>Nazım Öztel</v>
      </c>
      <c r="G95" s="139" t="b">
        <v>0</v>
      </c>
      <c r="H95" s="139" t="b">
        <v>0</v>
      </c>
      <c r="I95" s="139" t="b">
        <v>0</v>
      </c>
      <c r="J95" s="139" t="b">
        <v>0</v>
      </c>
      <c r="K95" s="139" t="b">
        <v>0</v>
      </c>
      <c r="L95" s="116" t="b">
        <v>0</v>
      </c>
      <c r="M95" s="116" t="b">
        <v>0</v>
      </c>
      <c r="N95" s="117">
        <f t="shared" si="3"/>
        <v>0</v>
      </c>
      <c r="O95" s="117">
        <f t="shared" si="4"/>
        <v>0</v>
      </c>
      <c r="P95" s="117"/>
      <c r="Q95" s="112"/>
    </row>
    <row r="96" ht="15.0" customHeight="1">
      <c r="A96" s="112"/>
      <c r="B96" s="112"/>
      <c r="C96" s="112"/>
      <c r="D96" s="149"/>
      <c r="E96" s="144"/>
      <c r="F96" s="144"/>
      <c r="G96" s="117">
        <f t="shared" ref="G96:M96" si="5">4*(COUNTIF(G15:G95,"true"))</f>
        <v>28</v>
      </c>
      <c r="H96" s="117">
        <f t="shared" si="5"/>
        <v>52</v>
      </c>
      <c r="I96" s="117">
        <f t="shared" si="5"/>
        <v>36</v>
      </c>
      <c r="J96" s="117">
        <f t="shared" si="5"/>
        <v>28</v>
      </c>
      <c r="K96" s="117">
        <f t="shared" si="5"/>
        <v>28</v>
      </c>
      <c r="L96" s="117">
        <f t="shared" si="5"/>
        <v>4</v>
      </c>
      <c r="M96" s="117">
        <f t="shared" si="5"/>
        <v>0</v>
      </c>
      <c r="N96" s="135">
        <f t="shared" ref="N96:O96" si="6">SUM(N15:N95)</f>
        <v>44</v>
      </c>
      <c r="O96" s="135">
        <f t="shared" si="6"/>
        <v>176</v>
      </c>
      <c r="P96" s="135"/>
      <c r="Q96" s="112"/>
    </row>
    <row r="97" ht="15.0" customHeight="1">
      <c r="A97" s="112"/>
      <c r="B97" s="112"/>
      <c r="C97" s="112"/>
      <c r="D97" s="149"/>
      <c r="E97" s="144"/>
      <c r="F97" s="144"/>
      <c r="G97" s="135"/>
      <c r="H97" s="135"/>
      <c r="I97" s="135"/>
      <c r="J97" s="135"/>
      <c r="K97" s="135"/>
      <c r="L97" s="135"/>
      <c r="M97" s="135"/>
      <c r="N97" s="135"/>
      <c r="O97" s="135"/>
      <c r="P97" s="135"/>
      <c r="Q97" s="112"/>
    </row>
    <row r="98" ht="15.0" customHeight="1">
      <c r="A98" s="112"/>
      <c r="B98" s="112"/>
      <c r="C98" s="112"/>
      <c r="D98" s="149"/>
      <c r="E98" s="144"/>
      <c r="F98" s="144"/>
      <c r="G98" s="135"/>
      <c r="H98" s="135"/>
      <c r="I98" s="135"/>
      <c r="J98" s="135"/>
      <c r="K98" s="135"/>
      <c r="L98" s="135"/>
      <c r="M98" s="135"/>
      <c r="N98" s="135"/>
      <c r="O98" s="135"/>
      <c r="P98" s="135"/>
      <c r="Q98" s="112"/>
    </row>
    <row r="99" ht="15.0" customHeight="1">
      <c r="A99" s="112"/>
      <c r="B99" s="112"/>
      <c r="C99" s="112"/>
      <c r="D99" s="149"/>
      <c r="E99" s="144"/>
      <c r="F99" s="144"/>
      <c r="G99" s="135"/>
      <c r="H99" s="135"/>
      <c r="I99" s="135"/>
      <c r="J99" s="135"/>
      <c r="K99" s="135"/>
      <c r="L99" s="135"/>
      <c r="M99" s="135"/>
      <c r="N99" s="135"/>
      <c r="O99" s="135"/>
      <c r="P99" s="135"/>
      <c r="Q99" s="112"/>
    </row>
    <row r="100" ht="15.0" customHeight="1">
      <c r="A100" s="112"/>
      <c r="B100" s="112"/>
      <c r="C100" s="112"/>
      <c r="D100" s="149"/>
      <c r="E100" s="144"/>
      <c r="F100" s="144"/>
      <c r="G100" s="135"/>
      <c r="H100" s="135"/>
      <c r="I100" s="135"/>
      <c r="J100" s="135"/>
      <c r="K100" s="135"/>
      <c r="L100" s="135"/>
      <c r="M100" s="135"/>
      <c r="N100" s="135"/>
      <c r="O100" s="135"/>
      <c r="P100" s="135"/>
      <c r="Q100" s="112"/>
    </row>
  </sheetData>
  <autoFilter ref="$A$14:$Q$96"/>
  <customSheetViews>
    <customSheetView guid="{70B995D3-3AEB-4DFE-A0CA-D6FFCCE596BC}" filter="1" showAutoFilter="1">
      <autoFilter ref="$D$14:$D$84"/>
    </customSheetView>
    <customSheetView guid="{90E1DF85-7252-44D2-BA7D-CC3767CD0E8B}" filter="1" showAutoFilter="1">
      <autoFilter ref="$A$14:$Q$98">
        <filterColumn colId="4">
          <filters>
            <filter val="Samsun"/>
            <filter val="Iğdır"/>
            <filter val="Sakarya"/>
            <filter val="Giresun"/>
            <filter val="Zonguldak"/>
            <filter val="Bilecik"/>
            <filter val="Bingöl"/>
            <filter val="Elazığ"/>
            <filter val="Kayseri"/>
            <filter val="Bitlis"/>
            <filter val="Düzce"/>
            <filter val="Denizli"/>
            <filter val="Amasya"/>
            <filter val="Çanakkale"/>
            <filter val="Aydın"/>
            <filter val="Bolu"/>
            <filter val="Çorum"/>
            <filter val="Adıyaman"/>
            <filter val="Edirne"/>
            <filter val="Tokat"/>
            <filter val="Sivas"/>
            <filter val="Şanlıurfa"/>
            <filter val="Eskişehir"/>
            <filter val="Kırklareli"/>
            <filter val="Malatya"/>
            <filter val="Hatay"/>
            <filter val="Sinop"/>
            <filter val="Osmaniye"/>
            <filter val="Ordu"/>
            <filter val="Bayburt"/>
            <filter val="Mardin"/>
            <filter val="Muğla"/>
            <filter val="Kahramanmaraş"/>
            <filter val="Balıkesir"/>
            <filter val="Uşak"/>
          </filters>
        </filterColumn>
      </autoFilter>
    </customSheetView>
  </customSheetViews>
  <mergeCells count="4">
    <mergeCell ref="D6:M6"/>
    <mergeCell ref="D7:F7"/>
    <mergeCell ref="D9:D12"/>
    <mergeCell ref="F10:O11"/>
  </mergeCells>
  <conditionalFormatting sqref="G15:M95">
    <cfRule type="cellIs" dxfId="1" priority="1" operator="equal">
      <formula>"False"</formula>
    </cfRule>
  </conditionalFormatting>
  <conditionalFormatting sqref="G15:M95">
    <cfRule type="cellIs" dxfId="0" priority="2" operator="equal">
      <formula>"TRUE"</formula>
    </cfRule>
  </conditionalFormatting>
  <dataValidations>
    <dataValidation type="list" allowBlank="1" showErrorMessage="1" sqref="E15:E100">
      <formula1>Data!$A$2:$A$100</formula1>
    </dataValidation>
    <dataValidation type="list" allowBlank="1" showErrorMessage="1" sqref="F15:F100">
      <formula1>Data!$C$2:$C$8</formula1>
    </dataValidation>
  </dataValidation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3" width="2.63"/>
    <col customWidth="1" min="4" max="4" width="20.38"/>
    <col customWidth="1" min="5" max="5" width="11.38"/>
    <col customWidth="1" min="6" max="6" width="16.63"/>
    <col customWidth="1" min="7" max="13" width="8.63"/>
    <col customWidth="1" min="14" max="14" width="12.63"/>
    <col customWidth="1" min="15" max="15" width="15.13"/>
    <col customWidth="1" min="16" max="16" width="15.88"/>
    <col customWidth="1" min="17" max="17" width="2.63"/>
  </cols>
  <sheetData>
    <row r="1" ht="7.5" customHeight="1">
      <c r="A1" s="140"/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5"/>
      <c r="O1" s="86"/>
      <c r="P1" s="86"/>
      <c r="Q1" s="86"/>
    </row>
    <row r="2" ht="15.0" customHeight="1">
      <c r="A2" s="87"/>
      <c r="B2" s="87"/>
      <c r="C2" s="87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7"/>
      <c r="P2" s="87"/>
      <c r="Q2" s="87"/>
    </row>
    <row r="3" ht="3.75" customHeight="1">
      <c r="A3" s="87"/>
      <c r="B3" s="87"/>
      <c r="C3" s="87"/>
      <c r="D3" s="89"/>
      <c r="E3" s="90"/>
      <c r="F3" s="90"/>
      <c r="G3" s="90"/>
      <c r="H3" s="90"/>
      <c r="I3" s="90"/>
      <c r="J3" s="90"/>
      <c r="K3" s="90"/>
      <c r="L3" s="90"/>
      <c r="M3" s="90"/>
      <c r="N3" s="90"/>
      <c r="O3" s="87"/>
      <c r="P3" s="87"/>
      <c r="Q3" s="87"/>
    </row>
    <row r="4" ht="15.0" customHeight="1">
      <c r="A4" s="87"/>
      <c r="B4" s="87"/>
      <c r="C4" s="87"/>
      <c r="D4" s="88"/>
      <c r="E4" s="88"/>
      <c r="F4" s="88"/>
      <c r="G4" s="91"/>
      <c r="H4" s="91"/>
      <c r="I4" s="91"/>
      <c r="J4" s="91"/>
      <c r="K4" s="91"/>
      <c r="L4" s="91"/>
      <c r="M4" s="91"/>
      <c r="N4" s="91"/>
      <c r="O4" s="87"/>
      <c r="P4" s="87"/>
      <c r="Q4" s="87"/>
    </row>
    <row r="5" ht="15.0" customHeight="1">
      <c r="A5" s="92"/>
      <c r="B5" s="92"/>
      <c r="C5" s="92"/>
      <c r="D5" s="88"/>
      <c r="E5" s="88"/>
      <c r="F5" s="88"/>
      <c r="G5" s="93"/>
      <c r="H5" s="93"/>
      <c r="I5" s="93"/>
      <c r="J5" s="93"/>
      <c r="K5" s="93"/>
      <c r="L5" s="93"/>
      <c r="M5" s="93"/>
      <c r="N5" s="94"/>
      <c r="O5" s="88"/>
      <c r="P5" s="92"/>
      <c r="Q5" s="92"/>
    </row>
    <row r="6" ht="15.0" customHeight="1">
      <c r="A6" s="92"/>
      <c r="B6" s="92"/>
      <c r="C6" s="92"/>
      <c r="D6" s="95" t="s">
        <v>305</v>
      </c>
      <c r="N6" s="94"/>
      <c r="O6" s="88"/>
      <c r="P6" s="92"/>
      <c r="Q6" s="92"/>
    </row>
    <row r="7" ht="15.0" customHeight="1">
      <c r="A7" s="92"/>
      <c r="B7" s="92"/>
      <c r="C7" s="92"/>
      <c r="D7" s="96" t="s">
        <v>278</v>
      </c>
      <c r="G7" s="97"/>
      <c r="H7" s="97"/>
      <c r="I7" s="97"/>
      <c r="J7" s="97"/>
      <c r="K7" s="97"/>
      <c r="L7" s="97"/>
      <c r="M7" s="97"/>
      <c r="N7" s="92"/>
      <c r="O7" s="92"/>
      <c r="P7" s="92"/>
      <c r="Q7" s="92"/>
    </row>
    <row r="8" ht="15.0" customHeight="1">
      <c r="A8" s="92"/>
      <c r="B8" s="92"/>
      <c r="C8" s="92"/>
      <c r="D8" s="97"/>
      <c r="E8" s="97"/>
      <c r="F8" s="97"/>
      <c r="G8" s="97"/>
      <c r="H8" s="97"/>
      <c r="I8" s="97"/>
      <c r="J8" s="97"/>
      <c r="K8" s="97"/>
      <c r="L8" s="97"/>
      <c r="M8" s="97"/>
      <c r="N8" s="92"/>
      <c r="O8" s="92"/>
      <c r="P8" s="92"/>
      <c r="Q8" s="92"/>
    </row>
    <row r="9" ht="15.0" customHeight="1">
      <c r="A9" s="92"/>
      <c r="B9" s="92"/>
      <c r="C9" s="98"/>
      <c r="D9" s="99" t="s">
        <v>35</v>
      </c>
      <c r="E9" s="100"/>
      <c r="F9" s="101"/>
      <c r="G9" s="101"/>
      <c r="H9" s="101"/>
      <c r="I9" s="101"/>
      <c r="J9" s="101"/>
      <c r="K9" s="101"/>
      <c r="L9" s="101"/>
      <c r="M9" s="101"/>
      <c r="N9" s="101"/>
      <c r="O9" s="100"/>
      <c r="P9" s="102"/>
      <c r="Q9" s="102"/>
    </row>
    <row r="10" ht="15.0" customHeight="1">
      <c r="A10" s="92"/>
      <c r="B10" s="92"/>
      <c r="C10" s="98"/>
      <c r="E10" s="100"/>
      <c r="F10" s="103" t="s">
        <v>36</v>
      </c>
      <c r="P10" s="102"/>
      <c r="Q10" s="102"/>
    </row>
    <row r="11" ht="15.0" customHeight="1">
      <c r="A11" s="92"/>
      <c r="B11" s="92"/>
      <c r="C11" s="98"/>
      <c r="E11" s="100"/>
      <c r="P11" s="102"/>
      <c r="Q11" s="102"/>
    </row>
    <row r="12" ht="15.0" customHeight="1">
      <c r="A12" s="88"/>
      <c r="B12" s="92"/>
      <c r="C12" s="92"/>
      <c r="E12" s="100"/>
      <c r="F12" s="100"/>
      <c r="G12" s="100"/>
      <c r="H12" s="100"/>
      <c r="I12" s="100"/>
      <c r="J12" s="100"/>
      <c r="K12" s="100"/>
      <c r="L12" s="100"/>
      <c r="M12" s="100"/>
      <c r="N12" s="100"/>
      <c r="O12" s="100"/>
      <c r="P12" s="102"/>
      <c r="Q12" s="102"/>
    </row>
    <row r="13" ht="15.0" customHeight="1">
      <c r="A13" s="88"/>
      <c r="B13" s="104"/>
      <c r="C13" s="104"/>
      <c r="D13" s="104"/>
      <c r="E13" s="104"/>
      <c r="F13" s="105"/>
      <c r="G13" s="105"/>
      <c r="H13" s="105"/>
      <c r="I13" s="105"/>
      <c r="J13" s="105"/>
      <c r="K13" s="105"/>
      <c r="L13" s="105"/>
      <c r="M13" s="105"/>
      <c r="N13" s="104"/>
      <c r="O13" s="104"/>
      <c r="P13" s="104"/>
      <c r="Q13" s="104"/>
    </row>
    <row r="14" ht="15.0" customHeight="1">
      <c r="A14" s="106"/>
      <c r="B14" s="106"/>
      <c r="C14" s="106"/>
      <c r="D14" s="107" t="s">
        <v>37</v>
      </c>
      <c r="E14" s="108" t="s">
        <v>38</v>
      </c>
      <c r="F14" s="109" t="s">
        <v>39</v>
      </c>
      <c r="G14" s="110">
        <v>44641.0</v>
      </c>
      <c r="H14" s="110">
        <v>44642.0</v>
      </c>
      <c r="I14" s="110">
        <v>44643.0</v>
      </c>
      <c r="J14" s="110">
        <v>44644.0</v>
      </c>
      <c r="K14" s="110">
        <v>44645.0</v>
      </c>
      <c r="L14" s="110">
        <v>44646.0</v>
      </c>
      <c r="M14" s="110">
        <v>44647.0</v>
      </c>
      <c r="N14" s="111" t="s">
        <v>40</v>
      </c>
      <c r="O14" s="111" t="s">
        <v>41</v>
      </c>
      <c r="P14" s="111" t="s">
        <v>281</v>
      </c>
      <c r="Q14" s="88"/>
    </row>
    <row r="15" ht="15.0" customHeight="1">
      <c r="A15" s="112"/>
      <c r="B15" s="112"/>
      <c r="C15" s="112"/>
      <c r="D15" s="129" t="s">
        <v>271</v>
      </c>
      <c r="E15" s="114" t="str">
        <f>VLOOKUP(D15,Data!H:I,2,0)</f>
        <v>Adıyaman</v>
      </c>
      <c r="F15" s="115" t="str">
        <f>VLOOKUP(D15,Data!H:J,3,0)</f>
        <v>Nazım Öztel</v>
      </c>
      <c r="G15" s="116" t="b">
        <v>0</v>
      </c>
      <c r="H15" s="116" t="b">
        <v>0</v>
      </c>
      <c r="I15" s="116" t="b">
        <v>0</v>
      </c>
      <c r="J15" s="116" t="b">
        <v>0</v>
      </c>
      <c r="K15" s="116" t="b">
        <v>0</v>
      </c>
      <c r="L15" s="116" t="b">
        <v>1</v>
      </c>
      <c r="M15" s="116" t="b">
        <v>0</v>
      </c>
      <c r="N15" s="117">
        <f t="shared" ref="N15:N96" si="1">COUNTIF(G15:M15,"TRUE")</f>
        <v>1</v>
      </c>
      <c r="O15" s="117">
        <f t="shared" ref="O15:O96" si="2">N15*4</f>
        <v>4</v>
      </c>
      <c r="P15" s="117"/>
      <c r="Q15" s="88"/>
    </row>
    <row r="16" ht="15.0" customHeight="1">
      <c r="A16" s="112"/>
      <c r="B16" s="112"/>
      <c r="C16" s="112"/>
      <c r="D16" s="129" t="s">
        <v>279</v>
      </c>
      <c r="E16" s="114" t="str">
        <f>VLOOKUP(D16,Data!H:I,2,0)</f>
        <v>Amasya</v>
      </c>
      <c r="F16" s="115" t="str">
        <f>VLOOKUP(D16,Data!H:J,3,0)</f>
        <v>Nazım Öztel</v>
      </c>
      <c r="G16" s="116" t="b">
        <v>0</v>
      </c>
      <c r="H16" s="116" t="b">
        <v>0</v>
      </c>
      <c r="I16" s="116" t="b">
        <v>0</v>
      </c>
      <c r="J16" s="116" t="b">
        <v>0</v>
      </c>
      <c r="K16" s="116" t="b">
        <v>0</v>
      </c>
      <c r="L16" s="116" t="b">
        <v>0</v>
      </c>
      <c r="M16" s="116" t="b">
        <v>0</v>
      </c>
      <c r="N16" s="117">
        <f t="shared" si="1"/>
        <v>0</v>
      </c>
      <c r="O16" s="117">
        <f t="shared" si="2"/>
        <v>0</v>
      </c>
      <c r="P16" s="117"/>
      <c r="Q16" s="88"/>
    </row>
    <row r="17" ht="15.0" customHeight="1">
      <c r="A17" s="112"/>
      <c r="B17" s="112"/>
      <c r="C17" s="112"/>
      <c r="D17" s="129" t="s">
        <v>246</v>
      </c>
      <c r="E17" s="114" t="str">
        <f>VLOOKUP(D17,Data!H:I,2,0)</f>
        <v>Ankara</v>
      </c>
      <c r="F17" s="115" t="str">
        <f>VLOOKUP(D17,Data!H:J,3,0)</f>
        <v>Nazım Öztel</v>
      </c>
      <c r="G17" s="116" t="b">
        <v>0</v>
      </c>
      <c r="H17" s="116" t="b">
        <v>0</v>
      </c>
      <c r="I17" s="116" t="b">
        <v>0</v>
      </c>
      <c r="J17" s="116" t="b">
        <v>0</v>
      </c>
      <c r="K17" s="116" t="b">
        <v>0</v>
      </c>
      <c r="L17" s="116" t="b">
        <v>0</v>
      </c>
      <c r="M17" s="116" t="b">
        <v>0</v>
      </c>
      <c r="N17" s="117">
        <f t="shared" si="1"/>
        <v>0</v>
      </c>
      <c r="O17" s="117">
        <f t="shared" si="2"/>
        <v>0</v>
      </c>
      <c r="P17" s="117" t="s">
        <v>299</v>
      </c>
      <c r="Q17" s="88"/>
    </row>
    <row r="18" ht="15.0" customHeight="1">
      <c r="A18" s="112"/>
      <c r="B18" s="112"/>
      <c r="C18" s="112"/>
      <c r="D18" s="129" t="s">
        <v>261</v>
      </c>
      <c r="E18" s="114" t="str">
        <f>VLOOKUP(D18,Data!H:I,2,0)</f>
        <v>Ankara</v>
      </c>
      <c r="F18" s="115" t="str">
        <f>VLOOKUP(D18,Data!H:J,3,0)</f>
        <v>Nazım Öztel</v>
      </c>
      <c r="G18" s="116" t="b">
        <v>0</v>
      </c>
      <c r="H18" s="116" t="b">
        <v>0</v>
      </c>
      <c r="I18" s="116" t="b">
        <v>0</v>
      </c>
      <c r="J18" s="116" t="b">
        <v>0</v>
      </c>
      <c r="K18" s="116" t="b">
        <v>0</v>
      </c>
      <c r="L18" s="116" t="b">
        <v>0</v>
      </c>
      <c r="M18" s="116" t="b">
        <v>0</v>
      </c>
      <c r="N18" s="117">
        <f t="shared" si="1"/>
        <v>0</v>
      </c>
      <c r="O18" s="117">
        <f t="shared" si="2"/>
        <v>0</v>
      </c>
      <c r="P18" s="117"/>
      <c r="Q18" s="88"/>
    </row>
    <row r="19" ht="15.0" customHeight="1">
      <c r="A19" s="106"/>
      <c r="B19" s="106"/>
      <c r="C19" s="106"/>
      <c r="D19" s="129" t="s">
        <v>164</v>
      </c>
      <c r="E19" s="114" t="str">
        <f>VLOOKUP(D19,Data!H:I,2,0)</f>
        <v>Antalya</v>
      </c>
      <c r="F19" s="115" t="str">
        <f>VLOOKUP(D19,Data!H:J,3,0)</f>
        <v>Nazım Öztel</v>
      </c>
      <c r="G19" s="116" t="b">
        <v>1</v>
      </c>
      <c r="H19" s="116" t="b">
        <v>1</v>
      </c>
      <c r="I19" s="116" t="b">
        <v>0</v>
      </c>
      <c r="J19" s="116" t="b">
        <v>1</v>
      </c>
      <c r="K19" s="116" t="b">
        <v>1</v>
      </c>
      <c r="L19" s="116" t="b">
        <v>0</v>
      </c>
      <c r="M19" s="116" t="b">
        <v>0</v>
      </c>
      <c r="N19" s="117">
        <f t="shared" si="1"/>
        <v>4</v>
      </c>
      <c r="O19" s="117">
        <f t="shared" si="2"/>
        <v>16</v>
      </c>
      <c r="P19" s="117"/>
      <c r="Q19" s="106"/>
    </row>
    <row r="20" ht="15.0" customHeight="1">
      <c r="A20" s="106"/>
      <c r="B20" s="106"/>
      <c r="C20" s="106"/>
      <c r="D20" s="152" t="s">
        <v>197</v>
      </c>
      <c r="E20" s="114" t="s">
        <v>262</v>
      </c>
      <c r="F20" s="115" t="s">
        <v>61</v>
      </c>
      <c r="G20" s="116" t="b">
        <v>0</v>
      </c>
      <c r="H20" s="116" t="b">
        <v>1</v>
      </c>
      <c r="I20" s="116" t="b">
        <v>1</v>
      </c>
      <c r="J20" s="116" t="b">
        <v>0</v>
      </c>
      <c r="K20" s="116" t="b">
        <v>0</v>
      </c>
      <c r="L20" s="116" t="b">
        <v>0</v>
      </c>
      <c r="M20" s="116" t="b">
        <v>0</v>
      </c>
      <c r="N20" s="117">
        <f t="shared" si="1"/>
        <v>2</v>
      </c>
      <c r="O20" s="117">
        <f t="shared" si="2"/>
        <v>8</v>
      </c>
      <c r="P20" s="117"/>
      <c r="Q20" s="106"/>
    </row>
    <row r="21" ht="15.0" customHeight="1">
      <c r="A21" s="112"/>
      <c r="B21" s="112"/>
      <c r="C21" s="112"/>
      <c r="D21" s="129" t="s">
        <v>241</v>
      </c>
      <c r="E21" s="114" t="s">
        <v>184</v>
      </c>
      <c r="F21" s="115" t="s">
        <v>61</v>
      </c>
      <c r="G21" s="116" t="b">
        <v>0</v>
      </c>
      <c r="H21" s="116" t="b">
        <v>0</v>
      </c>
      <c r="I21" s="116" t="b">
        <v>0</v>
      </c>
      <c r="J21" s="116" t="b">
        <v>0</v>
      </c>
      <c r="K21" s="116" t="b">
        <v>0</v>
      </c>
      <c r="L21" s="116" t="b">
        <v>0</v>
      </c>
      <c r="M21" s="116" t="b">
        <v>0</v>
      </c>
      <c r="N21" s="117">
        <f t="shared" si="1"/>
        <v>0</v>
      </c>
      <c r="O21" s="117">
        <f t="shared" si="2"/>
        <v>0</v>
      </c>
      <c r="P21" s="153" t="s">
        <v>306</v>
      </c>
      <c r="Q21" s="112"/>
    </row>
    <row r="22" ht="15.0" customHeight="1">
      <c r="A22" s="112"/>
      <c r="B22" s="112"/>
      <c r="C22" s="112"/>
      <c r="D22" s="129" t="s">
        <v>263</v>
      </c>
      <c r="E22" s="114" t="str">
        <f>VLOOKUP(D22,Data!H:I,2,0)</f>
        <v>Bolu</v>
      </c>
      <c r="F22" s="115" t="str">
        <f>VLOOKUP(D22,Data!H:J,3,0)</f>
        <v>Nazım Öztel</v>
      </c>
      <c r="G22" s="116" t="b">
        <v>0</v>
      </c>
      <c r="H22" s="116" t="b">
        <v>0</v>
      </c>
      <c r="I22" s="116" t="b">
        <v>0</v>
      </c>
      <c r="J22" s="116" t="b">
        <v>0</v>
      </c>
      <c r="K22" s="116" t="b">
        <v>0</v>
      </c>
      <c r="L22" s="116" t="b">
        <v>0</v>
      </c>
      <c r="M22" s="116" t="b">
        <v>0</v>
      </c>
      <c r="N22" s="117">
        <f t="shared" si="1"/>
        <v>0</v>
      </c>
      <c r="O22" s="117">
        <f t="shared" si="2"/>
        <v>0</v>
      </c>
      <c r="P22" s="117"/>
      <c r="Q22" s="112"/>
    </row>
    <row r="23" ht="15.0" customHeight="1">
      <c r="A23" s="112"/>
      <c r="B23" s="112"/>
      <c r="C23" s="112"/>
      <c r="D23" s="129" t="s">
        <v>53</v>
      </c>
      <c r="E23" s="114" t="str">
        <f>VLOOKUP(D23,Data!H:I,2,0)</f>
        <v>Bursa</v>
      </c>
      <c r="F23" s="115" t="str">
        <f>VLOOKUP(D23,Data!H:J,3,0)</f>
        <v>Freelance</v>
      </c>
      <c r="G23" s="116" t="b">
        <v>0</v>
      </c>
      <c r="H23" s="116" t="b">
        <v>0</v>
      </c>
      <c r="I23" s="116" t="b">
        <v>0</v>
      </c>
      <c r="J23" s="116" t="b">
        <v>0</v>
      </c>
      <c r="K23" s="116" t="b">
        <v>0</v>
      </c>
      <c r="L23" s="116" t="b">
        <v>0</v>
      </c>
      <c r="M23" s="116" t="b">
        <v>0</v>
      </c>
      <c r="N23" s="117">
        <f t="shared" si="1"/>
        <v>0</v>
      </c>
      <c r="O23" s="117">
        <f t="shared" si="2"/>
        <v>0</v>
      </c>
      <c r="P23" s="117"/>
      <c r="Q23" s="112"/>
    </row>
    <row r="24" ht="15.0" customHeight="1">
      <c r="A24" s="112"/>
      <c r="B24" s="112"/>
      <c r="C24" s="112"/>
      <c r="D24" s="129" t="s">
        <v>247</v>
      </c>
      <c r="E24" s="114" t="str">
        <f>VLOOKUP(D24,Data!H:I,2,0)</f>
        <v>Çanakkale</v>
      </c>
      <c r="F24" s="115" t="str">
        <f>VLOOKUP(D24,Data!H:J,3,0)</f>
        <v>Nazım Öztel</v>
      </c>
      <c r="G24" s="116" t="b">
        <v>0</v>
      </c>
      <c r="H24" s="116" t="b">
        <v>0</v>
      </c>
      <c r="I24" s="116" t="b">
        <v>0</v>
      </c>
      <c r="J24" s="116" t="b">
        <v>0</v>
      </c>
      <c r="K24" s="116" t="b">
        <v>0</v>
      </c>
      <c r="L24" s="116" t="b">
        <v>0</v>
      </c>
      <c r="M24" s="116" t="b">
        <v>0</v>
      </c>
      <c r="N24" s="117">
        <f t="shared" si="1"/>
        <v>0</v>
      </c>
      <c r="O24" s="117">
        <f t="shared" si="2"/>
        <v>0</v>
      </c>
      <c r="P24" s="117"/>
      <c r="Q24" s="112"/>
    </row>
    <row r="25" ht="15.0" customHeight="1">
      <c r="A25" s="112"/>
      <c r="B25" s="112"/>
      <c r="C25" s="112"/>
      <c r="D25" s="129" t="s">
        <v>221</v>
      </c>
      <c r="E25" s="114" t="str">
        <f>VLOOKUP(D25,Data!H:I,2,0)</f>
        <v>Çorum</v>
      </c>
      <c r="F25" s="115" t="str">
        <f>VLOOKUP(D25,Data!H:J,3,0)</f>
        <v>Nazım Öztel</v>
      </c>
      <c r="G25" s="116" t="b">
        <v>0</v>
      </c>
      <c r="H25" s="116" t="b">
        <v>0</v>
      </c>
      <c r="I25" s="116" t="b">
        <v>0</v>
      </c>
      <c r="J25" s="116" t="b">
        <v>0</v>
      </c>
      <c r="K25" s="116" t="b">
        <v>0</v>
      </c>
      <c r="L25" s="116" t="b">
        <v>0</v>
      </c>
      <c r="M25" s="116" t="b">
        <v>0</v>
      </c>
      <c r="N25" s="117">
        <f t="shared" si="1"/>
        <v>0</v>
      </c>
      <c r="O25" s="117">
        <f t="shared" si="2"/>
        <v>0</v>
      </c>
      <c r="P25" s="117"/>
      <c r="Q25" s="112"/>
    </row>
    <row r="26" ht="15.0" customHeight="1">
      <c r="A26" s="112"/>
      <c r="B26" s="112"/>
      <c r="C26" s="112"/>
      <c r="D26" s="129" t="s">
        <v>264</v>
      </c>
      <c r="E26" s="114" t="str">
        <f>VLOOKUP(D26,Data!H:I,2,0)</f>
        <v>Denizli</v>
      </c>
      <c r="F26" s="115" t="str">
        <f>VLOOKUP(D26,Data!H:J,3,0)</f>
        <v>Nazım Öztel</v>
      </c>
      <c r="G26" s="116" t="b">
        <v>0</v>
      </c>
      <c r="H26" s="116" t="b">
        <v>0</v>
      </c>
      <c r="I26" s="116" t="b">
        <v>0</v>
      </c>
      <c r="J26" s="116" t="b">
        <v>0</v>
      </c>
      <c r="K26" s="116" t="b">
        <v>0</v>
      </c>
      <c r="L26" s="116" t="b">
        <v>0</v>
      </c>
      <c r="M26" s="116" t="b">
        <v>0</v>
      </c>
      <c r="N26" s="117">
        <f t="shared" si="1"/>
        <v>0</v>
      </c>
      <c r="O26" s="117">
        <f t="shared" si="2"/>
        <v>0</v>
      </c>
      <c r="P26" s="117" t="s">
        <v>307</v>
      </c>
      <c r="Q26" s="112"/>
    </row>
    <row r="27" ht="15.0" customHeight="1">
      <c r="A27" s="112"/>
      <c r="B27" s="112"/>
      <c r="C27" s="112"/>
      <c r="D27" s="132" t="s">
        <v>54</v>
      </c>
      <c r="E27" s="114" t="str">
        <f>VLOOKUP(D27,Data!H:I,2,0)</f>
        <v>Diyarbakır</v>
      </c>
      <c r="F27" s="115" t="str">
        <f>VLOOKUP(D27,Data!H:J,3,0)</f>
        <v>Nazım Öztel</v>
      </c>
      <c r="G27" s="116" t="b">
        <v>0</v>
      </c>
      <c r="H27" s="116" t="b">
        <v>0</v>
      </c>
      <c r="I27" s="116" t="b">
        <v>0</v>
      </c>
      <c r="J27" s="116" t="b">
        <v>0</v>
      </c>
      <c r="K27" s="116" t="b">
        <v>0</v>
      </c>
      <c r="L27" s="116" t="b">
        <v>0</v>
      </c>
      <c r="M27" s="116" t="b">
        <v>0</v>
      </c>
      <c r="N27" s="117">
        <f t="shared" si="1"/>
        <v>0</v>
      </c>
      <c r="O27" s="117">
        <f t="shared" si="2"/>
        <v>0</v>
      </c>
      <c r="P27" s="117"/>
      <c r="Q27" s="112"/>
    </row>
    <row r="28" ht="15.0" customHeight="1">
      <c r="A28" s="112"/>
      <c r="B28" s="112"/>
      <c r="C28" s="112"/>
      <c r="D28" s="129" t="s">
        <v>173</v>
      </c>
      <c r="E28" s="114" t="str">
        <f>VLOOKUP(D28,Data!H:I,2,0)</f>
        <v>Düzce</v>
      </c>
      <c r="F28" s="115" t="str">
        <f>VLOOKUP(D28,Data!H:J,3,0)</f>
        <v>Nazım Öztel</v>
      </c>
      <c r="G28" s="116" t="b">
        <v>0</v>
      </c>
      <c r="H28" s="116" t="b">
        <v>0</v>
      </c>
      <c r="I28" s="116" t="b">
        <v>0</v>
      </c>
      <c r="J28" s="116" t="b">
        <v>0</v>
      </c>
      <c r="K28" s="116" t="b">
        <v>0</v>
      </c>
      <c r="L28" s="116" t="b">
        <v>0</v>
      </c>
      <c r="M28" s="116" t="b">
        <v>0</v>
      </c>
      <c r="N28" s="117">
        <f t="shared" si="1"/>
        <v>0</v>
      </c>
      <c r="O28" s="117">
        <f t="shared" si="2"/>
        <v>0</v>
      </c>
      <c r="P28" s="117"/>
      <c r="Q28" s="112"/>
    </row>
    <row r="29" ht="15.0" customHeight="1">
      <c r="A29" s="112"/>
      <c r="B29" s="112"/>
      <c r="C29" s="112"/>
      <c r="D29" s="129" t="s">
        <v>153</v>
      </c>
      <c r="E29" s="114" t="str">
        <f>VLOOKUP(D29,Data!H:I,2,0)</f>
        <v>Edirne</v>
      </c>
      <c r="F29" s="115" t="str">
        <f>VLOOKUP(D29,Data!H:J,3,0)</f>
        <v>Nazım Öztel</v>
      </c>
      <c r="G29" s="116" t="b">
        <v>0</v>
      </c>
      <c r="H29" s="116" t="b">
        <v>0</v>
      </c>
      <c r="I29" s="116" t="b">
        <v>0</v>
      </c>
      <c r="J29" s="116" t="b">
        <v>0</v>
      </c>
      <c r="K29" s="116" t="b">
        <v>0</v>
      </c>
      <c r="L29" s="116" t="b">
        <v>0</v>
      </c>
      <c r="M29" s="116" t="b">
        <v>0</v>
      </c>
      <c r="N29" s="117">
        <f t="shared" si="1"/>
        <v>0</v>
      </c>
      <c r="O29" s="117">
        <f t="shared" si="2"/>
        <v>0</v>
      </c>
      <c r="P29" s="117"/>
      <c r="Q29" s="112"/>
    </row>
    <row r="30" ht="15.0" customHeight="1">
      <c r="A30" s="112"/>
      <c r="B30" s="112"/>
      <c r="C30" s="112"/>
      <c r="D30" s="129" t="s">
        <v>199</v>
      </c>
      <c r="E30" s="114" t="str">
        <f>VLOOKUP(D30,Data!H:I,2,0)</f>
        <v>Elazığ</v>
      </c>
      <c r="F30" s="115" t="str">
        <f>VLOOKUP(D30,Data!H:J,3,0)</f>
        <v>Nazım Öztel</v>
      </c>
      <c r="G30" s="116" t="b">
        <v>0</v>
      </c>
      <c r="H30" s="116" t="b">
        <v>0</v>
      </c>
      <c r="I30" s="116" t="b">
        <v>0</v>
      </c>
      <c r="J30" s="116" t="b">
        <v>0</v>
      </c>
      <c r="K30" s="116" t="b">
        <v>0</v>
      </c>
      <c r="L30" s="116" t="b">
        <v>0</v>
      </c>
      <c r="M30" s="116" t="b">
        <v>0</v>
      </c>
      <c r="N30" s="117">
        <f t="shared" si="1"/>
        <v>0</v>
      </c>
      <c r="O30" s="117">
        <f t="shared" si="2"/>
        <v>0</v>
      </c>
      <c r="P30" s="117"/>
      <c r="Q30" s="112"/>
    </row>
    <row r="31" ht="15.0" customHeight="1">
      <c r="A31" s="112"/>
      <c r="B31" s="112"/>
      <c r="C31" s="112"/>
      <c r="D31" s="132" t="s">
        <v>55</v>
      </c>
      <c r="E31" s="114" t="str">
        <f>VLOOKUP(D31,Data!H:I,2,0)</f>
        <v>Erzurum</v>
      </c>
      <c r="F31" s="115" t="str">
        <f>VLOOKUP(D31,Data!H:J,3,0)</f>
        <v>Nazım Öztel</v>
      </c>
      <c r="G31" s="116" t="b">
        <v>0</v>
      </c>
      <c r="H31" s="116" t="b">
        <v>0</v>
      </c>
      <c r="I31" s="116" t="b">
        <v>0</v>
      </c>
      <c r="J31" s="116" t="b">
        <v>0</v>
      </c>
      <c r="K31" s="116" t="b">
        <v>0</v>
      </c>
      <c r="L31" s="116" t="b">
        <v>0</v>
      </c>
      <c r="M31" s="116" t="b">
        <v>0</v>
      </c>
      <c r="N31" s="117">
        <f t="shared" si="1"/>
        <v>0</v>
      </c>
      <c r="O31" s="117">
        <f t="shared" si="2"/>
        <v>0</v>
      </c>
      <c r="P31" s="117"/>
      <c r="Q31" s="112"/>
    </row>
    <row r="32" ht="15.0" customHeight="1">
      <c r="A32" s="112"/>
      <c r="B32" s="112"/>
      <c r="C32" s="112"/>
      <c r="D32" s="129" t="s">
        <v>165</v>
      </c>
      <c r="E32" s="114" t="str">
        <f>VLOOKUP(D32,Data!H:I,2,0)</f>
        <v>Eskişehir</v>
      </c>
      <c r="F32" s="115" t="str">
        <f>VLOOKUP(D32,Data!H:J,3,0)</f>
        <v>Nazım Öztel</v>
      </c>
      <c r="G32" s="116" t="b">
        <v>0</v>
      </c>
      <c r="H32" s="116" t="b">
        <v>1</v>
      </c>
      <c r="I32" s="116" t="b">
        <v>1</v>
      </c>
      <c r="J32" s="116" t="b">
        <v>1</v>
      </c>
      <c r="K32" s="116" t="b">
        <v>0</v>
      </c>
      <c r="L32" s="116" t="b">
        <v>0</v>
      </c>
      <c r="M32" s="116" t="b">
        <v>0</v>
      </c>
      <c r="N32" s="117">
        <f t="shared" si="1"/>
        <v>3</v>
      </c>
      <c r="O32" s="117">
        <f t="shared" si="2"/>
        <v>12</v>
      </c>
      <c r="P32" s="117"/>
      <c r="Q32" s="112"/>
    </row>
    <row r="33" ht="15.0" customHeight="1">
      <c r="A33" s="112"/>
      <c r="B33" s="112"/>
      <c r="C33" s="112"/>
      <c r="D33" s="129" t="s">
        <v>273</v>
      </c>
      <c r="E33" s="114" t="str">
        <f>VLOOKUP(D33,Data!H:I,2,0)</f>
        <v>Gaziantep</v>
      </c>
      <c r="F33" s="115" t="str">
        <f>VLOOKUP(D33,Data!H:J,3,0)</f>
        <v>Nazım Öztel</v>
      </c>
      <c r="G33" s="116" t="b">
        <v>0</v>
      </c>
      <c r="H33" s="116" t="b">
        <v>0</v>
      </c>
      <c r="I33" s="116" t="b">
        <v>0</v>
      </c>
      <c r="J33" s="116" t="b">
        <v>0</v>
      </c>
      <c r="K33" s="116" t="b">
        <v>0</v>
      </c>
      <c r="L33" s="116" t="b">
        <v>0</v>
      </c>
      <c r="M33" s="116" t="b">
        <v>0</v>
      </c>
      <c r="N33" s="117">
        <f t="shared" si="1"/>
        <v>0</v>
      </c>
      <c r="O33" s="117">
        <f t="shared" si="2"/>
        <v>0</v>
      </c>
      <c r="P33" s="117"/>
      <c r="Q33" s="112"/>
    </row>
    <row r="34" ht="15.0" customHeight="1">
      <c r="A34" s="112"/>
      <c r="B34" s="112"/>
      <c r="C34" s="112"/>
      <c r="D34" s="129" t="s">
        <v>248</v>
      </c>
      <c r="E34" s="114" t="str">
        <f>VLOOKUP(D34,Data!H:I,2,0)</f>
        <v>Hatay</v>
      </c>
      <c r="F34" s="115" t="str">
        <f>VLOOKUP(D34,Data!H:J,3,0)</f>
        <v>Nazım Öztel</v>
      </c>
      <c r="G34" s="116" t="b">
        <v>0</v>
      </c>
      <c r="H34" s="116" t="b">
        <v>0</v>
      </c>
      <c r="I34" s="116" t="b">
        <v>0</v>
      </c>
      <c r="J34" s="116" t="b">
        <v>0</v>
      </c>
      <c r="K34" s="116" t="b">
        <v>0</v>
      </c>
      <c r="L34" s="116" t="b">
        <v>0</v>
      </c>
      <c r="M34" s="116" t="b">
        <v>0</v>
      </c>
      <c r="N34" s="117">
        <f t="shared" si="1"/>
        <v>0</v>
      </c>
      <c r="O34" s="117">
        <f t="shared" si="2"/>
        <v>0</v>
      </c>
      <c r="P34" s="117"/>
      <c r="Q34" s="112"/>
    </row>
    <row r="35" ht="15.0" customHeight="1">
      <c r="A35" s="112"/>
      <c r="B35" s="112"/>
      <c r="C35" s="112"/>
      <c r="D35" s="129" t="s">
        <v>58</v>
      </c>
      <c r="E35" s="114" t="str">
        <f>VLOOKUP(D35,Data!H:I,2,0)</f>
        <v>İstanbul</v>
      </c>
      <c r="F35" s="115" t="str">
        <f>VLOOKUP(D35,Data!H:J,3,0)</f>
        <v>Freelance</v>
      </c>
      <c r="G35" s="116" t="b">
        <v>1</v>
      </c>
      <c r="H35" s="116" t="b">
        <v>1</v>
      </c>
      <c r="I35" s="116" t="b">
        <v>1</v>
      </c>
      <c r="J35" s="116" t="b">
        <v>1</v>
      </c>
      <c r="K35" s="116" t="b">
        <v>1</v>
      </c>
      <c r="L35" s="116" t="b">
        <v>0</v>
      </c>
      <c r="M35" s="116" t="b">
        <v>0</v>
      </c>
      <c r="N35" s="117">
        <f t="shared" si="1"/>
        <v>5</v>
      </c>
      <c r="O35" s="117">
        <f t="shared" si="2"/>
        <v>20</v>
      </c>
      <c r="P35" s="117"/>
      <c r="Q35" s="112"/>
    </row>
    <row r="36" ht="15.0" customHeight="1">
      <c r="A36" s="121"/>
      <c r="B36" s="121"/>
      <c r="C36" s="121"/>
      <c r="D36" s="129" t="s">
        <v>308</v>
      </c>
      <c r="E36" s="114" t="s">
        <v>237</v>
      </c>
      <c r="F36" s="115" t="s">
        <v>64</v>
      </c>
      <c r="G36" s="116" t="b">
        <v>1</v>
      </c>
      <c r="H36" s="116" t="b">
        <v>1</v>
      </c>
      <c r="I36" s="116" t="b">
        <v>1</v>
      </c>
      <c r="J36" s="116" t="b">
        <v>1</v>
      </c>
      <c r="K36" s="116" t="b">
        <v>1</v>
      </c>
      <c r="L36" s="116" t="b">
        <v>0</v>
      </c>
      <c r="M36" s="116" t="b">
        <v>0</v>
      </c>
      <c r="N36" s="117">
        <f t="shared" si="1"/>
        <v>5</v>
      </c>
      <c r="O36" s="117">
        <f t="shared" si="2"/>
        <v>20</v>
      </c>
      <c r="P36" s="117"/>
      <c r="Q36" s="121"/>
    </row>
    <row r="37" ht="15.0" customHeight="1">
      <c r="A37" s="112"/>
      <c r="B37" s="112"/>
      <c r="C37" s="112"/>
      <c r="D37" s="129" t="s">
        <v>302</v>
      </c>
      <c r="E37" s="114" t="s">
        <v>237</v>
      </c>
      <c r="F37" s="115" t="s">
        <v>64</v>
      </c>
      <c r="G37" s="116" t="b">
        <v>1</v>
      </c>
      <c r="H37" s="116" t="b">
        <v>1</v>
      </c>
      <c r="I37" s="116" t="b">
        <v>1</v>
      </c>
      <c r="J37" s="116" t="b">
        <v>1</v>
      </c>
      <c r="K37" s="116" t="b">
        <v>1</v>
      </c>
      <c r="L37" s="116" t="b">
        <v>0</v>
      </c>
      <c r="M37" s="116" t="b">
        <v>0</v>
      </c>
      <c r="N37" s="117">
        <f t="shared" si="1"/>
        <v>5</v>
      </c>
      <c r="O37" s="117">
        <f t="shared" si="2"/>
        <v>20</v>
      </c>
      <c r="P37" s="117"/>
      <c r="Q37" s="112"/>
    </row>
    <row r="38" ht="15.0" customHeight="1">
      <c r="A38" s="112"/>
      <c r="B38" s="112"/>
      <c r="C38" s="112"/>
      <c r="D38" s="129" t="s">
        <v>70</v>
      </c>
      <c r="E38" s="114" t="str">
        <f>VLOOKUP(D38,Data!H:I,2,0)</f>
        <v>İstanbul</v>
      </c>
      <c r="F38" s="115" t="str">
        <f>VLOOKUP(D38,Data!H:J,3,0)</f>
        <v>Freelance</v>
      </c>
      <c r="G38" s="116" t="b">
        <v>0</v>
      </c>
      <c r="H38" s="116" t="b">
        <v>0</v>
      </c>
      <c r="I38" s="116" t="b">
        <v>0</v>
      </c>
      <c r="J38" s="116" t="b">
        <v>0</v>
      </c>
      <c r="K38" s="116" t="b">
        <v>0</v>
      </c>
      <c r="L38" s="116" t="b">
        <v>0</v>
      </c>
      <c r="M38" s="116" t="b">
        <v>0</v>
      </c>
      <c r="N38" s="117">
        <f t="shared" si="1"/>
        <v>0</v>
      </c>
      <c r="O38" s="117">
        <f t="shared" si="2"/>
        <v>0</v>
      </c>
      <c r="P38" s="117" t="s">
        <v>309</v>
      </c>
      <c r="Q38" s="112"/>
    </row>
    <row r="39" ht="15.0" customHeight="1">
      <c r="A39" s="112"/>
      <c r="B39" s="112"/>
      <c r="C39" s="112"/>
      <c r="D39" s="129" t="s">
        <v>78</v>
      </c>
      <c r="E39" s="114" t="str">
        <f>VLOOKUP(D39,Data!H:I,2,0)</f>
        <v>İstanbul</v>
      </c>
      <c r="F39" s="115" t="str">
        <f>VLOOKUP(D39,Data!H:J,3,0)</f>
        <v>Freelance</v>
      </c>
      <c r="G39" s="116" t="b">
        <v>1</v>
      </c>
      <c r="H39" s="116" t="b">
        <v>1</v>
      </c>
      <c r="I39" s="116" t="b">
        <v>1</v>
      </c>
      <c r="J39" s="116" t="b">
        <v>1</v>
      </c>
      <c r="K39" s="116" t="b">
        <v>1</v>
      </c>
      <c r="L39" s="116" t="b">
        <v>0</v>
      </c>
      <c r="M39" s="116" t="b">
        <v>0</v>
      </c>
      <c r="N39" s="117">
        <f t="shared" si="1"/>
        <v>5</v>
      </c>
      <c r="O39" s="117">
        <f t="shared" si="2"/>
        <v>20</v>
      </c>
      <c r="P39" s="117"/>
      <c r="Q39" s="112"/>
    </row>
    <row r="40" ht="15.0" customHeight="1">
      <c r="A40" s="112"/>
      <c r="B40" s="112"/>
      <c r="C40" s="112"/>
      <c r="D40" s="129" t="s">
        <v>79</v>
      </c>
      <c r="E40" s="114" t="str">
        <f>VLOOKUP(D40,Data!H:I,2,0)</f>
        <v>İstanbul</v>
      </c>
      <c r="F40" s="115" t="str">
        <f>VLOOKUP(D40,Data!H:J,3,0)</f>
        <v>Freelance</v>
      </c>
      <c r="G40" s="116" t="b">
        <v>0</v>
      </c>
      <c r="H40" s="116" t="b">
        <v>0</v>
      </c>
      <c r="I40" s="116" t="b">
        <v>0</v>
      </c>
      <c r="J40" s="116" t="b">
        <v>0</v>
      </c>
      <c r="K40" s="116" t="b">
        <v>0</v>
      </c>
      <c r="L40" s="116" t="b">
        <v>0</v>
      </c>
      <c r="M40" s="116" t="b">
        <v>0</v>
      </c>
      <c r="N40" s="117">
        <f t="shared" si="1"/>
        <v>0</v>
      </c>
      <c r="O40" s="117">
        <f t="shared" si="2"/>
        <v>0</v>
      </c>
      <c r="P40" s="117"/>
      <c r="Q40" s="112"/>
    </row>
    <row r="41" ht="15.0" customHeight="1">
      <c r="A41" s="122"/>
      <c r="B41" s="122"/>
      <c r="C41" s="122"/>
      <c r="D41" s="129" t="s">
        <v>80</v>
      </c>
      <c r="E41" s="114" t="str">
        <f>VLOOKUP(D41,Data!H:I,2,0)</f>
        <v>İstanbul</v>
      </c>
      <c r="F41" s="115" t="str">
        <f>VLOOKUP(D41,Data!H:J,3,0)</f>
        <v>Freelance</v>
      </c>
      <c r="G41" s="116" t="b">
        <v>1</v>
      </c>
      <c r="H41" s="116" t="b">
        <v>1</v>
      </c>
      <c r="I41" s="116" t="b">
        <v>1</v>
      </c>
      <c r="J41" s="116" t="b">
        <v>1</v>
      </c>
      <c r="K41" s="116" t="b">
        <v>1</v>
      </c>
      <c r="L41" s="116" t="b">
        <v>0</v>
      </c>
      <c r="M41" s="116" t="b">
        <v>0</v>
      </c>
      <c r="N41" s="117">
        <f t="shared" si="1"/>
        <v>5</v>
      </c>
      <c r="O41" s="117">
        <f t="shared" si="2"/>
        <v>20</v>
      </c>
      <c r="P41" s="117"/>
      <c r="Q41" s="122"/>
    </row>
    <row r="42" ht="15.0" customHeight="1">
      <c r="A42" s="112"/>
      <c r="B42" s="112"/>
      <c r="C42" s="112"/>
      <c r="D42" s="132" t="s">
        <v>119</v>
      </c>
      <c r="E42" s="114" t="str">
        <f>VLOOKUP(D42,Data!H:I,2,0)</f>
        <v>İstanbul</v>
      </c>
      <c r="F42" s="115" t="str">
        <f>VLOOKUP(D42,Data!H:J,3,0)</f>
        <v>Filamingo</v>
      </c>
      <c r="G42" s="116" t="b">
        <v>0</v>
      </c>
      <c r="H42" s="116" t="b">
        <v>0</v>
      </c>
      <c r="I42" s="116" t="b">
        <v>0</v>
      </c>
      <c r="J42" s="116" t="b">
        <v>0</v>
      </c>
      <c r="K42" s="116" t="b">
        <v>0</v>
      </c>
      <c r="L42" s="116" t="b">
        <v>0</v>
      </c>
      <c r="M42" s="116" t="b">
        <v>0</v>
      </c>
      <c r="N42" s="117">
        <f t="shared" si="1"/>
        <v>0</v>
      </c>
      <c r="O42" s="117">
        <f t="shared" si="2"/>
        <v>0</v>
      </c>
      <c r="P42" s="117"/>
      <c r="Q42" s="112"/>
    </row>
    <row r="43" ht="15.0" customHeight="1">
      <c r="A43" s="112"/>
      <c r="B43" s="112"/>
      <c r="C43" s="112"/>
      <c r="D43" s="129" t="s">
        <v>96</v>
      </c>
      <c r="E43" s="114" t="s">
        <v>237</v>
      </c>
      <c r="F43" s="115" t="s">
        <v>61</v>
      </c>
      <c r="G43" s="116" t="b">
        <v>0</v>
      </c>
      <c r="H43" s="116" t="b">
        <v>0</v>
      </c>
      <c r="I43" s="116" t="b">
        <v>0</v>
      </c>
      <c r="J43" s="116" t="b">
        <v>0</v>
      </c>
      <c r="K43" s="116" t="b">
        <v>0</v>
      </c>
      <c r="L43" s="116" t="b">
        <v>0</v>
      </c>
      <c r="M43" s="116" t="b">
        <v>0</v>
      </c>
      <c r="N43" s="117">
        <f t="shared" si="1"/>
        <v>0</v>
      </c>
      <c r="O43" s="117">
        <f t="shared" si="2"/>
        <v>0</v>
      </c>
      <c r="P43" s="117" t="s">
        <v>306</v>
      </c>
      <c r="Q43" s="112"/>
    </row>
    <row r="44" ht="15.0" customHeight="1">
      <c r="A44" s="112"/>
      <c r="B44" s="112"/>
      <c r="C44" s="112"/>
      <c r="D44" s="129" t="s">
        <v>217</v>
      </c>
      <c r="E44" s="114" t="str">
        <f>VLOOKUP(D44,Data!H:I,2,0)</f>
        <v>İstanbul</v>
      </c>
      <c r="F44" s="115" t="str">
        <f>VLOOKUP(D44,Data!H:J,3,0)</f>
        <v>Freelance</v>
      </c>
      <c r="G44" s="116" t="b">
        <v>0</v>
      </c>
      <c r="H44" s="116" t="b">
        <v>0</v>
      </c>
      <c r="I44" s="116" t="b">
        <v>0</v>
      </c>
      <c r="J44" s="116" t="b">
        <v>1</v>
      </c>
      <c r="K44" s="116" t="b">
        <v>0</v>
      </c>
      <c r="L44" s="116" t="b">
        <v>0</v>
      </c>
      <c r="M44" s="116" t="b">
        <v>0</v>
      </c>
      <c r="N44" s="117">
        <f t="shared" si="1"/>
        <v>1</v>
      </c>
      <c r="O44" s="117">
        <f t="shared" si="2"/>
        <v>4</v>
      </c>
      <c r="P44" s="117"/>
      <c r="Q44" s="112"/>
    </row>
    <row r="45" ht="15.0" customHeight="1">
      <c r="A45" s="112"/>
      <c r="B45" s="112"/>
      <c r="C45" s="112"/>
      <c r="D45" s="129" t="s">
        <v>81</v>
      </c>
      <c r="E45" s="114" t="str">
        <f>VLOOKUP(D45,Data!H:I,2,0)</f>
        <v>İstanbul</v>
      </c>
      <c r="F45" s="115" t="str">
        <f>VLOOKUP(D45,Data!H:J,3,0)</f>
        <v>Freelance</v>
      </c>
      <c r="G45" s="116" t="b">
        <v>0</v>
      </c>
      <c r="H45" s="116" t="b">
        <v>0</v>
      </c>
      <c r="I45" s="116" t="b">
        <v>0</v>
      </c>
      <c r="J45" s="116" t="b">
        <v>0</v>
      </c>
      <c r="K45" s="116" t="b">
        <v>0</v>
      </c>
      <c r="L45" s="116" t="b">
        <v>0</v>
      </c>
      <c r="M45" s="116" t="b">
        <v>0</v>
      </c>
      <c r="N45" s="117">
        <f t="shared" si="1"/>
        <v>0</v>
      </c>
      <c r="O45" s="117">
        <f t="shared" si="2"/>
        <v>0</v>
      </c>
      <c r="P45" s="117"/>
      <c r="Q45" s="112"/>
    </row>
    <row r="46" ht="15.0" customHeight="1">
      <c r="A46" s="112"/>
      <c r="B46" s="112"/>
      <c r="C46" s="112"/>
      <c r="D46" s="129" t="s">
        <v>201</v>
      </c>
      <c r="E46" s="114" t="str">
        <f>VLOOKUP(D46,Data!H:I,2,0)</f>
        <v>İstanbul</v>
      </c>
      <c r="F46" s="114" t="str">
        <f>VLOOKUP(D46,Data!H:J,3,0)</f>
        <v>Freelance</v>
      </c>
      <c r="G46" s="116" t="b">
        <v>0</v>
      </c>
      <c r="H46" s="116" t="b">
        <v>0</v>
      </c>
      <c r="I46" s="116" t="b">
        <v>0</v>
      </c>
      <c r="J46" s="116" t="b">
        <v>0</v>
      </c>
      <c r="K46" s="116" t="b">
        <v>0</v>
      </c>
      <c r="L46" s="116" t="b">
        <v>0</v>
      </c>
      <c r="M46" s="116" t="b">
        <v>0</v>
      </c>
      <c r="N46" s="117">
        <f t="shared" si="1"/>
        <v>0</v>
      </c>
      <c r="O46" s="117">
        <f t="shared" si="2"/>
        <v>0</v>
      </c>
      <c r="P46" s="117"/>
      <c r="Q46" s="112"/>
    </row>
    <row r="47" ht="15.0" customHeight="1">
      <c r="A47" s="112"/>
      <c r="B47" s="112"/>
      <c r="C47" s="112"/>
      <c r="D47" s="132" t="s">
        <v>83</v>
      </c>
      <c r="E47" s="114" t="str">
        <f>VLOOKUP(D47,Data!H:I,2,0)</f>
        <v>İstanbul</v>
      </c>
      <c r="F47" s="115" t="str">
        <f>VLOOKUP(D47,Data!H:J,3,0)</f>
        <v>Nazım Öztel</v>
      </c>
      <c r="G47" s="116" t="b">
        <v>0</v>
      </c>
      <c r="H47" s="116" t="b">
        <v>0</v>
      </c>
      <c r="I47" s="116" t="b">
        <v>0</v>
      </c>
      <c r="J47" s="116" t="b">
        <v>0</v>
      </c>
      <c r="K47" s="116" t="b">
        <v>0</v>
      </c>
      <c r="L47" s="116" t="b">
        <v>0</v>
      </c>
      <c r="M47" s="116" t="b">
        <v>0</v>
      </c>
      <c r="N47" s="117">
        <f t="shared" si="1"/>
        <v>0</v>
      </c>
      <c r="O47" s="117">
        <f t="shared" si="2"/>
        <v>0</v>
      </c>
      <c r="P47" s="117"/>
      <c r="Q47" s="112"/>
    </row>
    <row r="48" ht="15.0" customHeight="1">
      <c r="A48" s="112"/>
      <c r="B48" s="112"/>
      <c r="C48" s="112"/>
      <c r="D48" s="129" t="s">
        <v>224</v>
      </c>
      <c r="E48" s="145" t="str">
        <f>VLOOKUP(D48,Data!H:I,2,0)</f>
        <v>İstanbul</v>
      </c>
      <c r="F48" s="147" t="str">
        <f>VLOOKUP(D48,Data!H:J,3,0)</f>
        <v>Filamingo</v>
      </c>
      <c r="G48" s="116" t="b">
        <v>0</v>
      </c>
      <c r="H48" s="116" t="b">
        <v>0</v>
      </c>
      <c r="I48" s="116" t="b">
        <v>0</v>
      </c>
      <c r="J48" s="116" t="b">
        <v>0</v>
      </c>
      <c r="K48" s="116" t="b">
        <v>0</v>
      </c>
      <c r="L48" s="116" t="b">
        <v>0</v>
      </c>
      <c r="M48" s="116" t="b">
        <v>0</v>
      </c>
      <c r="N48" s="146">
        <f t="shared" si="1"/>
        <v>0</v>
      </c>
      <c r="O48" s="146">
        <f t="shared" si="2"/>
        <v>0</v>
      </c>
      <c r="P48" s="154" t="s">
        <v>310</v>
      </c>
      <c r="Q48" s="112"/>
    </row>
    <row r="49" ht="15.0" customHeight="1">
      <c r="A49" s="125"/>
      <c r="B49" s="125"/>
      <c r="C49" s="125"/>
      <c r="D49" s="129" t="s">
        <v>225</v>
      </c>
      <c r="E49" s="114" t="str">
        <f>VLOOKUP(D49,Data!H:I,2,0)</f>
        <v>İstanbul</v>
      </c>
      <c r="F49" s="115" t="str">
        <f>VLOOKUP(D49,Data!H:J,3,0)</f>
        <v>Filamingo</v>
      </c>
      <c r="G49" s="116" t="b">
        <v>0</v>
      </c>
      <c r="H49" s="116" t="b">
        <v>1</v>
      </c>
      <c r="I49" s="116" t="b">
        <v>0</v>
      </c>
      <c r="J49" s="116" t="b">
        <v>1</v>
      </c>
      <c r="K49" s="116" t="b">
        <v>1</v>
      </c>
      <c r="L49" s="116" t="b">
        <v>0</v>
      </c>
      <c r="M49" s="116" t="b">
        <v>0</v>
      </c>
      <c r="N49" s="117">
        <f t="shared" si="1"/>
        <v>3</v>
      </c>
      <c r="O49" s="117">
        <f t="shared" si="2"/>
        <v>12</v>
      </c>
      <c r="P49" s="117"/>
      <c r="Q49" s="125"/>
    </row>
    <row r="50" ht="15.0" customHeight="1">
      <c r="A50" s="125"/>
      <c r="B50" s="125"/>
      <c r="C50" s="125"/>
      <c r="D50" s="129" t="s">
        <v>145</v>
      </c>
      <c r="E50" s="114" t="str">
        <f>VLOOKUP(D50,Data!H:I,2,0)</f>
        <v>İstanbul</v>
      </c>
      <c r="F50" s="115" t="str">
        <f>VLOOKUP(D50,Data!H:J,3,0)</f>
        <v>Filamingo</v>
      </c>
      <c r="G50" s="116" t="b">
        <v>0</v>
      </c>
      <c r="H50" s="116" t="b">
        <v>0</v>
      </c>
      <c r="I50" s="116" t="b">
        <v>0</v>
      </c>
      <c r="J50" s="116" t="b">
        <v>0</v>
      </c>
      <c r="K50" s="116" t="b">
        <v>0</v>
      </c>
      <c r="L50" s="116" t="b">
        <v>0</v>
      </c>
      <c r="M50" s="116" t="b">
        <v>0</v>
      </c>
      <c r="N50" s="117">
        <f t="shared" si="1"/>
        <v>0</v>
      </c>
      <c r="O50" s="117">
        <f t="shared" si="2"/>
        <v>0</v>
      </c>
      <c r="P50" s="117"/>
      <c r="Q50" s="125"/>
    </row>
    <row r="51" ht="15.0" customHeight="1">
      <c r="A51" s="125"/>
      <c r="B51" s="125"/>
      <c r="C51" s="125"/>
      <c r="D51" s="129" t="s">
        <v>274</v>
      </c>
      <c r="E51" s="114" t="str">
        <f>VLOOKUP(D51,Data!H:I,2,0)</f>
        <v>İstanbul</v>
      </c>
      <c r="F51" s="115" t="str">
        <f>VLOOKUP(D51,Data!H:J,3,0)</f>
        <v>Filamingo</v>
      </c>
      <c r="G51" s="116" t="b">
        <v>1</v>
      </c>
      <c r="H51" s="116" t="b">
        <v>1</v>
      </c>
      <c r="I51" s="116" t="b">
        <v>0</v>
      </c>
      <c r="J51" s="116" t="b">
        <v>1</v>
      </c>
      <c r="K51" s="116" t="b">
        <v>0</v>
      </c>
      <c r="L51" s="116" t="b">
        <v>0</v>
      </c>
      <c r="M51" s="116" t="b">
        <v>0</v>
      </c>
      <c r="N51" s="117">
        <f t="shared" si="1"/>
        <v>3</v>
      </c>
      <c r="O51" s="117">
        <f t="shared" si="2"/>
        <v>12</v>
      </c>
      <c r="P51" s="117"/>
      <c r="Q51" s="125"/>
    </row>
    <row r="52" ht="15.0" customHeight="1">
      <c r="A52" s="125"/>
      <c r="B52" s="125"/>
      <c r="C52" s="125"/>
      <c r="D52" s="129" t="s">
        <v>87</v>
      </c>
      <c r="E52" s="114" t="str">
        <f>VLOOKUP(D52,Data!H:I,2,0)</f>
        <v>İstanbul</v>
      </c>
      <c r="F52" s="115" t="str">
        <f>VLOOKUP(D52,Data!H:J,3,0)</f>
        <v>Freelance</v>
      </c>
      <c r="G52" s="116" t="b">
        <v>0</v>
      </c>
      <c r="H52" s="116" t="b">
        <v>0</v>
      </c>
      <c r="I52" s="116" t="b">
        <v>0</v>
      </c>
      <c r="J52" s="116" t="b">
        <v>0</v>
      </c>
      <c r="K52" s="116" t="b">
        <v>0</v>
      </c>
      <c r="L52" s="116" t="b">
        <v>0</v>
      </c>
      <c r="M52" s="116" t="b">
        <v>0</v>
      </c>
      <c r="N52" s="117">
        <f t="shared" si="1"/>
        <v>0</v>
      </c>
      <c r="O52" s="117">
        <f t="shared" si="2"/>
        <v>0</v>
      </c>
      <c r="P52" s="117"/>
      <c r="Q52" s="125"/>
    </row>
    <row r="53" ht="15.0" customHeight="1">
      <c r="A53" s="125"/>
      <c r="B53" s="125"/>
      <c r="C53" s="125"/>
      <c r="D53" s="129" t="s">
        <v>226</v>
      </c>
      <c r="E53" s="114" t="str">
        <f>VLOOKUP(D53,Data!H:I,2,0)</f>
        <v>İstanbul</v>
      </c>
      <c r="F53" s="115" t="str">
        <f>VLOOKUP(D53,Data!H:J,3,0)</f>
        <v>Filamingo</v>
      </c>
      <c r="G53" s="116" t="b">
        <v>0</v>
      </c>
      <c r="H53" s="116" t="b">
        <v>0</v>
      </c>
      <c r="I53" s="116" t="b">
        <v>1</v>
      </c>
      <c r="J53" s="116" t="b">
        <v>1</v>
      </c>
      <c r="K53" s="116" t="b">
        <v>1</v>
      </c>
      <c r="L53" s="116" t="b">
        <v>0</v>
      </c>
      <c r="M53" s="116" t="b">
        <v>0</v>
      </c>
      <c r="N53" s="117">
        <f t="shared" si="1"/>
        <v>3</v>
      </c>
      <c r="O53" s="117">
        <f t="shared" si="2"/>
        <v>12</v>
      </c>
      <c r="P53" s="117"/>
      <c r="Q53" s="125"/>
    </row>
    <row r="54" ht="15.0" customHeight="1">
      <c r="A54" s="112"/>
      <c r="B54" s="112"/>
      <c r="C54" s="112"/>
      <c r="D54" s="129" t="s">
        <v>249</v>
      </c>
      <c r="E54" s="114" t="str">
        <f>VLOOKUP(D54,Data!H:I,2,0)</f>
        <v>İstanbul</v>
      </c>
      <c r="F54" s="115" t="str">
        <f>VLOOKUP(D54,Data!H:J,3,0)</f>
        <v>Nazım Öztel</v>
      </c>
      <c r="G54" s="116" t="b">
        <v>0</v>
      </c>
      <c r="H54" s="116" t="b">
        <v>1</v>
      </c>
      <c r="I54" s="116" t="b">
        <v>1</v>
      </c>
      <c r="J54" s="116" t="b">
        <v>0</v>
      </c>
      <c r="K54" s="116" t="b">
        <v>1</v>
      </c>
      <c r="L54" s="116" t="b">
        <v>0</v>
      </c>
      <c r="M54" s="116" t="b">
        <v>0</v>
      </c>
      <c r="N54" s="117">
        <f t="shared" si="1"/>
        <v>3</v>
      </c>
      <c r="O54" s="117">
        <f t="shared" si="2"/>
        <v>12</v>
      </c>
      <c r="P54" s="117"/>
      <c r="Q54" s="112"/>
    </row>
    <row r="55" ht="15.0" customHeight="1">
      <c r="A55" s="112"/>
      <c r="B55" s="112"/>
      <c r="C55" s="112"/>
      <c r="D55" s="129" t="s">
        <v>250</v>
      </c>
      <c r="E55" s="114" t="str">
        <f>VLOOKUP(D55,Data!H:I,2,0)</f>
        <v>İstanbul</v>
      </c>
      <c r="F55" s="115" t="str">
        <f>VLOOKUP(D55,Data!H:J,3,0)</f>
        <v>Filamingo</v>
      </c>
      <c r="G55" s="116" t="b">
        <v>0</v>
      </c>
      <c r="H55" s="116" t="b">
        <v>0</v>
      </c>
      <c r="I55" s="116" t="b">
        <v>0</v>
      </c>
      <c r="J55" s="116" t="b">
        <v>0</v>
      </c>
      <c r="K55" s="116" t="b">
        <v>0</v>
      </c>
      <c r="L55" s="116" t="b">
        <v>0</v>
      </c>
      <c r="M55" s="116" t="b">
        <v>0</v>
      </c>
      <c r="N55" s="117">
        <f t="shared" si="1"/>
        <v>0</v>
      </c>
      <c r="O55" s="117">
        <f t="shared" si="2"/>
        <v>0</v>
      </c>
      <c r="P55" s="117"/>
      <c r="Q55" s="112"/>
    </row>
    <row r="56" ht="15.0" customHeight="1">
      <c r="A56" s="112"/>
      <c r="B56" s="112"/>
      <c r="C56" s="112"/>
      <c r="D56" s="129" t="s">
        <v>251</v>
      </c>
      <c r="E56" s="114" t="str">
        <f>VLOOKUP(D56,Data!H:I,2,0)</f>
        <v>İstanbul</v>
      </c>
      <c r="F56" s="115" t="str">
        <f>VLOOKUP(D56,Data!H:J,3,0)</f>
        <v>Filamingo</v>
      </c>
      <c r="G56" s="116" t="b">
        <v>0</v>
      </c>
      <c r="H56" s="116" t="b">
        <v>1</v>
      </c>
      <c r="I56" s="116" t="b">
        <v>1</v>
      </c>
      <c r="J56" s="116" t="b">
        <v>1</v>
      </c>
      <c r="K56" s="116" t="b">
        <v>1</v>
      </c>
      <c r="L56" s="116" t="b">
        <v>0</v>
      </c>
      <c r="M56" s="116" t="b">
        <v>0</v>
      </c>
      <c r="N56" s="117">
        <f t="shared" si="1"/>
        <v>4</v>
      </c>
      <c r="O56" s="117">
        <f t="shared" si="2"/>
        <v>16</v>
      </c>
      <c r="P56" s="117"/>
      <c r="Q56" s="112"/>
    </row>
    <row r="57" ht="15.0" customHeight="1">
      <c r="A57" s="112"/>
      <c r="B57" s="112"/>
      <c r="C57" s="112"/>
      <c r="D57" s="129" t="s">
        <v>252</v>
      </c>
      <c r="E57" s="114" t="str">
        <f>VLOOKUP(D57,Data!H:I,2,0)</f>
        <v>İzmir</v>
      </c>
      <c r="F57" s="115" t="str">
        <f>VLOOKUP(D57,Data!H:J,3,0)</f>
        <v>Nazım Öztel</v>
      </c>
      <c r="G57" s="116" t="b">
        <v>0</v>
      </c>
      <c r="H57" s="116" t="b">
        <v>0</v>
      </c>
      <c r="I57" s="116" t="b">
        <v>0</v>
      </c>
      <c r="J57" s="116" t="b">
        <v>0</v>
      </c>
      <c r="K57" s="116" t="b">
        <v>1</v>
      </c>
      <c r="L57" s="116" t="b">
        <v>0</v>
      </c>
      <c r="M57" s="116" t="b">
        <v>0</v>
      </c>
      <c r="N57" s="117">
        <f t="shared" si="1"/>
        <v>1</v>
      </c>
      <c r="O57" s="117">
        <f t="shared" si="2"/>
        <v>4</v>
      </c>
      <c r="P57" s="117"/>
      <c r="Q57" s="112"/>
    </row>
    <row r="58" ht="15.0" customHeight="1">
      <c r="A58" s="112"/>
      <c r="B58" s="112"/>
      <c r="C58" s="112"/>
      <c r="D58" s="132" t="s">
        <v>92</v>
      </c>
      <c r="E58" s="114" t="str">
        <f>VLOOKUP(D58,Data!H:I,2,0)</f>
        <v>İzmir</v>
      </c>
      <c r="F58" s="115" t="str">
        <f>VLOOKUP(D58,Data!H:J,3,0)</f>
        <v>Nazım Öztel</v>
      </c>
      <c r="G58" s="116" t="b">
        <v>0</v>
      </c>
      <c r="H58" s="116" t="b">
        <v>0</v>
      </c>
      <c r="I58" s="116" t="b">
        <v>0</v>
      </c>
      <c r="J58" s="116" t="b">
        <v>0</v>
      </c>
      <c r="K58" s="116" t="b">
        <v>1</v>
      </c>
      <c r="L58" s="116" t="b">
        <v>0</v>
      </c>
      <c r="M58" s="116" t="b">
        <v>0</v>
      </c>
      <c r="N58" s="117">
        <f t="shared" si="1"/>
        <v>1</v>
      </c>
      <c r="O58" s="117">
        <f t="shared" si="2"/>
        <v>4</v>
      </c>
      <c r="P58" s="117"/>
      <c r="Q58" s="112"/>
    </row>
    <row r="59" ht="15.0" customHeight="1">
      <c r="A59" s="112"/>
      <c r="B59" s="112"/>
      <c r="C59" s="112"/>
      <c r="D59" s="129" t="s">
        <v>93</v>
      </c>
      <c r="E59" s="114" t="str">
        <f>VLOOKUP(D59,Data!H:I,2,0)</f>
        <v>İzmir</v>
      </c>
      <c r="F59" s="115" t="str">
        <f>VLOOKUP(D59,Data!H:J,3,0)</f>
        <v>Freelance</v>
      </c>
      <c r="G59" s="116" t="b">
        <v>1</v>
      </c>
      <c r="H59" s="116" t="b">
        <v>1</v>
      </c>
      <c r="I59" s="116" t="b">
        <v>1</v>
      </c>
      <c r="J59" s="116" t="b">
        <v>1</v>
      </c>
      <c r="K59" s="116" t="b">
        <v>1</v>
      </c>
      <c r="L59" s="116" t="b">
        <v>0</v>
      </c>
      <c r="M59" s="116" t="b">
        <v>0</v>
      </c>
      <c r="N59" s="117">
        <f t="shared" si="1"/>
        <v>5</v>
      </c>
      <c r="O59" s="117">
        <f t="shared" si="2"/>
        <v>20</v>
      </c>
      <c r="P59" s="117"/>
      <c r="Q59" s="112"/>
    </row>
    <row r="60" ht="15.0" customHeight="1">
      <c r="A60" s="112"/>
      <c r="B60" s="112"/>
      <c r="C60" s="112"/>
      <c r="D60" s="129" t="s">
        <v>161</v>
      </c>
      <c r="E60" s="143" t="str">
        <f>VLOOKUP(D60,Data!H:I,2,0)</f>
        <v>Kahramanmaraş</v>
      </c>
      <c r="F60" s="115" t="str">
        <f>VLOOKUP(D60,Data!H:J,3,0)</f>
        <v>Nazım Öztel</v>
      </c>
      <c r="G60" s="116" t="b">
        <v>0</v>
      </c>
      <c r="H60" s="116" t="b">
        <v>0</v>
      </c>
      <c r="I60" s="116" t="b">
        <v>0</v>
      </c>
      <c r="J60" s="116" t="b">
        <v>0</v>
      </c>
      <c r="K60" s="116" t="b">
        <v>0</v>
      </c>
      <c r="L60" s="116" t="b">
        <v>0</v>
      </c>
      <c r="M60" s="116" t="b">
        <v>0</v>
      </c>
      <c r="N60" s="117">
        <f t="shared" si="1"/>
        <v>0</v>
      </c>
      <c r="O60" s="117">
        <f t="shared" si="2"/>
        <v>0</v>
      </c>
      <c r="P60" s="117"/>
      <c r="Q60" s="112"/>
    </row>
    <row r="61" ht="15.0" customHeight="1">
      <c r="A61" s="112"/>
      <c r="B61" s="112"/>
      <c r="C61" s="112"/>
      <c r="D61" s="129" t="s">
        <v>243</v>
      </c>
      <c r="E61" s="114" t="str">
        <f>VLOOKUP(D61,Data!H:I,2,0)</f>
        <v>Kayseri</v>
      </c>
      <c r="F61" s="115" t="str">
        <f>VLOOKUP(D61,Data!H:J,3,0)</f>
        <v>Nazım Öztel</v>
      </c>
      <c r="G61" s="116" t="b">
        <v>1</v>
      </c>
      <c r="H61" s="116" t="b">
        <v>1</v>
      </c>
      <c r="I61" s="116" t="b">
        <v>1</v>
      </c>
      <c r="J61" s="116" t="b">
        <v>1</v>
      </c>
      <c r="K61" s="116" t="b">
        <v>1</v>
      </c>
      <c r="L61" s="116" t="b">
        <v>0</v>
      </c>
      <c r="M61" s="116" t="b">
        <v>0</v>
      </c>
      <c r="N61" s="117">
        <f t="shared" si="1"/>
        <v>5</v>
      </c>
      <c r="O61" s="117">
        <f t="shared" si="2"/>
        <v>20</v>
      </c>
      <c r="P61" s="117"/>
      <c r="Q61" s="112"/>
    </row>
    <row r="62" ht="15.0" customHeight="1">
      <c r="A62" s="112"/>
      <c r="B62" s="112"/>
      <c r="C62" s="112"/>
      <c r="D62" s="129" t="s">
        <v>253</v>
      </c>
      <c r="E62" s="114" t="str">
        <f>VLOOKUP(D62,Data!H:I,2,0)</f>
        <v>Kırklareli</v>
      </c>
      <c r="F62" s="115" t="str">
        <f>VLOOKUP(D62,Data!H:J,3,0)</f>
        <v>Nazım Öztel</v>
      </c>
      <c r="G62" s="116" t="b">
        <v>0</v>
      </c>
      <c r="H62" s="116" t="b">
        <v>0</v>
      </c>
      <c r="I62" s="116" t="b">
        <v>0</v>
      </c>
      <c r="J62" s="116" t="b">
        <v>0</v>
      </c>
      <c r="K62" s="116" t="b">
        <v>0</v>
      </c>
      <c r="L62" s="116" t="b">
        <v>0</v>
      </c>
      <c r="M62" s="116" t="b">
        <v>0</v>
      </c>
      <c r="N62" s="117">
        <f t="shared" si="1"/>
        <v>0</v>
      </c>
      <c r="O62" s="117">
        <f t="shared" si="2"/>
        <v>0</v>
      </c>
      <c r="P62" s="117" t="s">
        <v>311</v>
      </c>
      <c r="Q62" s="112"/>
    </row>
    <row r="63" ht="15.0" customHeight="1">
      <c r="A63" s="112"/>
      <c r="B63" s="112"/>
      <c r="C63" s="112"/>
      <c r="D63" s="132" t="s">
        <v>96</v>
      </c>
      <c r="E63" s="114" t="str">
        <f>VLOOKUP(D63,Data!H:I,2,0)</f>
        <v>Kocaeli</v>
      </c>
      <c r="F63" s="115" t="str">
        <f>VLOOKUP(D63,Data!H:J,3,0)</f>
        <v>Nazım Öztel</v>
      </c>
      <c r="G63" s="116" t="b">
        <v>0</v>
      </c>
      <c r="H63" s="116" t="b">
        <v>0</v>
      </c>
      <c r="I63" s="116" t="b">
        <v>0</v>
      </c>
      <c r="J63" s="116" t="b">
        <v>0</v>
      </c>
      <c r="K63" s="116" t="b">
        <v>0</v>
      </c>
      <c r="L63" s="116" t="b">
        <v>0</v>
      </c>
      <c r="M63" s="116" t="b">
        <v>0</v>
      </c>
      <c r="N63" s="117">
        <f t="shared" si="1"/>
        <v>0</v>
      </c>
      <c r="O63" s="117">
        <f t="shared" si="2"/>
        <v>0</v>
      </c>
      <c r="P63" s="117" t="s">
        <v>306</v>
      </c>
      <c r="Q63" s="112"/>
    </row>
    <row r="64" ht="15.0" customHeight="1">
      <c r="A64" s="112"/>
      <c r="B64" s="112"/>
      <c r="C64" s="112"/>
      <c r="D64" s="129" t="s">
        <v>147</v>
      </c>
      <c r="E64" s="114" t="str">
        <f>VLOOKUP(D64,Data!H:I,2,0)</f>
        <v>Kocaeli</v>
      </c>
      <c r="F64" s="115" t="str">
        <f>VLOOKUP(D64,Data!H:J,3,0)</f>
        <v>Nazım Öztel</v>
      </c>
      <c r="G64" s="116" t="b">
        <v>0</v>
      </c>
      <c r="H64" s="116" t="b">
        <v>0</v>
      </c>
      <c r="I64" s="116" t="b">
        <v>0</v>
      </c>
      <c r="J64" s="116" t="b">
        <v>0</v>
      </c>
      <c r="K64" s="116" t="b">
        <v>0</v>
      </c>
      <c r="L64" s="116" t="b">
        <v>0</v>
      </c>
      <c r="M64" s="116" t="b">
        <v>0</v>
      </c>
      <c r="N64" s="117">
        <f t="shared" si="1"/>
        <v>0</v>
      </c>
      <c r="O64" s="117">
        <f t="shared" si="2"/>
        <v>0</v>
      </c>
      <c r="P64" s="117" t="s">
        <v>306</v>
      </c>
      <c r="Q64" s="112"/>
    </row>
    <row r="65" ht="15.0" customHeight="1">
      <c r="A65" s="112"/>
      <c r="B65" s="112"/>
      <c r="C65" s="112"/>
      <c r="D65" s="129" t="s">
        <v>227</v>
      </c>
      <c r="E65" s="114" t="str">
        <f>VLOOKUP(D65,Data!H:I,2,0)</f>
        <v>Konya</v>
      </c>
      <c r="F65" s="115" t="str">
        <f>VLOOKUP(D65,Data!H:J,3,0)</f>
        <v>Nazım Öztel</v>
      </c>
      <c r="G65" s="116" t="b">
        <v>0</v>
      </c>
      <c r="H65" s="116" t="b">
        <v>0</v>
      </c>
      <c r="I65" s="116" t="b">
        <v>0</v>
      </c>
      <c r="J65" s="116" t="b">
        <v>0</v>
      </c>
      <c r="K65" s="116" t="b">
        <v>0</v>
      </c>
      <c r="L65" s="116" t="b">
        <v>0</v>
      </c>
      <c r="M65" s="116" t="b">
        <v>0</v>
      </c>
      <c r="N65" s="117">
        <f t="shared" si="1"/>
        <v>0</v>
      </c>
      <c r="O65" s="117">
        <f t="shared" si="2"/>
        <v>0</v>
      </c>
      <c r="P65" s="117" t="s">
        <v>312</v>
      </c>
      <c r="Q65" s="112"/>
    </row>
    <row r="66" ht="15.0" customHeight="1">
      <c r="A66" s="112"/>
      <c r="B66" s="112"/>
      <c r="C66" s="112"/>
      <c r="D66" s="129" t="s">
        <v>265</v>
      </c>
      <c r="E66" s="114" t="str">
        <f>VLOOKUP(D66,Data!H:I,2,0)</f>
        <v>Konya</v>
      </c>
      <c r="F66" s="115" t="str">
        <f>VLOOKUP(D66,Data!H:J,3,0)</f>
        <v>Nazım Öztel</v>
      </c>
      <c r="G66" s="116" t="b">
        <v>0</v>
      </c>
      <c r="H66" s="116" t="b">
        <v>0</v>
      </c>
      <c r="I66" s="116" t="b">
        <v>0</v>
      </c>
      <c r="J66" s="116" t="b">
        <v>0</v>
      </c>
      <c r="K66" s="116" t="b">
        <v>0</v>
      </c>
      <c r="L66" s="116" t="b">
        <v>0</v>
      </c>
      <c r="M66" s="116" t="b">
        <v>0</v>
      </c>
      <c r="N66" s="117">
        <f t="shared" si="1"/>
        <v>0</v>
      </c>
      <c r="O66" s="117">
        <f t="shared" si="2"/>
        <v>0</v>
      </c>
      <c r="P66" s="117"/>
      <c r="Q66" s="112"/>
    </row>
    <row r="67" ht="15.0" customHeight="1">
      <c r="A67" s="112"/>
      <c r="B67" s="112"/>
      <c r="C67" s="112"/>
      <c r="D67" s="129" t="s">
        <v>203</v>
      </c>
      <c r="E67" s="114" t="str">
        <f>VLOOKUP(D67,Data!H:I,2,0)</f>
        <v>Malatya</v>
      </c>
      <c r="F67" s="115" t="str">
        <f>VLOOKUP(D67,Data!H:J,3,0)</f>
        <v>Nazım Öztel</v>
      </c>
      <c r="G67" s="116" t="b">
        <v>0</v>
      </c>
      <c r="H67" s="116" t="b">
        <v>0</v>
      </c>
      <c r="I67" s="116" t="b">
        <v>0</v>
      </c>
      <c r="J67" s="116" t="b">
        <v>0</v>
      </c>
      <c r="K67" s="116" t="b">
        <v>0</v>
      </c>
      <c r="L67" s="116" t="b">
        <v>0</v>
      </c>
      <c r="M67" s="116" t="b">
        <v>0</v>
      </c>
      <c r="N67" s="117">
        <f t="shared" si="1"/>
        <v>0</v>
      </c>
      <c r="O67" s="117">
        <f t="shared" si="2"/>
        <v>0</v>
      </c>
      <c r="P67" s="117" t="s">
        <v>306</v>
      </c>
      <c r="Q67" s="112"/>
    </row>
    <row r="68" ht="15.0" customHeight="1">
      <c r="A68" s="112"/>
      <c r="B68" s="112"/>
      <c r="C68" s="112"/>
      <c r="D68" s="129" t="s">
        <v>254</v>
      </c>
      <c r="E68" s="114" t="str">
        <f>VLOOKUP(D68,Data!H:I,2,0)</f>
        <v>Manisa</v>
      </c>
      <c r="F68" s="115" t="str">
        <f>VLOOKUP(D68,Data!H:J,3,0)</f>
        <v>Nazım Öztel</v>
      </c>
      <c r="G68" s="116" t="b">
        <v>0</v>
      </c>
      <c r="H68" s="116" t="b">
        <v>0</v>
      </c>
      <c r="I68" s="116" t="b">
        <v>0</v>
      </c>
      <c r="J68" s="116" t="b">
        <v>0</v>
      </c>
      <c r="K68" s="116" t="b">
        <v>0</v>
      </c>
      <c r="L68" s="116" t="b">
        <v>0</v>
      </c>
      <c r="M68" s="116" t="b">
        <v>0</v>
      </c>
      <c r="N68" s="117">
        <f t="shared" si="1"/>
        <v>0</v>
      </c>
      <c r="O68" s="117">
        <f t="shared" si="2"/>
        <v>0</v>
      </c>
      <c r="P68" s="117" t="s">
        <v>306</v>
      </c>
      <c r="Q68" s="112"/>
    </row>
    <row r="69" ht="15.0" customHeight="1">
      <c r="A69" s="112"/>
      <c r="B69" s="112"/>
      <c r="C69" s="112"/>
      <c r="D69" s="129" t="s">
        <v>255</v>
      </c>
      <c r="E69" s="114" t="str">
        <f>VLOOKUP(D69,Data!H:I,2,0)</f>
        <v>Mardin</v>
      </c>
      <c r="F69" s="115" t="str">
        <f>VLOOKUP(D69,Data!H:J,3,0)</f>
        <v>Nazım Öztel</v>
      </c>
      <c r="G69" s="116" t="b">
        <v>0</v>
      </c>
      <c r="H69" s="116" t="b">
        <v>0</v>
      </c>
      <c r="I69" s="116" t="b">
        <v>0</v>
      </c>
      <c r="J69" s="116" t="b">
        <v>0</v>
      </c>
      <c r="K69" s="116" t="b">
        <v>0</v>
      </c>
      <c r="L69" s="116" t="b">
        <v>0</v>
      </c>
      <c r="M69" s="116" t="b">
        <v>0</v>
      </c>
      <c r="N69" s="117">
        <f t="shared" si="1"/>
        <v>0</v>
      </c>
      <c r="O69" s="117">
        <f t="shared" si="2"/>
        <v>0</v>
      </c>
      <c r="P69" s="117"/>
      <c r="Q69" s="112"/>
    </row>
    <row r="70" ht="15.0" customHeight="1">
      <c r="A70" s="112"/>
      <c r="B70" s="112"/>
      <c r="C70" s="112"/>
      <c r="D70" s="132" t="s">
        <v>99</v>
      </c>
      <c r="E70" s="114" t="str">
        <f>VLOOKUP(D70,Data!H:I,2,0)</f>
        <v>Mersin</v>
      </c>
      <c r="F70" s="115" t="str">
        <f>VLOOKUP(D70,Data!H:J,3,0)</f>
        <v>Nazım Öztel</v>
      </c>
      <c r="G70" s="116" t="b">
        <v>0</v>
      </c>
      <c r="H70" s="116" t="b">
        <v>0</v>
      </c>
      <c r="I70" s="116" t="b">
        <v>0</v>
      </c>
      <c r="J70" s="116" t="b">
        <v>0</v>
      </c>
      <c r="K70" s="116" t="b">
        <v>0</v>
      </c>
      <c r="L70" s="116" t="b">
        <v>0</v>
      </c>
      <c r="M70" s="116" t="b">
        <v>0</v>
      </c>
      <c r="N70" s="117">
        <f t="shared" si="1"/>
        <v>0</v>
      </c>
      <c r="O70" s="117">
        <f t="shared" si="2"/>
        <v>0</v>
      </c>
      <c r="P70" s="117"/>
      <c r="Q70" s="112"/>
    </row>
    <row r="71" ht="15.0" customHeight="1">
      <c r="A71" s="112"/>
      <c r="B71" s="112"/>
      <c r="C71" s="112"/>
      <c r="D71" s="129" t="s">
        <v>169</v>
      </c>
      <c r="E71" s="114" t="str">
        <f>VLOOKUP(D71,Data!H:I,2,0)</f>
        <v>Mersin</v>
      </c>
      <c r="F71" s="115" t="str">
        <f>VLOOKUP(D71,Data!H:J,3,0)</f>
        <v>Nazım Öztel</v>
      </c>
      <c r="G71" s="116" t="b">
        <v>0</v>
      </c>
      <c r="H71" s="116" t="b">
        <v>1</v>
      </c>
      <c r="I71" s="116" t="b">
        <v>0</v>
      </c>
      <c r="J71" s="116" t="b">
        <v>1</v>
      </c>
      <c r="K71" s="116" t="b">
        <v>1</v>
      </c>
      <c r="L71" s="116" t="b">
        <v>0</v>
      </c>
      <c r="M71" s="116" t="b">
        <v>0</v>
      </c>
      <c r="N71" s="117">
        <f t="shared" si="1"/>
        <v>3</v>
      </c>
      <c r="O71" s="117">
        <f t="shared" si="2"/>
        <v>12</v>
      </c>
      <c r="P71" s="117"/>
      <c r="Q71" s="112"/>
    </row>
    <row r="72" ht="15.0" customHeight="1">
      <c r="A72" s="112"/>
      <c r="B72" s="112"/>
      <c r="C72" s="112"/>
      <c r="D72" s="129" t="s">
        <v>148</v>
      </c>
      <c r="E72" s="114" t="str">
        <f>VLOOKUP(D72,Data!H:I,2,0)</f>
        <v>Muğla</v>
      </c>
      <c r="F72" s="115" t="str">
        <f>VLOOKUP(D72,Data!H:J,3,0)</f>
        <v>Nazım Öztel</v>
      </c>
      <c r="G72" s="116" t="b">
        <v>0</v>
      </c>
      <c r="H72" s="116" t="b">
        <v>0</v>
      </c>
      <c r="I72" s="116" t="b">
        <v>0</v>
      </c>
      <c r="J72" s="116" t="b">
        <v>0</v>
      </c>
      <c r="K72" s="116" t="b">
        <v>0</v>
      </c>
      <c r="L72" s="116" t="b">
        <v>0</v>
      </c>
      <c r="M72" s="116" t="b">
        <v>0</v>
      </c>
      <c r="N72" s="117">
        <f t="shared" si="1"/>
        <v>0</v>
      </c>
      <c r="O72" s="117">
        <f t="shared" si="2"/>
        <v>0</v>
      </c>
      <c r="P72" s="117"/>
      <c r="Q72" s="112"/>
    </row>
    <row r="73" ht="15.0" customHeight="1">
      <c r="A73" s="112"/>
      <c r="B73" s="112"/>
      <c r="C73" s="112"/>
      <c r="D73" s="129" t="s">
        <v>266</v>
      </c>
      <c r="E73" s="114" t="str">
        <f>VLOOKUP(D73,Data!H:I,2,0)</f>
        <v>Ordu</v>
      </c>
      <c r="F73" s="115" t="str">
        <f>VLOOKUP(D73,Data!H:J,3,0)</f>
        <v>Nazım Öztel</v>
      </c>
      <c r="G73" s="116" t="b">
        <v>0</v>
      </c>
      <c r="H73" s="116" t="b">
        <v>0</v>
      </c>
      <c r="I73" s="116" t="b">
        <v>0</v>
      </c>
      <c r="J73" s="116" t="b">
        <v>0</v>
      </c>
      <c r="K73" s="116" t="b">
        <v>0</v>
      </c>
      <c r="L73" s="116" t="b">
        <v>0</v>
      </c>
      <c r="M73" s="116" t="b">
        <v>0</v>
      </c>
      <c r="N73" s="117">
        <f t="shared" si="1"/>
        <v>0</v>
      </c>
      <c r="O73" s="117">
        <f t="shared" si="2"/>
        <v>0</v>
      </c>
      <c r="P73" s="117" t="s">
        <v>313</v>
      </c>
      <c r="Q73" s="112"/>
    </row>
    <row r="74" ht="15.0" customHeight="1">
      <c r="A74" s="112"/>
      <c r="B74" s="112"/>
      <c r="C74" s="112"/>
      <c r="D74" s="129" t="s">
        <v>256</v>
      </c>
      <c r="E74" s="114" t="s">
        <v>211</v>
      </c>
      <c r="F74" s="115" t="s">
        <v>61</v>
      </c>
      <c r="G74" s="116" t="b">
        <v>0</v>
      </c>
      <c r="H74" s="116" t="b">
        <v>0</v>
      </c>
      <c r="I74" s="116" t="b">
        <v>0</v>
      </c>
      <c r="J74" s="116" t="b">
        <v>0</v>
      </c>
      <c r="K74" s="116" t="b">
        <v>0</v>
      </c>
      <c r="L74" s="116" t="b">
        <v>0</v>
      </c>
      <c r="M74" s="116" t="b">
        <v>0</v>
      </c>
      <c r="N74" s="117">
        <f t="shared" si="1"/>
        <v>0</v>
      </c>
      <c r="O74" s="117">
        <f t="shared" si="2"/>
        <v>0</v>
      </c>
      <c r="P74" s="117"/>
      <c r="Q74" s="112"/>
    </row>
    <row r="75" ht="15.0" customHeight="1">
      <c r="A75" s="112"/>
      <c r="B75" s="112"/>
      <c r="C75" s="112"/>
      <c r="D75" s="129" t="s">
        <v>275</v>
      </c>
      <c r="E75" s="114" t="str">
        <f>VLOOKUP(D75,Data!H:I,2,0)</f>
        <v>Sakarya</v>
      </c>
      <c r="F75" s="115" t="str">
        <f>VLOOKUP(D75,Data!H:J,3,0)</f>
        <v>Nazım Öztel</v>
      </c>
      <c r="G75" s="116" t="b">
        <v>0</v>
      </c>
      <c r="H75" s="116" t="b">
        <v>0</v>
      </c>
      <c r="I75" s="116" t="b">
        <v>0</v>
      </c>
      <c r="J75" s="116" t="b">
        <v>0</v>
      </c>
      <c r="K75" s="116" t="b">
        <v>0</v>
      </c>
      <c r="L75" s="116" t="b">
        <v>0</v>
      </c>
      <c r="M75" s="116" t="b">
        <v>0</v>
      </c>
      <c r="N75" s="117">
        <f t="shared" si="1"/>
        <v>0</v>
      </c>
      <c r="O75" s="117">
        <f t="shared" si="2"/>
        <v>0</v>
      </c>
      <c r="P75" s="117"/>
      <c r="Q75" s="112"/>
    </row>
    <row r="76" ht="15.0" customHeight="1">
      <c r="A76" s="112"/>
      <c r="B76" s="112"/>
      <c r="C76" s="112"/>
      <c r="D76" s="129" t="s">
        <v>257</v>
      </c>
      <c r="E76" s="114" t="str">
        <f>VLOOKUP(D76,Data!H:I,2,0)</f>
        <v>Samsun</v>
      </c>
      <c r="F76" s="115" t="str">
        <f>VLOOKUP(D76,Data!H:J,3,0)</f>
        <v>Nazım Öztel</v>
      </c>
      <c r="G76" s="116" t="b">
        <v>1</v>
      </c>
      <c r="H76" s="116" t="b">
        <v>1</v>
      </c>
      <c r="I76" s="116" t="b">
        <v>1</v>
      </c>
      <c r="J76" s="116" t="b">
        <v>1</v>
      </c>
      <c r="K76" s="116" t="b">
        <v>1</v>
      </c>
      <c r="L76" s="116" t="b">
        <v>0</v>
      </c>
      <c r="M76" s="116" t="b">
        <v>0</v>
      </c>
      <c r="N76" s="117">
        <f t="shared" si="1"/>
        <v>5</v>
      </c>
      <c r="O76" s="117">
        <f t="shared" si="2"/>
        <v>20</v>
      </c>
      <c r="P76" s="117"/>
      <c r="Q76" s="112"/>
    </row>
    <row r="77" ht="15.0" customHeight="1">
      <c r="A77" s="112"/>
      <c r="B77" s="112"/>
      <c r="C77" s="112"/>
      <c r="D77" s="129" t="s">
        <v>267</v>
      </c>
      <c r="E77" s="114" t="str">
        <f>VLOOKUP(D77,Data!H:I,2,0)</f>
        <v>Sinop</v>
      </c>
      <c r="F77" s="115" t="str">
        <f>VLOOKUP(D77,Data!H:J,3,0)</f>
        <v>Nazım Öztel</v>
      </c>
      <c r="G77" s="116" t="b">
        <v>0</v>
      </c>
      <c r="H77" s="116" t="b">
        <v>0</v>
      </c>
      <c r="I77" s="116" t="b">
        <v>0</v>
      </c>
      <c r="J77" s="116" t="b">
        <v>0</v>
      </c>
      <c r="K77" s="116" t="b">
        <v>0</v>
      </c>
      <c r="L77" s="116" t="b">
        <v>0</v>
      </c>
      <c r="M77" s="116" t="b">
        <v>0</v>
      </c>
      <c r="N77" s="117">
        <f t="shared" si="1"/>
        <v>0</v>
      </c>
      <c r="O77" s="117">
        <f t="shared" si="2"/>
        <v>0</v>
      </c>
      <c r="P77" s="117" t="s">
        <v>313</v>
      </c>
      <c r="Q77" s="112"/>
    </row>
    <row r="78" ht="15.0" customHeight="1">
      <c r="A78" s="112"/>
      <c r="B78" s="112"/>
      <c r="C78" s="112"/>
      <c r="D78" s="129" t="s">
        <v>268</v>
      </c>
      <c r="E78" s="114" t="str">
        <f>VLOOKUP(D78,Data!H:I,2,0)</f>
        <v>Sivas</v>
      </c>
      <c r="F78" s="115" t="str">
        <f>VLOOKUP(D78,Data!H:J,3,0)</f>
        <v>Nazım Öztel</v>
      </c>
      <c r="G78" s="116" t="b">
        <v>1</v>
      </c>
      <c r="H78" s="116" t="b">
        <v>0</v>
      </c>
      <c r="I78" s="116" t="b">
        <v>0</v>
      </c>
      <c r="J78" s="116" t="b">
        <v>0</v>
      </c>
      <c r="K78" s="116" t="b">
        <v>0</v>
      </c>
      <c r="L78" s="116" t="b">
        <v>0</v>
      </c>
      <c r="M78" s="116" t="b">
        <v>0</v>
      </c>
      <c r="N78" s="117">
        <f t="shared" si="1"/>
        <v>1</v>
      </c>
      <c r="O78" s="117">
        <f t="shared" si="2"/>
        <v>4</v>
      </c>
      <c r="P78" s="117"/>
      <c r="Q78" s="112"/>
    </row>
    <row r="79" ht="15.0" customHeight="1">
      <c r="A79" s="112"/>
      <c r="B79" s="112"/>
      <c r="C79" s="112"/>
      <c r="D79" s="129" t="s">
        <v>104</v>
      </c>
      <c r="E79" s="114" t="str">
        <f>VLOOKUP(D79,Data!H:I,2,0)</f>
        <v>Tekirdağ</v>
      </c>
      <c r="F79" s="115" t="str">
        <f>VLOOKUP(D79,Data!H:J,3,0)</f>
        <v>Freelance</v>
      </c>
      <c r="G79" s="116" t="b">
        <v>0</v>
      </c>
      <c r="H79" s="116" t="b">
        <v>0</v>
      </c>
      <c r="I79" s="116" t="b">
        <v>1</v>
      </c>
      <c r="J79" s="116" t="b">
        <v>1</v>
      </c>
      <c r="K79" s="116" t="b">
        <v>0</v>
      </c>
      <c r="L79" s="116" t="b">
        <v>0</v>
      </c>
      <c r="M79" s="116" t="b">
        <v>0</v>
      </c>
      <c r="N79" s="117">
        <f t="shared" si="1"/>
        <v>2</v>
      </c>
      <c r="O79" s="117">
        <f t="shared" si="2"/>
        <v>8</v>
      </c>
      <c r="P79" s="117"/>
      <c r="Q79" s="112"/>
    </row>
    <row r="80" ht="15.0" customHeight="1">
      <c r="A80" s="112"/>
      <c r="B80" s="112"/>
      <c r="C80" s="112"/>
      <c r="D80" s="129" t="s">
        <v>258</v>
      </c>
      <c r="E80" s="114" t="str">
        <f>VLOOKUP(D80,Data!H:I,2,0)</f>
        <v>Tokat</v>
      </c>
      <c r="F80" s="115" t="str">
        <f>VLOOKUP(D80,Data!H:J,3,0)</f>
        <v>Nazım Öztel</v>
      </c>
      <c r="G80" s="116" t="b">
        <v>0</v>
      </c>
      <c r="H80" s="116" t="b">
        <v>0</v>
      </c>
      <c r="I80" s="116" t="b">
        <v>0</v>
      </c>
      <c r="J80" s="116" t="b">
        <v>0</v>
      </c>
      <c r="K80" s="116" t="b">
        <v>0</v>
      </c>
      <c r="L80" s="116" t="b">
        <v>0</v>
      </c>
      <c r="M80" s="116" t="b">
        <v>0</v>
      </c>
      <c r="N80" s="117">
        <f t="shared" si="1"/>
        <v>0</v>
      </c>
      <c r="O80" s="117">
        <f t="shared" si="2"/>
        <v>0</v>
      </c>
      <c r="P80" s="117"/>
      <c r="Q80" s="112"/>
    </row>
    <row r="81" ht="15.0" customHeight="1">
      <c r="A81" s="112"/>
      <c r="B81" s="112"/>
      <c r="C81" s="112"/>
      <c r="D81" s="129" t="s">
        <v>154</v>
      </c>
      <c r="E81" s="114" t="str">
        <f>VLOOKUP(D81,Data!H:I,2,0)</f>
        <v>Uşak</v>
      </c>
      <c r="F81" s="115" t="str">
        <f>VLOOKUP(D81,Data!H:J,3,0)</f>
        <v>Nazım Öztel</v>
      </c>
      <c r="G81" s="116" t="b">
        <v>0</v>
      </c>
      <c r="H81" s="116" t="b">
        <v>1</v>
      </c>
      <c r="I81" s="116" t="b">
        <v>0</v>
      </c>
      <c r="J81" s="116" t="b">
        <v>0</v>
      </c>
      <c r="K81" s="116" t="b">
        <v>0</v>
      </c>
      <c r="L81" s="116" t="b">
        <v>0</v>
      </c>
      <c r="M81" s="116" t="b">
        <v>0</v>
      </c>
      <c r="N81" s="117">
        <f t="shared" si="1"/>
        <v>1</v>
      </c>
      <c r="O81" s="117">
        <f t="shared" si="2"/>
        <v>4</v>
      </c>
      <c r="P81" s="117"/>
      <c r="Q81" s="112"/>
    </row>
    <row r="82" ht="15.0" customHeight="1">
      <c r="A82" s="112"/>
      <c r="B82" s="112"/>
      <c r="C82" s="112"/>
      <c r="D82" s="129" t="s">
        <v>276</v>
      </c>
      <c r="E82" s="114" t="str">
        <f>VLOOKUP(D82,Data!H:I,2,0)</f>
        <v>Zonguldak</v>
      </c>
      <c r="F82" s="115" t="str">
        <f>VLOOKUP(D82,Data!H:J,3,0)</f>
        <v>Nazım Öztel</v>
      </c>
      <c r="G82" s="116" t="b">
        <v>0</v>
      </c>
      <c r="H82" s="116" t="b">
        <v>0</v>
      </c>
      <c r="I82" s="116" t="b">
        <v>0</v>
      </c>
      <c r="J82" s="116" t="b">
        <v>0</v>
      </c>
      <c r="K82" s="116" t="b">
        <v>0</v>
      </c>
      <c r="L82" s="116" t="b">
        <v>0</v>
      </c>
      <c r="M82" s="116" t="b">
        <v>0</v>
      </c>
      <c r="N82" s="117">
        <f t="shared" si="1"/>
        <v>0</v>
      </c>
      <c r="O82" s="117">
        <f t="shared" si="2"/>
        <v>0</v>
      </c>
      <c r="P82" s="117"/>
      <c r="Q82" s="112"/>
    </row>
    <row r="83" ht="15.0" customHeight="1">
      <c r="A83" s="112"/>
      <c r="B83" s="112"/>
      <c r="C83" s="112"/>
      <c r="D83" s="148" t="s">
        <v>282</v>
      </c>
      <c r="E83" s="114" t="str">
        <f>VLOOKUP(D83,Data!H:I,2,0)</f>
        <v>Antalya</v>
      </c>
      <c r="F83" s="115" t="str">
        <f>VLOOKUP(D83,Data!H:J,3,0)</f>
        <v>Nazım Öztel</v>
      </c>
      <c r="G83" s="116" t="b">
        <v>0</v>
      </c>
      <c r="H83" s="116" t="b">
        <v>0</v>
      </c>
      <c r="I83" s="116" t="b">
        <v>0</v>
      </c>
      <c r="J83" s="116" t="b">
        <v>0</v>
      </c>
      <c r="K83" s="116" t="b">
        <v>0</v>
      </c>
      <c r="L83" s="116" t="b">
        <v>0</v>
      </c>
      <c r="M83" s="116" t="b">
        <v>0</v>
      </c>
      <c r="N83" s="117">
        <f t="shared" si="1"/>
        <v>0</v>
      </c>
      <c r="O83" s="117">
        <f t="shared" si="2"/>
        <v>0</v>
      </c>
      <c r="P83" s="117"/>
      <c r="Q83" s="112"/>
    </row>
    <row r="84" ht="15.0" customHeight="1">
      <c r="A84" s="112"/>
      <c r="B84" s="112"/>
      <c r="C84" s="112"/>
      <c r="D84" s="149" t="s">
        <v>283</v>
      </c>
      <c r="E84" s="114" t="str">
        <f>VLOOKUP(D84,Data!H:I,2,0)</f>
        <v>Adana</v>
      </c>
      <c r="F84" s="115" t="str">
        <f>VLOOKUP(D84,Data!H:J,3,0)</f>
        <v>Nazım Öztel</v>
      </c>
      <c r="G84" s="116" t="b">
        <v>1</v>
      </c>
      <c r="H84" s="116" t="b">
        <v>1</v>
      </c>
      <c r="I84" s="116" t="b">
        <v>0</v>
      </c>
      <c r="J84" s="116" t="b">
        <v>0</v>
      </c>
      <c r="K84" s="116" t="b">
        <v>0</v>
      </c>
      <c r="L84" s="116" t="b">
        <v>0</v>
      </c>
      <c r="M84" s="116" t="b">
        <v>0</v>
      </c>
      <c r="N84" s="117">
        <f t="shared" si="1"/>
        <v>2</v>
      </c>
      <c r="O84" s="117">
        <f t="shared" si="2"/>
        <v>8</v>
      </c>
      <c r="P84" s="117"/>
      <c r="Q84" s="112"/>
    </row>
    <row r="85" ht="15.0" customHeight="1">
      <c r="A85" s="112"/>
      <c r="B85" s="112"/>
      <c r="C85" s="112"/>
      <c r="D85" s="150" t="s">
        <v>284</v>
      </c>
      <c r="E85" s="114" t="str">
        <f>VLOOKUP(D85,Data!H:I,2,0)</f>
        <v>Iğdır</v>
      </c>
      <c r="F85" s="115" t="str">
        <f>VLOOKUP(D85,Data!H:J,3,0)</f>
        <v>Nazım Öztel</v>
      </c>
      <c r="G85" s="116" t="b">
        <v>0</v>
      </c>
      <c r="H85" s="116" t="b">
        <v>0</v>
      </c>
      <c r="I85" s="116" t="b">
        <v>0</v>
      </c>
      <c r="J85" s="116" t="b">
        <v>0</v>
      </c>
      <c r="K85" s="116" t="b">
        <v>0</v>
      </c>
      <c r="L85" s="116" t="b">
        <v>0</v>
      </c>
      <c r="M85" s="116" t="b">
        <v>0</v>
      </c>
      <c r="N85" s="117">
        <f t="shared" si="1"/>
        <v>0</v>
      </c>
      <c r="O85" s="117">
        <f t="shared" si="2"/>
        <v>0</v>
      </c>
      <c r="P85" s="117"/>
      <c r="Q85" s="112"/>
    </row>
    <row r="86" ht="15.0" customHeight="1">
      <c r="A86" s="112"/>
      <c r="B86" s="112"/>
      <c r="C86" s="112"/>
      <c r="D86" s="150" t="s">
        <v>285</v>
      </c>
      <c r="E86" s="114" t="str">
        <f>VLOOKUP(D86,Data!H:I,2,0)</f>
        <v>Bitlis</v>
      </c>
      <c r="F86" s="115" t="str">
        <f>VLOOKUP(D86,Data!H:J,3,0)</f>
        <v>Nazım Öztel</v>
      </c>
      <c r="G86" s="116" t="b">
        <v>0</v>
      </c>
      <c r="H86" s="116" t="b">
        <v>0</v>
      </c>
      <c r="I86" s="116" t="b">
        <v>0</v>
      </c>
      <c r="J86" s="116" t="b">
        <v>0</v>
      </c>
      <c r="K86" s="116" t="b">
        <v>0</v>
      </c>
      <c r="L86" s="116" t="b">
        <v>0</v>
      </c>
      <c r="M86" s="116" t="b">
        <v>0</v>
      </c>
      <c r="N86" s="117">
        <f t="shared" si="1"/>
        <v>0</v>
      </c>
      <c r="O86" s="117">
        <f t="shared" si="2"/>
        <v>0</v>
      </c>
      <c r="P86" s="117"/>
      <c r="Q86" s="112"/>
    </row>
    <row r="87" ht="15.0" customHeight="1">
      <c r="A87" s="112"/>
      <c r="B87" s="112"/>
      <c r="C87" s="112"/>
      <c r="D87" s="149" t="s">
        <v>286</v>
      </c>
      <c r="E87" s="114" t="str">
        <f>VLOOKUP(D87,Data!H:I,2,0)</f>
        <v>Trabzon</v>
      </c>
      <c r="F87" s="115" t="str">
        <f>VLOOKUP(D87,Data!H:J,3,0)</f>
        <v>Nazım Öztel</v>
      </c>
      <c r="G87" s="116" t="b">
        <v>1</v>
      </c>
      <c r="H87" s="116" t="b">
        <v>1</v>
      </c>
      <c r="I87" s="116" t="b">
        <v>1</v>
      </c>
      <c r="J87" s="116" t="b">
        <v>0</v>
      </c>
      <c r="K87" s="116" t="b">
        <v>0</v>
      </c>
      <c r="L87" s="116" t="b">
        <v>0</v>
      </c>
      <c r="M87" s="116" t="b">
        <v>0</v>
      </c>
      <c r="N87" s="117">
        <f t="shared" si="1"/>
        <v>3</v>
      </c>
      <c r="O87" s="117">
        <f t="shared" si="2"/>
        <v>12</v>
      </c>
      <c r="P87" s="117"/>
      <c r="Q87" s="112"/>
    </row>
    <row r="88" ht="15.0" customHeight="1">
      <c r="A88" s="112"/>
      <c r="B88" s="112"/>
      <c r="C88" s="112"/>
      <c r="D88" s="150" t="s">
        <v>287</v>
      </c>
      <c r="E88" s="114" t="str">
        <f>VLOOKUP(D88,Data!H:I,2,0)</f>
        <v>Ankara</v>
      </c>
      <c r="F88" s="115" t="str">
        <f>VLOOKUP(D88,Data!H:J,3,0)</f>
        <v>Nazım Öztel</v>
      </c>
      <c r="G88" s="116" t="b">
        <v>0</v>
      </c>
      <c r="H88" s="116" t="b">
        <v>0</v>
      </c>
      <c r="I88" s="116" t="b">
        <v>0</v>
      </c>
      <c r="J88" s="116" t="b">
        <v>0</v>
      </c>
      <c r="K88" s="116" t="b">
        <v>0</v>
      </c>
      <c r="L88" s="116" t="b">
        <v>0</v>
      </c>
      <c r="M88" s="116" t="b">
        <v>0</v>
      </c>
      <c r="N88" s="117">
        <f t="shared" si="1"/>
        <v>0</v>
      </c>
      <c r="O88" s="117">
        <f t="shared" si="2"/>
        <v>0</v>
      </c>
      <c r="P88" s="117"/>
      <c r="Q88" s="112"/>
    </row>
    <row r="89" ht="15.0" customHeight="1">
      <c r="A89" s="112"/>
      <c r="B89" s="112"/>
      <c r="C89" s="112"/>
      <c r="D89" s="150" t="s">
        <v>288</v>
      </c>
      <c r="E89" s="114" t="str">
        <f>VLOOKUP(D89,Data!H:I,2,0)</f>
        <v>Şanlıurfa</v>
      </c>
      <c r="F89" s="115" t="str">
        <f>VLOOKUP(D89,Data!H:J,3,0)</f>
        <v>Nazım Öztel</v>
      </c>
      <c r="G89" s="116" t="b">
        <v>1</v>
      </c>
      <c r="H89" s="116" t="b">
        <v>1</v>
      </c>
      <c r="I89" s="116" t="b">
        <v>0</v>
      </c>
      <c r="J89" s="116" t="b">
        <v>0</v>
      </c>
      <c r="K89" s="116" t="b">
        <v>0</v>
      </c>
      <c r="L89" s="116" t="b">
        <v>0</v>
      </c>
      <c r="M89" s="116" t="b">
        <v>0</v>
      </c>
      <c r="N89" s="117">
        <f t="shared" si="1"/>
        <v>2</v>
      </c>
      <c r="O89" s="117">
        <f t="shared" si="2"/>
        <v>8</v>
      </c>
      <c r="P89" s="117"/>
      <c r="Q89" s="112"/>
    </row>
    <row r="90" ht="15.0" customHeight="1">
      <c r="A90" s="112"/>
      <c r="B90" s="112"/>
      <c r="C90" s="112"/>
      <c r="D90" s="149" t="s">
        <v>289</v>
      </c>
      <c r="E90" s="114" t="str">
        <f>VLOOKUP(D90,Data!H:I,2,0)</f>
        <v>Elazığ</v>
      </c>
      <c r="F90" s="115" t="str">
        <f>VLOOKUP(D90,Data!H:J,3,0)</f>
        <v>Nazım Öztel</v>
      </c>
      <c r="G90" s="116" t="b">
        <v>0</v>
      </c>
      <c r="H90" s="116" t="b">
        <v>0</v>
      </c>
      <c r="I90" s="116" t="b">
        <v>0</v>
      </c>
      <c r="J90" s="116" t="b">
        <v>0</v>
      </c>
      <c r="K90" s="116" t="b">
        <v>0</v>
      </c>
      <c r="L90" s="116" t="b">
        <v>0</v>
      </c>
      <c r="M90" s="116" t="b">
        <v>0</v>
      </c>
      <c r="N90" s="117">
        <f t="shared" si="1"/>
        <v>0</v>
      </c>
      <c r="O90" s="117">
        <f t="shared" si="2"/>
        <v>0</v>
      </c>
      <c r="P90" s="117" t="s">
        <v>314</v>
      </c>
      <c r="Q90" s="112"/>
    </row>
    <row r="91" ht="15.0" customHeight="1">
      <c r="A91" s="112"/>
      <c r="B91" s="112"/>
      <c r="C91" s="112"/>
      <c r="D91" s="149" t="s">
        <v>290</v>
      </c>
      <c r="E91" s="114" t="str">
        <f>VLOOKUP(D91,Data!H:I,2,0)</f>
        <v>Bayburt</v>
      </c>
      <c r="F91" s="115" t="str">
        <f>VLOOKUP(D91,Data!H:J,3,0)</f>
        <v>Nazım Öztel</v>
      </c>
      <c r="G91" s="116" t="b">
        <v>0</v>
      </c>
      <c r="H91" s="116" t="b">
        <v>0</v>
      </c>
      <c r="I91" s="116" t="b">
        <v>0</v>
      </c>
      <c r="J91" s="116" t="b">
        <v>0</v>
      </c>
      <c r="K91" s="116" t="b">
        <v>0</v>
      </c>
      <c r="L91" s="116" t="b">
        <v>0</v>
      </c>
      <c r="M91" s="116" t="b">
        <v>0</v>
      </c>
      <c r="N91" s="117">
        <f t="shared" si="1"/>
        <v>0</v>
      </c>
      <c r="O91" s="117">
        <f t="shared" si="2"/>
        <v>0</v>
      </c>
      <c r="P91" s="117"/>
      <c r="Q91" s="112"/>
    </row>
    <row r="92" ht="15.0" customHeight="1">
      <c r="A92" s="112"/>
      <c r="B92" s="112"/>
      <c r="C92" s="112"/>
      <c r="D92" s="149" t="s">
        <v>291</v>
      </c>
      <c r="E92" s="114" t="str">
        <f>VLOOKUP(D92,Data!H:I,2,0)</f>
        <v>Bingöl</v>
      </c>
      <c r="F92" s="115" t="str">
        <f>VLOOKUP(D92,Data!H:J,3,0)</f>
        <v>Nazım Öztel</v>
      </c>
      <c r="G92" s="116" t="b">
        <v>1</v>
      </c>
      <c r="H92" s="116" t="b">
        <v>1</v>
      </c>
      <c r="I92" s="116" t="b">
        <v>1</v>
      </c>
      <c r="J92" s="116" t="b">
        <v>1</v>
      </c>
      <c r="K92" s="116" t="b">
        <v>1</v>
      </c>
      <c r="L92" s="116" t="b">
        <v>0</v>
      </c>
      <c r="M92" s="116" t="b">
        <v>0</v>
      </c>
      <c r="N92" s="117">
        <f t="shared" si="1"/>
        <v>5</v>
      </c>
      <c r="O92" s="117">
        <f t="shared" si="2"/>
        <v>20</v>
      </c>
      <c r="P92" s="117"/>
      <c r="Q92" s="112"/>
    </row>
    <row r="93" ht="15.0" customHeight="1">
      <c r="A93" s="112"/>
      <c r="B93" s="112"/>
      <c r="C93" s="112"/>
      <c r="D93" s="149" t="s">
        <v>292</v>
      </c>
      <c r="E93" s="114" t="str">
        <f>VLOOKUP(D93,Data!H:I,2,0)</f>
        <v>Diyarbakır</v>
      </c>
      <c r="F93" s="115" t="str">
        <f>VLOOKUP(D93,Data!H:J,3,0)</f>
        <v>Nazım Öztel</v>
      </c>
      <c r="G93" s="116" t="b">
        <v>0</v>
      </c>
      <c r="H93" s="116" t="b">
        <v>0</v>
      </c>
      <c r="I93" s="116" t="b">
        <v>0</v>
      </c>
      <c r="J93" s="116" t="b">
        <v>0</v>
      </c>
      <c r="K93" s="116" t="b">
        <v>0</v>
      </c>
      <c r="L93" s="116" t="b">
        <v>0</v>
      </c>
      <c r="M93" s="116" t="b">
        <v>0</v>
      </c>
      <c r="N93" s="117">
        <f t="shared" si="1"/>
        <v>0</v>
      </c>
      <c r="O93" s="117">
        <f t="shared" si="2"/>
        <v>0</v>
      </c>
      <c r="P93" s="117"/>
      <c r="Q93" s="112"/>
    </row>
    <row r="94" ht="15.0" customHeight="1">
      <c r="A94" s="112"/>
      <c r="B94" s="112"/>
      <c r="C94" s="112"/>
      <c r="D94" s="151" t="s">
        <v>293</v>
      </c>
      <c r="E94" s="114" t="str">
        <f>VLOOKUP(D94,Data!H:I,2,0)</f>
        <v>Çanakkale</v>
      </c>
      <c r="F94" s="115" t="str">
        <f>VLOOKUP(D94,Data!H:J,3,0)</f>
        <v>Nazım Öztel</v>
      </c>
      <c r="G94" s="116" t="b">
        <v>0</v>
      </c>
      <c r="H94" s="116" t="b">
        <v>0</v>
      </c>
      <c r="I94" s="116" t="b">
        <v>0</v>
      </c>
      <c r="J94" s="116" t="b">
        <v>0</v>
      </c>
      <c r="K94" s="116" t="b">
        <v>0</v>
      </c>
      <c r="L94" s="116" t="b">
        <v>0</v>
      </c>
      <c r="M94" s="116" t="b">
        <v>0</v>
      </c>
      <c r="N94" s="117">
        <f t="shared" si="1"/>
        <v>0</v>
      </c>
      <c r="O94" s="117">
        <f t="shared" si="2"/>
        <v>0</v>
      </c>
      <c r="P94" s="117" t="s">
        <v>313</v>
      </c>
      <c r="Q94" s="112"/>
    </row>
    <row r="95" ht="15.0" customHeight="1">
      <c r="A95" s="112"/>
      <c r="B95" s="112"/>
      <c r="C95" s="112"/>
      <c r="D95" s="149" t="s">
        <v>294</v>
      </c>
      <c r="E95" s="114" t="str">
        <f>VLOOKUP(D95,Data!H:I,2,0)</f>
        <v>Mersin</v>
      </c>
      <c r="F95" s="115" t="str">
        <f>VLOOKUP(D95,Data!H:J,3,0)</f>
        <v>Nazım Öztel</v>
      </c>
      <c r="G95" s="116" t="b">
        <v>0</v>
      </c>
      <c r="H95" s="116" t="b">
        <v>0</v>
      </c>
      <c r="I95" s="116" t="b">
        <v>0</v>
      </c>
      <c r="J95" s="116" t="b">
        <v>0</v>
      </c>
      <c r="K95" s="116" t="b">
        <v>0</v>
      </c>
      <c r="L95" s="116" t="b">
        <v>0</v>
      </c>
      <c r="M95" s="116" t="b">
        <v>0</v>
      </c>
      <c r="N95" s="117">
        <f t="shared" si="1"/>
        <v>0</v>
      </c>
      <c r="O95" s="117">
        <f t="shared" si="2"/>
        <v>0</v>
      </c>
      <c r="P95" s="117"/>
      <c r="Q95" s="112"/>
    </row>
    <row r="96" ht="15.0" customHeight="1">
      <c r="A96" s="112"/>
      <c r="B96" s="112"/>
      <c r="C96" s="112"/>
      <c r="D96" s="150" t="s">
        <v>295</v>
      </c>
      <c r="E96" s="114" t="str">
        <f>VLOOKUP(D96,Data!H:I,2,0)</f>
        <v>Giresun</v>
      </c>
      <c r="F96" s="115" t="str">
        <f>VLOOKUP(D96,Data!H:J,3,0)</f>
        <v>Nazım Öztel</v>
      </c>
      <c r="G96" s="139" t="b">
        <v>0</v>
      </c>
      <c r="H96" s="139" t="b">
        <v>0</v>
      </c>
      <c r="I96" s="139" t="b">
        <v>0</v>
      </c>
      <c r="J96" s="139" t="b">
        <v>0</v>
      </c>
      <c r="K96" s="139" t="b">
        <v>0</v>
      </c>
      <c r="L96" s="139" t="b">
        <v>0</v>
      </c>
      <c r="M96" s="139" t="b">
        <v>0</v>
      </c>
      <c r="N96" s="117">
        <f t="shared" si="1"/>
        <v>0</v>
      </c>
      <c r="O96" s="117">
        <f t="shared" si="2"/>
        <v>0</v>
      </c>
      <c r="P96" s="117"/>
      <c r="Q96" s="112"/>
    </row>
    <row r="97" ht="15.0" customHeight="1">
      <c r="A97" s="112"/>
      <c r="B97" s="112"/>
      <c r="C97" s="112"/>
      <c r="D97" s="149" t="s">
        <v>296</v>
      </c>
      <c r="E97" s="114" t="str">
        <f>VLOOKUP(D97,Data!H:I,2,0)</f>
        <v>Bilecik</v>
      </c>
      <c r="F97" s="115" t="str">
        <f>VLOOKUP(D97,Data!H:J,3,0)</f>
        <v>Nazım Öztel</v>
      </c>
      <c r="G97" s="139" t="b">
        <v>0</v>
      </c>
      <c r="H97" s="139" t="b">
        <v>0</v>
      </c>
      <c r="I97" s="139" t="b">
        <v>0</v>
      </c>
      <c r="J97" s="139" t="b">
        <v>0</v>
      </c>
      <c r="K97" s="139" t="b">
        <v>0</v>
      </c>
      <c r="L97" s="139" t="b">
        <v>0</v>
      </c>
      <c r="M97" s="139" t="b">
        <v>0</v>
      </c>
      <c r="N97" s="117">
        <f t="shared" ref="N97:O97" si="3">SUM(N15:N95)</f>
        <v>88</v>
      </c>
      <c r="O97" s="117">
        <f t="shared" si="3"/>
        <v>352</v>
      </c>
      <c r="P97" s="117"/>
      <c r="Q97" s="112"/>
    </row>
    <row r="98" ht="15.0" customHeight="1">
      <c r="A98" s="112"/>
      <c r="B98" s="112"/>
      <c r="C98" s="112"/>
      <c r="D98" s="149"/>
      <c r="E98" s="144"/>
      <c r="F98" s="144"/>
      <c r="G98" s="117">
        <f t="shared" ref="G98:M98" si="4">4*(COUNTIF(G15:G96,"true"))</f>
        <v>60</v>
      </c>
      <c r="H98" s="117">
        <f t="shared" si="4"/>
        <v>84</v>
      </c>
      <c r="I98" s="117">
        <f t="shared" si="4"/>
        <v>64</v>
      </c>
      <c r="J98" s="117">
        <f t="shared" si="4"/>
        <v>72</v>
      </c>
      <c r="K98" s="117">
        <f t="shared" si="4"/>
        <v>68</v>
      </c>
      <c r="L98" s="117">
        <f t="shared" si="4"/>
        <v>4</v>
      </c>
      <c r="M98" s="117">
        <f t="shared" si="4"/>
        <v>0</v>
      </c>
      <c r="N98" s="117">
        <f t="shared" ref="N98:O98" si="5">SUM(N15:N97)</f>
        <v>176</v>
      </c>
      <c r="O98" s="117">
        <f t="shared" si="5"/>
        <v>704</v>
      </c>
      <c r="P98" s="135"/>
      <c r="Q98" s="112"/>
    </row>
    <row r="99" ht="15.0" customHeight="1">
      <c r="A99" s="112"/>
      <c r="B99" s="112"/>
      <c r="C99" s="112"/>
      <c r="D99" s="149"/>
      <c r="E99" s="144"/>
      <c r="F99" s="144"/>
      <c r="G99" s="135"/>
      <c r="H99" s="135"/>
      <c r="I99" s="135"/>
      <c r="J99" s="135"/>
      <c r="K99" s="135"/>
      <c r="L99" s="135"/>
      <c r="M99" s="135"/>
      <c r="N99" s="135"/>
      <c r="O99" s="135"/>
      <c r="P99" s="135"/>
      <c r="Q99" s="112"/>
    </row>
    <row r="100" ht="15.0" customHeight="1">
      <c r="A100" s="112"/>
      <c r="B100" s="112"/>
      <c r="C100" s="112"/>
      <c r="D100" s="149"/>
      <c r="E100" s="144"/>
      <c r="F100" s="144"/>
      <c r="G100" s="135"/>
      <c r="H100" s="135"/>
      <c r="I100" s="135"/>
      <c r="J100" s="135"/>
      <c r="K100" s="135"/>
      <c r="L100" s="135"/>
      <c r="M100" s="135"/>
      <c r="N100" s="135"/>
      <c r="O100" s="135"/>
      <c r="P100" s="135"/>
      <c r="Q100" s="112"/>
    </row>
    <row r="101" ht="15.0" customHeight="1">
      <c r="A101" s="112"/>
      <c r="B101" s="112"/>
      <c r="C101" s="112"/>
      <c r="D101" s="149"/>
      <c r="E101" s="144"/>
      <c r="F101" s="144"/>
      <c r="G101" s="135"/>
      <c r="H101" s="135"/>
      <c r="I101" s="135"/>
      <c r="J101" s="135"/>
      <c r="K101" s="135"/>
      <c r="L101" s="135"/>
      <c r="M101" s="135"/>
      <c r="N101" s="135"/>
      <c r="O101" s="135"/>
      <c r="P101" s="135"/>
      <c r="Q101" s="112"/>
    </row>
  </sheetData>
  <mergeCells count="4">
    <mergeCell ref="D6:M6"/>
    <mergeCell ref="D7:F7"/>
    <mergeCell ref="D9:D12"/>
    <mergeCell ref="F10:O11"/>
  </mergeCells>
  <conditionalFormatting sqref="G15:M97">
    <cfRule type="cellIs" dxfId="1" priority="1" operator="equal">
      <formula>"False"</formula>
    </cfRule>
  </conditionalFormatting>
  <conditionalFormatting sqref="G15:M97">
    <cfRule type="cellIs" dxfId="0" priority="2" operator="equal">
      <formula>"TRUE"</formula>
    </cfRule>
  </conditionalFormatting>
  <dataValidations>
    <dataValidation type="list" allowBlank="1" showErrorMessage="1" sqref="E15:E101">
      <formula1>Data!$A$2:$A$100</formula1>
    </dataValidation>
    <dataValidation type="list" allowBlank="1" showErrorMessage="1" sqref="F15:F101">
      <formula1>Data!$C$2:$C$8</formula1>
    </dataValidation>
  </dataValidations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3" width="2.63"/>
    <col customWidth="1" min="4" max="4" width="20.38"/>
    <col customWidth="1" min="5" max="5" width="11.38"/>
    <col customWidth="1" min="6" max="6" width="16.63"/>
    <col customWidth="1" min="7" max="13" width="8.63"/>
    <col customWidth="1" min="14" max="14" width="12.63"/>
    <col customWidth="1" min="15" max="15" width="15.13"/>
    <col customWidth="1" min="16" max="16" width="15.88"/>
    <col customWidth="1" min="17" max="17" width="2.63"/>
  </cols>
  <sheetData>
    <row r="1" ht="7.5" customHeight="1">
      <c r="A1" s="140"/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5"/>
      <c r="O1" s="86"/>
      <c r="P1" s="155"/>
      <c r="Q1" s="86"/>
    </row>
    <row r="2" ht="15.0" customHeight="1">
      <c r="A2" s="87"/>
      <c r="B2" s="87"/>
      <c r="C2" s="87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7"/>
      <c r="P2" s="87"/>
      <c r="Q2" s="87"/>
    </row>
    <row r="3" ht="3.75" customHeight="1">
      <c r="A3" s="87"/>
      <c r="B3" s="87"/>
      <c r="C3" s="87"/>
      <c r="D3" s="89"/>
      <c r="E3" s="90"/>
      <c r="F3" s="90"/>
      <c r="G3" s="90"/>
      <c r="H3" s="90"/>
      <c r="I3" s="90"/>
      <c r="J3" s="90"/>
      <c r="K3" s="90"/>
      <c r="L3" s="90"/>
      <c r="M3" s="90"/>
      <c r="N3" s="90"/>
      <c r="O3" s="87"/>
      <c r="P3" s="87"/>
      <c r="Q3" s="87"/>
    </row>
    <row r="4" ht="15.0" customHeight="1">
      <c r="A4" s="87"/>
      <c r="B4" s="87"/>
      <c r="C4" s="87"/>
      <c r="D4" s="88"/>
      <c r="E4" s="88"/>
      <c r="F4" s="88"/>
      <c r="G4" s="91"/>
      <c r="H4" s="91"/>
      <c r="I4" s="91"/>
      <c r="J4" s="91"/>
      <c r="K4" s="91"/>
      <c r="L4" s="91"/>
      <c r="M4" s="91"/>
      <c r="N4" s="91"/>
      <c r="O4" s="87"/>
      <c r="P4" s="87"/>
      <c r="Q4" s="87"/>
    </row>
    <row r="5" ht="15.0" customHeight="1">
      <c r="A5" s="92"/>
      <c r="B5" s="92"/>
      <c r="C5" s="92"/>
      <c r="D5" s="88"/>
      <c r="E5" s="88"/>
      <c r="F5" s="88"/>
      <c r="G5" s="93"/>
      <c r="H5" s="93"/>
      <c r="I5" s="93"/>
      <c r="J5" s="93"/>
      <c r="K5" s="93"/>
      <c r="L5" s="93"/>
      <c r="M5" s="93"/>
      <c r="N5" s="94"/>
      <c r="O5" s="88"/>
      <c r="P5" s="92"/>
      <c r="Q5" s="92"/>
    </row>
    <row r="6" ht="15.0" customHeight="1">
      <c r="A6" s="92"/>
      <c r="B6" s="92"/>
      <c r="C6" s="92"/>
      <c r="D6" s="95" t="s">
        <v>315</v>
      </c>
      <c r="N6" s="94"/>
      <c r="O6" s="88"/>
      <c r="P6" s="92"/>
      <c r="Q6" s="92"/>
    </row>
    <row r="7" ht="15.0" customHeight="1">
      <c r="A7" s="92"/>
      <c r="B7" s="92"/>
      <c r="C7" s="92"/>
      <c r="D7" s="96" t="s">
        <v>278</v>
      </c>
      <c r="G7" s="97"/>
      <c r="H7" s="97"/>
      <c r="I7" s="97"/>
      <c r="J7" s="97"/>
      <c r="K7" s="97"/>
      <c r="L7" s="97"/>
      <c r="M7" s="97"/>
      <c r="N7" s="92"/>
      <c r="O7" s="92"/>
      <c r="P7" s="92"/>
      <c r="Q7" s="92"/>
    </row>
    <row r="8" ht="15.0" customHeight="1">
      <c r="A8" s="92"/>
      <c r="B8" s="92"/>
      <c r="C8" s="92"/>
      <c r="D8" s="97"/>
      <c r="E8" s="97"/>
      <c r="F8" s="97"/>
      <c r="G8" s="97"/>
      <c r="H8" s="97"/>
      <c r="I8" s="97"/>
      <c r="J8" s="97"/>
      <c r="K8" s="97"/>
      <c r="L8" s="97"/>
      <c r="M8" s="97"/>
      <c r="N8" s="92"/>
      <c r="O8" s="92"/>
      <c r="P8" s="92"/>
      <c r="Q8" s="92"/>
    </row>
    <row r="9" ht="15.0" customHeight="1">
      <c r="A9" s="92"/>
      <c r="B9" s="92"/>
      <c r="C9" s="98"/>
      <c r="D9" s="99" t="s">
        <v>35</v>
      </c>
      <c r="E9" s="100"/>
      <c r="F9" s="101"/>
      <c r="G9" s="101"/>
      <c r="H9" s="101"/>
      <c r="I9" s="101"/>
      <c r="J9" s="101"/>
      <c r="K9" s="101"/>
      <c r="L9" s="101"/>
      <c r="M9" s="101"/>
      <c r="N9" s="101"/>
      <c r="O9" s="100"/>
      <c r="P9" s="102"/>
      <c r="Q9" s="102"/>
    </row>
    <row r="10" ht="15.0" customHeight="1">
      <c r="A10" s="92"/>
      <c r="B10" s="92"/>
      <c r="C10" s="98"/>
      <c r="E10" s="100"/>
      <c r="F10" s="103" t="s">
        <v>36</v>
      </c>
      <c r="P10" s="102"/>
      <c r="Q10" s="102"/>
    </row>
    <row r="11" ht="15.0" customHeight="1">
      <c r="A11" s="92"/>
      <c r="B11" s="92"/>
      <c r="C11" s="98"/>
      <c r="E11" s="100"/>
      <c r="P11" s="102"/>
      <c r="Q11" s="102"/>
    </row>
    <row r="12" ht="15.0" customHeight="1">
      <c r="A12" s="88"/>
      <c r="B12" s="92"/>
      <c r="C12" s="92"/>
      <c r="E12" s="100"/>
      <c r="F12" s="100"/>
      <c r="G12" s="100"/>
      <c r="H12" s="100"/>
      <c r="I12" s="100"/>
      <c r="J12" s="100"/>
      <c r="K12" s="100"/>
      <c r="L12" s="100"/>
      <c r="M12" s="100"/>
      <c r="N12" s="100"/>
      <c r="O12" s="100"/>
      <c r="P12" s="102"/>
      <c r="Q12" s="102"/>
    </row>
    <row r="13" ht="15.0" customHeight="1">
      <c r="A13" s="88"/>
      <c r="B13" s="104"/>
      <c r="C13" s="104"/>
      <c r="D13" s="104"/>
      <c r="E13" s="104"/>
      <c r="F13" s="105"/>
      <c r="G13" s="105"/>
      <c r="H13" s="105"/>
      <c r="I13" s="105"/>
      <c r="J13" s="105"/>
      <c r="K13" s="105"/>
      <c r="L13" s="105"/>
      <c r="M13" s="105"/>
      <c r="N13" s="104"/>
      <c r="O13" s="104"/>
      <c r="P13" s="104"/>
      <c r="Q13" s="104"/>
    </row>
    <row r="14" ht="15.0" customHeight="1">
      <c r="A14" s="106"/>
      <c r="B14" s="106"/>
      <c r="C14" s="106"/>
      <c r="D14" s="107" t="s">
        <v>37</v>
      </c>
      <c r="E14" s="108" t="s">
        <v>38</v>
      </c>
      <c r="F14" s="109" t="s">
        <v>39</v>
      </c>
      <c r="G14" s="110">
        <v>44648.0</v>
      </c>
      <c r="H14" s="110">
        <v>44649.0</v>
      </c>
      <c r="I14" s="110">
        <v>44650.0</v>
      </c>
      <c r="J14" s="110">
        <v>44651.0</v>
      </c>
      <c r="K14" s="110">
        <v>44652.0</v>
      </c>
      <c r="L14" s="110">
        <v>44653.0</v>
      </c>
      <c r="M14" s="110">
        <v>44654.0</v>
      </c>
      <c r="N14" s="111" t="s">
        <v>40</v>
      </c>
      <c r="O14" s="111" t="s">
        <v>41</v>
      </c>
      <c r="P14" s="156" t="s">
        <v>281</v>
      </c>
      <c r="Q14" s="88"/>
    </row>
    <row r="15" ht="15.0" customHeight="1">
      <c r="A15" s="112"/>
      <c r="B15" s="112"/>
      <c r="C15" s="112"/>
      <c r="D15" s="129" t="s">
        <v>271</v>
      </c>
      <c r="E15" s="114" t="str">
        <f>VLOOKUP(D15,Data!H:I,2,0)</f>
        <v>Adıyaman</v>
      </c>
      <c r="F15" s="115" t="str">
        <f>VLOOKUP(D15,Data!H:J,3,0)</f>
        <v>Nazım Öztel</v>
      </c>
      <c r="G15" s="116" t="b">
        <v>0</v>
      </c>
      <c r="H15" s="116" t="b">
        <v>0</v>
      </c>
      <c r="I15" s="116" t="b">
        <v>0</v>
      </c>
      <c r="J15" s="116" t="b">
        <v>0</v>
      </c>
      <c r="K15" s="116" t="b">
        <v>0</v>
      </c>
      <c r="L15" s="116" t="b">
        <v>1</v>
      </c>
      <c r="M15" s="116" t="b">
        <v>0</v>
      </c>
      <c r="N15" s="117">
        <f t="shared" ref="N15:N95" si="1">COUNTIF(G15:M15,"TRUE")</f>
        <v>1</v>
      </c>
      <c r="O15" s="117">
        <f t="shared" ref="O15:O95" si="2">N15*4</f>
        <v>4</v>
      </c>
      <c r="P15" s="157"/>
      <c r="Q15" s="88"/>
    </row>
    <row r="16" ht="15.0" customHeight="1">
      <c r="A16" s="112"/>
      <c r="B16" s="112"/>
      <c r="C16" s="112"/>
      <c r="D16" s="129" t="s">
        <v>279</v>
      </c>
      <c r="E16" s="114" t="str">
        <f>VLOOKUP(D16,Data!H:I,2,0)</f>
        <v>Amasya</v>
      </c>
      <c r="F16" s="115" t="str">
        <f>VLOOKUP(D16,Data!H:J,3,0)</f>
        <v>Nazım Öztel</v>
      </c>
      <c r="G16" s="116" t="b">
        <v>0</v>
      </c>
      <c r="H16" s="116" t="b">
        <v>0</v>
      </c>
      <c r="I16" s="116" t="b">
        <v>0</v>
      </c>
      <c r="J16" s="116" t="b">
        <v>0</v>
      </c>
      <c r="K16" s="116" t="b">
        <v>0</v>
      </c>
      <c r="L16" s="116" t="b">
        <v>0</v>
      </c>
      <c r="M16" s="116" t="b">
        <v>0</v>
      </c>
      <c r="N16" s="117">
        <f t="shared" si="1"/>
        <v>0</v>
      </c>
      <c r="O16" s="117">
        <f t="shared" si="2"/>
        <v>0</v>
      </c>
      <c r="P16" s="157"/>
      <c r="Q16" s="88"/>
    </row>
    <row r="17" ht="15.0" customHeight="1">
      <c r="A17" s="112"/>
      <c r="B17" s="112"/>
      <c r="C17" s="112"/>
      <c r="D17" s="129" t="s">
        <v>246</v>
      </c>
      <c r="E17" s="114" t="str">
        <f>VLOOKUP(D17,Data!H:I,2,0)</f>
        <v>Ankara</v>
      </c>
      <c r="F17" s="115" t="str">
        <f>VLOOKUP(D17,Data!H:J,3,0)</f>
        <v>Nazım Öztel</v>
      </c>
      <c r="G17" s="116" t="b">
        <v>0</v>
      </c>
      <c r="H17" s="116" t="b">
        <v>0</v>
      </c>
      <c r="I17" s="116" t="b">
        <v>0</v>
      </c>
      <c r="J17" s="116" t="b">
        <v>0</v>
      </c>
      <c r="K17" s="116" t="b">
        <v>0</v>
      </c>
      <c r="L17" s="116" t="b">
        <v>0</v>
      </c>
      <c r="M17" s="116" t="b">
        <v>0</v>
      </c>
      <c r="N17" s="117">
        <f t="shared" si="1"/>
        <v>0</v>
      </c>
      <c r="O17" s="117">
        <f t="shared" si="2"/>
        <v>0</v>
      </c>
      <c r="P17" s="157" t="s">
        <v>299</v>
      </c>
      <c r="Q17" s="88"/>
    </row>
    <row r="18" ht="15.0" customHeight="1">
      <c r="A18" s="112"/>
      <c r="B18" s="112"/>
      <c r="C18" s="112"/>
      <c r="D18" s="129" t="s">
        <v>261</v>
      </c>
      <c r="E18" s="114" t="str">
        <f>VLOOKUP(D18,Data!H:I,2,0)</f>
        <v>Ankara</v>
      </c>
      <c r="F18" s="115" t="str">
        <f>VLOOKUP(D18,Data!H:J,3,0)</f>
        <v>Nazım Öztel</v>
      </c>
      <c r="G18" s="116" t="b">
        <v>0</v>
      </c>
      <c r="H18" s="116" t="b">
        <v>0</v>
      </c>
      <c r="I18" s="116" t="b">
        <v>0</v>
      </c>
      <c r="J18" s="116" t="b">
        <v>0</v>
      </c>
      <c r="K18" s="116" t="b">
        <v>0</v>
      </c>
      <c r="L18" s="116" t="b">
        <v>0</v>
      </c>
      <c r="M18" s="116" t="b">
        <v>0</v>
      </c>
      <c r="N18" s="117">
        <f t="shared" si="1"/>
        <v>0</v>
      </c>
      <c r="O18" s="117">
        <f t="shared" si="2"/>
        <v>0</v>
      </c>
      <c r="P18" s="157"/>
      <c r="Q18" s="88"/>
    </row>
    <row r="19" ht="15.0" customHeight="1">
      <c r="A19" s="106"/>
      <c r="B19" s="106"/>
      <c r="C19" s="106"/>
      <c r="D19" s="129" t="s">
        <v>164</v>
      </c>
      <c r="E19" s="114" t="str">
        <f>VLOOKUP(D19,Data!H:I,2,0)</f>
        <v>Antalya</v>
      </c>
      <c r="F19" s="115" t="str">
        <f>VLOOKUP(D19,Data!H:J,3,0)</f>
        <v>Nazım Öztel</v>
      </c>
      <c r="G19" s="116" t="b">
        <v>1</v>
      </c>
      <c r="H19" s="116" t="b">
        <v>0</v>
      </c>
      <c r="I19" s="116" t="b">
        <v>1</v>
      </c>
      <c r="J19" s="116" t="b">
        <v>0</v>
      </c>
      <c r="K19" s="116" t="b">
        <v>1</v>
      </c>
      <c r="L19" s="116" t="b">
        <v>0</v>
      </c>
      <c r="M19" s="116" t="b">
        <v>0</v>
      </c>
      <c r="N19" s="117">
        <f t="shared" si="1"/>
        <v>3</v>
      </c>
      <c r="O19" s="117">
        <f t="shared" si="2"/>
        <v>12</v>
      </c>
      <c r="P19" s="157"/>
      <c r="Q19" s="106"/>
    </row>
    <row r="20" ht="15.0" customHeight="1">
      <c r="A20" s="106"/>
      <c r="B20" s="106"/>
      <c r="C20" s="106"/>
      <c r="D20" s="152" t="s">
        <v>197</v>
      </c>
      <c r="E20" s="114" t="s">
        <v>262</v>
      </c>
      <c r="F20" s="115" t="s">
        <v>61</v>
      </c>
      <c r="G20" s="116" t="b">
        <v>0</v>
      </c>
      <c r="H20" s="116" t="b">
        <v>0</v>
      </c>
      <c r="I20" s="116" t="b">
        <v>1</v>
      </c>
      <c r="J20" s="116" t="b">
        <v>1</v>
      </c>
      <c r="K20" s="116" t="b">
        <v>0</v>
      </c>
      <c r="L20" s="116" t="b">
        <v>0</v>
      </c>
      <c r="M20" s="116" t="b">
        <v>0</v>
      </c>
      <c r="N20" s="117">
        <f t="shared" si="1"/>
        <v>2</v>
      </c>
      <c r="O20" s="117">
        <f t="shared" si="2"/>
        <v>8</v>
      </c>
      <c r="P20" s="157"/>
      <c r="Q20" s="106"/>
    </row>
    <row r="21" ht="15.0" customHeight="1">
      <c r="A21" s="112"/>
      <c r="B21" s="112"/>
      <c r="C21" s="112"/>
      <c r="D21" s="129" t="s">
        <v>241</v>
      </c>
      <c r="E21" s="114" t="s">
        <v>184</v>
      </c>
      <c r="F21" s="115" t="s">
        <v>61</v>
      </c>
      <c r="G21" s="116" t="b">
        <v>0</v>
      </c>
      <c r="H21" s="116" t="b">
        <v>0</v>
      </c>
      <c r="I21" s="116" t="b">
        <v>0</v>
      </c>
      <c r="J21" s="116" t="b">
        <v>0</v>
      </c>
      <c r="K21" s="116" t="b">
        <v>0</v>
      </c>
      <c r="L21" s="116" t="b">
        <v>0</v>
      </c>
      <c r="M21" s="116" t="b">
        <v>0</v>
      </c>
      <c r="N21" s="117">
        <f t="shared" si="1"/>
        <v>0</v>
      </c>
      <c r="O21" s="117">
        <f t="shared" si="2"/>
        <v>0</v>
      </c>
      <c r="P21" s="158" t="s">
        <v>306</v>
      </c>
      <c r="Q21" s="112"/>
    </row>
    <row r="22" ht="15.0" customHeight="1">
      <c r="A22" s="112"/>
      <c r="B22" s="112"/>
      <c r="C22" s="112"/>
      <c r="D22" s="129" t="s">
        <v>263</v>
      </c>
      <c r="E22" s="114" t="str">
        <f>VLOOKUP(D22,Data!H:I,2,0)</f>
        <v>Bolu</v>
      </c>
      <c r="F22" s="115" t="str">
        <f>VLOOKUP(D22,Data!H:J,3,0)</f>
        <v>Nazım Öztel</v>
      </c>
      <c r="G22" s="116" t="b">
        <v>0</v>
      </c>
      <c r="H22" s="116" t="b">
        <v>0</v>
      </c>
      <c r="I22" s="116" t="b">
        <v>0</v>
      </c>
      <c r="J22" s="116" t="b">
        <v>0</v>
      </c>
      <c r="K22" s="116" t="b">
        <v>0</v>
      </c>
      <c r="L22" s="116" t="b">
        <v>0</v>
      </c>
      <c r="M22" s="116" t="b">
        <v>0</v>
      </c>
      <c r="N22" s="117">
        <f t="shared" si="1"/>
        <v>0</v>
      </c>
      <c r="O22" s="117">
        <f t="shared" si="2"/>
        <v>0</v>
      </c>
      <c r="P22" s="157"/>
      <c r="Q22" s="112"/>
    </row>
    <row r="23" ht="15.0" customHeight="1">
      <c r="A23" s="112"/>
      <c r="B23" s="112"/>
      <c r="C23" s="112"/>
      <c r="D23" s="129" t="s">
        <v>53</v>
      </c>
      <c r="E23" s="114" t="str">
        <f>VLOOKUP(D23,Data!H:I,2,0)</f>
        <v>Bursa</v>
      </c>
      <c r="F23" s="115" t="str">
        <f>VLOOKUP(D23,Data!H:J,3,0)</f>
        <v>Freelance</v>
      </c>
      <c r="G23" s="116" t="b">
        <v>0</v>
      </c>
      <c r="H23" s="116" t="b">
        <v>0</v>
      </c>
      <c r="I23" s="116" t="b">
        <v>0</v>
      </c>
      <c r="J23" s="116" t="b">
        <v>0</v>
      </c>
      <c r="K23" s="116" t="b">
        <v>0</v>
      </c>
      <c r="L23" s="116" t="b">
        <v>0</v>
      </c>
      <c r="M23" s="116" t="b">
        <v>0</v>
      </c>
      <c r="N23" s="117">
        <f t="shared" si="1"/>
        <v>0</v>
      </c>
      <c r="O23" s="117">
        <f t="shared" si="2"/>
        <v>0</v>
      </c>
      <c r="P23" s="157"/>
      <c r="Q23" s="112"/>
    </row>
    <row r="24" ht="15.0" customHeight="1">
      <c r="A24" s="112"/>
      <c r="B24" s="112"/>
      <c r="C24" s="112"/>
      <c r="D24" s="129" t="s">
        <v>247</v>
      </c>
      <c r="E24" s="114" t="str">
        <f>VLOOKUP(D24,Data!H:I,2,0)</f>
        <v>Çanakkale</v>
      </c>
      <c r="F24" s="115" t="str">
        <f>VLOOKUP(D24,Data!H:J,3,0)</f>
        <v>Nazım Öztel</v>
      </c>
      <c r="G24" s="116" t="b">
        <v>0</v>
      </c>
      <c r="H24" s="116" t="b">
        <v>0</v>
      </c>
      <c r="I24" s="116" t="b">
        <v>0</v>
      </c>
      <c r="J24" s="116" t="b">
        <v>0</v>
      </c>
      <c r="K24" s="116" t="b">
        <v>0</v>
      </c>
      <c r="L24" s="116" t="b">
        <v>0</v>
      </c>
      <c r="M24" s="116" t="b">
        <v>0</v>
      </c>
      <c r="N24" s="117">
        <f t="shared" si="1"/>
        <v>0</v>
      </c>
      <c r="O24" s="117">
        <f t="shared" si="2"/>
        <v>0</v>
      </c>
      <c r="P24" s="157" t="s">
        <v>299</v>
      </c>
      <c r="Q24" s="112"/>
    </row>
    <row r="25" ht="15.0" customHeight="1">
      <c r="A25" s="112"/>
      <c r="B25" s="112"/>
      <c r="C25" s="112"/>
      <c r="D25" s="129" t="s">
        <v>221</v>
      </c>
      <c r="E25" s="114" t="str">
        <f>VLOOKUP(D25,Data!H:I,2,0)</f>
        <v>Çorum</v>
      </c>
      <c r="F25" s="115" t="str">
        <f>VLOOKUP(D25,Data!H:J,3,0)</f>
        <v>Nazım Öztel</v>
      </c>
      <c r="G25" s="116" t="b">
        <v>0</v>
      </c>
      <c r="H25" s="116" t="b">
        <v>0</v>
      </c>
      <c r="I25" s="116" t="b">
        <v>0</v>
      </c>
      <c r="J25" s="116" t="b">
        <v>0</v>
      </c>
      <c r="K25" s="116" t="b">
        <v>0</v>
      </c>
      <c r="L25" s="116" t="b">
        <v>0</v>
      </c>
      <c r="M25" s="116" t="b">
        <v>0</v>
      </c>
      <c r="N25" s="117">
        <f t="shared" si="1"/>
        <v>0</v>
      </c>
      <c r="O25" s="117">
        <f t="shared" si="2"/>
        <v>0</v>
      </c>
      <c r="P25" s="157"/>
      <c r="Q25" s="112"/>
    </row>
    <row r="26" ht="15.0" customHeight="1">
      <c r="A26" s="112"/>
      <c r="B26" s="112"/>
      <c r="C26" s="112"/>
      <c r="D26" s="129" t="s">
        <v>264</v>
      </c>
      <c r="E26" s="114" t="str">
        <f>VLOOKUP(D26,Data!H:I,2,0)</f>
        <v>Denizli</v>
      </c>
      <c r="F26" s="115" t="str">
        <f>VLOOKUP(D26,Data!H:J,3,0)</f>
        <v>Nazım Öztel</v>
      </c>
      <c r="G26" s="116" t="b">
        <v>0</v>
      </c>
      <c r="H26" s="116" t="b">
        <v>0</v>
      </c>
      <c r="I26" s="116" t="b">
        <v>0</v>
      </c>
      <c r="J26" s="116" t="b">
        <v>0</v>
      </c>
      <c r="K26" s="116" t="b">
        <v>0</v>
      </c>
      <c r="L26" s="116" t="b">
        <v>0</v>
      </c>
      <c r="M26" s="116" t="b">
        <v>0</v>
      </c>
      <c r="N26" s="117">
        <f t="shared" si="1"/>
        <v>0</v>
      </c>
      <c r="O26" s="117">
        <f t="shared" si="2"/>
        <v>0</v>
      </c>
      <c r="P26" s="157" t="s">
        <v>307</v>
      </c>
      <c r="Q26" s="112"/>
    </row>
    <row r="27" ht="15.0" customHeight="1">
      <c r="A27" s="112"/>
      <c r="B27" s="112"/>
      <c r="C27" s="112"/>
      <c r="D27" s="132" t="s">
        <v>54</v>
      </c>
      <c r="E27" s="114" t="str">
        <f>VLOOKUP(D27,Data!H:I,2,0)</f>
        <v>Diyarbakır</v>
      </c>
      <c r="F27" s="115" t="str">
        <f>VLOOKUP(D27,Data!H:J,3,0)</f>
        <v>Nazım Öztel</v>
      </c>
      <c r="G27" s="116" t="b">
        <v>0</v>
      </c>
      <c r="H27" s="116" t="b">
        <v>0</v>
      </c>
      <c r="I27" s="116" t="b">
        <v>0</v>
      </c>
      <c r="J27" s="116" t="b">
        <v>0</v>
      </c>
      <c r="K27" s="116" t="b">
        <v>0</v>
      </c>
      <c r="L27" s="116" t="b">
        <v>0</v>
      </c>
      <c r="M27" s="116" t="b">
        <v>0</v>
      </c>
      <c r="N27" s="117">
        <f t="shared" si="1"/>
        <v>0</v>
      </c>
      <c r="O27" s="117">
        <f t="shared" si="2"/>
        <v>0</v>
      </c>
      <c r="P27" s="157" t="s">
        <v>313</v>
      </c>
      <c r="Q27" s="112"/>
    </row>
    <row r="28" ht="15.0" customHeight="1">
      <c r="A28" s="112"/>
      <c r="B28" s="112"/>
      <c r="C28" s="112"/>
      <c r="D28" s="129" t="s">
        <v>173</v>
      </c>
      <c r="E28" s="114" t="str">
        <f>VLOOKUP(D28,Data!H:I,2,0)</f>
        <v>Düzce</v>
      </c>
      <c r="F28" s="115" t="str">
        <f>VLOOKUP(D28,Data!H:J,3,0)</f>
        <v>Nazım Öztel</v>
      </c>
      <c r="G28" s="116" t="b">
        <v>0</v>
      </c>
      <c r="H28" s="116" t="b">
        <v>0</v>
      </c>
      <c r="I28" s="116" t="b">
        <v>0</v>
      </c>
      <c r="J28" s="116" t="b">
        <v>0</v>
      </c>
      <c r="K28" s="116" t="b">
        <v>0</v>
      </c>
      <c r="L28" s="116" t="b">
        <v>0</v>
      </c>
      <c r="M28" s="116" t="b">
        <v>0</v>
      </c>
      <c r="N28" s="117">
        <f t="shared" si="1"/>
        <v>0</v>
      </c>
      <c r="O28" s="117">
        <f t="shared" si="2"/>
        <v>0</v>
      </c>
      <c r="P28" s="157" t="s">
        <v>314</v>
      </c>
      <c r="Q28" s="112"/>
    </row>
    <row r="29" ht="15.0" customHeight="1">
      <c r="A29" s="112"/>
      <c r="B29" s="112"/>
      <c r="C29" s="112"/>
      <c r="D29" s="129" t="s">
        <v>153</v>
      </c>
      <c r="E29" s="114" t="str">
        <f>VLOOKUP(D29,Data!H:I,2,0)</f>
        <v>Edirne</v>
      </c>
      <c r="F29" s="115" t="str">
        <f>VLOOKUP(D29,Data!H:J,3,0)</f>
        <v>Nazım Öztel</v>
      </c>
      <c r="G29" s="116" t="b">
        <v>0</v>
      </c>
      <c r="H29" s="116" t="b">
        <v>0</v>
      </c>
      <c r="I29" s="116" t="b">
        <v>0</v>
      </c>
      <c r="J29" s="116" t="b">
        <v>0</v>
      </c>
      <c r="K29" s="116" t="b">
        <v>0</v>
      </c>
      <c r="L29" s="116" t="b">
        <v>0</v>
      </c>
      <c r="M29" s="116" t="b">
        <v>0</v>
      </c>
      <c r="N29" s="117">
        <f t="shared" si="1"/>
        <v>0</v>
      </c>
      <c r="O29" s="117">
        <f t="shared" si="2"/>
        <v>0</v>
      </c>
      <c r="P29" s="157" t="s">
        <v>314</v>
      </c>
      <c r="Q29" s="112"/>
    </row>
    <row r="30" ht="15.0" customHeight="1">
      <c r="A30" s="112"/>
      <c r="B30" s="112"/>
      <c r="C30" s="112"/>
      <c r="D30" s="129" t="s">
        <v>199</v>
      </c>
      <c r="E30" s="114" t="str">
        <f>VLOOKUP(D30,Data!H:I,2,0)</f>
        <v>Elazığ</v>
      </c>
      <c r="F30" s="115" t="str">
        <f>VLOOKUP(D30,Data!H:J,3,0)</f>
        <v>Nazım Öztel</v>
      </c>
      <c r="G30" s="116" t="b">
        <v>0</v>
      </c>
      <c r="H30" s="116" t="b">
        <v>0</v>
      </c>
      <c r="I30" s="116" t="b">
        <v>0</v>
      </c>
      <c r="J30" s="116" t="b">
        <v>0</v>
      </c>
      <c r="K30" s="116" t="b">
        <v>0</v>
      </c>
      <c r="L30" s="116" t="b">
        <v>0</v>
      </c>
      <c r="M30" s="116" t="b">
        <v>0</v>
      </c>
      <c r="N30" s="117">
        <f t="shared" si="1"/>
        <v>0</v>
      </c>
      <c r="O30" s="117">
        <f t="shared" si="2"/>
        <v>0</v>
      </c>
      <c r="P30" s="157" t="s">
        <v>314</v>
      </c>
      <c r="Q30" s="112"/>
    </row>
    <row r="31" ht="15.0" customHeight="1">
      <c r="A31" s="112"/>
      <c r="B31" s="112"/>
      <c r="C31" s="112"/>
      <c r="D31" s="132" t="s">
        <v>55</v>
      </c>
      <c r="E31" s="114" t="str">
        <f>VLOOKUP(D31,Data!H:I,2,0)</f>
        <v>Erzurum</v>
      </c>
      <c r="F31" s="115" t="str">
        <f>VLOOKUP(D31,Data!H:J,3,0)</f>
        <v>Nazım Öztel</v>
      </c>
      <c r="G31" s="116" t="b">
        <v>0</v>
      </c>
      <c r="H31" s="116" t="b">
        <v>0</v>
      </c>
      <c r="I31" s="116" t="b">
        <v>0</v>
      </c>
      <c r="J31" s="116" t="b">
        <v>0</v>
      </c>
      <c r="K31" s="116" t="b">
        <v>0</v>
      </c>
      <c r="L31" s="116" t="b">
        <v>0</v>
      </c>
      <c r="M31" s="116" t="b">
        <v>0</v>
      </c>
      <c r="N31" s="117">
        <f t="shared" si="1"/>
        <v>0</v>
      </c>
      <c r="O31" s="117">
        <f t="shared" si="2"/>
        <v>0</v>
      </c>
      <c r="P31" s="157" t="s">
        <v>314</v>
      </c>
      <c r="Q31" s="112"/>
    </row>
    <row r="32" ht="15.0" customHeight="1">
      <c r="A32" s="112"/>
      <c r="B32" s="112"/>
      <c r="C32" s="112"/>
      <c r="D32" s="129" t="s">
        <v>165</v>
      </c>
      <c r="E32" s="114" t="str">
        <f>VLOOKUP(D32,Data!H:I,2,0)</f>
        <v>Eskişehir</v>
      </c>
      <c r="F32" s="115" t="str">
        <f>VLOOKUP(D32,Data!H:J,3,0)</f>
        <v>Nazım Öztel</v>
      </c>
      <c r="G32" s="116" t="b">
        <v>0</v>
      </c>
      <c r="H32" s="116" t="b">
        <v>0</v>
      </c>
      <c r="I32" s="116" t="b">
        <v>0</v>
      </c>
      <c r="J32" s="116" t="b">
        <v>0</v>
      </c>
      <c r="K32" s="116" t="b">
        <v>0</v>
      </c>
      <c r="L32" s="116" t="b">
        <v>0</v>
      </c>
      <c r="M32" s="116" t="b">
        <v>0</v>
      </c>
      <c r="N32" s="117">
        <f t="shared" si="1"/>
        <v>0</v>
      </c>
      <c r="O32" s="117">
        <f t="shared" si="2"/>
        <v>0</v>
      </c>
      <c r="P32" s="157"/>
      <c r="Q32" s="112"/>
    </row>
    <row r="33" ht="15.0" customHeight="1">
      <c r="A33" s="112"/>
      <c r="B33" s="112"/>
      <c r="C33" s="112"/>
      <c r="D33" s="129" t="s">
        <v>273</v>
      </c>
      <c r="E33" s="114" t="str">
        <f>VLOOKUP(D33,Data!H:I,2,0)</f>
        <v>Gaziantep</v>
      </c>
      <c r="F33" s="115" t="str">
        <f>VLOOKUP(D33,Data!H:J,3,0)</f>
        <v>Nazım Öztel</v>
      </c>
      <c r="G33" s="116" t="b">
        <v>0</v>
      </c>
      <c r="H33" s="116" t="b">
        <v>0</v>
      </c>
      <c r="I33" s="116" t="b">
        <v>0</v>
      </c>
      <c r="J33" s="116" t="b">
        <v>0</v>
      </c>
      <c r="K33" s="116" t="b">
        <v>0</v>
      </c>
      <c r="L33" s="116" t="b">
        <v>0</v>
      </c>
      <c r="M33" s="116" t="b">
        <v>0</v>
      </c>
      <c r="N33" s="117">
        <f t="shared" si="1"/>
        <v>0</v>
      </c>
      <c r="O33" s="117">
        <f t="shared" si="2"/>
        <v>0</v>
      </c>
      <c r="P33" s="157"/>
      <c r="Q33" s="112"/>
    </row>
    <row r="34" ht="15.0" customHeight="1">
      <c r="A34" s="112"/>
      <c r="B34" s="112"/>
      <c r="C34" s="112"/>
      <c r="D34" s="129" t="s">
        <v>248</v>
      </c>
      <c r="E34" s="114" t="str">
        <f>VLOOKUP(D34,Data!H:I,2,0)</f>
        <v>Hatay</v>
      </c>
      <c r="F34" s="115" t="str">
        <f>VLOOKUP(D34,Data!H:J,3,0)</f>
        <v>Nazım Öztel</v>
      </c>
      <c r="G34" s="116" t="b">
        <v>0</v>
      </c>
      <c r="H34" s="116" t="b">
        <v>0</v>
      </c>
      <c r="I34" s="116" t="b">
        <v>0</v>
      </c>
      <c r="J34" s="116" t="b">
        <v>0</v>
      </c>
      <c r="K34" s="116" t="b">
        <v>0</v>
      </c>
      <c r="L34" s="116" t="b">
        <v>0</v>
      </c>
      <c r="M34" s="116" t="b">
        <v>0</v>
      </c>
      <c r="N34" s="117">
        <f t="shared" si="1"/>
        <v>0</v>
      </c>
      <c r="O34" s="117">
        <f t="shared" si="2"/>
        <v>0</v>
      </c>
      <c r="P34" s="157" t="s">
        <v>313</v>
      </c>
      <c r="Q34" s="112"/>
    </row>
    <row r="35" ht="15.0" customHeight="1">
      <c r="A35" s="112"/>
      <c r="B35" s="112"/>
      <c r="C35" s="112"/>
      <c r="D35" s="129" t="s">
        <v>58</v>
      </c>
      <c r="E35" s="114" t="str">
        <f>VLOOKUP(D35,Data!H:I,2,0)</f>
        <v>İstanbul</v>
      </c>
      <c r="F35" s="115" t="str">
        <f>VLOOKUP(D35,Data!H:J,3,0)</f>
        <v>Freelance</v>
      </c>
      <c r="G35" s="116" t="b">
        <v>0</v>
      </c>
      <c r="H35" s="116" t="b">
        <v>0</v>
      </c>
      <c r="I35" s="116" t="b">
        <v>0</v>
      </c>
      <c r="J35" s="116" t="b">
        <v>0</v>
      </c>
      <c r="K35" s="116" t="b">
        <v>0</v>
      </c>
      <c r="L35" s="116" t="b">
        <v>0</v>
      </c>
      <c r="M35" s="116" t="b">
        <v>0</v>
      </c>
      <c r="N35" s="117">
        <f t="shared" si="1"/>
        <v>0</v>
      </c>
      <c r="O35" s="117">
        <f t="shared" si="2"/>
        <v>0</v>
      </c>
      <c r="P35" s="157"/>
      <c r="Q35" s="112"/>
    </row>
    <row r="36" ht="15.0" customHeight="1">
      <c r="A36" s="121"/>
      <c r="B36" s="121"/>
      <c r="C36" s="121"/>
      <c r="D36" s="129" t="s">
        <v>308</v>
      </c>
      <c r="E36" s="114" t="s">
        <v>237</v>
      </c>
      <c r="F36" s="115" t="s">
        <v>64</v>
      </c>
      <c r="G36" s="116" t="b">
        <v>1</v>
      </c>
      <c r="H36" s="116" t="b">
        <v>1</v>
      </c>
      <c r="I36" s="116" t="b">
        <v>1</v>
      </c>
      <c r="J36" s="116" t="b">
        <v>1</v>
      </c>
      <c r="K36" s="116" t="b">
        <v>1</v>
      </c>
      <c r="L36" s="116" t="b">
        <v>0</v>
      </c>
      <c r="M36" s="116" t="b">
        <v>0</v>
      </c>
      <c r="N36" s="117">
        <f t="shared" si="1"/>
        <v>5</v>
      </c>
      <c r="O36" s="117">
        <f t="shared" si="2"/>
        <v>20</v>
      </c>
      <c r="P36" s="157"/>
      <c r="Q36" s="121"/>
    </row>
    <row r="37" ht="15.0" customHeight="1">
      <c r="A37" s="112"/>
      <c r="B37" s="112"/>
      <c r="C37" s="112"/>
      <c r="D37" s="129" t="s">
        <v>302</v>
      </c>
      <c r="E37" s="114" t="s">
        <v>237</v>
      </c>
      <c r="F37" s="115" t="s">
        <v>64</v>
      </c>
      <c r="G37" s="116" t="b">
        <v>1</v>
      </c>
      <c r="H37" s="116" t="b">
        <v>1</v>
      </c>
      <c r="I37" s="116" t="b">
        <v>1</v>
      </c>
      <c r="J37" s="116" t="b">
        <v>1</v>
      </c>
      <c r="K37" s="116" t="b">
        <v>1</v>
      </c>
      <c r="L37" s="116" t="b">
        <v>0</v>
      </c>
      <c r="M37" s="116" t="b">
        <v>0</v>
      </c>
      <c r="N37" s="117">
        <f t="shared" si="1"/>
        <v>5</v>
      </c>
      <c r="O37" s="117">
        <f t="shared" si="2"/>
        <v>20</v>
      </c>
      <c r="P37" s="157"/>
      <c r="Q37" s="112"/>
    </row>
    <row r="38" ht="15.0" customHeight="1">
      <c r="A38" s="112"/>
      <c r="B38" s="112"/>
      <c r="C38" s="112"/>
      <c r="D38" s="129" t="s">
        <v>70</v>
      </c>
      <c r="E38" s="114" t="str">
        <f>VLOOKUP(D38,Data!H:I,2,0)</f>
        <v>İstanbul</v>
      </c>
      <c r="F38" s="115" t="str">
        <f>VLOOKUP(D38,Data!H:J,3,0)</f>
        <v>Freelance</v>
      </c>
      <c r="G38" s="116" t="b">
        <v>0</v>
      </c>
      <c r="H38" s="116" t="b">
        <v>0</v>
      </c>
      <c r="I38" s="116" t="b">
        <v>0</v>
      </c>
      <c r="J38" s="116" t="b">
        <v>0</v>
      </c>
      <c r="K38" s="116" t="b">
        <v>0</v>
      </c>
      <c r="L38" s="116" t="b">
        <v>0</v>
      </c>
      <c r="M38" s="116" t="b">
        <v>0</v>
      </c>
      <c r="N38" s="117">
        <f t="shared" si="1"/>
        <v>0</v>
      </c>
      <c r="O38" s="117">
        <f t="shared" si="2"/>
        <v>0</v>
      </c>
      <c r="P38" s="157" t="s">
        <v>309</v>
      </c>
      <c r="Q38" s="112"/>
    </row>
    <row r="39" ht="15.0" customHeight="1">
      <c r="A39" s="112"/>
      <c r="B39" s="112"/>
      <c r="C39" s="112"/>
      <c r="D39" s="129" t="s">
        <v>78</v>
      </c>
      <c r="E39" s="114" t="str">
        <f>VLOOKUP(D39,Data!H:I,2,0)</f>
        <v>İstanbul</v>
      </c>
      <c r="F39" s="115" t="str">
        <f>VLOOKUP(D39,Data!H:J,3,0)</f>
        <v>Freelance</v>
      </c>
      <c r="G39" s="116" t="b">
        <v>1</v>
      </c>
      <c r="H39" s="116" t="b">
        <v>1</v>
      </c>
      <c r="I39" s="116" t="b">
        <v>1</v>
      </c>
      <c r="J39" s="116" t="b">
        <v>1</v>
      </c>
      <c r="K39" s="116" t="b">
        <v>1</v>
      </c>
      <c r="L39" s="116" t="b">
        <v>0</v>
      </c>
      <c r="M39" s="116" t="b">
        <v>0</v>
      </c>
      <c r="N39" s="117">
        <f t="shared" si="1"/>
        <v>5</v>
      </c>
      <c r="O39" s="117">
        <f t="shared" si="2"/>
        <v>20</v>
      </c>
      <c r="P39" s="157"/>
      <c r="Q39" s="112"/>
    </row>
    <row r="40" ht="15.0" customHeight="1">
      <c r="A40" s="112"/>
      <c r="B40" s="112"/>
      <c r="C40" s="112"/>
      <c r="D40" s="129" t="s">
        <v>79</v>
      </c>
      <c r="E40" s="114" t="str">
        <f>VLOOKUP(D40,Data!H:I,2,0)</f>
        <v>İstanbul</v>
      </c>
      <c r="F40" s="115" t="str">
        <f>VLOOKUP(D40,Data!H:J,3,0)</f>
        <v>Freelance</v>
      </c>
      <c r="G40" s="116" t="b">
        <v>0</v>
      </c>
      <c r="H40" s="116" t="b">
        <v>0</v>
      </c>
      <c r="I40" s="116" t="b">
        <v>0</v>
      </c>
      <c r="J40" s="116" t="b">
        <v>0</v>
      </c>
      <c r="K40" s="116" t="b">
        <v>0</v>
      </c>
      <c r="L40" s="116" t="b">
        <v>0</v>
      </c>
      <c r="M40" s="116" t="b">
        <v>0</v>
      </c>
      <c r="N40" s="117">
        <f t="shared" si="1"/>
        <v>0</v>
      </c>
      <c r="O40" s="117">
        <f t="shared" si="2"/>
        <v>0</v>
      </c>
      <c r="P40" s="157"/>
      <c r="Q40" s="112"/>
    </row>
    <row r="41" ht="15.0" customHeight="1">
      <c r="A41" s="122"/>
      <c r="B41" s="122"/>
      <c r="C41" s="122"/>
      <c r="D41" s="129" t="s">
        <v>80</v>
      </c>
      <c r="E41" s="114" t="str">
        <f>VLOOKUP(D41,Data!H:I,2,0)</f>
        <v>İstanbul</v>
      </c>
      <c r="F41" s="115" t="str">
        <f>VLOOKUP(D41,Data!H:J,3,0)</f>
        <v>Freelance</v>
      </c>
      <c r="G41" s="116" t="b">
        <v>1</v>
      </c>
      <c r="H41" s="116" t="b">
        <v>1</v>
      </c>
      <c r="I41" s="116" t="b">
        <v>1</v>
      </c>
      <c r="J41" s="116" t="b">
        <v>1</v>
      </c>
      <c r="K41" s="116" t="b">
        <v>1</v>
      </c>
      <c r="L41" s="116" t="b">
        <v>0</v>
      </c>
      <c r="M41" s="116" t="b">
        <v>0</v>
      </c>
      <c r="N41" s="117">
        <f t="shared" si="1"/>
        <v>5</v>
      </c>
      <c r="O41" s="117">
        <f t="shared" si="2"/>
        <v>20</v>
      </c>
      <c r="P41" s="157"/>
      <c r="Q41" s="122"/>
    </row>
    <row r="42" ht="15.0" customHeight="1">
      <c r="A42" s="112"/>
      <c r="B42" s="112"/>
      <c r="C42" s="112"/>
      <c r="D42" s="132" t="s">
        <v>119</v>
      </c>
      <c r="E42" s="114" t="str">
        <f>VLOOKUP(D42,Data!H:I,2,0)</f>
        <v>İstanbul</v>
      </c>
      <c r="F42" s="115" t="str">
        <f>VLOOKUP(D42,Data!H:J,3,0)</f>
        <v>Filamingo</v>
      </c>
      <c r="G42" s="116" t="b">
        <v>0</v>
      </c>
      <c r="H42" s="116" t="b">
        <v>0</v>
      </c>
      <c r="I42" s="116" t="b">
        <v>0</v>
      </c>
      <c r="J42" s="116" t="b">
        <v>0</v>
      </c>
      <c r="K42" s="116" t="b">
        <v>1</v>
      </c>
      <c r="L42" s="116" t="b">
        <v>0</v>
      </c>
      <c r="M42" s="116" t="b">
        <v>0</v>
      </c>
      <c r="N42" s="117">
        <f t="shared" si="1"/>
        <v>1</v>
      </c>
      <c r="O42" s="117">
        <f t="shared" si="2"/>
        <v>4</v>
      </c>
      <c r="P42" s="157"/>
      <c r="Q42" s="112"/>
    </row>
    <row r="43" ht="15.0" customHeight="1">
      <c r="A43" s="112"/>
      <c r="B43" s="112"/>
      <c r="C43" s="112"/>
      <c r="D43" s="129" t="s">
        <v>96</v>
      </c>
      <c r="E43" s="114" t="s">
        <v>237</v>
      </c>
      <c r="F43" s="115" t="s">
        <v>61</v>
      </c>
      <c r="G43" s="116" t="b">
        <v>0</v>
      </c>
      <c r="H43" s="116" t="b">
        <v>0</v>
      </c>
      <c r="I43" s="116" t="b">
        <v>0</v>
      </c>
      <c r="J43" s="116" t="b">
        <v>0</v>
      </c>
      <c r="K43" s="116" t="b">
        <v>0</v>
      </c>
      <c r="L43" s="116" t="b">
        <v>0</v>
      </c>
      <c r="M43" s="116" t="b">
        <v>0</v>
      </c>
      <c r="N43" s="117">
        <f t="shared" si="1"/>
        <v>0</v>
      </c>
      <c r="O43" s="117">
        <f t="shared" si="2"/>
        <v>0</v>
      </c>
      <c r="P43" s="157" t="s">
        <v>306</v>
      </c>
      <c r="Q43" s="112"/>
    </row>
    <row r="44" ht="15.0" customHeight="1">
      <c r="A44" s="112"/>
      <c r="B44" s="112"/>
      <c r="C44" s="112"/>
      <c r="D44" s="129" t="s">
        <v>217</v>
      </c>
      <c r="E44" s="114" t="str">
        <f>VLOOKUP(D44,Data!H:I,2,0)</f>
        <v>İstanbul</v>
      </c>
      <c r="F44" s="115" t="str">
        <f>VLOOKUP(D44,Data!H:J,3,0)</f>
        <v>Freelance</v>
      </c>
      <c r="G44" s="116" t="b">
        <v>0</v>
      </c>
      <c r="H44" s="116" t="b">
        <v>0</v>
      </c>
      <c r="I44" s="116" t="b">
        <v>0</v>
      </c>
      <c r="J44" s="116" t="b">
        <v>0</v>
      </c>
      <c r="K44" s="116" t="b">
        <v>0</v>
      </c>
      <c r="L44" s="116" t="b">
        <v>0</v>
      </c>
      <c r="M44" s="116" t="b">
        <v>0</v>
      </c>
      <c r="N44" s="117">
        <f t="shared" si="1"/>
        <v>0</v>
      </c>
      <c r="O44" s="117">
        <f t="shared" si="2"/>
        <v>0</v>
      </c>
      <c r="P44" s="157"/>
      <c r="Q44" s="112"/>
    </row>
    <row r="45" ht="15.0" customHeight="1">
      <c r="A45" s="112"/>
      <c r="B45" s="112"/>
      <c r="C45" s="112"/>
      <c r="D45" s="129" t="s">
        <v>81</v>
      </c>
      <c r="E45" s="114" t="str">
        <f>VLOOKUP(D45,Data!H:I,2,0)</f>
        <v>İstanbul</v>
      </c>
      <c r="F45" s="115" t="str">
        <f>VLOOKUP(D45,Data!H:J,3,0)</f>
        <v>Freelance</v>
      </c>
      <c r="G45" s="116" t="b">
        <v>0</v>
      </c>
      <c r="H45" s="116" t="b">
        <v>0</v>
      </c>
      <c r="I45" s="116" t="b">
        <v>0</v>
      </c>
      <c r="J45" s="116" t="b">
        <v>0</v>
      </c>
      <c r="K45" s="116" t="b">
        <v>0</v>
      </c>
      <c r="L45" s="116" t="b">
        <v>0</v>
      </c>
      <c r="M45" s="116" t="b">
        <v>0</v>
      </c>
      <c r="N45" s="117">
        <f t="shared" si="1"/>
        <v>0</v>
      </c>
      <c r="O45" s="117">
        <f t="shared" si="2"/>
        <v>0</v>
      </c>
      <c r="P45" s="157"/>
      <c r="Q45" s="112"/>
    </row>
    <row r="46" ht="15.0" customHeight="1">
      <c r="A46" s="112"/>
      <c r="B46" s="112"/>
      <c r="C46" s="112"/>
      <c r="D46" s="129" t="s">
        <v>201</v>
      </c>
      <c r="E46" s="114" t="str">
        <f>VLOOKUP(D46,Data!H:I,2,0)</f>
        <v>İstanbul</v>
      </c>
      <c r="F46" s="114" t="str">
        <f>VLOOKUP(D46,Data!H:J,3,0)</f>
        <v>Freelance</v>
      </c>
      <c r="G46" s="116" t="b">
        <v>0</v>
      </c>
      <c r="H46" s="116" t="b">
        <v>0</v>
      </c>
      <c r="I46" s="116" t="b">
        <v>0</v>
      </c>
      <c r="J46" s="116" t="b">
        <v>0</v>
      </c>
      <c r="K46" s="116" t="b">
        <v>0</v>
      </c>
      <c r="L46" s="116" t="b">
        <v>0</v>
      </c>
      <c r="M46" s="116" t="b">
        <v>0</v>
      </c>
      <c r="N46" s="117">
        <f t="shared" si="1"/>
        <v>0</v>
      </c>
      <c r="O46" s="117">
        <f t="shared" si="2"/>
        <v>0</v>
      </c>
      <c r="P46" s="157"/>
      <c r="Q46" s="112"/>
    </row>
    <row r="47" ht="15.0" customHeight="1">
      <c r="A47" s="112"/>
      <c r="B47" s="112"/>
      <c r="C47" s="112"/>
      <c r="D47" s="132" t="s">
        <v>83</v>
      </c>
      <c r="E47" s="114" t="str">
        <f>VLOOKUP(D47,Data!H:I,2,0)</f>
        <v>İstanbul</v>
      </c>
      <c r="F47" s="115" t="str">
        <f>VLOOKUP(D47,Data!H:J,3,0)</f>
        <v>Nazım Öztel</v>
      </c>
      <c r="G47" s="116" t="b">
        <v>0</v>
      </c>
      <c r="H47" s="116" t="b">
        <v>0</v>
      </c>
      <c r="I47" s="116" t="b">
        <v>0</v>
      </c>
      <c r="J47" s="116" t="b">
        <v>0</v>
      </c>
      <c r="K47" s="116" t="b">
        <v>0</v>
      </c>
      <c r="L47" s="116" t="b">
        <v>0</v>
      </c>
      <c r="M47" s="116" t="b">
        <v>0</v>
      </c>
      <c r="N47" s="117">
        <f t="shared" si="1"/>
        <v>0</v>
      </c>
      <c r="O47" s="117">
        <f t="shared" si="2"/>
        <v>0</v>
      </c>
      <c r="P47" s="157"/>
      <c r="Q47" s="112"/>
    </row>
    <row r="48" ht="15.0" customHeight="1">
      <c r="A48" s="112"/>
      <c r="B48" s="112"/>
      <c r="C48" s="112"/>
      <c r="D48" s="129" t="s">
        <v>224</v>
      </c>
      <c r="E48" s="145" t="str">
        <f>VLOOKUP(D48,Data!H:I,2,0)</f>
        <v>İstanbul</v>
      </c>
      <c r="F48" s="147" t="str">
        <f>VLOOKUP(D48,Data!H:J,3,0)</f>
        <v>Filamingo</v>
      </c>
      <c r="G48" s="116" t="b">
        <v>0</v>
      </c>
      <c r="H48" s="116" t="b">
        <v>0</v>
      </c>
      <c r="I48" s="116" t="b">
        <v>0</v>
      </c>
      <c r="J48" s="116" t="b">
        <v>0</v>
      </c>
      <c r="K48" s="116" t="b">
        <v>0</v>
      </c>
      <c r="L48" s="116" t="b">
        <v>0</v>
      </c>
      <c r="M48" s="116" t="b">
        <v>0</v>
      </c>
      <c r="N48" s="146">
        <f t="shared" si="1"/>
        <v>0</v>
      </c>
      <c r="O48" s="146">
        <f t="shared" si="2"/>
        <v>0</v>
      </c>
      <c r="P48" s="159" t="s">
        <v>310</v>
      </c>
      <c r="Q48" s="112"/>
    </row>
    <row r="49" ht="15.0" customHeight="1">
      <c r="A49" s="125"/>
      <c r="B49" s="125"/>
      <c r="C49" s="125"/>
      <c r="D49" s="129" t="s">
        <v>225</v>
      </c>
      <c r="E49" s="114" t="str">
        <f>VLOOKUP(D49,Data!H:I,2,0)</f>
        <v>İstanbul</v>
      </c>
      <c r="F49" s="115" t="str">
        <f>VLOOKUP(D49,Data!H:J,3,0)</f>
        <v>Filamingo</v>
      </c>
      <c r="G49" s="116" t="b">
        <v>0</v>
      </c>
      <c r="H49" s="116" t="b">
        <v>1</v>
      </c>
      <c r="I49" s="116" t="b">
        <v>0</v>
      </c>
      <c r="J49" s="116" t="b">
        <v>1</v>
      </c>
      <c r="K49" s="116" t="b">
        <v>1</v>
      </c>
      <c r="L49" s="116" t="b">
        <v>0</v>
      </c>
      <c r="M49" s="116" t="b">
        <v>0</v>
      </c>
      <c r="N49" s="117">
        <f t="shared" si="1"/>
        <v>3</v>
      </c>
      <c r="O49" s="117">
        <f t="shared" si="2"/>
        <v>12</v>
      </c>
      <c r="P49" s="157"/>
      <c r="Q49" s="125"/>
    </row>
    <row r="50" ht="15.0" customHeight="1">
      <c r="A50" s="125"/>
      <c r="B50" s="125"/>
      <c r="C50" s="125"/>
      <c r="D50" s="129" t="s">
        <v>145</v>
      </c>
      <c r="E50" s="114" t="str">
        <f>VLOOKUP(D50,Data!H:I,2,0)</f>
        <v>İstanbul</v>
      </c>
      <c r="F50" s="115" t="str">
        <f>VLOOKUP(D50,Data!H:J,3,0)</f>
        <v>Filamingo</v>
      </c>
      <c r="G50" s="116" t="b">
        <v>0</v>
      </c>
      <c r="H50" s="116" t="b">
        <v>0</v>
      </c>
      <c r="I50" s="116" t="b">
        <v>0</v>
      </c>
      <c r="J50" s="116" t="b">
        <v>0</v>
      </c>
      <c r="K50" s="116" t="b">
        <v>0</v>
      </c>
      <c r="L50" s="116" t="b">
        <v>0</v>
      </c>
      <c r="M50" s="116" t="b">
        <v>0</v>
      </c>
      <c r="N50" s="117">
        <f t="shared" si="1"/>
        <v>0</v>
      </c>
      <c r="O50" s="117">
        <f t="shared" si="2"/>
        <v>0</v>
      </c>
      <c r="P50" s="157"/>
      <c r="Q50" s="125"/>
    </row>
    <row r="51" ht="15.0" customHeight="1">
      <c r="A51" s="125"/>
      <c r="B51" s="125"/>
      <c r="C51" s="125"/>
      <c r="D51" s="129" t="s">
        <v>274</v>
      </c>
      <c r="E51" s="114" t="str">
        <f>VLOOKUP(D51,Data!H:I,2,0)</f>
        <v>İstanbul</v>
      </c>
      <c r="F51" s="115" t="str">
        <f>VLOOKUP(D51,Data!H:J,3,0)</f>
        <v>Filamingo</v>
      </c>
      <c r="G51" s="116" t="b">
        <v>1</v>
      </c>
      <c r="H51" s="116" t="b">
        <v>1</v>
      </c>
      <c r="I51" s="116" t="b">
        <v>1</v>
      </c>
      <c r="J51" s="116" t="b">
        <v>0</v>
      </c>
      <c r="K51" s="116" t="b">
        <v>0</v>
      </c>
      <c r="L51" s="116" t="b">
        <v>0</v>
      </c>
      <c r="M51" s="116" t="b">
        <v>0</v>
      </c>
      <c r="N51" s="117">
        <f t="shared" si="1"/>
        <v>3</v>
      </c>
      <c r="O51" s="117">
        <f t="shared" si="2"/>
        <v>12</v>
      </c>
      <c r="P51" s="157"/>
      <c r="Q51" s="125"/>
    </row>
    <row r="52" ht="15.0" customHeight="1">
      <c r="A52" s="125"/>
      <c r="B52" s="125"/>
      <c r="C52" s="125"/>
      <c r="D52" s="129" t="s">
        <v>87</v>
      </c>
      <c r="E52" s="114" t="str">
        <f>VLOOKUP(D52,Data!H:I,2,0)</f>
        <v>İstanbul</v>
      </c>
      <c r="F52" s="115" t="str">
        <f>VLOOKUP(D52,Data!H:J,3,0)</f>
        <v>Freelance</v>
      </c>
      <c r="G52" s="116" t="b">
        <v>0</v>
      </c>
      <c r="H52" s="116" t="b">
        <v>0</v>
      </c>
      <c r="I52" s="116" t="b">
        <v>0</v>
      </c>
      <c r="J52" s="116" t="b">
        <v>0</v>
      </c>
      <c r="K52" s="116" t="b">
        <v>0</v>
      </c>
      <c r="L52" s="116" t="b">
        <v>0</v>
      </c>
      <c r="M52" s="116" t="b">
        <v>0</v>
      </c>
      <c r="N52" s="117">
        <f t="shared" si="1"/>
        <v>0</v>
      </c>
      <c r="O52" s="117">
        <f t="shared" si="2"/>
        <v>0</v>
      </c>
      <c r="P52" s="157"/>
      <c r="Q52" s="125"/>
    </row>
    <row r="53" ht="15.0" customHeight="1">
      <c r="A53" s="125"/>
      <c r="B53" s="125"/>
      <c r="C53" s="125"/>
      <c r="D53" s="129" t="s">
        <v>226</v>
      </c>
      <c r="E53" s="114" t="str">
        <f>VLOOKUP(D53,Data!H:I,2,0)</f>
        <v>İstanbul</v>
      </c>
      <c r="F53" s="115" t="str">
        <f>VLOOKUP(D53,Data!H:J,3,0)</f>
        <v>Filamingo</v>
      </c>
      <c r="G53" s="116" t="b">
        <v>1</v>
      </c>
      <c r="H53" s="116" t="b">
        <v>0</v>
      </c>
      <c r="I53" s="116" t="b">
        <v>1</v>
      </c>
      <c r="J53" s="116" t="b">
        <v>1</v>
      </c>
      <c r="K53" s="116" t="b">
        <v>1</v>
      </c>
      <c r="L53" s="116" t="b">
        <v>0</v>
      </c>
      <c r="M53" s="116" t="b">
        <v>0</v>
      </c>
      <c r="N53" s="117">
        <f t="shared" si="1"/>
        <v>4</v>
      </c>
      <c r="O53" s="117">
        <f t="shared" si="2"/>
        <v>16</v>
      </c>
      <c r="P53" s="157"/>
      <c r="Q53" s="125"/>
    </row>
    <row r="54" ht="15.0" customHeight="1">
      <c r="A54" s="112"/>
      <c r="B54" s="112"/>
      <c r="C54" s="112"/>
      <c r="D54" s="129" t="s">
        <v>249</v>
      </c>
      <c r="E54" s="114" t="str">
        <f>VLOOKUP(D54,Data!H:I,2,0)</f>
        <v>İstanbul</v>
      </c>
      <c r="F54" s="115" t="str">
        <f>VLOOKUP(D54,Data!H:J,3,0)</f>
        <v>Nazım Öztel</v>
      </c>
      <c r="G54" s="116" t="b">
        <v>0</v>
      </c>
      <c r="H54" s="116" t="b">
        <v>1</v>
      </c>
      <c r="I54" s="116" t="b">
        <v>1</v>
      </c>
      <c r="J54" s="116" t="b">
        <v>0</v>
      </c>
      <c r="K54" s="116" t="b">
        <v>1</v>
      </c>
      <c r="L54" s="116" t="b">
        <v>0</v>
      </c>
      <c r="M54" s="116" t="b">
        <v>0</v>
      </c>
      <c r="N54" s="117">
        <f t="shared" si="1"/>
        <v>3</v>
      </c>
      <c r="O54" s="117">
        <f t="shared" si="2"/>
        <v>12</v>
      </c>
      <c r="P54" s="157"/>
      <c r="Q54" s="112"/>
    </row>
    <row r="55" ht="15.0" customHeight="1">
      <c r="A55" s="112"/>
      <c r="B55" s="112"/>
      <c r="C55" s="112"/>
      <c r="D55" s="129" t="s">
        <v>250</v>
      </c>
      <c r="E55" s="114" t="str">
        <f>VLOOKUP(D55,Data!H:I,2,0)</f>
        <v>İstanbul</v>
      </c>
      <c r="F55" s="115" t="str">
        <f>VLOOKUP(D55,Data!H:J,3,0)</f>
        <v>Filamingo</v>
      </c>
      <c r="G55" s="116" t="b">
        <v>0</v>
      </c>
      <c r="H55" s="116" t="b">
        <v>0</v>
      </c>
      <c r="I55" s="116" t="b">
        <v>0</v>
      </c>
      <c r="J55" s="116" t="b">
        <v>0</v>
      </c>
      <c r="K55" s="116" t="b">
        <v>0</v>
      </c>
      <c r="L55" s="116" t="b">
        <v>0</v>
      </c>
      <c r="M55" s="116" t="b">
        <v>0</v>
      </c>
      <c r="N55" s="117">
        <f t="shared" si="1"/>
        <v>0</v>
      </c>
      <c r="O55" s="117">
        <f t="shared" si="2"/>
        <v>0</v>
      </c>
      <c r="P55" s="157"/>
      <c r="Q55" s="112"/>
    </row>
    <row r="56" ht="15.0" customHeight="1">
      <c r="A56" s="112"/>
      <c r="B56" s="112"/>
      <c r="C56" s="112"/>
      <c r="D56" s="129" t="s">
        <v>251</v>
      </c>
      <c r="E56" s="114" t="str">
        <f>VLOOKUP(D56,Data!H:I,2,0)</f>
        <v>İstanbul</v>
      </c>
      <c r="F56" s="115" t="str">
        <f>VLOOKUP(D56,Data!H:J,3,0)</f>
        <v>Filamingo</v>
      </c>
      <c r="G56" s="116" t="b">
        <v>1</v>
      </c>
      <c r="H56" s="116" t="b">
        <v>1</v>
      </c>
      <c r="I56" s="116" t="b">
        <v>1</v>
      </c>
      <c r="J56" s="116" t="b">
        <v>1</v>
      </c>
      <c r="K56" s="116" t="b">
        <v>1</v>
      </c>
      <c r="L56" s="116" t="b">
        <v>0</v>
      </c>
      <c r="M56" s="116" t="b">
        <v>0</v>
      </c>
      <c r="N56" s="117">
        <f t="shared" si="1"/>
        <v>5</v>
      </c>
      <c r="O56" s="117">
        <f t="shared" si="2"/>
        <v>20</v>
      </c>
      <c r="P56" s="157" t="s">
        <v>316</v>
      </c>
      <c r="Q56" s="112"/>
    </row>
    <row r="57" ht="15.0" customHeight="1">
      <c r="A57" s="112"/>
      <c r="B57" s="112"/>
      <c r="C57" s="112"/>
      <c r="D57" s="129" t="s">
        <v>252</v>
      </c>
      <c r="E57" s="114" t="str">
        <f>VLOOKUP(D57,Data!H:I,2,0)</f>
        <v>İzmir</v>
      </c>
      <c r="F57" s="115" t="str">
        <f>VLOOKUP(D57,Data!H:J,3,0)</f>
        <v>Nazım Öztel</v>
      </c>
      <c r="G57" s="116" t="b">
        <v>0</v>
      </c>
      <c r="H57" s="116" t="b">
        <v>0</v>
      </c>
      <c r="I57" s="116" t="b">
        <v>0</v>
      </c>
      <c r="J57" s="116" t="b">
        <v>0</v>
      </c>
      <c r="K57" s="116" t="b">
        <v>0</v>
      </c>
      <c r="L57" s="116" t="b">
        <v>0</v>
      </c>
      <c r="M57" s="116" t="b">
        <v>0</v>
      </c>
      <c r="N57" s="117">
        <f t="shared" si="1"/>
        <v>0</v>
      </c>
      <c r="O57" s="117">
        <f t="shared" si="2"/>
        <v>0</v>
      </c>
      <c r="P57" s="157"/>
      <c r="Q57" s="112"/>
    </row>
    <row r="58" ht="15.0" customHeight="1">
      <c r="A58" s="112"/>
      <c r="B58" s="112"/>
      <c r="C58" s="112"/>
      <c r="D58" s="132" t="s">
        <v>92</v>
      </c>
      <c r="E58" s="114" t="str">
        <f>VLOOKUP(D58,Data!H:I,2,0)</f>
        <v>İzmir</v>
      </c>
      <c r="F58" s="115" t="str">
        <f>VLOOKUP(D58,Data!H:J,3,0)</f>
        <v>Nazım Öztel</v>
      </c>
      <c r="G58" s="116" t="b">
        <v>1</v>
      </c>
      <c r="H58" s="116" t="b">
        <v>0</v>
      </c>
      <c r="I58" s="116" t="b">
        <v>1</v>
      </c>
      <c r="J58" s="116" t="b">
        <v>0</v>
      </c>
      <c r="K58" s="116" t="b">
        <v>1</v>
      </c>
      <c r="L58" s="116" t="b">
        <v>0</v>
      </c>
      <c r="M58" s="116" t="b">
        <v>0</v>
      </c>
      <c r="N58" s="117">
        <f t="shared" si="1"/>
        <v>3</v>
      </c>
      <c r="O58" s="117">
        <f t="shared" si="2"/>
        <v>12</v>
      </c>
      <c r="P58" s="157"/>
      <c r="Q58" s="112"/>
    </row>
    <row r="59" ht="15.0" customHeight="1">
      <c r="A59" s="112"/>
      <c r="B59" s="112"/>
      <c r="C59" s="112"/>
      <c r="D59" s="129" t="s">
        <v>93</v>
      </c>
      <c r="E59" s="114" t="str">
        <f>VLOOKUP(D59,Data!H:I,2,0)</f>
        <v>İzmir</v>
      </c>
      <c r="F59" s="115" t="str">
        <f>VLOOKUP(D59,Data!H:J,3,0)</f>
        <v>Freelance</v>
      </c>
      <c r="G59" s="116" t="b">
        <v>1</v>
      </c>
      <c r="H59" s="116" t="b">
        <v>1</v>
      </c>
      <c r="I59" s="116" t="b">
        <v>1</v>
      </c>
      <c r="J59" s="116" t="b">
        <v>1</v>
      </c>
      <c r="K59" s="116" t="b">
        <v>1</v>
      </c>
      <c r="L59" s="116" t="b">
        <v>0</v>
      </c>
      <c r="M59" s="116" t="b">
        <v>0</v>
      </c>
      <c r="N59" s="117">
        <f t="shared" si="1"/>
        <v>5</v>
      </c>
      <c r="O59" s="117">
        <f t="shared" si="2"/>
        <v>20</v>
      </c>
      <c r="P59" s="157"/>
      <c r="Q59" s="112"/>
    </row>
    <row r="60" ht="15.0" customHeight="1">
      <c r="A60" s="112"/>
      <c r="B60" s="112"/>
      <c r="C60" s="112"/>
      <c r="D60" s="129" t="s">
        <v>161</v>
      </c>
      <c r="E60" s="143" t="str">
        <f>VLOOKUP(D60,Data!H:I,2,0)</f>
        <v>Kahramanmaraş</v>
      </c>
      <c r="F60" s="115" t="str">
        <f>VLOOKUP(D60,Data!H:J,3,0)</f>
        <v>Nazım Öztel</v>
      </c>
      <c r="G60" s="116" t="b">
        <v>0</v>
      </c>
      <c r="H60" s="116" t="b">
        <v>0</v>
      </c>
      <c r="I60" s="116" t="b">
        <v>0</v>
      </c>
      <c r="J60" s="116" t="b">
        <v>0</v>
      </c>
      <c r="K60" s="116" t="b">
        <v>0</v>
      </c>
      <c r="L60" s="116" t="b">
        <v>0</v>
      </c>
      <c r="M60" s="116" t="b">
        <v>0</v>
      </c>
      <c r="N60" s="117">
        <f t="shared" si="1"/>
        <v>0</v>
      </c>
      <c r="O60" s="117">
        <f t="shared" si="2"/>
        <v>0</v>
      </c>
      <c r="P60" s="157" t="s">
        <v>313</v>
      </c>
      <c r="Q60" s="112"/>
    </row>
    <row r="61" ht="15.0" customHeight="1">
      <c r="A61" s="112"/>
      <c r="B61" s="112"/>
      <c r="C61" s="112"/>
      <c r="D61" s="129" t="s">
        <v>243</v>
      </c>
      <c r="E61" s="114" t="str">
        <f>VLOOKUP(D61,Data!H:I,2,0)</f>
        <v>Kayseri</v>
      </c>
      <c r="F61" s="115" t="str">
        <f>VLOOKUP(D61,Data!H:J,3,0)</f>
        <v>Nazım Öztel</v>
      </c>
      <c r="G61" s="116" t="b">
        <v>1</v>
      </c>
      <c r="H61" s="116" t="b">
        <v>1</v>
      </c>
      <c r="I61" s="116" t="b">
        <v>1</v>
      </c>
      <c r="J61" s="116" t="b">
        <v>1</v>
      </c>
      <c r="K61" s="116" t="b">
        <v>1</v>
      </c>
      <c r="L61" s="116" t="b">
        <v>0</v>
      </c>
      <c r="M61" s="116" t="b">
        <v>0</v>
      </c>
      <c r="N61" s="117">
        <f t="shared" si="1"/>
        <v>5</v>
      </c>
      <c r="O61" s="117">
        <f t="shared" si="2"/>
        <v>20</v>
      </c>
      <c r="P61" s="157"/>
      <c r="Q61" s="112"/>
    </row>
    <row r="62" ht="15.0" customHeight="1">
      <c r="A62" s="112"/>
      <c r="B62" s="112"/>
      <c r="C62" s="112"/>
      <c r="D62" s="129" t="s">
        <v>253</v>
      </c>
      <c r="E62" s="114" t="str">
        <f>VLOOKUP(D62,Data!H:I,2,0)</f>
        <v>Kırklareli</v>
      </c>
      <c r="F62" s="115" t="str">
        <f>VLOOKUP(D62,Data!H:J,3,0)</f>
        <v>Nazım Öztel</v>
      </c>
      <c r="G62" s="116" t="b">
        <v>0</v>
      </c>
      <c r="H62" s="116" t="b">
        <v>0</v>
      </c>
      <c r="I62" s="116" t="b">
        <v>0</v>
      </c>
      <c r="J62" s="116" t="b">
        <v>0</v>
      </c>
      <c r="K62" s="116" t="b">
        <v>0</v>
      </c>
      <c r="L62" s="116" t="b">
        <v>0</v>
      </c>
      <c r="M62" s="116" t="b">
        <v>0</v>
      </c>
      <c r="N62" s="117">
        <f t="shared" si="1"/>
        <v>0</v>
      </c>
      <c r="O62" s="117">
        <f t="shared" si="2"/>
        <v>0</v>
      </c>
      <c r="P62" s="157" t="s">
        <v>311</v>
      </c>
      <c r="Q62" s="112"/>
    </row>
    <row r="63" ht="15.0" customHeight="1">
      <c r="A63" s="112"/>
      <c r="B63" s="112"/>
      <c r="C63" s="112"/>
      <c r="D63" s="132" t="s">
        <v>96</v>
      </c>
      <c r="E63" s="114" t="str">
        <f>VLOOKUP(D63,Data!H:I,2,0)</f>
        <v>Kocaeli</v>
      </c>
      <c r="F63" s="115" t="str">
        <f>VLOOKUP(D63,Data!H:J,3,0)</f>
        <v>Nazım Öztel</v>
      </c>
      <c r="G63" s="116" t="b">
        <v>0</v>
      </c>
      <c r="H63" s="116" t="b">
        <v>0</v>
      </c>
      <c r="I63" s="116" t="b">
        <v>0</v>
      </c>
      <c r="J63" s="116" t="b">
        <v>0</v>
      </c>
      <c r="K63" s="116" t="b">
        <v>0</v>
      </c>
      <c r="L63" s="116" t="b">
        <v>0</v>
      </c>
      <c r="M63" s="116" t="b">
        <v>0</v>
      </c>
      <c r="N63" s="117">
        <f t="shared" si="1"/>
        <v>0</v>
      </c>
      <c r="O63" s="117">
        <f t="shared" si="2"/>
        <v>0</v>
      </c>
      <c r="P63" s="157" t="s">
        <v>306</v>
      </c>
      <c r="Q63" s="112"/>
    </row>
    <row r="64" ht="15.0" customHeight="1">
      <c r="A64" s="112"/>
      <c r="B64" s="112"/>
      <c r="C64" s="112"/>
      <c r="D64" s="129" t="s">
        <v>147</v>
      </c>
      <c r="E64" s="114" t="str">
        <f>VLOOKUP(D64,Data!H:I,2,0)</f>
        <v>Kocaeli</v>
      </c>
      <c r="F64" s="115" t="str">
        <f>VLOOKUP(D64,Data!H:J,3,0)</f>
        <v>Nazım Öztel</v>
      </c>
      <c r="G64" s="116" t="b">
        <v>0</v>
      </c>
      <c r="H64" s="116" t="b">
        <v>1</v>
      </c>
      <c r="I64" s="116" t="b">
        <v>1</v>
      </c>
      <c r="J64" s="116" t="b">
        <v>0</v>
      </c>
      <c r="K64" s="116" t="b">
        <v>1</v>
      </c>
      <c r="L64" s="116" t="b">
        <v>0</v>
      </c>
      <c r="M64" s="116" t="b">
        <v>0</v>
      </c>
      <c r="N64" s="117">
        <f t="shared" si="1"/>
        <v>3</v>
      </c>
      <c r="O64" s="117">
        <f t="shared" si="2"/>
        <v>12</v>
      </c>
      <c r="P64" s="157"/>
      <c r="Q64" s="112"/>
    </row>
    <row r="65" ht="15.0" customHeight="1">
      <c r="A65" s="112"/>
      <c r="B65" s="112"/>
      <c r="C65" s="112"/>
      <c r="D65" s="129" t="s">
        <v>227</v>
      </c>
      <c r="E65" s="114" t="str">
        <f>VLOOKUP(D65,Data!H:I,2,0)</f>
        <v>Konya</v>
      </c>
      <c r="F65" s="115" t="str">
        <f>VLOOKUP(D65,Data!H:J,3,0)</f>
        <v>Nazım Öztel</v>
      </c>
      <c r="G65" s="116" t="b">
        <v>0</v>
      </c>
      <c r="H65" s="116" t="b">
        <v>1</v>
      </c>
      <c r="I65" s="116" t="b">
        <v>0</v>
      </c>
      <c r="J65" s="116" t="b">
        <v>0</v>
      </c>
      <c r="K65" s="116" t="b">
        <v>0</v>
      </c>
      <c r="L65" s="116" t="b">
        <v>0</v>
      </c>
      <c r="M65" s="116" t="b">
        <v>0</v>
      </c>
      <c r="N65" s="117">
        <f t="shared" si="1"/>
        <v>1</v>
      </c>
      <c r="O65" s="117">
        <f t="shared" si="2"/>
        <v>4</v>
      </c>
      <c r="P65" s="157" t="s">
        <v>317</v>
      </c>
      <c r="Q65" s="112"/>
    </row>
    <row r="66" ht="15.0" customHeight="1">
      <c r="A66" s="112"/>
      <c r="B66" s="112"/>
      <c r="C66" s="112"/>
      <c r="D66" s="129" t="s">
        <v>265</v>
      </c>
      <c r="E66" s="114" t="str">
        <f>VLOOKUP(D66,Data!H:I,2,0)</f>
        <v>Konya</v>
      </c>
      <c r="F66" s="115" t="str">
        <f>VLOOKUP(D66,Data!H:J,3,0)</f>
        <v>Nazım Öztel</v>
      </c>
      <c r="G66" s="116" t="b">
        <v>0</v>
      </c>
      <c r="H66" s="116" t="b">
        <v>0</v>
      </c>
      <c r="I66" s="116" t="b">
        <v>0</v>
      </c>
      <c r="J66" s="116" t="b">
        <v>0</v>
      </c>
      <c r="K66" s="116" t="b">
        <v>0</v>
      </c>
      <c r="L66" s="116" t="b">
        <v>0</v>
      </c>
      <c r="M66" s="116" t="b">
        <v>0</v>
      </c>
      <c r="N66" s="117">
        <f t="shared" si="1"/>
        <v>0</v>
      </c>
      <c r="O66" s="117">
        <f t="shared" si="2"/>
        <v>0</v>
      </c>
      <c r="P66" s="157"/>
      <c r="Q66" s="112"/>
    </row>
    <row r="67" ht="15.0" customHeight="1">
      <c r="A67" s="112"/>
      <c r="B67" s="112"/>
      <c r="C67" s="112"/>
      <c r="D67" s="129" t="s">
        <v>203</v>
      </c>
      <c r="E67" s="114" t="str">
        <f>VLOOKUP(D67,Data!H:I,2,0)</f>
        <v>Malatya</v>
      </c>
      <c r="F67" s="115" t="str">
        <f>VLOOKUP(D67,Data!H:J,3,0)</f>
        <v>Nazım Öztel</v>
      </c>
      <c r="G67" s="116" t="b">
        <v>0</v>
      </c>
      <c r="H67" s="116" t="b">
        <v>0</v>
      </c>
      <c r="I67" s="116" t="b">
        <v>0</v>
      </c>
      <c r="J67" s="116" t="b">
        <v>0</v>
      </c>
      <c r="K67" s="116" t="b">
        <v>0</v>
      </c>
      <c r="L67" s="116" t="b">
        <v>0</v>
      </c>
      <c r="M67" s="116" t="b">
        <v>0</v>
      </c>
      <c r="N67" s="117">
        <f t="shared" si="1"/>
        <v>0</v>
      </c>
      <c r="O67" s="117">
        <f t="shared" si="2"/>
        <v>0</v>
      </c>
      <c r="P67" s="157" t="s">
        <v>317</v>
      </c>
      <c r="Q67" s="112"/>
    </row>
    <row r="68" ht="15.0" customHeight="1">
      <c r="A68" s="112"/>
      <c r="B68" s="112"/>
      <c r="C68" s="112"/>
      <c r="D68" s="129" t="s">
        <v>254</v>
      </c>
      <c r="E68" s="114" t="str">
        <f>VLOOKUP(D68,Data!H:I,2,0)</f>
        <v>Manisa</v>
      </c>
      <c r="F68" s="115" t="str">
        <f>VLOOKUP(D68,Data!H:J,3,0)</f>
        <v>Nazım Öztel</v>
      </c>
      <c r="G68" s="116" t="b">
        <v>0</v>
      </c>
      <c r="H68" s="116" t="b">
        <v>0</v>
      </c>
      <c r="I68" s="116" t="b">
        <v>0</v>
      </c>
      <c r="J68" s="116" t="b">
        <v>1</v>
      </c>
      <c r="K68" s="116" t="b">
        <v>1</v>
      </c>
      <c r="L68" s="116" t="b">
        <v>0</v>
      </c>
      <c r="M68" s="116" t="b">
        <v>0</v>
      </c>
      <c r="N68" s="117">
        <f t="shared" si="1"/>
        <v>2</v>
      </c>
      <c r="O68" s="117">
        <f t="shared" si="2"/>
        <v>8</v>
      </c>
      <c r="P68" s="157"/>
      <c r="Q68" s="112"/>
    </row>
    <row r="69" ht="15.0" customHeight="1">
      <c r="A69" s="112"/>
      <c r="B69" s="112"/>
      <c r="C69" s="112"/>
      <c r="D69" s="129" t="s">
        <v>255</v>
      </c>
      <c r="E69" s="114" t="str">
        <f>VLOOKUP(D69,Data!H:I,2,0)</f>
        <v>Mardin</v>
      </c>
      <c r="F69" s="115" t="str">
        <f>VLOOKUP(D69,Data!H:J,3,0)</f>
        <v>Nazım Öztel</v>
      </c>
      <c r="G69" s="116" t="b">
        <v>0</v>
      </c>
      <c r="H69" s="116" t="b">
        <v>0</v>
      </c>
      <c r="I69" s="116" t="b">
        <v>0</v>
      </c>
      <c r="J69" s="116" t="b">
        <v>0</v>
      </c>
      <c r="K69" s="116" t="b">
        <v>0</v>
      </c>
      <c r="L69" s="116" t="b">
        <v>0</v>
      </c>
      <c r="M69" s="116" t="b">
        <v>0</v>
      </c>
      <c r="N69" s="117">
        <f t="shared" si="1"/>
        <v>0</v>
      </c>
      <c r="O69" s="117">
        <f t="shared" si="2"/>
        <v>0</v>
      </c>
      <c r="P69" s="157" t="s">
        <v>313</v>
      </c>
      <c r="Q69" s="112"/>
    </row>
    <row r="70" ht="15.0" customHeight="1">
      <c r="A70" s="112"/>
      <c r="B70" s="112"/>
      <c r="C70" s="112"/>
      <c r="D70" s="129" t="s">
        <v>294</v>
      </c>
      <c r="E70" s="114" t="str">
        <f>VLOOKUP(D70,Data!H:I,2,0)</f>
        <v>Mersin</v>
      </c>
      <c r="F70" s="115" t="str">
        <f>VLOOKUP(D70,Data!H:J,3,0)</f>
        <v>Nazım Öztel</v>
      </c>
      <c r="G70" s="116" t="b">
        <v>0</v>
      </c>
      <c r="H70" s="116" t="b">
        <v>1</v>
      </c>
      <c r="I70" s="116" t="b">
        <v>1</v>
      </c>
      <c r="J70" s="116" t="b">
        <v>0</v>
      </c>
      <c r="K70" s="116" t="b">
        <v>1</v>
      </c>
      <c r="L70" s="116" t="b">
        <v>0</v>
      </c>
      <c r="M70" s="116" t="b">
        <v>0</v>
      </c>
      <c r="N70" s="117">
        <f t="shared" si="1"/>
        <v>3</v>
      </c>
      <c r="O70" s="117">
        <f t="shared" si="2"/>
        <v>12</v>
      </c>
      <c r="P70" s="157" t="s">
        <v>318</v>
      </c>
      <c r="Q70" s="112"/>
    </row>
    <row r="71" ht="15.0" customHeight="1">
      <c r="A71" s="112"/>
      <c r="B71" s="112"/>
      <c r="C71" s="112"/>
      <c r="D71" s="129" t="s">
        <v>169</v>
      </c>
      <c r="E71" s="114" t="str">
        <f>VLOOKUP(D71,Data!H:I,2,0)</f>
        <v>Mersin</v>
      </c>
      <c r="F71" s="115" t="str">
        <f>VLOOKUP(D71,Data!H:J,3,0)</f>
        <v>Nazım Öztel</v>
      </c>
      <c r="G71" s="116" t="b">
        <v>0</v>
      </c>
      <c r="H71" s="116" t="b">
        <v>0</v>
      </c>
      <c r="I71" s="116" t="b">
        <v>0</v>
      </c>
      <c r="J71" s="116" t="b">
        <v>0</v>
      </c>
      <c r="K71" s="116" t="b">
        <v>0</v>
      </c>
      <c r="L71" s="116" t="b">
        <v>0</v>
      </c>
      <c r="M71" s="116" t="b">
        <v>0</v>
      </c>
      <c r="N71" s="117">
        <f t="shared" si="1"/>
        <v>0</v>
      </c>
      <c r="O71" s="117">
        <f t="shared" si="2"/>
        <v>0</v>
      </c>
      <c r="P71" s="157"/>
      <c r="Q71" s="112"/>
    </row>
    <row r="72" ht="15.0" customHeight="1">
      <c r="A72" s="112"/>
      <c r="B72" s="112"/>
      <c r="C72" s="112"/>
      <c r="D72" s="129" t="s">
        <v>148</v>
      </c>
      <c r="E72" s="114" t="str">
        <f>VLOOKUP(D72,Data!H:I,2,0)</f>
        <v>Muğla</v>
      </c>
      <c r="F72" s="115" t="str">
        <f>VLOOKUP(D72,Data!H:J,3,0)</f>
        <v>Nazım Öztel</v>
      </c>
      <c r="G72" s="116" t="b">
        <v>0</v>
      </c>
      <c r="H72" s="116" t="b">
        <v>0</v>
      </c>
      <c r="I72" s="116" t="b">
        <v>0</v>
      </c>
      <c r="J72" s="116" t="b">
        <v>0</v>
      </c>
      <c r="K72" s="116" t="b">
        <v>0</v>
      </c>
      <c r="L72" s="116" t="b">
        <v>0</v>
      </c>
      <c r="M72" s="116" t="b">
        <v>0</v>
      </c>
      <c r="N72" s="117">
        <f t="shared" si="1"/>
        <v>0</v>
      </c>
      <c r="O72" s="117">
        <f t="shared" si="2"/>
        <v>0</v>
      </c>
      <c r="P72" s="157" t="s">
        <v>313</v>
      </c>
      <c r="Q72" s="112"/>
    </row>
    <row r="73" ht="15.0" customHeight="1">
      <c r="A73" s="112"/>
      <c r="B73" s="112"/>
      <c r="C73" s="112"/>
      <c r="D73" s="129" t="s">
        <v>266</v>
      </c>
      <c r="E73" s="114" t="str">
        <f>VLOOKUP(D73,Data!H:I,2,0)</f>
        <v>Ordu</v>
      </c>
      <c r="F73" s="115" t="str">
        <f>VLOOKUP(D73,Data!H:J,3,0)</f>
        <v>Nazım Öztel</v>
      </c>
      <c r="G73" s="116" t="b">
        <v>0</v>
      </c>
      <c r="H73" s="116" t="b">
        <v>0</v>
      </c>
      <c r="I73" s="116" t="b">
        <v>0</v>
      </c>
      <c r="J73" s="116" t="b">
        <v>0</v>
      </c>
      <c r="K73" s="116" t="b">
        <v>0</v>
      </c>
      <c r="L73" s="116" t="b">
        <v>0</v>
      </c>
      <c r="M73" s="116" t="b">
        <v>0</v>
      </c>
      <c r="N73" s="117">
        <f t="shared" si="1"/>
        <v>0</v>
      </c>
      <c r="O73" s="117">
        <f t="shared" si="2"/>
        <v>0</v>
      </c>
      <c r="P73" s="157" t="s">
        <v>313</v>
      </c>
      <c r="Q73" s="112"/>
    </row>
    <row r="74" ht="15.0" customHeight="1">
      <c r="A74" s="112"/>
      <c r="B74" s="112"/>
      <c r="C74" s="112"/>
      <c r="D74" s="129" t="s">
        <v>256</v>
      </c>
      <c r="E74" s="114" t="s">
        <v>211</v>
      </c>
      <c r="F74" s="115" t="s">
        <v>61</v>
      </c>
      <c r="G74" s="116" t="b">
        <v>0</v>
      </c>
      <c r="H74" s="116" t="b">
        <v>0</v>
      </c>
      <c r="I74" s="116" t="b">
        <v>0</v>
      </c>
      <c r="J74" s="116" t="b">
        <v>0</v>
      </c>
      <c r="K74" s="116" t="b">
        <v>0</v>
      </c>
      <c r="L74" s="116" t="b">
        <v>0</v>
      </c>
      <c r="M74" s="116" t="b">
        <v>0</v>
      </c>
      <c r="N74" s="117">
        <f t="shared" si="1"/>
        <v>0</v>
      </c>
      <c r="O74" s="117">
        <f t="shared" si="2"/>
        <v>0</v>
      </c>
      <c r="P74" s="157" t="s">
        <v>313</v>
      </c>
      <c r="Q74" s="112"/>
    </row>
    <row r="75" ht="15.0" customHeight="1">
      <c r="A75" s="112"/>
      <c r="B75" s="112"/>
      <c r="C75" s="112"/>
      <c r="D75" s="129" t="s">
        <v>275</v>
      </c>
      <c r="E75" s="114" t="str">
        <f>VLOOKUP(D75,Data!H:I,2,0)</f>
        <v>Sakarya</v>
      </c>
      <c r="F75" s="115" t="str">
        <f>VLOOKUP(D75,Data!H:J,3,0)</f>
        <v>Nazım Öztel</v>
      </c>
      <c r="G75" s="116" t="b">
        <v>0</v>
      </c>
      <c r="H75" s="116" t="b">
        <v>0</v>
      </c>
      <c r="I75" s="116" t="b">
        <v>0</v>
      </c>
      <c r="J75" s="116" t="b">
        <v>0</v>
      </c>
      <c r="K75" s="116" t="b">
        <v>0</v>
      </c>
      <c r="L75" s="116" t="b">
        <v>0</v>
      </c>
      <c r="M75" s="116" t="b">
        <v>0</v>
      </c>
      <c r="N75" s="117">
        <f t="shared" si="1"/>
        <v>0</v>
      </c>
      <c r="O75" s="117">
        <f t="shared" si="2"/>
        <v>0</v>
      </c>
      <c r="P75" s="157" t="s">
        <v>319</v>
      </c>
      <c r="Q75" s="112"/>
    </row>
    <row r="76" ht="15.0" customHeight="1">
      <c r="A76" s="112"/>
      <c r="B76" s="112"/>
      <c r="C76" s="112"/>
      <c r="D76" s="129" t="s">
        <v>257</v>
      </c>
      <c r="E76" s="114" t="str">
        <f>VLOOKUP(D76,Data!H:I,2,0)</f>
        <v>Samsun</v>
      </c>
      <c r="F76" s="115" t="str">
        <f>VLOOKUP(D76,Data!H:J,3,0)</f>
        <v>Nazım Öztel</v>
      </c>
      <c r="G76" s="116" t="b">
        <v>0</v>
      </c>
      <c r="H76" s="116" t="b">
        <v>0</v>
      </c>
      <c r="I76" s="116" t="b">
        <v>0</v>
      </c>
      <c r="J76" s="116" t="b">
        <v>0</v>
      </c>
      <c r="K76" s="116" t="b">
        <v>0</v>
      </c>
      <c r="L76" s="116" t="b">
        <v>0</v>
      </c>
      <c r="M76" s="116" t="b">
        <v>0</v>
      </c>
      <c r="N76" s="117">
        <f t="shared" si="1"/>
        <v>0</v>
      </c>
      <c r="O76" s="117">
        <f t="shared" si="2"/>
        <v>0</v>
      </c>
      <c r="P76" s="157" t="s">
        <v>320</v>
      </c>
      <c r="Q76" s="112"/>
    </row>
    <row r="77" ht="15.0" customHeight="1">
      <c r="A77" s="112"/>
      <c r="B77" s="112"/>
      <c r="C77" s="112"/>
      <c r="D77" s="129" t="s">
        <v>267</v>
      </c>
      <c r="E77" s="114" t="str">
        <f>VLOOKUP(D77,Data!H:I,2,0)</f>
        <v>Sinop</v>
      </c>
      <c r="F77" s="115" t="str">
        <f>VLOOKUP(D77,Data!H:J,3,0)</f>
        <v>Nazım Öztel</v>
      </c>
      <c r="G77" s="116" t="b">
        <v>0</v>
      </c>
      <c r="H77" s="116" t="b">
        <v>0</v>
      </c>
      <c r="I77" s="116" t="b">
        <v>0</v>
      </c>
      <c r="J77" s="116" t="b">
        <v>0</v>
      </c>
      <c r="K77" s="116" t="b">
        <v>0</v>
      </c>
      <c r="L77" s="116" t="b">
        <v>0</v>
      </c>
      <c r="M77" s="116" t="b">
        <v>0</v>
      </c>
      <c r="N77" s="117">
        <f t="shared" si="1"/>
        <v>0</v>
      </c>
      <c r="O77" s="117">
        <f t="shared" si="2"/>
        <v>0</v>
      </c>
      <c r="P77" s="157" t="s">
        <v>313</v>
      </c>
      <c r="Q77" s="112"/>
    </row>
    <row r="78" ht="15.0" customHeight="1">
      <c r="A78" s="112"/>
      <c r="B78" s="112"/>
      <c r="C78" s="112"/>
      <c r="D78" s="129" t="s">
        <v>268</v>
      </c>
      <c r="E78" s="114" t="str">
        <f>VLOOKUP(D78,Data!H:I,2,0)</f>
        <v>Sivas</v>
      </c>
      <c r="F78" s="115" t="str">
        <f>VLOOKUP(D78,Data!H:J,3,0)</f>
        <v>Nazım Öztel</v>
      </c>
      <c r="G78" s="116" t="b">
        <v>1</v>
      </c>
      <c r="H78" s="116" t="b">
        <v>0</v>
      </c>
      <c r="I78" s="116" t="b">
        <v>0</v>
      </c>
      <c r="J78" s="116" t="b">
        <v>0</v>
      </c>
      <c r="K78" s="116" t="b">
        <v>1</v>
      </c>
      <c r="L78" s="116" t="b">
        <v>0</v>
      </c>
      <c r="M78" s="116" t="b">
        <v>0</v>
      </c>
      <c r="N78" s="117">
        <f t="shared" si="1"/>
        <v>2</v>
      </c>
      <c r="O78" s="117">
        <f t="shared" si="2"/>
        <v>8</v>
      </c>
      <c r="P78" s="157"/>
      <c r="Q78" s="112"/>
    </row>
    <row r="79" ht="15.0" customHeight="1">
      <c r="A79" s="112"/>
      <c r="B79" s="112"/>
      <c r="C79" s="112"/>
      <c r="D79" s="129" t="s">
        <v>104</v>
      </c>
      <c r="E79" s="114" t="str">
        <f>VLOOKUP(D79,Data!H:I,2,0)</f>
        <v>Tekirdağ</v>
      </c>
      <c r="F79" s="115" t="str">
        <f>VLOOKUP(D79,Data!H:J,3,0)</f>
        <v>Freelance</v>
      </c>
      <c r="G79" s="116" t="b">
        <v>0</v>
      </c>
      <c r="H79" s="116" t="b">
        <v>0</v>
      </c>
      <c r="I79" s="116" t="b">
        <v>1</v>
      </c>
      <c r="J79" s="116" t="b">
        <v>1</v>
      </c>
      <c r="K79" s="116" t="b">
        <v>0</v>
      </c>
      <c r="L79" s="116" t="b">
        <v>0</v>
      </c>
      <c r="M79" s="116" t="b">
        <v>0</v>
      </c>
      <c r="N79" s="117">
        <f t="shared" si="1"/>
        <v>2</v>
      </c>
      <c r="O79" s="117">
        <f t="shared" si="2"/>
        <v>8</v>
      </c>
      <c r="P79" s="157"/>
      <c r="Q79" s="112"/>
    </row>
    <row r="80" ht="15.0" customHeight="1">
      <c r="A80" s="112"/>
      <c r="B80" s="112"/>
      <c r="C80" s="112"/>
      <c r="D80" s="129" t="s">
        <v>258</v>
      </c>
      <c r="E80" s="114" t="str">
        <f>VLOOKUP(D80,Data!H:I,2,0)</f>
        <v>Tokat</v>
      </c>
      <c r="F80" s="115" t="str">
        <f>VLOOKUP(D80,Data!H:J,3,0)</f>
        <v>Nazım Öztel</v>
      </c>
      <c r="G80" s="116" t="b">
        <v>0</v>
      </c>
      <c r="H80" s="116" t="b">
        <v>0</v>
      </c>
      <c r="I80" s="116" t="b">
        <v>0</v>
      </c>
      <c r="J80" s="116" t="b">
        <v>0</v>
      </c>
      <c r="K80" s="116" t="b">
        <v>0</v>
      </c>
      <c r="L80" s="116" t="b">
        <v>0</v>
      </c>
      <c r="M80" s="116" t="b">
        <v>0</v>
      </c>
      <c r="N80" s="117">
        <f t="shared" si="1"/>
        <v>0</v>
      </c>
      <c r="O80" s="117">
        <f t="shared" si="2"/>
        <v>0</v>
      </c>
      <c r="P80" s="157" t="s">
        <v>313</v>
      </c>
      <c r="Q80" s="112"/>
    </row>
    <row r="81" ht="15.0" customHeight="1">
      <c r="A81" s="112"/>
      <c r="B81" s="112"/>
      <c r="C81" s="112"/>
      <c r="D81" s="129" t="s">
        <v>154</v>
      </c>
      <c r="E81" s="114" t="str">
        <f>VLOOKUP(D81,Data!H:I,2,0)</f>
        <v>Uşak</v>
      </c>
      <c r="F81" s="115" t="str">
        <f>VLOOKUP(D81,Data!H:J,3,0)</f>
        <v>Nazım Öztel</v>
      </c>
      <c r="G81" s="116" t="b">
        <v>0</v>
      </c>
      <c r="H81" s="116" t="b">
        <v>0</v>
      </c>
      <c r="I81" s="116" t="b">
        <v>0</v>
      </c>
      <c r="J81" s="116" t="b">
        <v>0</v>
      </c>
      <c r="K81" s="116" t="b">
        <v>0</v>
      </c>
      <c r="L81" s="116" t="b">
        <v>0</v>
      </c>
      <c r="M81" s="116" t="b">
        <v>0</v>
      </c>
      <c r="N81" s="117">
        <f t="shared" si="1"/>
        <v>0</v>
      </c>
      <c r="O81" s="117">
        <f t="shared" si="2"/>
        <v>0</v>
      </c>
      <c r="P81" s="157" t="s">
        <v>319</v>
      </c>
      <c r="Q81" s="112"/>
    </row>
    <row r="82" ht="15.0" customHeight="1">
      <c r="A82" s="112"/>
      <c r="B82" s="112"/>
      <c r="C82" s="112"/>
      <c r="D82" s="129" t="s">
        <v>276</v>
      </c>
      <c r="E82" s="114" t="str">
        <f>VLOOKUP(D82,Data!H:I,2,0)</f>
        <v>Zonguldak</v>
      </c>
      <c r="F82" s="115" t="str">
        <f>VLOOKUP(D82,Data!H:J,3,0)</f>
        <v>Nazım Öztel</v>
      </c>
      <c r="G82" s="116" t="b">
        <v>0</v>
      </c>
      <c r="H82" s="116" t="b">
        <v>0</v>
      </c>
      <c r="I82" s="116" t="b">
        <v>0</v>
      </c>
      <c r="J82" s="116" t="b">
        <v>0</v>
      </c>
      <c r="K82" s="116" t="b">
        <v>0</v>
      </c>
      <c r="L82" s="116" t="b">
        <v>0</v>
      </c>
      <c r="M82" s="116" t="b">
        <v>0</v>
      </c>
      <c r="N82" s="117">
        <f t="shared" si="1"/>
        <v>0</v>
      </c>
      <c r="O82" s="117">
        <f t="shared" si="2"/>
        <v>0</v>
      </c>
      <c r="P82" s="157" t="s">
        <v>313</v>
      </c>
      <c r="Q82" s="112"/>
    </row>
    <row r="83" ht="15.0" customHeight="1">
      <c r="A83" s="112"/>
      <c r="B83" s="112"/>
      <c r="C83" s="112"/>
      <c r="D83" s="148" t="s">
        <v>282</v>
      </c>
      <c r="E83" s="114" t="str">
        <f>VLOOKUP(D83,Data!H:I,2,0)</f>
        <v>Antalya</v>
      </c>
      <c r="F83" s="115" t="str">
        <f>VLOOKUP(D83,Data!H:J,3,0)</f>
        <v>Nazım Öztel</v>
      </c>
      <c r="G83" s="116" t="b">
        <v>0</v>
      </c>
      <c r="H83" s="116" t="b">
        <v>0</v>
      </c>
      <c r="I83" s="116" t="b">
        <v>0</v>
      </c>
      <c r="J83" s="116" t="b">
        <v>0</v>
      </c>
      <c r="K83" s="116" t="b">
        <v>0</v>
      </c>
      <c r="L83" s="116" t="b">
        <v>0</v>
      </c>
      <c r="M83" s="116" t="b">
        <v>0</v>
      </c>
      <c r="N83" s="117">
        <f t="shared" si="1"/>
        <v>0</v>
      </c>
      <c r="O83" s="117">
        <f t="shared" si="2"/>
        <v>0</v>
      </c>
      <c r="P83" s="157"/>
      <c r="Q83" s="112"/>
    </row>
    <row r="84" ht="15.0" customHeight="1">
      <c r="A84" s="112"/>
      <c r="B84" s="112"/>
      <c r="C84" s="112"/>
      <c r="D84" s="149" t="s">
        <v>283</v>
      </c>
      <c r="E84" s="114" t="str">
        <f>VLOOKUP(D84,Data!H:I,2,0)</f>
        <v>Adana</v>
      </c>
      <c r="F84" s="115" t="str">
        <f>VLOOKUP(D84,Data!H:J,3,0)</f>
        <v>Nazım Öztel</v>
      </c>
      <c r="G84" s="116" t="b">
        <v>0</v>
      </c>
      <c r="H84" s="116" t="b">
        <v>0</v>
      </c>
      <c r="I84" s="116" t="b">
        <v>0</v>
      </c>
      <c r="J84" s="116" t="b">
        <v>0</v>
      </c>
      <c r="K84" s="116" t="b">
        <v>0</v>
      </c>
      <c r="L84" s="116" t="b">
        <v>0</v>
      </c>
      <c r="M84" s="116" t="b">
        <v>0</v>
      </c>
      <c r="N84" s="117">
        <f t="shared" si="1"/>
        <v>0</v>
      </c>
      <c r="O84" s="117">
        <f t="shared" si="2"/>
        <v>0</v>
      </c>
      <c r="P84" s="157" t="s">
        <v>321</v>
      </c>
      <c r="Q84" s="112"/>
    </row>
    <row r="85" ht="15.0" customHeight="1">
      <c r="A85" s="112"/>
      <c r="B85" s="112"/>
      <c r="C85" s="112"/>
      <c r="D85" s="150" t="s">
        <v>284</v>
      </c>
      <c r="E85" s="114" t="str">
        <f>VLOOKUP(D85,Data!H:I,2,0)</f>
        <v>Iğdır</v>
      </c>
      <c r="F85" s="115" t="str">
        <f>VLOOKUP(D85,Data!H:J,3,0)</f>
        <v>Nazım Öztel</v>
      </c>
      <c r="G85" s="116" t="b">
        <v>0</v>
      </c>
      <c r="H85" s="116" t="b">
        <v>0</v>
      </c>
      <c r="I85" s="116" t="b">
        <v>0</v>
      </c>
      <c r="J85" s="116" t="b">
        <v>0</v>
      </c>
      <c r="K85" s="116" t="b">
        <v>0</v>
      </c>
      <c r="L85" s="116" t="b">
        <v>0</v>
      </c>
      <c r="M85" s="116" t="b">
        <v>0</v>
      </c>
      <c r="N85" s="117">
        <f t="shared" si="1"/>
        <v>0</v>
      </c>
      <c r="O85" s="117">
        <f t="shared" si="2"/>
        <v>0</v>
      </c>
      <c r="P85" s="157" t="s">
        <v>322</v>
      </c>
      <c r="Q85" s="112"/>
    </row>
    <row r="86" ht="15.0" customHeight="1">
      <c r="A86" s="112"/>
      <c r="B86" s="112"/>
      <c r="C86" s="112"/>
      <c r="D86" s="150" t="s">
        <v>285</v>
      </c>
      <c r="E86" s="114" t="str">
        <f>VLOOKUP(D86,Data!H:I,2,0)</f>
        <v>Bitlis</v>
      </c>
      <c r="F86" s="115" t="str">
        <f>VLOOKUP(D86,Data!H:J,3,0)</f>
        <v>Nazım Öztel</v>
      </c>
      <c r="G86" s="116" t="b">
        <v>0</v>
      </c>
      <c r="H86" s="116" t="b">
        <v>0</v>
      </c>
      <c r="I86" s="116" t="b">
        <v>0</v>
      </c>
      <c r="J86" s="116" t="b">
        <v>0</v>
      </c>
      <c r="K86" s="116" t="b">
        <v>0</v>
      </c>
      <c r="L86" s="116" t="b">
        <v>0</v>
      </c>
      <c r="M86" s="116" t="b">
        <v>0</v>
      </c>
      <c r="N86" s="117">
        <f t="shared" si="1"/>
        <v>0</v>
      </c>
      <c r="O86" s="117">
        <f t="shared" si="2"/>
        <v>0</v>
      </c>
      <c r="P86" s="157" t="s">
        <v>313</v>
      </c>
      <c r="Q86" s="112"/>
    </row>
    <row r="87" ht="15.0" customHeight="1">
      <c r="A87" s="112"/>
      <c r="B87" s="112"/>
      <c r="C87" s="112"/>
      <c r="D87" s="149" t="s">
        <v>286</v>
      </c>
      <c r="E87" s="114" t="str">
        <f>VLOOKUP(D87,Data!H:I,2,0)</f>
        <v>Trabzon</v>
      </c>
      <c r="F87" s="115" t="str">
        <f>VLOOKUP(D87,Data!H:J,3,0)</f>
        <v>Nazım Öztel</v>
      </c>
      <c r="G87" s="116" t="b">
        <v>0</v>
      </c>
      <c r="H87" s="116" t="b">
        <v>0</v>
      </c>
      <c r="I87" s="116" t="b">
        <v>0</v>
      </c>
      <c r="J87" s="116" t="b">
        <v>0</v>
      </c>
      <c r="K87" s="116" t="b">
        <v>0</v>
      </c>
      <c r="L87" s="116" t="b">
        <v>0</v>
      </c>
      <c r="M87" s="116" t="b">
        <v>0</v>
      </c>
      <c r="N87" s="117">
        <f t="shared" si="1"/>
        <v>0</v>
      </c>
      <c r="O87" s="117">
        <f t="shared" si="2"/>
        <v>0</v>
      </c>
      <c r="P87" s="157" t="s">
        <v>321</v>
      </c>
      <c r="Q87" s="112"/>
    </row>
    <row r="88" ht="15.0" customHeight="1">
      <c r="A88" s="112"/>
      <c r="B88" s="112"/>
      <c r="C88" s="112"/>
      <c r="D88" s="150" t="s">
        <v>287</v>
      </c>
      <c r="E88" s="114" t="str">
        <f>VLOOKUP(D88,Data!H:I,2,0)</f>
        <v>Ankara</v>
      </c>
      <c r="F88" s="115" t="str">
        <f>VLOOKUP(D88,Data!H:J,3,0)</f>
        <v>Nazım Öztel</v>
      </c>
      <c r="G88" s="116" t="b">
        <v>0</v>
      </c>
      <c r="H88" s="116" t="b">
        <v>0</v>
      </c>
      <c r="I88" s="116" t="b">
        <v>0</v>
      </c>
      <c r="J88" s="116" t="b">
        <v>0</v>
      </c>
      <c r="K88" s="116" t="b">
        <v>0</v>
      </c>
      <c r="L88" s="116" t="b">
        <v>0</v>
      </c>
      <c r="M88" s="116" t="b">
        <v>0</v>
      </c>
      <c r="N88" s="117">
        <f t="shared" si="1"/>
        <v>0</v>
      </c>
      <c r="O88" s="117">
        <f t="shared" si="2"/>
        <v>0</v>
      </c>
      <c r="P88" s="157"/>
      <c r="Q88" s="112"/>
    </row>
    <row r="89" ht="15.0" customHeight="1">
      <c r="A89" s="112"/>
      <c r="B89" s="112"/>
      <c r="C89" s="112"/>
      <c r="D89" s="150" t="s">
        <v>288</v>
      </c>
      <c r="E89" s="114" t="str">
        <f>VLOOKUP(D89,Data!H:I,2,0)</f>
        <v>Şanlıurfa</v>
      </c>
      <c r="F89" s="115" t="str">
        <f>VLOOKUP(D89,Data!H:J,3,0)</f>
        <v>Nazım Öztel</v>
      </c>
      <c r="G89" s="116" t="b">
        <v>0</v>
      </c>
      <c r="H89" s="116" t="b">
        <v>0</v>
      </c>
      <c r="I89" s="116" t="b">
        <v>0</v>
      </c>
      <c r="J89" s="116" t="b">
        <v>0</v>
      </c>
      <c r="K89" s="116" t="b">
        <v>0</v>
      </c>
      <c r="L89" s="116" t="b">
        <v>0</v>
      </c>
      <c r="M89" s="116" t="b">
        <v>0</v>
      </c>
      <c r="N89" s="117">
        <f t="shared" si="1"/>
        <v>0</v>
      </c>
      <c r="O89" s="117">
        <f t="shared" si="2"/>
        <v>0</v>
      </c>
      <c r="P89" s="157" t="s">
        <v>309</v>
      </c>
      <c r="Q89" s="112"/>
    </row>
    <row r="90" ht="15.0" customHeight="1">
      <c r="A90" s="112"/>
      <c r="B90" s="112"/>
      <c r="C90" s="112"/>
      <c r="D90" s="149" t="s">
        <v>289</v>
      </c>
      <c r="E90" s="114" t="str">
        <f>VLOOKUP(D90,Data!H:I,2,0)</f>
        <v>Elazığ</v>
      </c>
      <c r="F90" s="115" t="str">
        <f>VLOOKUP(D90,Data!H:J,3,0)</f>
        <v>Nazım Öztel</v>
      </c>
      <c r="G90" s="116" t="b">
        <v>0</v>
      </c>
      <c r="H90" s="116" t="b">
        <v>0</v>
      </c>
      <c r="I90" s="116" t="b">
        <v>1</v>
      </c>
      <c r="J90" s="116" t="b">
        <v>1</v>
      </c>
      <c r="K90" s="116" t="b">
        <v>0</v>
      </c>
      <c r="L90" s="116" t="b">
        <v>1</v>
      </c>
      <c r="M90" s="116" t="b">
        <v>0</v>
      </c>
      <c r="N90" s="117">
        <f t="shared" si="1"/>
        <v>3</v>
      </c>
      <c r="O90" s="117">
        <f t="shared" si="2"/>
        <v>12</v>
      </c>
      <c r="P90" s="157"/>
      <c r="Q90" s="112"/>
    </row>
    <row r="91" ht="15.0" customHeight="1">
      <c r="A91" s="112"/>
      <c r="B91" s="112"/>
      <c r="C91" s="112"/>
      <c r="D91" s="149" t="s">
        <v>290</v>
      </c>
      <c r="E91" s="114" t="str">
        <f>VLOOKUP(D91,Data!H:I,2,0)</f>
        <v>Bayburt</v>
      </c>
      <c r="F91" s="115" t="str">
        <f>VLOOKUP(D91,Data!H:J,3,0)</f>
        <v>Nazım Öztel</v>
      </c>
      <c r="G91" s="116" t="b">
        <v>0</v>
      </c>
      <c r="H91" s="116" t="b">
        <v>0</v>
      </c>
      <c r="I91" s="116" t="b">
        <v>0</v>
      </c>
      <c r="J91" s="116" t="b">
        <v>0</v>
      </c>
      <c r="K91" s="116" t="b">
        <v>0</v>
      </c>
      <c r="L91" s="116" t="b">
        <v>0</v>
      </c>
      <c r="M91" s="116" t="b">
        <v>0</v>
      </c>
      <c r="N91" s="117">
        <f t="shared" si="1"/>
        <v>0</v>
      </c>
      <c r="O91" s="117">
        <f t="shared" si="2"/>
        <v>0</v>
      </c>
      <c r="P91" s="157" t="s">
        <v>323</v>
      </c>
      <c r="Q91" s="112"/>
    </row>
    <row r="92" ht="15.0" customHeight="1">
      <c r="A92" s="112"/>
      <c r="B92" s="112"/>
      <c r="C92" s="112"/>
      <c r="D92" s="149" t="s">
        <v>291</v>
      </c>
      <c r="E92" s="114" t="str">
        <f>VLOOKUP(D92,Data!H:I,2,0)</f>
        <v>Bingöl</v>
      </c>
      <c r="F92" s="115" t="str">
        <f>VLOOKUP(D92,Data!H:J,3,0)</f>
        <v>Nazım Öztel</v>
      </c>
      <c r="G92" s="116" t="b">
        <v>0</v>
      </c>
      <c r="H92" s="116" t="b">
        <v>0</v>
      </c>
      <c r="I92" s="116" t="b">
        <v>0</v>
      </c>
      <c r="J92" s="116" t="b">
        <v>0</v>
      </c>
      <c r="K92" s="116" t="b">
        <v>0</v>
      </c>
      <c r="L92" s="116" t="b">
        <v>0</v>
      </c>
      <c r="M92" s="116" t="b">
        <v>0</v>
      </c>
      <c r="N92" s="117">
        <f t="shared" si="1"/>
        <v>0</v>
      </c>
      <c r="O92" s="117">
        <f t="shared" si="2"/>
        <v>0</v>
      </c>
      <c r="P92" s="157" t="s">
        <v>323</v>
      </c>
      <c r="Q92" s="112"/>
    </row>
    <row r="93" ht="15.0" customHeight="1">
      <c r="A93" s="112"/>
      <c r="B93" s="112"/>
      <c r="C93" s="112"/>
      <c r="D93" s="149" t="s">
        <v>292</v>
      </c>
      <c r="E93" s="114" t="str">
        <f>VLOOKUP(D93,Data!H:I,2,0)</f>
        <v>Diyarbakır</v>
      </c>
      <c r="F93" s="115" t="str">
        <f>VLOOKUP(D93,Data!H:J,3,0)</f>
        <v>Nazım Öztel</v>
      </c>
      <c r="G93" s="116" t="b">
        <v>0</v>
      </c>
      <c r="H93" s="116" t="b">
        <v>0</v>
      </c>
      <c r="I93" s="116" t="b">
        <v>0</v>
      </c>
      <c r="J93" s="116" t="b">
        <v>0</v>
      </c>
      <c r="K93" s="116" t="b">
        <v>0</v>
      </c>
      <c r="L93" s="116" t="b">
        <v>0</v>
      </c>
      <c r="M93" s="116" t="b">
        <v>0</v>
      </c>
      <c r="N93" s="117">
        <f t="shared" si="1"/>
        <v>0</v>
      </c>
      <c r="O93" s="117">
        <f t="shared" si="2"/>
        <v>0</v>
      </c>
      <c r="P93" s="157"/>
      <c r="Q93" s="112"/>
    </row>
    <row r="94" ht="15.0" customHeight="1">
      <c r="A94" s="112"/>
      <c r="B94" s="112"/>
      <c r="C94" s="112"/>
      <c r="D94" s="151" t="s">
        <v>293</v>
      </c>
      <c r="E94" s="114" t="str">
        <f>VLOOKUP(D94,Data!H:I,2,0)</f>
        <v>Çanakkale</v>
      </c>
      <c r="F94" s="115" t="str">
        <f>VLOOKUP(D94,Data!H:J,3,0)</f>
        <v>Nazım Öztel</v>
      </c>
      <c r="G94" s="116" t="b">
        <v>0</v>
      </c>
      <c r="H94" s="116" t="b">
        <v>0</v>
      </c>
      <c r="I94" s="116" t="b">
        <v>0</v>
      </c>
      <c r="J94" s="116" t="b">
        <v>0</v>
      </c>
      <c r="K94" s="116" t="b">
        <v>0</v>
      </c>
      <c r="L94" s="116" t="b">
        <v>0</v>
      </c>
      <c r="M94" s="116" t="b">
        <v>0</v>
      </c>
      <c r="N94" s="117">
        <f t="shared" si="1"/>
        <v>0</v>
      </c>
      <c r="O94" s="117">
        <f t="shared" si="2"/>
        <v>0</v>
      </c>
      <c r="P94" s="157" t="s">
        <v>324</v>
      </c>
      <c r="Q94" s="112"/>
    </row>
    <row r="95" ht="15.0" customHeight="1">
      <c r="A95" s="112"/>
      <c r="B95" s="112"/>
      <c r="C95" s="112"/>
      <c r="D95" s="150" t="s">
        <v>325</v>
      </c>
      <c r="E95" s="114" t="s">
        <v>326</v>
      </c>
      <c r="F95" s="115" t="s">
        <v>61</v>
      </c>
      <c r="G95" s="139" t="b">
        <v>0</v>
      </c>
      <c r="H95" s="139" t="b">
        <v>1</v>
      </c>
      <c r="I95" s="139" t="b">
        <v>1</v>
      </c>
      <c r="J95" s="139" t="b">
        <v>0</v>
      </c>
      <c r="K95" s="139" t="b">
        <v>0</v>
      </c>
      <c r="L95" s="139" t="b">
        <v>0</v>
      </c>
      <c r="M95" s="139" t="b">
        <v>0</v>
      </c>
      <c r="N95" s="117">
        <f t="shared" si="1"/>
        <v>2</v>
      </c>
      <c r="O95" s="117">
        <f t="shared" si="2"/>
        <v>8</v>
      </c>
      <c r="P95" s="157"/>
      <c r="Q95" s="112"/>
    </row>
    <row r="96" ht="15.0" customHeight="1">
      <c r="A96" s="112"/>
      <c r="B96" s="112"/>
      <c r="C96" s="112"/>
      <c r="D96" s="149" t="s">
        <v>296</v>
      </c>
      <c r="E96" s="114" t="str">
        <f>VLOOKUP(D96,Data!H:I,2,0)</f>
        <v>Bilecik</v>
      </c>
      <c r="F96" s="115" t="str">
        <f>VLOOKUP(D96,Data!H:J,3,0)</f>
        <v>Nazım Öztel</v>
      </c>
      <c r="G96" s="139" t="b">
        <v>0</v>
      </c>
      <c r="H96" s="139" t="b">
        <v>0</v>
      </c>
      <c r="I96" s="139" t="b">
        <v>0</v>
      </c>
      <c r="J96" s="139" t="b">
        <v>0</v>
      </c>
      <c r="K96" s="139" t="b">
        <v>0</v>
      </c>
      <c r="L96" s="139" t="b">
        <v>0</v>
      </c>
      <c r="M96" s="139" t="b">
        <v>0</v>
      </c>
      <c r="N96" s="117">
        <f t="shared" ref="N96:O96" si="3">SUM(N15:N94)</f>
        <v>74</v>
      </c>
      <c r="O96" s="117">
        <f t="shared" si="3"/>
        <v>296</v>
      </c>
      <c r="P96" s="157"/>
      <c r="Q96" s="112"/>
    </row>
    <row r="97" ht="15.0" customHeight="1">
      <c r="A97" s="112"/>
      <c r="B97" s="112"/>
      <c r="C97" s="112"/>
      <c r="D97" s="149"/>
      <c r="E97" s="144"/>
      <c r="F97" s="144"/>
      <c r="G97" s="117">
        <f t="shared" ref="G97:M97" si="4">4*(COUNTIF(G15:G95,"true"))</f>
        <v>48</v>
      </c>
      <c r="H97" s="117">
        <f t="shared" si="4"/>
        <v>56</v>
      </c>
      <c r="I97" s="117">
        <f t="shared" si="4"/>
        <v>72</v>
      </c>
      <c r="J97" s="117">
        <f t="shared" si="4"/>
        <v>52</v>
      </c>
      <c r="K97" s="117">
        <f t="shared" si="4"/>
        <v>68</v>
      </c>
      <c r="L97" s="117">
        <f t="shared" si="4"/>
        <v>8</v>
      </c>
      <c r="M97" s="117">
        <f t="shared" si="4"/>
        <v>0</v>
      </c>
      <c r="N97" s="117">
        <f t="shared" ref="N97:O97" si="5">SUM(N15:N96)</f>
        <v>150</v>
      </c>
      <c r="O97" s="117">
        <f t="shared" si="5"/>
        <v>600</v>
      </c>
      <c r="P97" s="160"/>
      <c r="Q97" s="112"/>
    </row>
    <row r="98" ht="15.0" customHeight="1">
      <c r="A98" s="112"/>
      <c r="B98" s="112"/>
      <c r="C98" s="112"/>
      <c r="D98" s="149"/>
      <c r="E98" s="144"/>
      <c r="F98" s="144"/>
      <c r="G98" s="135"/>
      <c r="H98" s="135"/>
      <c r="I98" s="135"/>
      <c r="J98" s="135"/>
      <c r="K98" s="135"/>
      <c r="L98" s="135"/>
      <c r="M98" s="135"/>
      <c r="N98" s="135"/>
      <c r="O98" s="135"/>
      <c r="P98" s="160"/>
      <c r="Q98" s="112"/>
    </row>
    <row r="99" ht="15.0" customHeight="1">
      <c r="A99" s="112"/>
      <c r="B99" s="112"/>
      <c r="C99" s="112"/>
      <c r="D99" s="149"/>
      <c r="E99" s="144"/>
      <c r="F99" s="144"/>
      <c r="G99" s="135"/>
      <c r="H99" s="135"/>
      <c r="I99" s="135"/>
      <c r="J99" s="135"/>
      <c r="K99" s="135"/>
      <c r="L99" s="135"/>
      <c r="M99" s="135"/>
      <c r="N99" s="135"/>
      <c r="O99" s="135"/>
      <c r="P99" s="160"/>
      <c r="Q99" s="112"/>
    </row>
    <row r="100" ht="15.0" customHeight="1">
      <c r="A100" s="112"/>
      <c r="B100" s="112"/>
      <c r="C100" s="112"/>
      <c r="D100" s="149"/>
      <c r="E100" s="144"/>
      <c r="F100" s="144"/>
      <c r="G100" s="135"/>
      <c r="H100" s="135"/>
      <c r="I100" s="135"/>
      <c r="J100" s="135"/>
      <c r="K100" s="135"/>
      <c r="L100" s="135"/>
      <c r="M100" s="135"/>
      <c r="N100" s="135"/>
      <c r="O100" s="135"/>
      <c r="P100" s="160"/>
      <c r="Q100" s="112"/>
    </row>
    <row r="101">
      <c r="P101" s="161"/>
    </row>
    <row r="102">
      <c r="P102" s="161"/>
    </row>
    <row r="103">
      <c r="P103" s="161"/>
    </row>
    <row r="104">
      <c r="P104" s="161"/>
    </row>
    <row r="105">
      <c r="P105" s="161"/>
    </row>
    <row r="106">
      <c r="P106" s="161"/>
    </row>
    <row r="107">
      <c r="P107" s="161"/>
    </row>
    <row r="108">
      <c r="P108" s="161"/>
    </row>
    <row r="109">
      <c r="P109" s="161"/>
    </row>
    <row r="110">
      <c r="P110" s="161"/>
    </row>
    <row r="111">
      <c r="P111" s="161"/>
    </row>
    <row r="112">
      <c r="P112" s="161"/>
    </row>
    <row r="113">
      <c r="P113" s="161"/>
    </row>
    <row r="114">
      <c r="P114" s="161"/>
    </row>
    <row r="115">
      <c r="P115" s="161"/>
    </row>
    <row r="116">
      <c r="P116" s="161"/>
    </row>
    <row r="117">
      <c r="P117" s="161"/>
    </row>
    <row r="118">
      <c r="P118" s="161"/>
    </row>
    <row r="119">
      <c r="P119" s="161"/>
    </row>
    <row r="120">
      <c r="P120" s="161"/>
    </row>
    <row r="121">
      <c r="P121" s="161"/>
    </row>
    <row r="122">
      <c r="P122" s="161"/>
    </row>
    <row r="123">
      <c r="P123" s="161"/>
    </row>
    <row r="124">
      <c r="P124" s="161"/>
    </row>
    <row r="125">
      <c r="P125" s="161"/>
    </row>
    <row r="126">
      <c r="P126" s="161"/>
    </row>
    <row r="127">
      <c r="P127" s="161"/>
    </row>
    <row r="128">
      <c r="P128" s="161"/>
    </row>
    <row r="129">
      <c r="P129" s="161"/>
    </row>
    <row r="130">
      <c r="P130" s="161"/>
    </row>
    <row r="131">
      <c r="P131" s="161"/>
    </row>
    <row r="132">
      <c r="P132" s="161"/>
    </row>
    <row r="133">
      <c r="P133" s="161"/>
    </row>
    <row r="134">
      <c r="P134" s="161"/>
    </row>
    <row r="135">
      <c r="P135" s="161"/>
    </row>
    <row r="136">
      <c r="P136" s="161"/>
    </row>
    <row r="137">
      <c r="P137" s="161"/>
    </row>
    <row r="138">
      <c r="P138" s="161"/>
    </row>
    <row r="139">
      <c r="P139" s="161"/>
    </row>
    <row r="140">
      <c r="P140" s="161"/>
    </row>
    <row r="141">
      <c r="P141" s="161"/>
    </row>
    <row r="142">
      <c r="P142" s="161"/>
    </row>
    <row r="143">
      <c r="P143" s="161"/>
    </row>
    <row r="144">
      <c r="P144" s="161"/>
    </row>
    <row r="145">
      <c r="P145" s="161"/>
    </row>
    <row r="146">
      <c r="P146" s="161"/>
    </row>
    <row r="147">
      <c r="P147" s="161"/>
    </row>
    <row r="148">
      <c r="P148" s="161"/>
    </row>
    <row r="149">
      <c r="P149" s="161"/>
    </row>
    <row r="150">
      <c r="P150" s="161"/>
    </row>
    <row r="151">
      <c r="P151" s="161"/>
    </row>
    <row r="152">
      <c r="P152" s="161"/>
    </row>
    <row r="153">
      <c r="P153" s="161"/>
    </row>
    <row r="154">
      <c r="P154" s="161"/>
    </row>
    <row r="155">
      <c r="P155" s="161"/>
    </row>
    <row r="156">
      <c r="P156" s="161"/>
    </row>
    <row r="157">
      <c r="P157" s="161"/>
    </row>
    <row r="158">
      <c r="P158" s="161"/>
    </row>
    <row r="159">
      <c r="P159" s="161"/>
    </row>
    <row r="160">
      <c r="P160" s="161"/>
    </row>
    <row r="161">
      <c r="P161" s="161"/>
    </row>
    <row r="162">
      <c r="P162" s="161"/>
    </row>
    <row r="163">
      <c r="P163" s="161"/>
    </row>
    <row r="164">
      <c r="P164" s="161"/>
    </row>
    <row r="165">
      <c r="P165" s="161"/>
    </row>
    <row r="166">
      <c r="P166" s="161"/>
    </row>
    <row r="167">
      <c r="P167" s="161"/>
    </row>
    <row r="168">
      <c r="P168" s="161"/>
    </row>
    <row r="169">
      <c r="P169" s="161"/>
    </row>
    <row r="170">
      <c r="P170" s="161"/>
    </row>
    <row r="171">
      <c r="P171" s="161"/>
    </row>
    <row r="172">
      <c r="P172" s="161"/>
    </row>
    <row r="173">
      <c r="P173" s="161"/>
    </row>
    <row r="174">
      <c r="P174" s="161"/>
    </row>
    <row r="175">
      <c r="P175" s="161"/>
    </row>
    <row r="176">
      <c r="P176" s="161"/>
    </row>
    <row r="177">
      <c r="P177" s="161"/>
    </row>
    <row r="178">
      <c r="P178" s="161"/>
    </row>
    <row r="179">
      <c r="P179" s="161"/>
    </row>
    <row r="180">
      <c r="P180" s="161"/>
    </row>
    <row r="181">
      <c r="P181" s="161"/>
    </row>
    <row r="182">
      <c r="P182" s="161"/>
    </row>
    <row r="183">
      <c r="P183" s="161"/>
    </row>
    <row r="184">
      <c r="P184" s="161"/>
    </row>
    <row r="185">
      <c r="P185" s="161"/>
    </row>
    <row r="186">
      <c r="P186" s="161"/>
    </row>
    <row r="187">
      <c r="P187" s="161"/>
    </row>
    <row r="188">
      <c r="P188" s="161"/>
    </row>
    <row r="189">
      <c r="P189" s="161"/>
    </row>
    <row r="190">
      <c r="P190" s="161"/>
    </row>
    <row r="191">
      <c r="P191" s="161"/>
    </row>
    <row r="192">
      <c r="P192" s="161"/>
    </row>
    <row r="193">
      <c r="P193" s="161"/>
    </row>
    <row r="194">
      <c r="P194" s="161"/>
    </row>
    <row r="195">
      <c r="P195" s="161"/>
    </row>
    <row r="196">
      <c r="P196" s="161"/>
    </row>
    <row r="197">
      <c r="P197" s="161"/>
    </row>
    <row r="198">
      <c r="P198" s="161"/>
    </row>
    <row r="199">
      <c r="P199" s="161"/>
    </row>
    <row r="200">
      <c r="P200" s="161"/>
    </row>
    <row r="201">
      <c r="P201" s="161"/>
    </row>
    <row r="202">
      <c r="P202" s="161"/>
    </row>
    <row r="203">
      <c r="P203" s="161"/>
    </row>
    <row r="204">
      <c r="P204" s="161"/>
    </row>
    <row r="205">
      <c r="P205" s="161"/>
    </row>
    <row r="206">
      <c r="P206" s="161"/>
    </row>
    <row r="207">
      <c r="P207" s="161"/>
    </row>
    <row r="208">
      <c r="P208" s="161"/>
    </row>
    <row r="209">
      <c r="P209" s="161"/>
    </row>
    <row r="210">
      <c r="P210" s="161"/>
    </row>
    <row r="211">
      <c r="P211" s="161"/>
    </row>
    <row r="212">
      <c r="P212" s="161"/>
    </row>
    <row r="213">
      <c r="P213" s="161"/>
    </row>
    <row r="214">
      <c r="P214" s="161"/>
    </row>
    <row r="215">
      <c r="P215" s="161"/>
    </row>
    <row r="216">
      <c r="P216" s="161"/>
    </row>
    <row r="217">
      <c r="P217" s="161"/>
    </row>
    <row r="218">
      <c r="P218" s="161"/>
    </row>
    <row r="219">
      <c r="P219" s="161"/>
    </row>
    <row r="220">
      <c r="P220" s="161"/>
    </row>
    <row r="221">
      <c r="P221" s="161"/>
    </row>
    <row r="222">
      <c r="P222" s="161"/>
    </row>
    <row r="223">
      <c r="P223" s="161"/>
    </row>
    <row r="224">
      <c r="P224" s="161"/>
    </row>
    <row r="225">
      <c r="P225" s="161"/>
    </row>
    <row r="226">
      <c r="P226" s="161"/>
    </row>
    <row r="227">
      <c r="P227" s="161"/>
    </row>
    <row r="228">
      <c r="P228" s="161"/>
    </row>
    <row r="229">
      <c r="P229" s="161"/>
    </row>
    <row r="230">
      <c r="P230" s="161"/>
    </row>
    <row r="231">
      <c r="P231" s="161"/>
    </row>
    <row r="232">
      <c r="P232" s="161"/>
    </row>
    <row r="233">
      <c r="P233" s="161"/>
    </row>
    <row r="234">
      <c r="P234" s="161"/>
    </row>
    <row r="235">
      <c r="P235" s="161"/>
    </row>
    <row r="236">
      <c r="P236" s="161"/>
    </row>
    <row r="237">
      <c r="P237" s="161"/>
    </row>
    <row r="238">
      <c r="P238" s="161"/>
    </row>
    <row r="239">
      <c r="P239" s="161"/>
    </row>
    <row r="240">
      <c r="P240" s="161"/>
    </row>
    <row r="241">
      <c r="P241" s="161"/>
    </row>
    <row r="242">
      <c r="P242" s="161"/>
    </row>
    <row r="243">
      <c r="P243" s="161"/>
    </row>
    <row r="244">
      <c r="P244" s="161"/>
    </row>
    <row r="245">
      <c r="P245" s="161"/>
    </row>
    <row r="246">
      <c r="P246" s="161"/>
    </row>
    <row r="247">
      <c r="P247" s="161"/>
    </row>
    <row r="248">
      <c r="P248" s="161"/>
    </row>
    <row r="249">
      <c r="P249" s="161"/>
    </row>
    <row r="250">
      <c r="P250" s="161"/>
    </row>
    <row r="251">
      <c r="P251" s="161"/>
    </row>
    <row r="252">
      <c r="P252" s="161"/>
    </row>
    <row r="253">
      <c r="P253" s="161"/>
    </row>
    <row r="254">
      <c r="P254" s="161"/>
    </row>
    <row r="255">
      <c r="P255" s="161"/>
    </row>
    <row r="256">
      <c r="P256" s="161"/>
    </row>
    <row r="257">
      <c r="P257" s="161"/>
    </row>
    <row r="258">
      <c r="P258" s="161"/>
    </row>
    <row r="259">
      <c r="P259" s="161"/>
    </row>
    <row r="260">
      <c r="P260" s="161"/>
    </row>
    <row r="261">
      <c r="P261" s="161"/>
    </row>
    <row r="262">
      <c r="P262" s="161"/>
    </row>
    <row r="263">
      <c r="P263" s="161"/>
    </row>
    <row r="264">
      <c r="P264" s="161"/>
    </row>
    <row r="265">
      <c r="P265" s="161"/>
    </row>
    <row r="266">
      <c r="P266" s="161"/>
    </row>
    <row r="267">
      <c r="P267" s="161"/>
    </row>
    <row r="268">
      <c r="P268" s="161"/>
    </row>
    <row r="269">
      <c r="P269" s="161"/>
    </row>
    <row r="270">
      <c r="P270" s="161"/>
    </row>
    <row r="271">
      <c r="P271" s="161"/>
    </row>
    <row r="272">
      <c r="P272" s="161"/>
    </row>
    <row r="273">
      <c r="P273" s="161"/>
    </row>
    <row r="274">
      <c r="P274" s="161"/>
    </row>
    <row r="275">
      <c r="P275" s="161"/>
    </row>
    <row r="276">
      <c r="P276" s="161"/>
    </row>
    <row r="277">
      <c r="P277" s="161"/>
    </row>
    <row r="278">
      <c r="P278" s="161"/>
    </row>
    <row r="279">
      <c r="P279" s="161"/>
    </row>
    <row r="280">
      <c r="P280" s="161"/>
    </row>
    <row r="281">
      <c r="P281" s="161"/>
    </row>
    <row r="282">
      <c r="P282" s="161"/>
    </row>
    <row r="283">
      <c r="P283" s="161"/>
    </row>
    <row r="284">
      <c r="P284" s="161"/>
    </row>
    <row r="285">
      <c r="P285" s="161"/>
    </row>
    <row r="286">
      <c r="P286" s="161"/>
    </row>
    <row r="287">
      <c r="P287" s="161"/>
    </row>
    <row r="288">
      <c r="P288" s="161"/>
    </row>
    <row r="289">
      <c r="P289" s="161"/>
    </row>
    <row r="290">
      <c r="P290" s="161"/>
    </row>
    <row r="291">
      <c r="P291" s="161"/>
    </row>
    <row r="292">
      <c r="P292" s="161"/>
    </row>
    <row r="293">
      <c r="P293" s="161"/>
    </row>
    <row r="294">
      <c r="P294" s="161"/>
    </row>
    <row r="295">
      <c r="P295" s="161"/>
    </row>
    <row r="296">
      <c r="P296" s="161"/>
    </row>
    <row r="297">
      <c r="P297" s="161"/>
    </row>
    <row r="298">
      <c r="P298" s="161"/>
    </row>
    <row r="299">
      <c r="P299" s="161"/>
    </row>
    <row r="300">
      <c r="P300" s="161"/>
    </row>
    <row r="301">
      <c r="P301" s="161"/>
    </row>
    <row r="302">
      <c r="P302" s="161"/>
    </row>
    <row r="303">
      <c r="P303" s="161"/>
    </row>
    <row r="304">
      <c r="P304" s="161"/>
    </row>
    <row r="305">
      <c r="P305" s="161"/>
    </row>
    <row r="306">
      <c r="P306" s="161"/>
    </row>
    <row r="307">
      <c r="P307" s="161"/>
    </row>
    <row r="308">
      <c r="P308" s="161"/>
    </row>
    <row r="309">
      <c r="P309" s="161"/>
    </row>
    <row r="310">
      <c r="P310" s="161"/>
    </row>
    <row r="311">
      <c r="P311" s="161"/>
    </row>
    <row r="312">
      <c r="P312" s="161"/>
    </row>
    <row r="313">
      <c r="P313" s="161"/>
    </row>
    <row r="314">
      <c r="P314" s="161"/>
    </row>
    <row r="315">
      <c r="P315" s="161"/>
    </row>
    <row r="316">
      <c r="P316" s="161"/>
    </row>
    <row r="317">
      <c r="P317" s="161"/>
    </row>
    <row r="318">
      <c r="P318" s="161"/>
    </row>
    <row r="319">
      <c r="P319" s="161"/>
    </row>
    <row r="320">
      <c r="P320" s="161"/>
    </row>
    <row r="321">
      <c r="P321" s="161"/>
    </row>
    <row r="322">
      <c r="P322" s="161"/>
    </row>
    <row r="323">
      <c r="P323" s="161"/>
    </row>
    <row r="324">
      <c r="P324" s="161"/>
    </row>
    <row r="325">
      <c r="P325" s="161"/>
    </row>
    <row r="326">
      <c r="P326" s="161"/>
    </row>
    <row r="327">
      <c r="P327" s="161"/>
    </row>
    <row r="328">
      <c r="P328" s="161"/>
    </row>
    <row r="329">
      <c r="P329" s="161"/>
    </row>
    <row r="330">
      <c r="P330" s="161"/>
    </row>
    <row r="331">
      <c r="P331" s="161"/>
    </row>
    <row r="332">
      <c r="P332" s="161"/>
    </row>
    <row r="333">
      <c r="P333" s="161"/>
    </row>
    <row r="334">
      <c r="P334" s="161"/>
    </row>
    <row r="335">
      <c r="P335" s="161"/>
    </row>
    <row r="336">
      <c r="P336" s="161"/>
    </row>
    <row r="337">
      <c r="P337" s="161"/>
    </row>
    <row r="338">
      <c r="P338" s="161"/>
    </row>
    <row r="339">
      <c r="P339" s="161"/>
    </row>
    <row r="340">
      <c r="P340" s="161"/>
    </row>
    <row r="341">
      <c r="P341" s="161"/>
    </row>
    <row r="342">
      <c r="P342" s="161"/>
    </row>
    <row r="343">
      <c r="P343" s="161"/>
    </row>
    <row r="344">
      <c r="P344" s="161"/>
    </row>
    <row r="345">
      <c r="P345" s="161"/>
    </row>
    <row r="346">
      <c r="P346" s="161"/>
    </row>
    <row r="347">
      <c r="P347" s="161"/>
    </row>
    <row r="348">
      <c r="P348" s="161"/>
    </row>
    <row r="349">
      <c r="P349" s="161"/>
    </row>
    <row r="350">
      <c r="P350" s="161"/>
    </row>
    <row r="351">
      <c r="P351" s="161"/>
    </row>
    <row r="352">
      <c r="P352" s="161"/>
    </row>
    <row r="353">
      <c r="P353" s="161"/>
    </row>
    <row r="354">
      <c r="P354" s="161"/>
    </row>
    <row r="355">
      <c r="P355" s="161"/>
    </row>
    <row r="356">
      <c r="P356" s="161"/>
    </row>
    <row r="357">
      <c r="P357" s="161"/>
    </row>
    <row r="358">
      <c r="P358" s="161"/>
    </row>
    <row r="359">
      <c r="P359" s="161"/>
    </row>
    <row r="360">
      <c r="P360" s="161"/>
    </row>
    <row r="361">
      <c r="P361" s="161"/>
    </row>
    <row r="362">
      <c r="P362" s="161"/>
    </row>
    <row r="363">
      <c r="P363" s="161"/>
    </row>
    <row r="364">
      <c r="P364" s="161"/>
    </row>
    <row r="365">
      <c r="P365" s="161"/>
    </row>
    <row r="366">
      <c r="P366" s="161"/>
    </row>
    <row r="367">
      <c r="P367" s="161"/>
    </row>
    <row r="368">
      <c r="P368" s="161"/>
    </row>
    <row r="369">
      <c r="P369" s="161"/>
    </row>
    <row r="370">
      <c r="P370" s="161"/>
    </row>
    <row r="371">
      <c r="P371" s="161"/>
    </row>
    <row r="372">
      <c r="P372" s="161"/>
    </row>
    <row r="373">
      <c r="P373" s="161"/>
    </row>
    <row r="374">
      <c r="P374" s="161"/>
    </row>
    <row r="375">
      <c r="P375" s="161"/>
    </row>
    <row r="376">
      <c r="P376" s="161"/>
    </row>
    <row r="377">
      <c r="P377" s="161"/>
    </row>
    <row r="378">
      <c r="P378" s="161"/>
    </row>
    <row r="379">
      <c r="P379" s="161"/>
    </row>
    <row r="380">
      <c r="P380" s="161"/>
    </row>
    <row r="381">
      <c r="P381" s="161"/>
    </row>
    <row r="382">
      <c r="P382" s="161"/>
    </row>
    <row r="383">
      <c r="P383" s="161"/>
    </row>
    <row r="384">
      <c r="P384" s="161"/>
    </row>
    <row r="385">
      <c r="P385" s="161"/>
    </row>
    <row r="386">
      <c r="P386" s="161"/>
    </row>
    <row r="387">
      <c r="P387" s="161"/>
    </row>
    <row r="388">
      <c r="P388" s="161"/>
    </row>
    <row r="389">
      <c r="P389" s="161"/>
    </row>
    <row r="390">
      <c r="P390" s="161"/>
    </row>
    <row r="391">
      <c r="P391" s="161"/>
    </row>
    <row r="392">
      <c r="P392" s="161"/>
    </row>
    <row r="393">
      <c r="P393" s="161"/>
    </row>
    <row r="394">
      <c r="P394" s="161"/>
    </row>
    <row r="395">
      <c r="P395" s="161"/>
    </row>
    <row r="396">
      <c r="P396" s="161"/>
    </row>
    <row r="397">
      <c r="P397" s="161"/>
    </row>
    <row r="398">
      <c r="P398" s="161"/>
    </row>
    <row r="399">
      <c r="P399" s="161"/>
    </row>
    <row r="400">
      <c r="P400" s="161"/>
    </row>
    <row r="401">
      <c r="P401" s="161"/>
    </row>
    <row r="402">
      <c r="P402" s="161"/>
    </row>
    <row r="403">
      <c r="P403" s="161"/>
    </row>
    <row r="404">
      <c r="P404" s="161"/>
    </row>
    <row r="405">
      <c r="P405" s="161"/>
    </row>
    <row r="406">
      <c r="P406" s="161"/>
    </row>
    <row r="407">
      <c r="P407" s="161"/>
    </row>
    <row r="408">
      <c r="P408" s="161"/>
    </row>
    <row r="409">
      <c r="P409" s="161"/>
    </row>
    <row r="410">
      <c r="P410" s="161"/>
    </row>
    <row r="411">
      <c r="P411" s="161"/>
    </row>
    <row r="412">
      <c r="P412" s="161"/>
    </row>
    <row r="413">
      <c r="P413" s="161"/>
    </row>
    <row r="414">
      <c r="P414" s="161"/>
    </row>
    <row r="415">
      <c r="P415" s="161"/>
    </row>
    <row r="416">
      <c r="P416" s="161"/>
    </row>
    <row r="417">
      <c r="P417" s="161"/>
    </row>
    <row r="418">
      <c r="P418" s="161"/>
    </row>
    <row r="419">
      <c r="P419" s="161"/>
    </row>
    <row r="420">
      <c r="P420" s="161"/>
    </row>
    <row r="421">
      <c r="P421" s="161"/>
    </row>
    <row r="422">
      <c r="P422" s="161"/>
    </row>
    <row r="423">
      <c r="P423" s="161"/>
    </row>
    <row r="424">
      <c r="P424" s="161"/>
    </row>
    <row r="425">
      <c r="P425" s="161"/>
    </row>
    <row r="426">
      <c r="P426" s="161"/>
    </row>
    <row r="427">
      <c r="P427" s="161"/>
    </row>
    <row r="428">
      <c r="P428" s="161"/>
    </row>
    <row r="429">
      <c r="P429" s="161"/>
    </row>
    <row r="430">
      <c r="P430" s="161"/>
    </row>
    <row r="431">
      <c r="P431" s="161"/>
    </row>
    <row r="432">
      <c r="P432" s="161"/>
    </row>
    <row r="433">
      <c r="P433" s="161"/>
    </row>
    <row r="434">
      <c r="P434" s="161"/>
    </row>
    <row r="435">
      <c r="P435" s="161"/>
    </row>
    <row r="436">
      <c r="P436" s="161"/>
    </row>
    <row r="437">
      <c r="P437" s="161"/>
    </row>
    <row r="438">
      <c r="P438" s="161"/>
    </row>
    <row r="439">
      <c r="P439" s="161"/>
    </row>
    <row r="440">
      <c r="P440" s="161"/>
    </row>
    <row r="441">
      <c r="P441" s="161"/>
    </row>
    <row r="442">
      <c r="P442" s="161"/>
    </row>
    <row r="443">
      <c r="P443" s="161"/>
    </row>
    <row r="444">
      <c r="P444" s="161"/>
    </row>
    <row r="445">
      <c r="P445" s="161"/>
    </row>
    <row r="446">
      <c r="P446" s="161"/>
    </row>
    <row r="447">
      <c r="P447" s="161"/>
    </row>
    <row r="448">
      <c r="P448" s="161"/>
    </row>
    <row r="449">
      <c r="P449" s="161"/>
    </row>
    <row r="450">
      <c r="P450" s="161"/>
    </row>
    <row r="451">
      <c r="P451" s="161"/>
    </row>
    <row r="452">
      <c r="P452" s="161"/>
    </row>
    <row r="453">
      <c r="P453" s="161"/>
    </row>
    <row r="454">
      <c r="P454" s="161"/>
    </row>
    <row r="455">
      <c r="P455" s="161"/>
    </row>
    <row r="456">
      <c r="P456" s="161"/>
    </row>
    <row r="457">
      <c r="P457" s="161"/>
    </row>
    <row r="458">
      <c r="P458" s="161"/>
    </row>
    <row r="459">
      <c r="P459" s="161"/>
    </row>
    <row r="460">
      <c r="P460" s="161"/>
    </row>
    <row r="461">
      <c r="P461" s="161"/>
    </row>
    <row r="462">
      <c r="P462" s="161"/>
    </row>
    <row r="463">
      <c r="P463" s="161"/>
    </row>
    <row r="464">
      <c r="P464" s="161"/>
    </row>
    <row r="465">
      <c r="P465" s="161"/>
    </row>
    <row r="466">
      <c r="P466" s="161"/>
    </row>
    <row r="467">
      <c r="P467" s="161"/>
    </row>
    <row r="468">
      <c r="P468" s="161"/>
    </row>
    <row r="469">
      <c r="P469" s="161"/>
    </row>
    <row r="470">
      <c r="P470" s="161"/>
    </row>
    <row r="471">
      <c r="P471" s="161"/>
    </row>
    <row r="472">
      <c r="P472" s="161"/>
    </row>
    <row r="473">
      <c r="P473" s="161"/>
    </row>
    <row r="474">
      <c r="P474" s="161"/>
    </row>
    <row r="475">
      <c r="P475" s="161"/>
    </row>
    <row r="476">
      <c r="P476" s="161"/>
    </row>
    <row r="477">
      <c r="P477" s="161"/>
    </row>
    <row r="478">
      <c r="P478" s="161"/>
    </row>
    <row r="479">
      <c r="P479" s="161"/>
    </row>
    <row r="480">
      <c r="P480" s="161"/>
    </row>
    <row r="481">
      <c r="P481" s="161"/>
    </row>
    <row r="482">
      <c r="P482" s="161"/>
    </row>
    <row r="483">
      <c r="P483" s="161"/>
    </row>
    <row r="484">
      <c r="P484" s="161"/>
    </row>
    <row r="485">
      <c r="P485" s="161"/>
    </row>
    <row r="486">
      <c r="P486" s="161"/>
    </row>
    <row r="487">
      <c r="P487" s="161"/>
    </row>
    <row r="488">
      <c r="P488" s="161"/>
    </row>
    <row r="489">
      <c r="P489" s="161"/>
    </row>
    <row r="490">
      <c r="P490" s="161"/>
    </row>
    <row r="491">
      <c r="P491" s="161"/>
    </row>
    <row r="492">
      <c r="P492" s="161"/>
    </row>
    <row r="493">
      <c r="P493" s="161"/>
    </row>
    <row r="494">
      <c r="P494" s="161"/>
    </row>
    <row r="495">
      <c r="P495" s="161"/>
    </row>
    <row r="496">
      <c r="P496" s="161"/>
    </row>
    <row r="497">
      <c r="P497" s="161"/>
    </row>
    <row r="498">
      <c r="P498" s="161"/>
    </row>
    <row r="499">
      <c r="P499" s="161"/>
    </row>
    <row r="500">
      <c r="P500" s="161"/>
    </row>
    <row r="501">
      <c r="P501" s="161"/>
    </row>
    <row r="502">
      <c r="P502" s="161"/>
    </row>
    <row r="503">
      <c r="P503" s="161"/>
    </row>
    <row r="504">
      <c r="P504" s="161"/>
    </row>
    <row r="505">
      <c r="P505" s="161"/>
    </row>
    <row r="506">
      <c r="P506" s="161"/>
    </row>
    <row r="507">
      <c r="P507" s="161"/>
    </row>
    <row r="508">
      <c r="P508" s="161"/>
    </row>
    <row r="509">
      <c r="P509" s="161"/>
    </row>
    <row r="510">
      <c r="P510" s="161"/>
    </row>
    <row r="511">
      <c r="P511" s="161"/>
    </row>
    <row r="512">
      <c r="P512" s="161"/>
    </row>
    <row r="513">
      <c r="P513" s="161"/>
    </row>
    <row r="514">
      <c r="P514" s="161"/>
    </row>
    <row r="515">
      <c r="P515" s="161"/>
    </row>
    <row r="516">
      <c r="P516" s="161"/>
    </row>
    <row r="517">
      <c r="P517" s="161"/>
    </row>
    <row r="518">
      <c r="P518" s="161"/>
    </row>
    <row r="519">
      <c r="P519" s="161"/>
    </row>
    <row r="520">
      <c r="P520" s="161"/>
    </row>
    <row r="521">
      <c r="P521" s="161"/>
    </row>
    <row r="522">
      <c r="P522" s="161"/>
    </row>
    <row r="523">
      <c r="P523" s="161"/>
    </row>
    <row r="524">
      <c r="P524" s="161"/>
    </row>
    <row r="525">
      <c r="P525" s="161"/>
    </row>
    <row r="526">
      <c r="P526" s="161"/>
    </row>
    <row r="527">
      <c r="P527" s="161"/>
    </row>
    <row r="528">
      <c r="P528" s="161"/>
    </row>
    <row r="529">
      <c r="P529" s="161"/>
    </row>
    <row r="530">
      <c r="P530" s="161"/>
    </row>
    <row r="531">
      <c r="P531" s="161"/>
    </row>
    <row r="532">
      <c r="P532" s="161"/>
    </row>
    <row r="533">
      <c r="P533" s="161"/>
    </row>
    <row r="534">
      <c r="P534" s="161"/>
    </row>
    <row r="535">
      <c r="P535" s="161"/>
    </row>
    <row r="536">
      <c r="P536" s="161"/>
    </row>
    <row r="537">
      <c r="P537" s="161"/>
    </row>
    <row r="538">
      <c r="P538" s="161"/>
    </row>
    <row r="539">
      <c r="P539" s="161"/>
    </row>
    <row r="540">
      <c r="P540" s="161"/>
    </row>
    <row r="541">
      <c r="P541" s="161"/>
    </row>
    <row r="542">
      <c r="P542" s="161"/>
    </row>
    <row r="543">
      <c r="P543" s="161"/>
    </row>
    <row r="544">
      <c r="P544" s="161"/>
    </row>
    <row r="545">
      <c r="P545" s="161"/>
    </row>
    <row r="546">
      <c r="P546" s="161"/>
    </row>
    <row r="547">
      <c r="P547" s="161"/>
    </row>
    <row r="548">
      <c r="P548" s="161"/>
    </row>
    <row r="549">
      <c r="P549" s="161"/>
    </row>
    <row r="550">
      <c r="P550" s="161"/>
    </row>
    <row r="551">
      <c r="P551" s="161"/>
    </row>
    <row r="552">
      <c r="P552" s="161"/>
    </row>
    <row r="553">
      <c r="P553" s="161"/>
    </row>
    <row r="554">
      <c r="P554" s="161"/>
    </row>
    <row r="555">
      <c r="P555" s="161"/>
    </row>
    <row r="556">
      <c r="P556" s="161"/>
    </row>
    <row r="557">
      <c r="P557" s="161"/>
    </row>
    <row r="558">
      <c r="P558" s="161"/>
    </row>
    <row r="559">
      <c r="P559" s="161"/>
    </row>
    <row r="560">
      <c r="P560" s="161"/>
    </row>
    <row r="561">
      <c r="P561" s="161"/>
    </row>
    <row r="562">
      <c r="P562" s="161"/>
    </row>
    <row r="563">
      <c r="P563" s="161"/>
    </row>
    <row r="564">
      <c r="P564" s="161"/>
    </row>
    <row r="565">
      <c r="P565" s="161"/>
    </row>
    <row r="566">
      <c r="P566" s="161"/>
    </row>
    <row r="567">
      <c r="P567" s="161"/>
    </row>
    <row r="568">
      <c r="P568" s="161"/>
    </row>
    <row r="569">
      <c r="P569" s="161"/>
    </row>
    <row r="570">
      <c r="P570" s="161"/>
    </row>
    <row r="571">
      <c r="P571" s="161"/>
    </row>
    <row r="572">
      <c r="P572" s="161"/>
    </row>
    <row r="573">
      <c r="P573" s="161"/>
    </row>
    <row r="574">
      <c r="P574" s="161"/>
    </row>
    <row r="575">
      <c r="P575" s="161"/>
    </row>
    <row r="576">
      <c r="P576" s="161"/>
    </row>
    <row r="577">
      <c r="P577" s="161"/>
    </row>
    <row r="578">
      <c r="P578" s="161"/>
    </row>
    <row r="579">
      <c r="P579" s="161"/>
    </row>
    <row r="580">
      <c r="P580" s="161"/>
    </row>
    <row r="581">
      <c r="P581" s="161"/>
    </row>
    <row r="582">
      <c r="P582" s="161"/>
    </row>
    <row r="583">
      <c r="P583" s="161"/>
    </row>
    <row r="584">
      <c r="P584" s="161"/>
    </row>
    <row r="585">
      <c r="P585" s="161"/>
    </row>
    <row r="586">
      <c r="P586" s="161"/>
    </row>
    <row r="587">
      <c r="P587" s="161"/>
    </row>
    <row r="588">
      <c r="P588" s="161"/>
    </row>
    <row r="589">
      <c r="P589" s="161"/>
    </row>
    <row r="590">
      <c r="P590" s="161"/>
    </row>
    <row r="591">
      <c r="P591" s="161"/>
    </row>
    <row r="592">
      <c r="P592" s="161"/>
    </row>
    <row r="593">
      <c r="P593" s="161"/>
    </row>
    <row r="594">
      <c r="P594" s="161"/>
    </row>
    <row r="595">
      <c r="P595" s="161"/>
    </row>
    <row r="596">
      <c r="P596" s="161"/>
    </row>
    <row r="597">
      <c r="P597" s="161"/>
    </row>
    <row r="598">
      <c r="P598" s="161"/>
    </row>
    <row r="599">
      <c r="P599" s="161"/>
    </row>
    <row r="600">
      <c r="P600" s="161"/>
    </row>
    <row r="601">
      <c r="P601" s="161"/>
    </row>
    <row r="602">
      <c r="P602" s="161"/>
    </row>
    <row r="603">
      <c r="P603" s="161"/>
    </row>
    <row r="604">
      <c r="P604" s="161"/>
    </row>
    <row r="605">
      <c r="P605" s="161"/>
    </row>
    <row r="606">
      <c r="P606" s="161"/>
    </row>
    <row r="607">
      <c r="P607" s="161"/>
    </row>
    <row r="608">
      <c r="P608" s="161"/>
    </row>
    <row r="609">
      <c r="P609" s="161"/>
    </row>
    <row r="610">
      <c r="P610" s="161"/>
    </row>
    <row r="611">
      <c r="P611" s="161"/>
    </row>
    <row r="612">
      <c r="P612" s="161"/>
    </row>
    <row r="613">
      <c r="P613" s="161"/>
    </row>
    <row r="614">
      <c r="P614" s="161"/>
    </row>
    <row r="615">
      <c r="P615" s="161"/>
    </row>
    <row r="616">
      <c r="P616" s="161"/>
    </row>
    <row r="617">
      <c r="P617" s="161"/>
    </row>
    <row r="618">
      <c r="P618" s="161"/>
    </row>
    <row r="619">
      <c r="P619" s="161"/>
    </row>
    <row r="620">
      <c r="P620" s="161"/>
    </row>
    <row r="621">
      <c r="P621" s="161"/>
    </row>
    <row r="622">
      <c r="P622" s="161"/>
    </row>
    <row r="623">
      <c r="P623" s="161"/>
    </row>
    <row r="624">
      <c r="P624" s="161"/>
    </row>
    <row r="625">
      <c r="P625" s="161"/>
    </row>
    <row r="626">
      <c r="P626" s="161"/>
    </row>
    <row r="627">
      <c r="P627" s="161"/>
    </row>
    <row r="628">
      <c r="P628" s="161"/>
    </row>
    <row r="629">
      <c r="P629" s="161"/>
    </row>
    <row r="630">
      <c r="P630" s="161"/>
    </row>
    <row r="631">
      <c r="P631" s="161"/>
    </row>
    <row r="632">
      <c r="P632" s="161"/>
    </row>
    <row r="633">
      <c r="P633" s="161"/>
    </row>
    <row r="634">
      <c r="P634" s="161"/>
    </row>
    <row r="635">
      <c r="P635" s="161"/>
    </row>
    <row r="636">
      <c r="P636" s="161"/>
    </row>
    <row r="637">
      <c r="P637" s="161"/>
    </row>
    <row r="638">
      <c r="P638" s="161"/>
    </row>
    <row r="639">
      <c r="P639" s="161"/>
    </row>
    <row r="640">
      <c r="P640" s="161"/>
    </row>
    <row r="641">
      <c r="P641" s="161"/>
    </row>
    <row r="642">
      <c r="P642" s="161"/>
    </row>
    <row r="643">
      <c r="P643" s="161"/>
    </row>
    <row r="644">
      <c r="P644" s="161"/>
    </row>
    <row r="645">
      <c r="P645" s="161"/>
    </row>
    <row r="646">
      <c r="P646" s="161"/>
    </row>
    <row r="647">
      <c r="P647" s="161"/>
    </row>
    <row r="648">
      <c r="P648" s="161"/>
    </row>
    <row r="649">
      <c r="P649" s="161"/>
    </row>
    <row r="650">
      <c r="P650" s="161"/>
    </row>
    <row r="651">
      <c r="P651" s="161"/>
    </row>
    <row r="652">
      <c r="P652" s="161"/>
    </row>
    <row r="653">
      <c r="P653" s="161"/>
    </row>
    <row r="654">
      <c r="P654" s="161"/>
    </row>
    <row r="655">
      <c r="P655" s="161"/>
    </row>
    <row r="656">
      <c r="P656" s="161"/>
    </row>
    <row r="657">
      <c r="P657" s="161"/>
    </row>
    <row r="658">
      <c r="P658" s="161"/>
    </row>
    <row r="659">
      <c r="P659" s="161"/>
    </row>
    <row r="660">
      <c r="P660" s="161"/>
    </row>
    <row r="661">
      <c r="P661" s="161"/>
    </row>
    <row r="662">
      <c r="P662" s="161"/>
    </row>
    <row r="663">
      <c r="P663" s="161"/>
    </row>
    <row r="664">
      <c r="P664" s="161"/>
    </row>
    <row r="665">
      <c r="P665" s="161"/>
    </row>
    <row r="666">
      <c r="P666" s="161"/>
    </row>
    <row r="667">
      <c r="P667" s="161"/>
    </row>
    <row r="668">
      <c r="P668" s="161"/>
    </row>
    <row r="669">
      <c r="P669" s="161"/>
    </row>
    <row r="670">
      <c r="P670" s="161"/>
    </row>
    <row r="671">
      <c r="P671" s="161"/>
    </row>
    <row r="672">
      <c r="P672" s="161"/>
    </row>
    <row r="673">
      <c r="P673" s="161"/>
    </row>
    <row r="674">
      <c r="P674" s="161"/>
    </row>
    <row r="675">
      <c r="P675" s="161"/>
    </row>
    <row r="676">
      <c r="P676" s="161"/>
    </row>
    <row r="677">
      <c r="P677" s="161"/>
    </row>
    <row r="678">
      <c r="P678" s="161"/>
    </row>
    <row r="679">
      <c r="P679" s="161"/>
    </row>
    <row r="680">
      <c r="P680" s="161"/>
    </row>
    <row r="681">
      <c r="P681" s="161"/>
    </row>
    <row r="682">
      <c r="P682" s="161"/>
    </row>
    <row r="683">
      <c r="P683" s="161"/>
    </row>
    <row r="684">
      <c r="P684" s="161"/>
    </row>
    <row r="685">
      <c r="P685" s="161"/>
    </row>
    <row r="686">
      <c r="P686" s="161"/>
    </row>
    <row r="687">
      <c r="P687" s="161"/>
    </row>
    <row r="688">
      <c r="P688" s="161"/>
    </row>
    <row r="689">
      <c r="P689" s="161"/>
    </row>
    <row r="690">
      <c r="P690" s="161"/>
    </row>
    <row r="691">
      <c r="P691" s="161"/>
    </row>
    <row r="692">
      <c r="P692" s="161"/>
    </row>
    <row r="693">
      <c r="P693" s="161"/>
    </row>
    <row r="694">
      <c r="P694" s="161"/>
    </row>
    <row r="695">
      <c r="P695" s="161"/>
    </row>
    <row r="696">
      <c r="P696" s="161"/>
    </row>
    <row r="697">
      <c r="P697" s="161"/>
    </row>
    <row r="698">
      <c r="P698" s="161"/>
    </row>
    <row r="699">
      <c r="P699" s="161"/>
    </row>
    <row r="700">
      <c r="P700" s="161"/>
    </row>
    <row r="701">
      <c r="P701" s="161"/>
    </row>
    <row r="702">
      <c r="P702" s="161"/>
    </row>
    <row r="703">
      <c r="P703" s="161"/>
    </row>
    <row r="704">
      <c r="P704" s="161"/>
    </row>
    <row r="705">
      <c r="P705" s="161"/>
    </row>
    <row r="706">
      <c r="P706" s="161"/>
    </row>
    <row r="707">
      <c r="P707" s="161"/>
    </row>
    <row r="708">
      <c r="P708" s="161"/>
    </row>
    <row r="709">
      <c r="P709" s="161"/>
    </row>
    <row r="710">
      <c r="P710" s="161"/>
    </row>
    <row r="711">
      <c r="P711" s="161"/>
    </row>
    <row r="712">
      <c r="P712" s="161"/>
    </row>
    <row r="713">
      <c r="P713" s="161"/>
    </row>
    <row r="714">
      <c r="P714" s="161"/>
    </row>
    <row r="715">
      <c r="P715" s="161"/>
    </row>
    <row r="716">
      <c r="P716" s="161"/>
    </row>
    <row r="717">
      <c r="P717" s="161"/>
    </row>
    <row r="718">
      <c r="P718" s="161"/>
    </row>
    <row r="719">
      <c r="P719" s="161"/>
    </row>
    <row r="720">
      <c r="P720" s="161"/>
    </row>
    <row r="721">
      <c r="P721" s="161"/>
    </row>
    <row r="722">
      <c r="P722" s="161"/>
    </row>
    <row r="723">
      <c r="P723" s="161"/>
    </row>
    <row r="724">
      <c r="P724" s="161"/>
    </row>
    <row r="725">
      <c r="P725" s="161"/>
    </row>
    <row r="726">
      <c r="P726" s="161"/>
    </row>
    <row r="727">
      <c r="P727" s="161"/>
    </row>
    <row r="728">
      <c r="P728" s="161"/>
    </row>
    <row r="729">
      <c r="P729" s="161"/>
    </row>
    <row r="730">
      <c r="P730" s="161"/>
    </row>
    <row r="731">
      <c r="P731" s="161"/>
    </row>
    <row r="732">
      <c r="P732" s="161"/>
    </row>
    <row r="733">
      <c r="P733" s="161"/>
    </row>
    <row r="734">
      <c r="P734" s="161"/>
    </row>
    <row r="735">
      <c r="P735" s="161"/>
    </row>
    <row r="736">
      <c r="P736" s="161"/>
    </row>
    <row r="737">
      <c r="P737" s="161"/>
    </row>
    <row r="738">
      <c r="P738" s="161"/>
    </row>
    <row r="739">
      <c r="P739" s="161"/>
    </row>
    <row r="740">
      <c r="P740" s="161"/>
    </row>
    <row r="741">
      <c r="P741" s="161"/>
    </row>
    <row r="742">
      <c r="P742" s="161"/>
    </row>
    <row r="743">
      <c r="P743" s="161"/>
    </row>
    <row r="744">
      <c r="P744" s="161"/>
    </row>
    <row r="745">
      <c r="P745" s="161"/>
    </row>
    <row r="746">
      <c r="P746" s="161"/>
    </row>
    <row r="747">
      <c r="P747" s="161"/>
    </row>
    <row r="748">
      <c r="P748" s="161"/>
    </row>
    <row r="749">
      <c r="P749" s="161"/>
    </row>
    <row r="750">
      <c r="P750" s="161"/>
    </row>
    <row r="751">
      <c r="P751" s="161"/>
    </row>
    <row r="752">
      <c r="P752" s="161"/>
    </row>
    <row r="753">
      <c r="P753" s="161"/>
    </row>
    <row r="754">
      <c r="P754" s="161"/>
    </row>
    <row r="755">
      <c r="P755" s="161"/>
    </row>
    <row r="756">
      <c r="P756" s="161"/>
    </row>
    <row r="757">
      <c r="P757" s="161"/>
    </row>
    <row r="758">
      <c r="P758" s="161"/>
    </row>
    <row r="759">
      <c r="P759" s="161"/>
    </row>
    <row r="760">
      <c r="P760" s="161"/>
    </row>
    <row r="761">
      <c r="P761" s="161"/>
    </row>
    <row r="762">
      <c r="P762" s="161"/>
    </row>
    <row r="763">
      <c r="P763" s="161"/>
    </row>
    <row r="764">
      <c r="P764" s="161"/>
    </row>
    <row r="765">
      <c r="P765" s="161"/>
    </row>
    <row r="766">
      <c r="P766" s="161"/>
    </row>
    <row r="767">
      <c r="P767" s="161"/>
    </row>
    <row r="768">
      <c r="P768" s="161"/>
    </row>
    <row r="769">
      <c r="P769" s="161"/>
    </row>
    <row r="770">
      <c r="P770" s="161"/>
    </row>
    <row r="771">
      <c r="P771" s="161"/>
    </row>
    <row r="772">
      <c r="P772" s="161"/>
    </row>
    <row r="773">
      <c r="P773" s="161"/>
    </row>
    <row r="774">
      <c r="P774" s="161"/>
    </row>
    <row r="775">
      <c r="P775" s="161"/>
    </row>
    <row r="776">
      <c r="P776" s="161"/>
    </row>
    <row r="777">
      <c r="P777" s="161"/>
    </row>
    <row r="778">
      <c r="P778" s="161"/>
    </row>
    <row r="779">
      <c r="P779" s="161"/>
    </row>
    <row r="780">
      <c r="P780" s="161"/>
    </row>
    <row r="781">
      <c r="P781" s="161"/>
    </row>
    <row r="782">
      <c r="P782" s="161"/>
    </row>
    <row r="783">
      <c r="P783" s="161"/>
    </row>
    <row r="784">
      <c r="P784" s="161"/>
    </row>
    <row r="785">
      <c r="P785" s="161"/>
    </row>
    <row r="786">
      <c r="P786" s="161"/>
    </row>
    <row r="787">
      <c r="P787" s="161"/>
    </row>
    <row r="788">
      <c r="P788" s="161"/>
    </row>
    <row r="789">
      <c r="P789" s="161"/>
    </row>
    <row r="790">
      <c r="P790" s="161"/>
    </row>
    <row r="791">
      <c r="P791" s="161"/>
    </row>
    <row r="792">
      <c r="P792" s="161"/>
    </row>
    <row r="793">
      <c r="P793" s="161"/>
    </row>
    <row r="794">
      <c r="P794" s="161"/>
    </row>
    <row r="795">
      <c r="P795" s="161"/>
    </row>
    <row r="796">
      <c r="P796" s="161"/>
    </row>
    <row r="797">
      <c r="P797" s="161"/>
    </row>
    <row r="798">
      <c r="P798" s="161"/>
    </row>
    <row r="799">
      <c r="P799" s="161"/>
    </row>
    <row r="800">
      <c r="P800" s="161"/>
    </row>
    <row r="801">
      <c r="P801" s="161"/>
    </row>
    <row r="802">
      <c r="P802" s="161"/>
    </row>
    <row r="803">
      <c r="P803" s="161"/>
    </row>
    <row r="804">
      <c r="P804" s="161"/>
    </row>
    <row r="805">
      <c r="P805" s="161"/>
    </row>
    <row r="806">
      <c r="P806" s="161"/>
    </row>
    <row r="807">
      <c r="P807" s="161"/>
    </row>
    <row r="808">
      <c r="P808" s="161"/>
    </row>
    <row r="809">
      <c r="P809" s="161"/>
    </row>
    <row r="810">
      <c r="P810" s="161"/>
    </row>
    <row r="811">
      <c r="P811" s="161"/>
    </row>
    <row r="812">
      <c r="P812" s="161"/>
    </row>
    <row r="813">
      <c r="P813" s="161"/>
    </row>
    <row r="814">
      <c r="P814" s="161"/>
    </row>
    <row r="815">
      <c r="P815" s="161"/>
    </row>
    <row r="816">
      <c r="P816" s="161"/>
    </row>
    <row r="817">
      <c r="P817" s="161"/>
    </row>
    <row r="818">
      <c r="P818" s="161"/>
    </row>
    <row r="819">
      <c r="P819" s="161"/>
    </row>
    <row r="820">
      <c r="P820" s="161"/>
    </row>
    <row r="821">
      <c r="P821" s="161"/>
    </row>
    <row r="822">
      <c r="P822" s="161"/>
    </row>
    <row r="823">
      <c r="P823" s="161"/>
    </row>
    <row r="824">
      <c r="P824" s="161"/>
    </row>
    <row r="825">
      <c r="P825" s="161"/>
    </row>
    <row r="826">
      <c r="P826" s="161"/>
    </row>
    <row r="827">
      <c r="P827" s="161"/>
    </row>
    <row r="828">
      <c r="P828" s="161"/>
    </row>
    <row r="829">
      <c r="P829" s="161"/>
    </row>
    <row r="830">
      <c r="P830" s="161"/>
    </row>
    <row r="831">
      <c r="P831" s="161"/>
    </row>
    <row r="832">
      <c r="P832" s="161"/>
    </row>
    <row r="833">
      <c r="P833" s="161"/>
    </row>
    <row r="834">
      <c r="P834" s="161"/>
    </row>
    <row r="835">
      <c r="P835" s="161"/>
    </row>
    <row r="836">
      <c r="P836" s="161"/>
    </row>
    <row r="837">
      <c r="P837" s="161"/>
    </row>
    <row r="838">
      <c r="P838" s="161"/>
    </row>
    <row r="839">
      <c r="P839" s="161"/>
    </row>
    <row r="840">
      <c r="P840" s="161"/>
    </row>
    <row r="841">
      <c r="P841" s="161"/>
    </row>
    <row r="842">
      <c r="P842" s="161"/>
    </row>
    <row r="843">
      <c r="P843" s="161"/>
    </row>
    <row r="844">
      <c r="P844" s="161"/>
    </row>
    <row r="845">
      <c r="P845" s="161"/>
    </row>
    <row r="846">
      <c r="P846" s="161"/>
    </row>
    <row r="847">
      <c r="P847" s="161"/>
    </row>
    <row r="848">
      <c r="P848" s="161"/>
    </row>
    <row r="849">
      <c r="P849" s="161"/>
    </row>
    <row r="850">
      <c r="P850" s="161"/>
    </row>
    <row r="851">
      <c r="P851" s="161"/>
    </row>
    <row r="852">
      <c r="P852" s="161"/>
    </row>
    <row r="853">
      <c r="P853" s="161"/>
    </row>
    <row r="854">
      <c r="P854" s="161"/>
    </row>
    <row r="855">
      <c r="P855" s="161"/>
    </row>
    <row r="856">
      <c r="P856" s="161"/>
    </row>
    <row r="857">
      <c r="P857" s="161"/>
    </row>
    <row r="858">
      <c r="P858" s="161"/>
    </row>
    <row r="859">
      <c r="P859" s="161"/>
    </row>
    <row r="860">
      <c r="P860" s="161"/>
    </row>
    <row r="861">
      <c r="P861" s="161"/>
    </row>
    <row r="862">
      <c r="P862" s="161"/>
    </row>
    <row r="863">
      <c r="P863" s="161"/>
    </row>
    <row r="864">
      <c r="P864" s="161"/>
    </row>
    <row r="865">
      <c r="P865" s="161"/>
    </row>
    <row r="866">
      <c r="P866" s="161"/>
    </row>
    <row r="867">
      <c r="P867" s="161"/>
    </row>
    <row r="868">
      <c r="P868" s="161"/>
    </row>
    <row r="869">
      <c r="P869" s="161"/>
    </row>
    <row r="870">
      <c r="P870" s="161"/>
    </row>
    <row r="871">
      <c r="P871" s="161"/>
    </row>
    <row r="872">
      <c r="P872" s="161"/>
    </row>
    <row r="873">
      <c r="P873" s="161"/>
    </row>
    <row r="874">
      <c r="P874" s="161"/>
    </row>
    <row r="875">
      <c r="P875" s="161"/>
    </row>
    <row r="876">
      <c r="P876" s="161"/>
    </row>
    <row r="877">
      <c r="P877" s="161"/>
    </row>
    <row r="878">
      <c r="P878" s="161"/>
    </row>
    <row r="879">
      <c r="P879" s="161"/>
    </row>
    <row r="880">
      <c r="P880" s="161"/>
    </row>
    <row r="881">
      <c r="P881" s="161"/>
    </row>
    <row r="882">
      <c r="P882" s="161"/>
    </row>
    <row r="883">
      <c r="P883" s="161"/>
    </row>
    <row r="884">
      <c r="P884" s="161"/>
    </row>
    <row r="885">
      <c r="P885" s="161"/>
    </row>
    <row r="886">
      <c r="P886" s="161"/>
    </row>
    <row r="887">
      <c r="P887" s="161"/>
    </row>
    <row r="888">
      <c r="P888" s="161"/>
    </row>
    <row r="889">
      <c r="P889" s="161"/>
    </row>
    <row r="890">
      <c r="P890" s="161"/>
    </row>
    <row r="891">
      <c r="P891" s="161"/>
    </row>
    <row r="892">
      <c r="P892" s="161"/>
    </row>
    <row r="893">
      <c r="P893" s="161"/>
    </row>
    <row r="894">
      <c r="P894" s="161"/>
    </row>
    <row r="895">
      <c r="P895" s="161"/>
    </row>
    <row r="896">
      <c r="P896" s="161"/>
    </row>
    <row r="897">
      <c r="P897" s="161"/>
    </row>
    <row r="898">
      <c r="P898" s="161"/>
    </row>
    <row r="899">
      <c r="P899" s="161"/>
    </row>
    <row r="900">
      <c r="P900" s="161"/>
    </row>
    <row r="901">
      <c r="P901" s="161"/>
    </row>
    <row r="902">
      <c r="P902" s="161"/>
    </row>
    <row r="903">
      <c r="P903" s="161"/>
    </row>
    <row r="904">
      <c r="P904" s="161"/>
    </row>
    <row r="905">
      <c r="P905" s="161"/>
    </row>
    <row r="906">
      <c r="P906" s="161"/>
    </row>
    <row r="907">
      <c r="P907" s="161"/>
    </row>
    <row r="908">
      <c r="P908" s="161"/>
    </row>
    <row r="909">
      <c r="P909" s="161"/>
    </row>
    <row r="910">
      <c r="P910" s="161"/>
    </row>
    <row r="911">
      <c r="P911" s="161"/>
    </row>
    <row r="912">
      <c r="P912" s="161"/>
    </row>
    <row r="913">
      <c r="P913" s="161"/>
    </row>
    <row r="914">
      <c r="P914" s="161"/>
    </row>
    <row r="915">
      <c r="P915" s="161"/>
    </row>
    <row r="916">
      <c r="P916" s="161"/>
    </row>
    <row r="917">
      <c r="P917" s="161"/>
    </row>
    <row r="918">
      <c r="P918" s="161"/>
    </row>
    <row r="919">
      <c r="P919" s="161"/>
    </row>
    <row r="920">
      <c r="P920" s="161"/>
    </row>
    <row r="921">
      <c r="P921" s="161"/>
    </row>
    <row r="922">
      <c r="P922" s="161"/>
    </row>
    <row r="923">
      <c r="P923" s="161"/>
    </row>
    <row r="924">
      <c r="P924" s="161"/>
    </row>
    <row r="925">
      <c r="P925" s="161"/>
    </row>
    <row r="926">
      <c r="P926" s="161"/>
    </row>
    <row r="927">
      <c r="P927" s="161"/>
    </row>
    <row r="928">
      <c r="P928" s="161"/>
    </row>
    <row r="929">
      <c r="P929" s="161"/>
    </row>
    <row r="930">
      <c r="P930" s="161"/>
    </row>
    <row r="931">
      <c r="P931" s="161"/>
    </row>
    <row r="932">
      <c r="P932" s="161"/>
    </row>
    <row r="933">
      <c r="P933" s="161"/>
    </row>
    <row r="934">
      <c r="P934" s="161"/>
    </row>
    <row r="935">
      <c r="P935" s="161"/>
    </row>
    <row r="936">
      <c r="P936" s="161"/>
    </row>
    <row r="937">
      <c r="P937" s="161"/>
    </row>
    <row r="938">
      <c r="P938" s="161"/>
    </row>
    <row r="939">
      <c r="P939" s="161"/>
    </row>
    <row r="940">
      <c r="P940" s="161"/>
    </row>
    <row r="941">
      <c r="P941" s="161"/>
    </row>
    <row r="942">
      <c r="P942" s="161"/>
    </row>
    <row r="943">
      <c r="P943" s="161"/>
    </row>
    <row r="944">
      <c r="P944" s="161"/>
    </row>
    <row r="945">
      <c r="P945" s="161"/>
    </row>
    <row r="946">
      <c r="P946" s="161"/>
    </row>
    <row r="947">
      <c r="P947" s="161"/>
    </row>
    <row r="948">
      <c r="P948" s="161"/>
    </row>
    <row r="949">
      <c r="P949" s="161"/>
    </row>
    <row r="950">
      <c r="P950" s="161"/>
    </row>
    <row r="951">
      <c r="P951" s="161"/>
    </row>
    <row r="952">
      <c r="P952" s="161"/>
    </row>
    <row r="953">
      <c r="P953" s="161"/>
    </row>
    <row r="954">
      <c r="P954" s="161"/>
    </row>
    <row r="955">
      <c r="P955" s="161"/>
    </row>
    <row r="956">
      <c r="P956" s="161"/>
    </row>
    <row r="957">
      <c r="P957" s="161"/>
    </row>
    <row r="958">
      <c r="P958" s="161"/>
    </row>
    <row r="959">
      <c r="P959" s="161"/>
    </row>
    <row r="960">
      <c r="P960" s="161"/>
    </row>
    <row r="961">
      <c r="P961" s="161"/>
    </row>
    <row r="962">
      <c r="P962" s="161"/>
    </row>
    <row r="963">
      <c r="P963" s="161"/>
    </row>
    <row r="964">
      <c r="P964" s="161"/>
    </row>
    <row r="965">
      <c r="P965" s="161"/>
    </row>
    <row r="966">
      <c r="P966" s="161"/>
    </row>
    <row r="967">
      <c r="P967" s="161"/>
    </row>
    <row r="968">
      <c r="P968" s="161"/>
    </row>
    <row r="969">
      <c r="P969" s="161"/>
    </row>
    <row r="970">
      <c r="P970" s="161"/>
    </row>
    <row r="971">
      <c r="P971" s="161"/>
    </row>
    <row r="972">
      <c r="P972" s="161"/>
    </row>
    <row r="973">
      <c r="P973" s="161"/>
    </row>
    <row r="974">
      <c r="P974" s="161"/>
    </row>
    <row r="975">
      <c r="P975" s="161"/>
    </row>
    <row r="976">
      <c r="P976" s="161"/>
    </row>
    <row r="977">
      <c r="P977" s="161"/>
    </row>
    <row r="978">
      <c r="P978" s="161"/>
    </row>
    <row r="979">
      <c r="P979" s="161"/>
    </row>
    <row r="980">
      <c r="P980" s="161"/>
    </row>
    <row r="981">
      <c r="P981" s="161"/>
    </row>
    <row r="982">
      <c r="P982" s="161"/>
    </row>
    <row r="983">
      <c r="P983" s="161"/>
    </row>
    <row r="984">
      <c r="P984" s="161"/>
    </row>
    <row r="985">
      <c r="P985" s="161"/>
    </row>
    <row r="986">
      <c r="P986" s="161"/>
    </row>
    <row r="987">
      <c r="P987" s="161"/>
    </row>
    <row r="988">
      <c r="P988" s="161"/>
    </row>
    <row r="989">
      <c r="P989" s="161"/>
    </row>
    <row r="990">
      <c r="P990" s="161"/>
    </row>
    <row r="991">
      <c r="P991" s="161"/>
    </row>
    <row r="992">
      <c r="P992" s="161"/>
    </row>
    <row r="993">
      <c r="P993" s="161"/>
    </row>
    <row r="994">
      <c r="P994" s="161"/>
    </row>
    <row r="995">
      <c r="P995" s="161"/>
    </row>
    <row r="996">
      <c r="P996" s="161"/>
    </row>
    <row r="997">
      <c r="P997" s="161"/>
    </row>
    <row r="998">
      <c r="P998" s="161"/>
    </row>
    <row r="999">
      <c r="P999" s="161"/>
    </row>
  </sheetData>
  <mergeCells count="4">
    <mergeCell ref="D6:M6"/>
    <mergeCell ref="D7:F7"/>
    <mergeCell ref="D9:D12"/>
    <mergeCell ref="F10:O11"/>
  </mergeCells>
  <conditionalFormatting sqref="G15:M96">
    <cfRule type="cellIs" dxfId="1" priority="1" operator="equal">
      <formula>"False"</formula>
    </cfRule>
  </conditionalFormatting>
  <conditionalFormatting sqref="G15:M96">
    <cfRule type="cellIs" dxfId="0" priority="2" operator="equal">
      <formula>"TRUE"</formula>
    </cfRule>
  </conditionalFormatting>
  <dataValidations>
    <dataValidation type="list" allowBlank="1" showErrorMessage="1" sqref="E15:E100">
      <formula1>Data!$A$2:$A$100</formula1>
    </dataValidation>
    <dataValidation type="list" allowBlank="1" showErrorMessage="1" sqref="F15:F100">
      <formula1>Data!$C$2:$C$8</formula1>
    </dataValidation>
  </dataValidations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3" width="2.63"/>
    <col customWidth="1" min="4" max="4" width="20.38"/>
    <col customWidth="1" min="5" max="5" width="11.38"/>
    <col customWidth="1" min="6" max="6" width="16.63"/>
    <col customWidth="1" min="7" max="13" width="8.63"/>
    <col customWidth="1" min="14" max="14" width="12.63"/>
    <col customWidth="1" min="15" max="15" width="15.13"/>
    <col customWidth="1" min="16" max="16" width="15.88"/>
    <col customWidth="1" min="17" max="17" width="2.63"/>
  </cols>
  <sheetData>
    <row r="1" ht="7.5" customHeight="1">
      <c r="A1" s="140"/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5"/>
      <c r="O1" s="86"/>
      <c r="P1" s="155"/>
      <c r="Q1" s="86"/>
    </row>
    <row r="2" ht="15.0" customHeight="1">
      <c r="A2" s="87"/>
      <c r="B2" s="87"/>
      <c r="C2" s="87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7"/>
      <c r="P2" s="87"/>
      <c r="Q2" s="87"/>
    </row>
    <row r="3" ht="3.75" customHeight="1">
      <c r="A3" s="87"/>
      <c r="B3" s="87"/>
      <c r="C3" s="87"/>
      <c r="D3" s="89"/>
      <c r="E3" s="90"/>
      <c r="F3" s="90"/>
      <c r="G3" s="90"/>
      <c r="H3" s="90"/>
      <c r="I3" s="90"/>
      <c r="J3" s="90"/>
      <c r="K3" s="90"/>
      <c r="L3" s="90"/>
      <c r="M3" s="90"/>
      <c r="N3" s="90"/>
      <c r="O3" s="87"/>
      <c r="P3" s="87"/>
      <c r="Q3" s="87"/>
    </row>
    <row r="4" ht="15.0" customHeight="1">
      <c r="A4" s="87"/>
      <c r="B4" s="87"/>
      <c r="C4" s="87"/>
      <c r="D4" s="88"/>
      <c r="E4" s="88"/>
      <c r="F4" s="88"/>
      <c r="G4" s="91"/>
      <c r="H4" s="91"/>
      <c r="I4" s="91"/>
      <c r="J4" s="91"/>
      <c r="K4" s="91"/>
      <c r="L4" s="91"/>
      <c r="M4" s="91"/>
      <c r="N4" s="91"/>
      <c r="O4" s="87"/>
      <c r="P4" s="87"/>
      <c r="Q4" s="87"/>
    </row>
    <row r="5" ht="15.0" customHeight="1">
      <c r="A5" s="92"/>
      <c r="B5" s="92"/>
      <c r="C5" s="92"/>
      <c r="D5" s="88"/>
      <c r="E5" s="88"/>
      <c r="F5" s="88"/>
      <c r="G5" s="93"/>
      <c r="H5" s="93"/>
      <c r="I5" s="93"/>
      <c r="J5" s="93"/>
      <c r="K5" s="93"/>
      <c r="L5" s="93"/>
      <c r="M5" s="93"/>
      <c r="N5" s="94"/>
      <c r="O5" s="88"/>
      <c r="P5" s="92"/>
      <c r="Q5" s="92"/>
    </row>
    <row r="6" ht="15.0" customHeight="1">
      <c r="A6" s="92"/>
      <c r="B6" s="92"/>
      <c r="C6" s="92"/>
      <c r="D6" s="95" t="s">
        <v>327</v>
      </c>
      <c r="N6" s="94"/>
      <c r="O6" s="88"/>
      <c r="P6" s="92"/>
      <c r="Q6" s="92"/>
    </row>
    <row r="7" ht="15.0" customHeight="1">
      <c r="A7" s="92"/>
      <c r="B7" s="92"/>
      <c r="C7" s="92"/>
      <c r="D7" s="96" t="s">
        <v>278</v>
      </c>
      <c r="G7" s="97"/>
      <c r="H7" s="97"/>
      <c r="I7" s="97"/>
      <c r="J7" s="97"/>
      <c r="K7" s="97"/>
      <c r="L7" s="97"/>
      <c r="M7" s="97"/>
      <c r="N7" s="92"/>
      <c r="O7" s="92"/>
      <c r="P7" s="92"/>
      <c r="Q7" s="92"/>
    </row>
    <row r="8" ht="15.0" customHeight="1">
      <c r="A8" s="92"/>
      <c r="B8" s="92"/>
      <c r="C8" s="92"/>
      <c r="D8" s="97"/>
      <c r="E8" s="97"/>
      <c r="F8" s="97"/>
      <c r="G8" s="97"/>
      <c r="H8" s="97"/>
      <c r="I8" s="97"/>
      <c r="J8" s="97"/>
      <c r="K8" s="97"/>
      <c r="L8" s="97"/>
      <c r="M8" s="97"/>
      <c r="N8" s="92"/>
      <c r="O8" s="92"/>
      <c r="P8" s="92"/>
      <c r="Q8" s="92"/>
    </row>
    <row r="9" ht="15.0" customHeight="1">
      <c r="A9" s="92"/>
      <c r="B9" s="92"/>
      <c r="C9" s="98"/>
      <c r="D9" s="99" t="s">
        <v>35</v>
      </c>
      <c r="E9" s="100"/>
      <c r="F9" s="101"/>
      <c r="G9" s="101"/>
      <c r="H9" s="101"/>
      <c r="I9" s="101"/>
      <c r="J9" s="101"/>
      <c r="K9" s="101"/>
      <c r="L9" s="101"/>
      <c r="M9" s="101"/>
      <c r="N9" s="101"/>
      <c r="O9" s="100"/>
      <c r="P9" s="102"/>
      <c r="Q9" s="102"/>
    </row>
    <row r="10" ht="15.0" customHeight="1">
      <c r="A10" s="92"/>
      <c r="B10" s="92"/>
      <c r="C10" s="98"/>
      <c r="E10" s="100"/>
      <c r="F10" s="103" t="s">
        <v>36</v>
      </c>
      <c r="P10" s="102"/>
      <c r="Q10" s="102"/>
    </row>
    <row r="11" ht="15.0" customHeight="1">
      <c r="A11" s="92"/>
      <c r="B11" s="92"/>
      <c r="C11" s="98"/>
      <c r="E11" s="100"/>
      <c r="P11" s="102"/>
      <c r="Q11" s="102"/>
    </row>
    <row r="12" ht="15.0" customHeight="1">
      <c r="A12" s="88"/>
      <c r="B12" s="92"/>
      <c r="C12" s="92"/>
      <c r="E12" s="100"/>
      <c r="F12" s="100"/>
      <c r="G12" s="100"/>
      <c r="H12" s="100"/>
      <c r="I12" s="100"/>
      <c r="J12" s="100"/>
      <c r="K12" s="100"/>
      <c r="L12" s="100"/>
      <c r="M12" s="100"/>
      <c r="N12" s="100"/>
      <c r="O12" s="100"/>
      <c r="P12" s="102"/>
      <c r="Q12" s="102"/>
    </row>
    <row r="13" ht="15.0" customHeight="1">
      <c r="A13" s="88"/>
      <c r="B13" s="104"/>
      <c r="C13" s="104"/>
      <c r="D13" s="104"/>
      <c r="E13" s="104"/>
      <c r="F13" s="105"/>
      <c r="G13" s="105"/>
      <c r="H13" s="105"/>
      <c r="I13" s="105"/>
      <c r="J13" s="105"/>
      <c r="K13" s="105"/>
      <c r="L13" s="105"/>
      <c r="M13" s="105"/>
      <c r="N13" s="104"/>
      <c r="O13" s="104"/>
      <c r="P13" s="104"/>
      <c r="Q13" s="104"/>
    </row>
    <row r="14" ht="15.0" customHeight="1">
      <c r="A14" s="106"/>
      <c r="B14" s="106"/>
      <c r="C14" s="106"/>
      <c r="D14" s="107" t="s">
        <v>37</v>
      </c>
      <c r="E14" s="108" t="s">
        <v>38</v>
      </c>
      <c r="F14" s="109" t="s">
        <v>39</v>
      </c>
      <c r="G14" s="110">
        <v>44655.0</v>
      </c>
      <c r="H14" s="110">
        <v>44656.0</v>
      </c>
      <c r="I14" s="110">
        <v>44657.0</v>
      </c>
      <c r="J14" s="110">
        <v>44658.0</v>
      </c>
      <c r="K14" s="110">
        <v>44659.0</v>
      </c>
      <c r="L14" s="110">
        <v>44660.0</v>
      </c>
      <c r="M14" s="110">
        <v>44661.0</v>
      </c>
      <c r="N14" s="111" t="s">
        <v>40</v>
      </c>
      <c r="O14" s="111" t="s">
        <v>41</v>
      </c>
      <c r="P14" s="156" t="s">
        <v>281</v>
      </c>
      <c r="Q14" s="88"/>
    </row>
    <row r="15" ht="15.0" customHeight="1">
      <c r="A15" s="112"/>
      <c r="B15" s="112"/>
      <c r="C15" s="112"/>
      <c r="D15" s="129" t="s">
        <v>271</v>
      </c>
      <c r="E15" s="114" t="str">
        <f>VLOOKUP(D15,Data!H:I,2,0)</f>
        <v>Adıyaman</v>
      </c>
      <c r="F15" s="115" t="str">
        <f>VLOOKUP(D15,Data!H:J,3,0)</f>
        <v>Nazım Öztel</v>
      </c>
      <c r="G15" s="116" t="b">
        <v>0</v>
      </c>
      <c r="H15" s="116" t="b">
        <v>0</v>
      </c>
      <c r="I15" s="116" t="b">
        <v>0</v>
      </c>
      <c r="J15" s="116" t="b">
        <v>0</v>
      </c>
      <c r="K15" s="116" t="b">
        <v>0</v>
      </c>
      <c r="L15" s="116" t="b">
        <v>0</v>
      </c>
      <c r="M15" s="116" t="b">
        <v>0</v>
      </c>
      <c r="N15" s="117">
        <f t="shared" ref="N15:N36" si="1">COUNTIF(G15:M15,"TRUE")</f>
        <v>0</v>
      </c>
      <c r="O15" s="117">
        <f t="shared" ref="O15:O36" si="2">N15*4</f>
        <v>0</v>
      </c>
      <c r="P15" s="157" t="s">
        <v>328</v>
      </c>
      <c r="Q15" s="88"/>
    </row>
    <row r="16" ht="15.0" customHeight="1">
      <c r="A16" s="112"/>
      <c r="B16" s="112"/>
      <c r="C16" s="112"/>
      <c r="D16" s="129" t="s">
        <v>279</v>
      </c>
      <c r="E16" s="114" t="str">
        <f>VLOOKUP(D16,Data!H:I,2,0)</f>
        <v>Amasya</v>
      </c>
      <c r="F16" s="115" t="str">
        <f>VLOOKUP(D16,Data!H:J,3,0)</f>
        <v>Nazım Öztel</v>
      </c>
      <c r="G16" s="116" t="b">
        <v>0</v>
      </c>
      <c r="H16" s="116" t="b">
        <v>0</v>
      </c>
      <c r="I16" s="116" t="b">
        <v>0</v>
      </c>
      <c r="J16" s="116" t="b">
        <v>0</v>
      </c>
      <c r="K16" s="116" t="b">
        <v>0</v>
      </c>
      <c r="L16" s="116" t="b">
        <v>0</v>
      </c>
      <c r="M16" s="116" t="b">
        <v>0</v>
      </c>
      <c r="N16" s="117">
        <f t="shared" si="1"/>
        <v>0</v>
      </c>
      <c r="O16" s="117">
        <f t="shared" si="2"/>
        <v>0</v>
      </c>
      <c r="P16" s="157" t="s">
        <v>314</v>
      </c>
      <c r="Q16" s="88"/>
    </row>
    <row r="17" ht="15.0" customHeight="1">
      <c r="A17" s="112"/>
      <c r="B17" s="112"/>
      <c r="C17" s="112"/>
      <c r="D17" s="129" t="s">
        <v>246</v>
      </c>
      <c r="E17" s="114" t="str">
        <f>VLOOKUP(D17,Data!H:I,2,0)</f>
        <v>Ankara</v>
      </c>
      <c r="F17" s="115" t="str">
        <f>VLOOKUP(D17,Data!H:J,3,0)</f>
        <v>Nazım Öztel</v>
      </c>
      <c r="G17" s="116" t="b">
        <v>0</v>
      </c>
      <c r="H17" s="116" t="b">
        <v>0</v>
      </c>
      <c r="I17" s="116" t="b">
        <v>0</v>
      </c>
      <c r="J17" s="116" t="b">
        <v>0</v>
      </c>
      <c r="K17" s="116" t="b">
        <v>0</v>
      </c>
      <c r="L17" s="116" t="b">
        <v>0</v>
      </c>
      <c r="M17" s="116" t="b">
        <v>0</v>
      </c>
      <c r="N17" s="117">
        <f t="shared" si="1"/>
        <v>0</v>
      </c>
      <c r="O17" s="117">
        <f t="shared" si="2"/>
        <v>0</v>
      </c>
      <c r="P17" s="157" t="s">
        <v>309</v>
      </c>
      <c r="Q17" s="88"/>
    </row>
    <row r="18" ht="15.0" customHeight="1">
      <c r="A18" s="112"/>
      <c r="B18" s="112"/>
      <c r="C18" s="112"/>
      <c r="D18" s="129" t="s">
        <v>261</v>
      </c>
      <c r="E18" s="114" t="str">
        <f>VLOOKUP(D18,Data!H:I,2,0)</f>
        <v>Ankara</v>
      </c>
      <c r="F18" s="115" t="str">
        <f>VLOOKUP(D18,Data!H:J,3,0)</f>
        <v>Nazım Öztel</v>
      </c>
      <c r="G18" s="116" t="b">
        <v>0</v>
      </c>
      <c r="H18" s="116" t="b">
        <v>0</v>
      </c>
      <c r="I18" s="116" t="b">
        <v>0</v>
      </c>
      <c r="J18" s="116" t="b">
        <v>0</v>
      </c>
      <c r="K18" s="116" t="b">
        <v>0</v>
      </c>
      <c r="L18" s="116" t="b">
        <v>0</v>
      </c>
      <c r="M18" s="116" t="b">
        <v>0</v>
      </c>
      <c r="N18" s="117">
        <f t="shared" si="1"/>
        <v>0</v>
      </c>
      <c r="O18" s="117">
        <f t="shared" si="2"/>
        <v>0</v>
      </c>
      <c r="P18" s="157" t="s">
        <v>329</v>
      </c>
      <c r="Q18" s="88"/>
    </row>
    <row r="19" ht="15.0" customHeight="1">
      <c r="A19" s="106"/>
      <c r="B19" s="106"/>
      <c r="C19" s="106"/>
      <c r="D19" s="129" t="s">
        <v>164</v>
      </c>
      <c r="E19" s="114" t="str">
        <f>VLOOKUP(D19,Data!H:I,2,0)</f>
        <v>Antalya</v>
      </c>
      <c r="F19" s="115" t="str">
        <f>VLOOKUP(D19,Data!H:J,3,0)</f>
        <v>Nazım Öztel</v>
      </c>
      <c r="G19" s="116" t="b">
        <v>1</v>
      </c>
      <c r="H19" s="116" t="b">
        <v>1</v>
      </c>
      <c r="I19" s="116" t="b">
        <v>0</v>
      </c>
      <c r="J19" s="116" t="b">
        <v>0</v>
      </c>
      <c r="K19" s="116" t="b">
        <v>0</v>
      </c>
      <c r="L19" s="116" t="b">
        <v>1</v>
      </c>
      <c r="M19" s="116" t="b">
        <v>0</v>
      </c>
      <c r="N19" s="117">
        <f t="shared" si="1"/>
        <v>3</v>
      </c>
      <c r="O19" s="117">
        <f t="shared" si="2"/>
        <v>12</v>
      </c>
      <c r="P19" s="157" t="s">
        <v>330</v>
      </c>
      <c r="Q19" s="106"/>
    </row>
    <row r="20" ht="15.0" customHeight="1">
      <c r="A20" s="106"/>
      <c r="B20" s="106"/>
      <c r="C20" s="106"/>
      <c r="D20" s="162" t="s">
        <v>197</v>
      </c>
      <c r="E20" s="114" t="s">
        <v>262</v>
      </c>
      <c r="F20" s="115" t="s">
        <v>61</v>
      </c>
      <c r="G20" s="116" t="b">
        <v>0</v>
      </c>
      <c r="H20" s="116" t="b">
        <v>0</v>
      </c>
      <c r="I20" s="116" t="b">
        <v>0</v>
      </c>
      <c r="J20" s="116" t="b">
        <v>0</v>
      </c>
      <c r="K20" s="116" t="b">
        <v>0</v>
      </c>
      <c r="L20" s="116" t="b">
        <v>0</v>
      </c>
      <c r="M20" s="116" t="b">
        <v>0</v>
      </c>
      <c r="N20" s="117">
        <f t="shared" si="1"/>
        <v>0</v>
      </c>
      <c r="O20" s="117">
        <f t="shared" si="2"/>
        <v>0</v>
      </c>
      <c r="P20" s="157" t="s">
        <v>331</v>
      </c>
      <c r="Q20" s="106"/>
    </row>
    <row r="21" ht="15.0" customHeight="1">
      <c r="A21" s="112"/>
      <c r="B21" s="112"/>
      <c r="C21" s="112"/>
      <c r="D21" s="129" t="s">
        <v>241</v>
      </c>
      <c r="E21" s="114" t="s">
        <v>184</v>
      </c>
      <c r="F21" s="115" t="s">
        <v>61</v>
      </c>
      <c r="G21" s="116" t="b">
        <v>0</v>
      </c>
      <c r="H21" s="116" t="b">
        <v>0</v>
      </c>
      <c r="I21" s="116" t="b">
        <v>0</v>
      </c>
      <c r="J21" s="116" t="b">
        <v>0</v>
      </c>
      <c r="K21" s="116" t="b">
        <v>0</v>
      </c>
      <c r="L21" s="116" t="b">
        <v>0</v>
      </c>
      <c r="M21" s="116" t="b">
        <v>0</v>
      </c>
      <c r="N21" s="117">
        <f t="shared" si="1"/>
        <v>0</v>
      </c>
      <c r="O21" s="117">
        <f t="shared" si="2"/>
        <v>0</v>
      </c>
      <c r="P21" s="158" t="s">
        <v>332</v>
      </c>
      <c r="Q21" s="112"/>
    </row>
    <row r="22" ht="15.0" customHeight="1">
      <c r="A22" s="112"/>
      <c r="B22" s="112"/>
      <c r="C22" s="112"/>
      <c r="D22" s="129" t="s">
        <v>333</v>
      </c>
      <c r="E22" s="114" t="str">
        <f>VLOOKUP(D22,Data!H:I,2,0)</f>
        <v>#N/A</v>
      </c>
      <c r="F22" s="115" t="str">
        <f>VLOOKUP(D22,Data!H:J,3,0)</f>
        <v>#N/A</v>
      </c>
      <c r="G22" s="116" t="b">
        <v>0</v>
      </c>
      <c r="H22" s="116" t="b">
        <v>0</v>
      </c>
      <c r="I22" s="116" t="b">
        <v>0</v>
      </c>
      <c r="J22" s="116" t="b">
        <v>0</v>
      </c>
      <c r="K22" s="116" t="b">
        <v>0</v>
      </c>
      <c r="L22" s="116" t="b">
        <v>0</v>
      </c>
      <c r="M22" s="116" t="b">
        <v>0</v>
      </c>
      <c r="N22" s="117">
        <f t="shared" si="1"/>
        <v>0</v>
      </c>
      <c r="O22" s="117">
        <f t="shared" si="2"/>
        <v>0</v>
      </c>
      <c r="P22" s="157" t="s">
        <v>334</v>
      </c>
      <c r="Q22" s="112"/>
    </row>
    <row r="23" ht="15.0" customHeight="1">
      <c r="A23" s="112"/>
      <c r="B23" s="112"/>
      <c r="C23" s="112"/>
      <c r="D23" s="129" t="s">
        <v>53</v>
      </c>
      <c r="E23" s="114" t="str">
        <f>VLOOKUP(D23,Data!H:I,2,0)</f>
        <v>Bursa</v>
      </c>
      <c r="F23" s="115" t="str">
        <f>VLOOKUP(D23,Data!H:J,3,0)</f>
        <v>Freelance</v>
      </c>
      <c r="G23" s="116" t="b">
        <v>0</v>
      </c>
      <c r="H23" s="116" t="b">
        <v>0</v>
      </c>
      <c r="I23" s="116" t="b">
        <v>0</v>
      </c>
      <c r="J23" s="116" t="b">
        <v>0</v>
      </c>
      <c r="K23" s="116" t="b">
        <v>0</v>
      </c>
      <c r="L23" s="116" t="b">
        <v>0</v>
      </c>
      <c r="M23" s="116" t="b">
        <v>0</v>
      </c>
      <c r="N23" s="117">
        <f t="shared" si="1"/>
        <v>0</v>
      </c>
      <c r="O23" s="117">
        <f t="shared" si="2"/>
        <v>0</v>
      </c>
      <c r="P23" s="157"/>
      <c r="Q23" s="112"/>
    </row>
    <row r="24" ht="15.0" customHeight="1">
      <c r="A24" s="112"/>
      <c r="B24" s="112"/>
      <c r="C24" s="112"/>
      <c r="D24" s="129" t="s">
        <v>247</v>
      </c>
      <c r="E24" s="114" t="str">
        <f>VLOOKUP(D24,Data!H:I,2,0)</f>
        <v>Çanakkale</v>
      </c>
      <c r="F24" s="115" t="str">
        <f>VLOOKUP(D24,Data!H:J,3,0)</f>
        <v>Nazım Öztel</v>
      </c>
      <c r="G24" s="116" t="b">
        <v>0</v>
      </c>
      <c r="H24" s="116" t="b">
        <v>0</v>
      </c>
      <c r="I24" s="116" t="b">
        <v>0</v>
      </c>
      <c r="J24" s="116" t="b">
        <v>0</v>
      </c>
      <c r="K24" s="116" t="b">
        <v>0</v>
      </c>
      <c r="L24" s="116" t="b">
        <v>0</v>
      </c>
      <c r="M24" s="116" t="b">
        <v>0</v>
      </c>
      <c r="N24" s="117">
        <f t="shared" si="1"/>
        <v>0</v>
      </c>
      <c r="O24" s="117">
        <f t="shared" si="2"/>
        <v>0</v>
      </c>
      <c r="P24" s="157" t="s">
        <v>309</v>
      </c>
      <c r="Q24" s="112"/>
    </row>
    <row r="25" ht="15.0" customHeight="1">
      <c r="A25" s="112"/>
      <c r="B25" s="112"/>
      <c r="C25" s="112"/>
      <c r="D25" s="129" t="s">
        <v>221</v>
      </c>
      <c r="E25" s="114" t="str">
        <f>VLOOKUP(D25,Data!H:I,2,0)</f>
        <v>Çorum</v>
      </c>
      <c r="F25" s="115" t="str">
        <f>VLOOKUP(D25,Data!H:J,3,0)</f>
        <v>Nazım Öztel</v>
      </c>
      <c r="G25" s="116" t="b">
        <v>0</v>
      </c>
      <c r="H25" s="116" t="b">
        <v>0</v>
      </c>
      <c r="I25" s="116" t="b">
        <v>0</v>
      </c>
      <c r="J25" s="116" t="b">
        <v>0</v>
      </c>
      <c r="K25" s="116" t="b">
        <v>0</v>
      </c>
      <c r="L25" s="116" t="b">
        <v>0</v>
      </c>
      <c r="M25" s="116" t="b">
        <v>0</v>
      </c>
      <c r="N25" s="117">
        <f t="shared" si="1"/>
        <v>0</v>
      </c>
      <c r="O25" s="117">
        <f t="shared" si="2"/>
        <v>0</v>
      </c>
      <c r="P25" s="157" t="s">
        <v>314</v>
      </c>
      <c r="Q25" s="112"/>
    </row>
    <row r="26" ht="15.0" customHeight="1">
      <c r="A26" s="112"/>
      <c r="B26" s="112"/>
      <c r="C26" s="112"/>
      <c r="D26" s="129" t="s">
        <v>264</v>
      </c>
      <c r="E26" s="114" t="str">
        <f>VLOOKUP(D26,Data!H:I,2,0)</f>
        <v>Denizli</v>
      </c>
      <c r="F26" s="115" t="str">
        <f>VLOOKUP(D26,Data!H:J,3,0)</f>
        <v>Nazım Öztel</v>
      </c>
      <c r="G26" s="116" t="b">
        <v>0</v>
      </c>
      <c r="H26" s="116" t="b">
        <v>0</v>
      </c>
      <c r="I26" s="116" t="b">
        <v>0</v>
      </c>
      <c r="J26" s="116" t="b">
        <v>0</v>
      </c>
      <c r="K26" s="116" t="b">
        <v>0</v>
      </c>
      <c r="L26" s="116" t="b">
        <v>0</v>
      </c>
      <c r="M26" s="116" t="b">
        <v>0</v>
      </c>
      <c r="N26" s="117">
        <f t="shared" si="1"/>
        <v>0</v>
      </c>
      <c r="O26" s="117">
        <f t="shared" si="2"/>
        <v>0</v>
      </c>
      <c r="P26" s="157" t="s">
        <v>307</v>
      </c>
      <c r="Q26" s="112"/>
    </row>
    <row r="27" ht="15.0" customHeight="1">
      <c r="A27" s="112"/>
      <c r="B27" s="112"/>
      <c r="C27" s="112"/>
      <c r="D27" s="132" t="s">
        <v>54</v>
      </c>
      <c r="E27" s="114" t="str">
        <f>VLOOKUP(D27,Data!H:I,2,0)</f>
        <v>Diyarbakır</v>
      </c>
      <c r="F27" s="115" t="str">
        <f>VLOOKUP(D27,Data!H:J,3,0)</f>
        <v>Nazım Öztel</v>
      </c>
      <c r="G27" s="116" t="b">
        <v>0</v>
      </c>
      <c r="H27" s="116" t="b">
        <v>0</v>
      </c>
      <c r="I27" s="116" t="b">
        <v>0</v>
      </c>
      <c r="J27" s="116" t="b">
        <v>0</v>
      </c>
      <c r="K27" s="116" t="b">
        <v>0</v>
      </c>
      <c r="L27" s="116" t="b">
        <v>0</v>
      </c>
      <c r="M27" s="116" t="b">
        <v>0</v>
      </c>
      <c r="N27" s="117">
        <f t="shared" si="1"/>
        <v>0</v>
      </c>
      <c r="O27" s="117">
        <f t="shared" si="2"/>
        <v>0</v>
      </c>
      <c r="P27" s="157" t="s">
        <v>299</v>
      </c>
      <c r="Q27" s="112"/>
    </row>
    <row r="28" ht="15.0" customHeight="1">
      <c r="A28" s="112"/>
      <c r="B28" s="112"/>
      <c r="C28" s="112"/>
      <c r="D28" s="129" t="s">
        <v>173</v>
      </c>
      <c r="E28" s="114" t="str">
        <f>VLOOKUP(D28,Data!H:I,2,0)</f>
        <v>Düzce</v>
      </c>
      <c r="F28" s="115" t="str">
        <f>VLOOKUP(D28,Data!H:J,3,0)</f>
        <v>Nazım Öztel</v>
      </c>
      <c r="G28" s="116" t="b">
        <v>0</v>
      </c>
      <c r="H28" s="116" t="b">
        <v>0</v>
      </c>
      <c r="I28" s="116" t="b">
        <v>0</v>
      </c>
      <c r="J28" s="116" t="b">
        <v>0</v>
      </c>
      <c r="K28" s="116" t="b">
        <v>0</v>
      </c>
      <c r="L28" s="116" t="b">
        <v>0</v>
      </c>
      <c r="M28" s="116" t="b">
        <v>0</v>
      </c>
      <c r="N28" s="117">
        <f t="shared" si="1"/>
        <v>0</v>
      </c>
      <c r="O28" s="117">
        <f t="shared" si="2"/>
        <v>0</v>
      </c>
      <c r="P28" s="157" t="s">
        <v>314</v>
      </c>
      <c r="Q28" s="112"/>
    </row>
    <row r="29" ht="15.0" customHeight="1">
      <c r="A29" s="112"/>
      <c r="B29" s="112"/>
      <c r="C29" s="112"/>
      <c r="D29" s="129" t="s">
        <v>153</v>
      </c>
      <c r="E29" s="114" t="str">
        <f>VLOOKUP(D29,Data!H:I,2,0)</f>
        <v>Edirne</v>
      </c>
      <c r="F29" s="115" t="str">
        <f>VLOOKUP(D29,Data!H:J,3,0)</f>
        <v>Nazım Öztel</v>
      </c>
      <c r="G29" s="116" t="b">
        <v>0</v>
      </c>
      <c r="H29" s="116" t="b">
        <v>0</v>
      </c>
      <c r="I29" s="116" t="b">
        <v>0</v>
      </c>
      <c r="J29" s="116" t="b">
        <v>0</v>
      </c>
      <c r="K29" s="116" t="b">
        <v>0</v>
      </c>
      <c r="L29" s="116" t="b">
        <v>0</v>
      </c>
      <c r="M29" s="116" t="b">
        <v>0</v>
      </c>
      <c r="N29" s="117">
        <f t="shared" si="1"/>
        <v>0</v>
      </c>
      <c r="O29" s="117">
        <f t="shared" si="2"/>
        <v>0</v>
      </c>
      <c r="P29" s="157" t="s">
        <v>314</v>
      </c>
      <c r="Q29" s="112"/>
    </row>
    <row r="30" ht="15.0" customHeight="1">
      <c r="A30" s="112"/>
      <c r="B30" s="112"/>
      <c r="C30" s="112"/>
      <c r="D30" s="129" t="s">
        <v>199</v>
      </c>
      <c r="E30" s="114" t="str">
        <f>VLOOKUP(D30,Data!H:I,2,0)</f>
        <v>Elazığ</v>
      </c>
      <c r="F30" s="115" t="str">
        <f>VLOOKUP(D30,Data!H:J,3,0)</f>
        <v>Nazım Öztel</v>
      </c>
      <c r="G30" s="116" t="b">
        <v>0</v>
      </c>
      <c r="H30" s="116" t="b">
        <v>0</v>
      </c>
      <c r="I30" s="116" t="b">
        <v>0</v>
      </c>
      <c r="J30" s="116" t="b">
        <v>0</v>
      </c>
      <c r="K30" s="116" t="b">
        <v>0</v>
      </c>
      <c r="L30" s="116" t="b">
        <v>0</v>
      </c>
      <c r="M30" s="116" t="b">
        <v>0</v>
      </c>
      <c r="N30" s="117">
        <f t="shared" si="1"/>
        <v>0</v>
      </c>
      <c r="O30" s="117">
        <f t="shared" si="2"/>
        <v>0</v>
      </c>
      <c r="P30" s="157" t="s">
        <v>314</v>
      </c>
      <c r="Q30" s="112"/>
    </row>
    <row r="31" ht="15.0" customHeight="1">
      <c r="A31" s="112"/>
      <c r="B31" s="112"/>
      <c r="C31" s="112"/>
      <c r="D31" s="132" t="s">
        <v>55</v>
      </c>
      <c r="E31" s="114" t="str">
        <f>VLOOKUP(D31,Data!H:I,2,0)</f>
        <v>Erzurum</v>
      </c>
      <c r="F31" s="115" t="str">
        <f>VLOOKUP(D31,Data!H:J,3,0)</f>
        <v>Nazım Öztel</v>
      </c>
      <c r="G31" s="116" t="b">
        <v>0</v>
      </c>
      <c r="H31" s="116" t="b">
        <v>0</v>
      </c>
      <c r="I31" s="116" t="b">
        <v>0</v>
      </c>
      <c r="J31" s="116" t="b">
        <v>0</v>
      </c>
      <c r="K31" s="116" t="b">
        <v>0</v>
      </c>
      <c r="L31" s="116" t="b">
        <v>0</v>
      </c>
      <c r="M31" s="116" t="b">
        <v>0</v>
      </c>
      <c r="N31" s="117">
        <f t="shared" si="1"/>
        <v>0</v>
      </c>
      <c r="O31" s="117">
        <f t="shared" si="2"/>
        <v>0</v>
      </c>
      <c r="P31" s="157" t="s">
        <v>314</v>
      </c>
      <c r="Q31" s="112"/>
    </row>
    <row r="32" ht="15.0" customHeight="1">
      <c r="A32" s="112"/>
      <c r="B32" s="112"/>
      <c r="C32" s="112"/>
      <c r="D32" s="129" t="s">
        <v>165</v>
      </c>
      <c r="E32" s="114" t="str">
        <f>VLOOKUP(D32,Data!H:I,2,0)</f>
        <v>Eskişehir</v>
      </c>
      <c r="F32" s="115" t="str">
        <f>VLOOKUP(D32,Data!H:J,3,0)</f>
        <v>Nazım Öztel</v>
      </c>
      <c r="G32" s="116" t="b">
        <v>0</v>
      </c>
      <c r="H32" s="116" t="b">
        <v>0</v>
      </c>
      <c r="I32" s="116" t="b">
        <v>0</v>
      </c>
      <c r="J32" s="116" t="b">
        <v>0</v>
      </c>
      <c r="K32" s="116" t="b">
        <v>0</v>
      </c>
      <c r="L32" s="116" t="b">
        <v>0</v>
      </c>
      <c r="M32" s="116" t="b">
        <v>0</v>
      </c>
      <c r="N32" s="117">
        <f t="shared" si="1"/>
        <v>0</v>
      </c>
      <c r="O32" s="117">
        <f t="shared" si="2"/>
        <v>0</v>
      </c>
      <c r="P32" s="157"/>
      <c r="Q32" s="112"/>
    </row>
    <row r="33" ht="15.0" customHeight="1">
      <c r="A33" s="112"/>
      <c r="B33" s="112"/>
      <c r="C33" s="112"/>
      <c r="D33" s="129" t="s">
        <v>273</v>
      </c>
      <c r="E33" s="114" t="str">
        <f>VLOOKUP(D33,Data!H:I,2,0)</f>
        <v>Gaziantep</v>
      </c>
      <c r="F33" s="115" t="str">
        <f>VLOOKUP(D33,Data!H:J,3,0)</f>
        <v>Nazım Öztel</v>
      </c>
      <c r="G33" s="116" t="b">
        <v>0</v>
      </c>
      <c r="H33" s="116" t="b">
        <v>0</v>
      </c>
      <c r="I33" s="116" t="b">
        <v>0</v>
      </c>
      <c r="J33" s="116" t="b">
        <v>0</v>
      </c>
      <c r="K33" s="116" t="b">
        <v>0</v>
      </c>
      <c r="L33" s="116" t="b">
        <v>0</v>
      </c>
      <c r="M33" s="116" t="b">
        <v>0</v>
      </c>
      <c r="N33" s="117">
        <f t="shared" si="1"/>
        <v>0</v>
      </c>
      <c r="O33" s="117">
        <f t="shared" si="2"/>
        <v>0</v>
      </c>
      <c r="P33" s="157" t="s">
        <v>314</v>
      </c>
      <c r="Q33" s="112"/>
    </row>
    <row r="34" ht="15.0" customHeight="1">
      <c r="A34" s="112"/>
      <c r="B34" s="112"/>
      <c r="C34" s="112"/>
      <c r="D34" s="129" t="s">
        <v>248</v>
      </c>
      <c r="E34" s="114" t="str">
        <f>VLOOKUP(D34,Data!H:I,2,0)</f>
        <v>Hatay</v>
      </c>
      <c r="F34" s="115" t="str">
        <f>VLOOKUP(D34,Data!H:J,3,0)</f>
        <v>Nazım Öztel</v>
      </c>
      <c r="G34" s="116" t="b">
        <v>0</v>
      </c>
      <c r="H34" s="116" t="b">
        <v>0</v>
      </c>
      <c r="I34" s="116" t="b">
        <v>0</v>
      </c>
      <c r="J34" s="116" t="b">
        <v>0</v>
      </c>
      <c r="K34" s="116" t="b">
        <v>0</v>
      </c>
      <c r="L34" s="116" t="b">
        <v>0</v>
      </c>
      <c r="M34" s="116" t="b">
        <v>0</v>
      </c>
      <c r="N34" s="117">
        <f t="shared" si="1"/>
        <v>0</v>
      </c>
      <c r="O34" s="117">
        <f t="shared" si="2"/>
        <v>0</v>
      </c>
      <c r="P34" s="157" t="s">
        <v>314</v>
      </c>
      <c r="Q34" s="112"/>
    </row>
    <row r="35" ht="15.0" customHeight="1">
      <c r="A35" s="112"/>
      <c r="B35" s="112"/>
      <c r="C35" s="112"/>
      <c r="D35" s="129" t="s">
        <v>58</v>
      </c>
      <c r="E35" s="114" t="str">
        <f>VLOOKUP(D35,Data!H:I,2,0)</f>
        <v>İstanbul</v>
      </c>
      <c r="F35" s="115" t="str">
        <f>VLOOKUP(D35,Data!H:J,3,0)</f>
        <v>Freelance</v>
      </c>
      <c r="G35" s="116" t="b">
        <v>1</v>
      </c>
      <c r="H35" s="116" t="b">
        <v>1</v>
      </c>
      <c r="I35" s="116" t="b">
        <v>1</v>
      </c>
      <c r="J35" s="116" t="b">
        <v>1</v>
      </c>
      <c r="K35" s="116" t="b">
        <v>1</v>
      </c>
      <c r="L35" s="116" t="b">
        <v>0</v>
      </c>
      <c r="M35" s="116" t="b">
        <v>0</v>
      </c>
      <c r="N35" s="117">
        <f t="shared" si="1"/>
        <v>5</v>
      </c>
      <c r="O35" s="117">
        <f t="shared" si="2"/>
        <v>20</v>
      </c>
      <c r="P35" s="157"/>
      <c r="Q35" s="112"/>
    </row>
    <row r="36" ht="15.0" customHeight="1">
      <c r="A36" s="121"/>
      <c r="B36" s="121"/>
      <c r="C36" s="121"/>
      <c r="D36" s="129" t="s">
        <v>335</v>
      </c>
      <c r="E36" s="114" t="s">
        <v>237</v>
      </c>
      <c r="F36" s="115" t="s">
        <v>64</v>
      </c>
      <c r="G36" s="116" t="b">
        <v>0</v>
      </c>
      <c r="H36" s="116" t="b">
        <v>0</v>
      </c>
      <c r="I36" s="116" t="b">
        <v>1</v>
      </c>
      <c r="J36" s="116" t="b">
        <v>1</v>
      </c>
      <c r="K36" s="116" t="b">
        <v>1</v>
      </c>
      <c r="L36" s="116" t="b">
        <v>0</v>
      </c>
      <c r="M36" s="116" t="b">
        <v>0</v>
      </c>
      <c r="N36" s="117">
        <f t="shared" si="1"/>
        <v>3</v>
      </c>
      <c r="O36" s="117">
        <f t="shared" si="2"/>
        <v>12</v>
      </c>
      <c r="P36" s="157"/>
      <c r="Q36" s="121"/>
    </row>
    <row r="37" ht="15.0" customHeight="1">
      <c r="A37" s="112"/>
      <c r="B37" s="112"/>
      <c r="C37" s="112"/>
      <c r="D37" s="129" t="s">
        <v>336</v>
      </c>
      <c r="E37" s="114" t="s">
        <v>237</v>
      </c>
      <c r="F37" s="115" t="s">
        <v>64</v>
      </c>
      <c r="G37" s="116" t="b">
        <v>0</v>
      </c>
      <c r="H37" s="116" t="b">
        <v>0</v>
      </c>
      <c r="I37" s="116" t="b">
        <v>0</v>
      </c>
      <c r="J37" s="116" t="b">
        <v>0</v>
      </c>
      <c r="K37" s="116" t="b">
        <v>0</v>
      </c>
      <c r="L37" s="116" t="b">
        <v>0</v>
      </c>
      <c r="M37" s="116" t="b">
        <v>0</v>
      </c>
      <c r="N37" s="117"/>
      <c r="O37" s="117"/>
      <c r="P37" s="157"/>
      <c r="Q37" s="112"/>
    </row>
    <row r="38" ht="15.0" customHeight="1">
      <c r="A38" s="112"/>
      <c r="B38" s="112"/>
      <c r="C38" s="112"/>
      <c r="D38" s="129" t="s">
        <v>302</v>
      </c>
      <c r="E38" s="114" t="s">
        <v>237</v>
      </c>
      <c r="F38" s="115" t="s">
        <v>64</v>
      </c>
      <c r="G38" s="116" t="b">
        <v>0</v>
      </c>
      <c r="H38" s="116" t="b">
        <v>1</v>
      </c>
      <c r="I38" s="116" t="b">
        <v>1</v>
      </c>
      <c r="J38" s="116" t="b">
        <v>1</v>
      </c>
      <c r="K38" s="116" t="b">
        <v>1</v>
      </c>
      <c r="L38" s="116" t="b">
        <v>0</v>
      </c>
      <c r="M38" s="116" t="b">
        <v>0</v>
      </c>
      <c r="N38" s="117">
        <f t="shared" ref="N38:N96" si="3">COUNTIF(G38:M38,"TRUE")</f>
        <v>4</v>
      </c>
      <c r="O38" s="117">
        <f t="shared" ref="O38:O96" si="4">N38*4</f>
        <v>16</v>
      </c>
      <c r="P38" s="157"/>
      <c r="Q38" s="112"/>
    </row>
    <row r="39" ht="15.0" customHeight="1">
      <c r="A39" s="112"/>
      <c r="B39" s="112"/>
      <c r="C39" s="112"/>
      <c r="D39" s="129" t="s">
        <v>70</v>
      </c>
      <c r="E39" s="114" t="str">
        <f>VLOOKUP(D39,Data!H:I,2,0)</f>
        <v>İstanbul</v>
      </c>
      <c r="F39" s="115" t="str">
        <f>VLOOKUP(D39,Data!H:J,3,0)</f>
        <v>Freelance</v>
      </c>
      <c r="G39" s="116" t="b">
        <v>0</v>
      </c>
      <c r="H39" s="116" t="b">
        <v>0</v>
      </c>
      <c r="I39" s="116" t="b">
        <v>0</v>
      </c>
      <c r="J39" s="116" t="b">
        <v>0</v>
      </c>
      <c r="K39" s="116" t="b">
        <v>0</v>
      </c>
      <c r="L39" s="116" t="b">
        <v>0</v>
      </c>
      <c r="M39" s="116" t="b">
        <v>0</v>
      </c>
      <c r="N39" s="117">
        <f t="shared" si="3"/>
        <v>0</v>
      </c>
      <c r="O39" s="117">
        <f t="shared" si="4"/>
        <v>0</v>
      </c>
      <c r="P39" s="157"/>
      <c r="Q39" s="112"/>
    </row>
    <row r="40" ht="15.0" customHeight="1">
      <c r="A40" s="112"/>
      <c r="B40" s="112"/>
      <c r="C40" s="112"/>
      <c r="D40" s="129" t="s">
        <v>78</v>
      </c>
      <c r="E40" s="114" t="str">
        <f>VLOOKUP(D40,Data!H:I,2,0)</f>
        <v>İstanbul</v>
      </c>
      <c r="F40" s="115" t="str">
        <f>VLOOKUP(D40,Data!H:J,3,0)</f>
        <v>Freelance</v>
      </c>
      <c r="G40" s="116" t="b">
        <v>0</v>
      </c>
      <c r="H40" s="116" t="b">
        <v>0</v>
      </c>
      <c r="I40" s="116" t="b">
        <v>0</v>
      </c>
      <c r="J40" s="116" t="b">
        <v>0</v>
      </c>
      <c r="K40" s="116" t="b">
        <v>0</v>
      </c>
      <c r="L40" s="116" t="b">
        <v>0</v>
      </c>
      <c r="M40" s="116" t="b">
        <v>0</v>
      </c>
      <c r="N40" s="117">
        <f t="shared" si="3"/>
        <v>0</v>
      </c>
      <c r="O40" s="117">
        <f t="shared" si="4"/>
        <v>0</v>
      </c>
      <c r="P40" s="157"/>
      <c r="Q40" s="112"/>
    </row>
    <row r="41" ht="15.0" customHeight="1">
      <c r="A41" s="112"/>
      <c r="B41" s="112"/>
      <c r="C41" s="112"/>
      <c r="D41" s="129" t="s">
        <v>79</v>
      </c>
      <c r="E41" s="114" t="str">
        <f>VLOOKUP(D41,Data!H:I,2,0)</f>
        <v>İstanbul</v>
      </c>
      <c r="F41" s="115" t="str">
        <f>VLOOKUP(D41,Data!H:J,3,0)</f>
        <v>Freelance</v>
      </c>
      <c r="G41" s="116" t="b">
        <v>0</v>
      </c>
      <c r="H41" s="116" t="b">
        <v>0</v>
      </c>
      <c r="I41" s="116" t="b">
        <v>0</v>
      </c>
      <c r="J41" s="116" t="b">
        <v>0</v>
      </c>
      <c r="K41" s="116" t="b">
        <v>0</v>
      </c>
      <c r="L41" s="116" t="b">
        <v>0</v>
      </c>
      <c r="M41" s="116" t="b">
        <v>0</v>
      </c>
      <c r="N41" s="117">
        <f t="shared" si="3"/>
        <v>0</v>
      </c>
      <c r="O41" s="117">
        <f t="shared" si="4"/>
        <v>0</v>
      </c>
      <c r="P41" s="157"/>
      <c r="Q41" s="112"/>
    </row>
    <row r="42" ht="15.0" customHeight="1">
      <c r="A42" s="122"/>
      <c r="B42" s="122"/>
      <c r="C42" s="122"/>
      <c r="D42" s="129" t="s">
        <v>80</v>
      </c>
      <c r="E42" s="114" t="str">
        <f>VLOOKUP(D42,Data!H:I,2,0)</f>
        <v>İstanbul</v>
      </c>
      <c r="F42" s="115" t="str">
        <f>VLOOKUP(D42,Data!H:J,3,0)</f>
        <v>Freelance</v>
      </c>
      <c r="G42" s="116" t="b">
        <v>1</v>
      </c>
      <c r="H42" s="116" t="b">
        <v>1</v>
      </c>
      <c r="I42" s="116" t="b">
        <v>1</v>
      </c>
      <c r="J42" s="116" t="b">
        <v>1</v>
      </c>
      <c r="K42" s="116" t="b">
        <v>1</v>
      </c>
      <c r="L42" s="116" t="b">
        <v>0</v>
      </c>
      <c r="M42" s="116" t="b">
        <v>0</v>
      </c>
      <c r="N42" s="117">
        <f t="shared" si="3"/>
        <v>5</v>
      </c>
      <c r="O42" s="117">
        <f t="shared" si="4"/>
        <v>20</v>
      </c>
      <c r="P42" s="157"/>
      <c r="Q42" s="122"/>
    </row>
    <row r="43" ht="15.0" customHeight="1">
      <c r="A43" s="112"/>
      <c r="B43" s="112"/>
      <c r="C43" s="112"/>
      <c r="D43" s="132" t="s">
        <v>119</v>
      </c>
      <c r="E43" s="114" t="str">
        <f>VLOOKUP(D43,Data!H:I,2,0)</f>
        <v>İstanbul</v>
      </c>
      <c r="F43" s="115" t="str">
        <f>VLOOKUP(D43,Data!H:J,3,0)</f>
        <v>Filamingo</v>
      </c>
      <c r="G43" s="116" t="b">
        <v>0</v>
      </c>
      <c r="H43" s="116" t="b">
        <v>0</v>
      </c>
      <c r="I43" s="116" t="b">
        <v>0</v>
      </c>
      <c r="J43" s="116" t="b">
        <v>0</v>
      </c>
      <c r="K43" s="116" t="b">
        <v>0</v>
      </c>
      <c r="L43" s="116" t="b">
        <v>0</v>
      </c>
      <c r="M43" s="116" t="b">
        <v>0</v>
      </c>
      <c r="N43" s="117">
        <f t="shared" si="3"/>
        <v>0</v>
      </c>
      <c r="O43" s="117">
        <f t="shared" si="4"/>
        <v>0</v>
      </c>
      <c r="P43" s="157"/>
      <c r="Q43" s="112"/>
    </row>
    <row r="44" ht="15.0" customHeight="1">
      <c r="A44" s="112"/>
      <c r="B44" s="112"/>
      <c r="C44" s="112"/>
      <c r="D44" s="129" t="s">
        <v>96</v>
      </c>
      <c r="E44" s="114" t="s">
        <v>237</v>
      </c>
      <c r="F44" s="115" t="s">
        <v>61</v>
      </c>
      <c r="G44" s="116" t="b">
        <v>0</v>
      </c>
      <c r="H44" s="116" t="b">
        <v>0</v>
      </c>
      <c r="I44" s="116" t="b">
        <v>0</v>
      </c>
      <c r="J44" s="116" t="b">
        <v>0</v>
      </c>
      <c r="K44" s="116" t="b">
        <v>0</v>
      </c>
      <c r="L44" s="116" t="b">
        <v>0</v>
      </c>
      <c r="M44" s="116" t="b">
        <v>0</v>
      </c>
      <c r="N44" s="117">
        <f t="shared" si="3"/>
        <v>0</v>
      </c>
      <c r="O44" s="117">
        <f t="shared" si="4"/>
        <v>0</v>
      </c>
      <c r="P44" s="157"/>
      <c r="Q44" s="112"/>
    </row>
    <row r="45" ht="15.0" customHeight="1">
      <c r="A45" s="112"/>
      <c r="B45" s="112"/>
      <c r="C45" s="112"/>
      <c r="D45" s="129" t="s">
        <v>217</v>
      </c>
      <c r="E45" s="114" t="str">
        <f>VLOOKUP(D45,Data!H:I,2,0)</f>
        <v>İstanbul</v>
      </c>
      <c r="F45" s="115" t="str">
        <f>VLOOKUP(D45,Data!H:J,3,0)</f>
        <v>Freelance</v>
      </c>
      <c r="G45" s="116" t="b">
        <v>0</v>
      </c>
      <c r="H45" s="116" t="b">
        <v>0</v>
      </c>
      <c r="I45" s="116" t="b">
        <v>0</v>
      </c>
      <c r="J45" s="116" t="b">
        <v>0</v>
      </c>
      <c r="K45" s="116" t="b">
        <v>0</v>
      </c>
      <c r="L45" s="116" t="b">
        <v>0</v>
      </c>
      <c r="M45" s="116" t="b">
        <v>0</v>
      </c>
      <c r="N45" s="117">
        <f t="shared" si="3"/>
        <v>0</v>
      </c>
      <c r="O45" s="117">
        <f t="shared" si="4"/>
        <v>0</v>
      </c>
      <c r="P45" s="157"/>
      <c r="Q45" s="112"/>
    </row>
    <row r="46" ht="15.0" customHeight="1">
      <c r="A46" s="112"/>
      <c r="B46" s="112"/>
      <c r="C46" s="112"/>
      <c r="D46" s="129" t="s">
        <v>81</v>
      </c>
      <c r="E46" s="114" t="str">
        <f>VLOOKUP(D46,Data!H:I,2,0)</f>
        <v>İstanbul</v>
      </c>
      <c r="F46" s="115" t="str">
        <f>VLOOKUP(D46,Data!H:J,3,0)</f>
        <v>Freelance</v>
      </c>
      <c r="G46" s="116" t="b">
        <v>0</v>
      </c>
      <c r="H46" s="116" t="b">
        <v>0</v>
      </c>
      <c r="I46" s="116" t="b">
        <v>0</v>
      </c>
      <c r="J46" s="116" t="b">
        <v>0</v>
      </c>
      <c r="K46" s="116" t="b">
        <v>0</v>
      </c>
      <c r="L46" s="116" t="b">
        <v>0</v>
      </c>
      <c r="M46" s="116" t="b">
        <v>0</v>
      </c>
      <c r="N46" s="117">
        <f t="shared" si="3"/>
        <v>0</v>
      </c>
      <c r="O46" s="117">
        <f t="shared" si="4"/>
        <v>0</v>
      </c>
      <c r="P46" s="157"/>
      <c r="Q46" s="112"/>
    </row>
    <row r="47" ht="15.0" customHeight="1">
      <c r="A47" s="112"/>
      <c r="B47" s="112"/>
      <c r="C47" s="112"/>
      <c r="D47" s="129" t="s">
        <v>201</v>
      </c>
      <c r="E47" s="114" t="str">
        <f>VLOOKUP(D47,Data!H:I,2,0)</f>
        <v>İstanbul</v>
      </c>
      <c r="F47" s="114" t="str">
        <f>VLOOKUP(D47,Data!H:J,3,0)</f>
        <v>Freelance</v>
      </c>
      <c r="G47" s="116" t="b">
        <v>0</v>
      </c>
      <c r="H47" s="116" t="b">
        <v>0</v>
      </c>
      <c r="I47" s="116" t="b">
        <v>0</v>
      </c>
      <c r="J47" s="116" t="b">
        <v>0</v>
      </c>
      <c r="K47" s="116" t="b">
        <v>0</v>
      </c>
      <c r="L47" s="116" t="b">
        <v>0</v>
      </c>
      <c r="M47" s="116" t="b">
        <v>0</v>
      </c>
      <c r="N47" s="117">
        <f t="shared" si="3"/>
        <v>0</v>
      </c>
      <c r="O47" s="117">
        <f t="shared" si="4"/>
        <v>0</v>
      </c>
      <c r="P47" s="157"/>
      <c r="Q47" s="112"/>
    </row>
    <row r="48" ht="15.0" customHeight="1">
      <c r="A48" s="112"/>
      <c r="B48" s="112"/>
      <c r="C48" s="112"/>
      <c r="D48" s="132" t="s">
        <v>83</v>
      </c>
      <c r="E48" s="114" t="str">
        <f>VLOOKUP(D48,Data!H:I,2,0)</f>
        <v>İstanbul</v>
      </c>
      <c r="F48" s="115" t="str">
        <f>VLOOKUP(D48,Data!H:J,3,0)</f>
        <v>Nazım Öztel</v>
      </c>
      <c r="G48" s="116" t="b">
        <v>0</v>
      </c>
      <c r="H48" s="116" t="b">
        <v>0</v>
      </c>
      <c r="I48" s="116" t="b">
        <v>0</v>
      </c>
      <c r="J48" s="116" t="b">
        <v>0</v>
      </c>
      <c r="K48" s="116" t="b">
        <v>0</v>
      </c>
      <c r="L48" s="116" t="b">
        <v>0</v>
      </c>
      <c r="M48" s="116" t="b">
        <v>0</v>
      </c>
      <c r="N48" s="117">
        <f t="shared" si="3"/>
        <v>0</v>
      </c>
      <c r="O48" s="117">
        <f t="shared" si="4"/>
        <v>0</v>
      </c>
      <c r="P48" s="157"/>
      <c r="Q48" s="112"/>
    </row>
    <row r="49" ht="15.0" customHeight="1">
      <c r="A49" s="112"/>
      <c r="B49" s="112"/>
      <c r="C49" s="112"/>
      <c r="D49" s="129" t="s">
        <v>224</v>
      </c>
      <c r="E49" s="145" t="str">
        <f>VLOOKUP(D49,Data!H:I,2,0)</f>
        <v>İstanbul</v>
      </c>
      <c r="F49" s="147" t="str">
        <f>VLOOKUP(D49,Data!H:J,3,0)</f>
        <v>Filamingo</v>
      </c>
      <c r="G49" s="116" t="b">
        <v>0</v>
      </c>
      <c r="H49" s="116" t="b">
        <v>0</v>
      </c>
      <c r="I49" s="116" t="b">
        <v>0</v>
      </c>
      <c r="J49" s="116" t="b">
        <v>0</v>
      </c>
      <c r="K49" s="116" t="b">
        <v>0</v>
      </c>
      <c r="L49" s="116" t="b">
        <v>0</v>
      </c>
      <c r="M49" s="116" t="b">
        <v>0</v>
      </c>
      <c r="N49" s="146">
        <f t="shared" si="3"/>
        <v>0</v>
      </c>
      <c r="O49" s="146">
        <f t="shared" si="4"/>
        <v>0</v>
      </c>
      <c r="P49" s="159"/>
      <c r="Q49" s="112"/>
    </row>
    <row r="50" ht="15.0" customHeight="1">
      <c r="A50" s="125"/>
      <c r="B50" s="125"/>
      <c r="C50" s="125"/>
      <c r="D50" s="129" t="s">
        <v>225</v>
      </c>
      <c r="E50" s="114" t="str">
        <f>VLOOKUP(D50,Data!H:I,2,0)</f>
        <v>İstanbul</v>
      </c>
      <c r="F50" s="115" t="str">
        <f>VLOOKUP(D50,Data!H:J,3,0)</f>
        <v>Filamingo</v>
      </c>
      <c r="G50" s="116" t="b">
        <v>0</v>
      </c>
      <c r="H50" s="116" t="b">
        <v>0</v>
      </c>
      <c r="I50" s="116" t="b">
        <v>0</v>
      </c>
      <c r="J50" s="116" t="b">
        <v>0</v>
      </c>
      <c r="K50" s="116" t="b">
        <v>0</v>
      </c>
      <c r="L50" s="116" t="b">
        <v>0</v>
      </c>
      <c r="M50" s="116" t="b">
        <v>0</v>
      </c>
      <c r="N50" s="117">
        <f t="shared" si="3"/>
        <v>0</v>
      </c>
      <c r="O50" s="117">
        <f t="shared" si="4"/>
        <v>0</v>
      </c>
      <c r="P50" s="157"/>
      <c r="Q50" s="125"/>
    </row>
    <row r="51" ht="15.0" customHeight="1">
      <c r="A51" s="125"/>
      <c r="B51" s="125"/>
      <c r="C51" s="125"/>
      <c r="D51" s="129" t="s">
        <v>145</v>
      </c>
      <c r="E51" s="114" t="str">
        <f>VLOOKUP(D51,Data!H:I,2,0)</f>
        <v>İstanbul</v>
      </c>
      <c r="F51" s="115" t="str">
        <f>VLOOKUP(D51,Data!H:J,3,0)</f>
        <v>Filamingo</v>
      </c>
      <c r="G51" s="116" t="b">
        <v>0</v>
      </c>
      <c r="H51" s="116" t="b">
        <v>0</v>
      </c>
      <c r="I51" s="116" t="b">
        <v>0</v>
      </c>
      <c r="J51" s="116" t="b">
        <v>0</v>
      </c>
      <c r="K51" s="116" t="b">
        <v>0</v>
      </c>
      <c r="L51" s="116" t="b">
        <v>0</v>
      </c>
      <c r="M51" s="116" t="b">
        <v>0</v>
      </c>
      <c r="N51" s="117">
        <f t="shared" si="3"/>
        <v>0</v>
      </c>
      <c r="O51" s="117">
        <f t="shared" si="4"/>
        <v>0</v>
      </c>
      <c r="P51" s="157"/>
      <c r="Q51" s="125"/>
    </row>
    <row r="52" ht="15.0" customHeight="1">
      <c r="A52" s="125"/>
      <c r="B52" s="125"/>
      <c r="C52" s="125"/>
      <c r="D52" s="129" t="s">
        <v>274</v>
      </c>
      <c r="E52" s="114" t="str">
        <f>VLOOKUP(D52,Data!H:I,2,0)</f>
        <v>İstanbul</v>
      </c>
      <c r="F52" s="115" t="str">
        <f>VLOOKUP(D52,Data!H:J,3,0)</f>
        <v>Filamingo</v>
      </c>
      <c r="G52" s="116" t="b">
        <v>0</v>
      </c>
      <c r="H52" s="116" t="b">
        <v>0</v>
      </c>
      <c r="I52" s="116" t="b">
        <v>0</v>
      </c>
      <c r="J52" s="116" t="b">
        <v>0</v>
      </c>
      <c r="K52" s="116" t="b">
        <v>0</v>
      </c>
      <c r="L52" s="116" t="b">
        <v>0</v>
      </c>
      <c r="M52" s="116" t="b">
        <v>0</v>
      </c>
      <c r="N52" s="117">
        <f t="shared" si="3"/>
        <v>0</v>
      </c>
      <c r="O52" s="117">
        <f t="shared" si="4"/>
        <v>0</v>
      </c>
      <c r="P52" s="157"/>
      <c r="Q52" s="125"/>
    </row>
    <row r="53" ht="15.0" customHeight="1">
      <c r="A53" s="125"/>
      <c r="B53" s="125"/>
      <c r="C53" s="125"/>
      <c r="D53" s="129" t="s">
        <v>87</v>
      </c>
      <c r="E53" s="114" t="str">
        <f>VLOOKUP(D53,Data!H:I,2,0)</f>
        <v>İstanbul</v>
      </c>
      <c r="F53" s="115" t="str">
        <f>VLOOKUP(D53,Data!H:J,3,0)</f>
        <v>Freelance</v>
      </c>
      <c r="G53" s="116" t="b">
        <v>0</v>
      </c>
      <c r="H53" s="116" t="b">
        <v>0</v>
      </c>
      <c r="I53" s="116" t="b">
        <v>0</v>
      </c>
      <c r="J53" s="116" t="b">
        <v>0</v>
      </c>
      <c r="K53" s="116" t="b">
        <v>0</v>
      </c>
      <c r="L53" s="116" t="b">
        <v>0</v>
      </c>
      <c r="M53" s="116" t="b">
        <v>0</v>
      </c>
      <c r="N53" s="117">
        <f t="shared" si="3"/>
        <v>0</v>
      </c>
      <c r="O53" s="117">
        <f t="shared" si="4"/>
        <v>0</v>
      </c>
      <c r="P53" s="157"/>
      <c r="Q53" s="125"/>
    </row>
    <row r="54" ht="15.0" customHeight="1">
      <c r="A54" s="125"/>
      <c r="B54" s="125"/>
      <c r="C54" s="125"/>
      <c r="D54" s="129" t="s">
        <v>337</v>
      </c>
      <c r="E54" s="114" t="s">
        <v>237</v>
      </c>
      <c r="F54" s="115" t="s">
        <v>64</v>
      </c>
      <c r="G54" s="116" t="b">
        <v>1</v>
      </c>
      <c r="H54" s="116" t="b">
        <v>1</v>
      </c>
      <c r="I54" s="116" t="b">
        <v>1</v>
      </c>
      <c r="J54" s="116" t="b">
        <v>0</v>
      </c>
      <c r="K54" s="116" t="b">
        <v>0</v>
      </c>
      <c r="L54" s="116" t="b">
        <v>0</v>
      </c>
      <c r="M54" s="116" t="b">
        <v>0</v>
      </c>
      <c r="N54" s="117">
        <f t="shared" si="3"/>
        <v>3</v>
      </c>
      <c r="O54" s="117">
        <f t="shared" si="4"/>
        <v>12</v>
      </c>
      <c r="P54" s="157"/>
      <c r="Q54" s="125"/>
    </row>
    <row r="55" ht="15.0" customHeight="1">
      <c r="A55" s="112"/>
      <c r="B55" s="112"/>
      <c r="C55" s="112"/>
      <c r="D55" s="129" t="s">
        <v>249</v>
      </c>
      <c r="E55" s="114" t="str">
        <f>VLOOKUP(D55,Data!H:I,2,0)</f>
        <v>İstanbul</v>
      </c>
      <c r="F55" s="115" t="str">
        <f>VLOOKUP(D55,Data!H:J,3,0)</f>
        <v>Nazım Öztel</v>
      </c>
      <c r="G55" s="116" t="b">
        <v>0</v>
      </c>
      <c r="H55" s="116" t="b">
        <v>0</v>
      </c>
      <c r="I55" s="116" t="b">
        <v>0</v>
      </c>
      <c r="J55" s="116" t="b">
        <v>0</v>
      </c>
      <c r="K55" s="116" t="b">
        <v>0</v>
      </c>
      <c r="L55" s="116" t="b">
        <v>0</v>
      </c>
      <c r="M55" s="116" t="b">
        <v>0</v>
      </c>
      <c r="N55" s="117">
        <f t="shared" si="3"/>
        <v>0</v>
      </c>
      <c r="O55" s="117">
        <f t="shared" si="4"/>
        <v>0</v>
      </c>
      <c r="P55" s="157" t="s">
        <v>338</v>
      </c>
      <c r="Q55" s="112"/>
    </row>
    <row r="56" ht="15.0" customHeight="1">
      <c r="A56" s="112"/>
      <c r="B56" s="112"/>
      <c r="C56" s="112"/>
      <c r="D56" s="129" t="s">
        <v>250</v>
      </c>
      <c r="E56" s="114" t="str">
        <f>VLOOKUP(D56,Data!H:I,2,0)</f>
        <v>İstanbul</v>
      </c>
      <c r="F56" s="115" t="str">
        <f>VLOOKUP(D56,Data!H:J,3,0)</f>
        <v>Filamingo</v>
      </c>
      <c r="G56" s="116" t="b">
        <v>0</v>
      </c>
      <c r="H56" s="116" t="b">
        <v>0</v>
      </c>
      <c r="I56" s="116" t="b">
        <v>0</v>
      </c>
      <c r="J56" s="116" t="b">
        <v>0</v>
      </c>
      <c r="K56" s="116" t="b">
        <v>0</v>
      </c>
      <c r="L56" s="116" t="b">
        <v>0</v>
      </c>
      <c r="M56" s="116" t="b">
        <v>0</v>
      </c>
      <c r="N56" s="117">
        <f t="shared" si="3"/>
        <v>0</v>
      </c>
      <c r="O56" s="117">
        <f t="shared" si="4"/>
        <v>0</v>
      </c>
      <c r="P56" s="157" t="s">
        <v>309</v>
      </c>
      <c r="Q56" s="112"/>
    </row>
    <row r="57" ht="15.0" customHeight="1">
      <c r="A57" s="112"/>
      <c r="B57" s="112"/>
      <c r="C57" s="112"/>
      <c r="D57" s="129" t="s">
        <v>251</v>
      </c>
      <c r="E57" s="114" t="str">
        <f>VLOOKUP(D57,Data!H:I,2,0)</f>
        <v>İstanbul</v>
      </c>
      <c r="F57" s="115" t="str">
        <f>VLOOKUP(D57,Data!H:J,3,0)</f>
        <v>Filamingo</v>
      </c>
      <c r="G57" s="116" t="b">
        <v>1</v>
      </c>
      <c r="H57" s="116" t="b">
        <v>1</v>
      </c>
      <c r="I57" s="116" t="b">
        <v>1</v>
      </c>
      <c r="J57" s="116" t="b">
        <v>1</v>
      </c>
      <c r="K57" s="116" t="b">
        <v>1</v>
      </c>
      <c r="L57" s="116" t="b">
        <v>0</v>
      </c>
      <c r="M57" s="116" t="b">
        <v>0</v>
      </c>
      <c r="N57" s="117">
        <f t="shared" si="3"/>
        <v>5</v>
      </c>
      <c r="O57" s="117">
        <f t="shared" si="4"/>
        <v>20</v>
      </c>
      <c r="P57" s="157"/>
      <c r="Q57" s="112"/>
    </row>
    <row r="58" ht="15.0" customHeight="1">
      <c r="A58" s="112"/>
      <c r="B58" s="112"/>
      <c r="C58" s="112"/>
      <c r="D58" s="129" t="s">
        <v>252</v>
      </c>
      <c r="E58" s="114" t="str">
        <f>VLOOKUP(D58,Data!H:I,2,0)</f>
        <v>İzmir</v>
      </c>
      <c r="F58" s="115" t="str">
        <f>VLOOKUP(D58,Data!H:J,3,0)</f>
        <v>Nazım Öztel</v>
      </c>
      <c r="G58" s="116" t="b">
        <v>0</v>
      </c>
      <c r="H58" s="116" t="b">
        <v>0</v>
      </c>
      <c r="I58" s="116" t="b">
        <v>0</v>
      </c>
      <c r="J58" s="116" t="b">
        <v>0</v>
      </c>
      <c r="K58" s="116" t="b">
        <v>0</v>
      </c>
      <c r="L58" s="116" t="b">
        <v>0</v>
      </c>
      <c r="M58" s="116" t="b">
        <v>0</v>
      </c>
      <c r="N58" s="117">
        <f t="shared" si="3"/>
        <v>0</v>
      </c>
      <c r="O58" s="117">
        <f t="shared" si="4"/>
        <v>0</v>
      </c>
      <c r="P58" s="157"/>
      <c r="Q58" s="112"/>
    </row>
    <row r="59" ht="15.0" customHeight="1">
      <c r="A59" s="112"/>
      <c r="B59" s="112"/>
      <c r="C59" s="112"/>
      <c r="D59" s="132" t="s">
        <v>92</v>
      </c>
      <c r="E59" s="114" t="str">
        <f>VLOOKUP(D59,Data!H:I,2,0)</f>
        <v>İzmir</v>
      </c>
      <c r="F59" s="115" t="str">
        <f>VLOOKUP(D59,Data!H:J,3,0)</f>
        <v>Nazım Öztel</v>
      </c>
      <c r="G59" s="116" t="b">
        <v>1</v>
      </c>
      <c r="H59" s="116" t="b">
        <v>0</v>
      </c>
      <c r="I59" s="116" t="b">
        <v>0</v>
      </c>
      <c r="J59" s="116" t="b">
        <v>0</v>
      </c>
      <c r="K59" s="116" t="b">
        <v>1</v>
      </c>
      <c r="L59" s="116" t="b">
        <v>0</v>
      </c>
      <c r="M59" s="116" t="b">
        <v>0</v>
      </c>
      <c r="N59" s="117">
        <f t="shared" si="3"/>
        <v>2</v>
      </c>
      <c r="O59" s="117">
        <f t="shared" si="4"/>
        <v>8</v>
      </c>
      <c r="P59" s="157"/>
      <c r="Q59" s="112"/>
    </row>
    <row r="60" ht="15.0" customHeight="1">
      <c r="A60" s="112"/>
      <c r="B60" s="112"/>
      <c r="C60" s="112"/>
      <c r="D60" s="129" t="s">
        <v>93</v>
      </c>
      <c r="E60" s="114" t="str">
        <f>VLOOKUP(D60,Data!H:I,2,0)</f>
        <v>İzmir</v>
      </c>
      <c r="F60" s="115" t="str">
        <f>VLOOKUP(D60,Data!H:J,3,0)</f>
        <v>Freelance</v>
      </c>
      <c r="G60" s="116" t="b">
        <v>1</v>
      </c>
      <c r="H60" s="116" t="b">
        <v>0</v>
      </c>
      <c r="I60" s="116" t="b">
        <v>0</v>
      </c>
      <c r="J60" s="116" t="b">
        <v>1</v>
      </c>
      <c r="K60" s="116" t="b">
        <v>1</v>
      </c>
      <c r="L60" s="116" t="b">
        <v>0</v>
      </c>
      <c r="M60" s="116" t="b">
        <v>0</v>
      </c>
      <c r="N60" s="117">
        <f t="shared" si="3"/>
        <v>3</v>
      </c>
      <c r="O60" s="117">
        <f t="shared" si="4"/>
        <v>12</v>
      </c>
      <c r="P60" s="157"/>
      <c r="Q60" s="112"/>
    </row>
    <row r="61" ht="15.0" customHeight="1">
      <c r="A61" s="112"/>
      <c r="B61" s="112"/>
      <c r="C61" s="112"/>
      <c r="D61" s="129" t="s">
        <v>161</v>
      </c>
      <c r="E61" s="143" t="str">
        <f>VLOOKUP(D61,Data!H:I,2,0)</f>
        <v>Kahramanmaraş</v>
      </c>
      <c r="F61" s="115" t="str">
        <f>VLOOKUP(D61,Data!H:J,3,0)</f>
        <v>Nazım Öztel</v>
      </c>
      <c r="G61" s="116" t="b">
        <v>0</v>
      </c>
      <c r="H61" s="116" t="b">
        <v>0</v>
      </c>
      <c r="I61" s="116" t="b">
        <v>0</v>
      </c>
      <c r="J61" s="116" t="b">
        <v>0</v>
      </c>
      <c r="K61" s="116" t="b">
        <v>0</v>
      </c>
      <c r="L61" s="116" t="b">
        <v>0</v>
      </c>
      <c r="M61" s="116" t="b">
        <v>0</v>
      </c>
      <c r="N61" s="117">
        <f t="shared" si="3"/>
        <v>0</v>
      </c>
      <c r="O61" s="117">
        <f t="shared" si="4"/>
        <v>0</v>
      </c>
      <c r="P61" s="157" t="s">
        <v>314</v>
      </c>
      <c r="Q61" s="112"/>
    </row>
    <row r="62" ht="15.0" customHeight="1">
      <c r="A62" s="112"/>
      <c r="B62" s="112"/>
      <c r="C62" s="112"/>
      <c r="D62" s="129" t="s">
        <v>243</v>
      </c>
      <c r="E62" s="114" t="str">
        <f>VLOOKUP(D62,Data!H:I,2,0)</f>
        <v>Kayseri</v>
      </c>
      <c r="F62" s="115" t="str">
        <f>VLOOKUP(D62,Data!H:J,3,0)</f>
        <v>Nazım Öztel</v>
      </c>
      <c r="G62" s="116" t="b">
        <v>0</v>
      </c>
      <c r="H62" s="116" t="b">
        <v>0</v>
      </c>
      <c r="I62" s="116" t="b">
        <v>0</v>
      </c>
      <c r="J62" s="116" t="b">
        <v>0</v>
      </c>
      <c r="K62" s="116" t="b">
        <v>0</v>
      </c>
      <c r="L62" s="116" t="b">
        <v>0</v>
      </c>
      <c r="M62" s="116" t="b">
        <v>0</v>
      </c>
      <c r="N62" s="117">
        <f t="shared" si="3"/>
        <v>0</v>
      </c>
      <c r="O62" s="117">
        <f t="shared" si="4"/>
        <v>0</v>
      </c>
      <c r="P62" s="157" t="s">
        <v>339</v>
      </c>
      <c r="Q62" s="112"/>
    </row>
    <row r="63" ht="15.0" customHeight="1">
      <c r="A63" s="112"/>
      <c r="B63" s="112"/>
      <c r="C63" s="112"/>
      <c r="D63" s="129" t="s">
        <v>253</v>
      </c>
      <c r="E63" s="114" t="str">
        <f>VLOOKUP(D63,Data!H:I,2,0)</f>
        <v>Kırklareli</v>
      </c>
      <c r="F63" s="115" t="str">
        <f>VLOOKUP(D63,Data!H:J,3,0)</f>
        <v>Nazım Öztel</v>
      </c>
      <c r="G63" s="116" t="b">
        <v>0</v>
      </c>
      <c r="H63" s="116" t="b">
        <v>0</v>
      </c>
      <c r="I63" s="116" t="b">
        <v>0</v>
      </c>
      <c r="J63" s="116" t="b">
        <v>0</v>
      </c>
      <c r="K63" s="116" t="b">
        <v>0</v>
      </c>
      <c r="L63" s="116" t="b">
        <v>0</v>
      </c>
      <c r="M63" s="116" t="b">
        <v>0</v>
      </c>
      <c r="N63" s="117">
        <f t="shared" si="3"/>
        <v>0</v>
      </c>
      <c r="O63" s="117">
        <f t="shared" si="4"/>
        <v>0</v>
      </c>
      <c r="P63" s="157" t="s">
        <v>314</v>
      </c>
      <c r="Q63" s="112"/>
    </row>
    <row r="64" ht="15.0" customHeight="1">
      <c r="A64" s="112"/>
      <c r="B64" s="112"/>
      <c r="C64" s="112"/>
      <c r="D64" s="132" t="s">
        <v>96</v>
      </c>
      <c r="E64" s="114" t="str">
        <f>VLOOKUP(D64,Data!H:I,2,0)</f>
        <v>Kocaeli</v>
      </c>
      <c r="F64" s="115" t="str">
        <f>VLOOKUP(D64,Data!H:J,3,0)</f>
        <v>Nazım Öztel</v>
      </c>
      <c r="G64" s="116" t="b">
        <v>0</v>
      </c>
      <c r="H64" s="116" t="b">
        <v>0</v>
      </c>
      <c r="I64" s="116" t="b">
        <v>0</v>
      </c>
      <c r="J64" s="116" t="b">
        <v>1</v>
      </c>
      <c r="K64" s="116" t="b">
        <v>1</v>
      </c>
      <c r="L64" s="116" t="b">
        <v>0</v>
      </c>
      <c r="M64" s="116" t="b">
        <v>0</v>
      </c>
      <c r="N64" s="117">
        <f t="shared" si="3"/>
        <v>2</v>
      </c>
      <c r="O64" s="117">
        <f t="shared" si="4"/>
        <v>8</v>
      </c>
      <c r="P64" s="157"/>
      <c r="Q64" s="112"/>
    </row>
    <row r="65" ht="15.0" customHeight="1">
      <c r="A65" s="112"/>
      <c r="B65" s="112"/>
      <c r="C65" s="112"/>
      <c r="D65" s="129" t="s">
        <v>147</v>
      </c>
      <c r="E65" s="114" t="str">
        <f>VLOOKUP(D65,Data!H:I,2,0)</f>
        <v>Kocaeli</v>
      </c>
      <c r="F65" s="115" t="str">
        <f>VLOOKUP(D65,Data!H:J,3,0)</f>
        <v>Nazım Öztel</v>
      </c>
      <c r="G65" s="116" t="b">
        <v>0</v>
      </c>
      <c r="H65" s="116" t="b">
        <v>0</v>
      </c>
      <c r="I65" s="116" t="b">
        <v>0</v>
      </c>
      <c r="J65" s="116" t="b">
        <v>0</v>
      </c>
      <c r="K65" s="116" t="b">
        <v>0</v>
      </c>
      <c r="L65" s="116" t="b">
        <v>0</v>
      </c>
      <c r="M65" s="116" t="b">
        <v>0</v>
      </c>
      <c r="N65" s="117">
        <f t="shared" si="3"/>
        <v>0</v>
      </c>
      <c r="O65" s="117">
        <f t="shared" si="4"/>
        <v>0</v>
      </c>
      <c r="P65" s="157" t="s">
        <v>340</v>
      </c>
      <c r="Q65" s="112"/>
    </row>
    <row r="66" ht="15.0" customHeight="1">
      <c r="A66" s="112"/>
      <c r="B66" s="112"/>
      <c r="C66" s="112"/>
      <c r="D66" s="129" t="s">
        <v>227</v>
      </c>
      <c r="E66" s="114" t="str">
        <f>VLOOKUP(D66,Data!H:I,2,0)</f>
        <v>Konya</v>
      </c>
      <c r="F66" s="115" t="str">
        <f>VLOOKUP(D66,Data!H:J,3,0)</f>
        <v>Nazım Öztel</v>
      </c>
      <c r="G66" s="116" t="b">
        <v>0</v>
      </c>
      <c r="H66" s="116" t="b">
        <v>1</v>
      </c>
      <c r="I66" s="116" t="b">
        <v>1</v>
      </c>
      <c r="J66" s="116" t="b">
        <v>0</v>
      </c>
      <c r="K66" s="116" t="b">
        <v>0</v>
      </c>
      <c r="L66" s="116" t="b">
        <v>0</v>
      </c>
      <c r="M66" s="116" t="b">
        <v>0</v>
      </c>
      <c r="N66" s="117">
        <f t="shared" si="3"/>
        <v>2</v>
      </c>
      <c r="O66" s="117">
        <f t="shared" si="4"/>
        <v>8</v>
      </c>
      <c r="P66" s="157"/>
      <c r="Q66" s="112"/>
    </row>
    <row r="67" ht="15.0" customHeight="1">
      <c r="A67" s="112"/>
      <c r="B67" s="112"/>
      <c r="C67" s="112"/>
      <c r="D67" s="129" t="s">
        <v>265</v>
      </c>
      <c r="E67" s="114" t="str">
        <f>VLOOKUP(D67,Data!H:I,2,0)</f>
        <v>Konya</v>
      </c>
      <c r="F67" s="115" t="str">
        <f>VLOOKUP(D67,Data!H:J,3,0)</f>
        <v>Nazım Öztel</v>
      </c>
      <c r="G67" s="116" t="b">
        <v>0</v>
      </c>
      <c r="H67" s="116" t="b">
        <v>0</v>
      </c>
      <c r="I67" s="116" t="b">
        <v>0</v>
      </c>
      <c r="J67" s="116" t="b">
        <v>0</v>
      </c>
      <c r="K67" s="116" t="b">
        <v>0</v>
      </c>
      <c r="L67" s="116" t="b">
        <v>0</v>
      </c>
      <c r="M67" s="116" t="b">
        <v>0</v>
      </c>
      <c r="N67" s="117">
        <f t="shared" si="3"/>
        <v>0</v>
      </c>
      <c r="O67" s="117">
        <f t="shared" si="4"/>
        <v>0</v>
      </c>
      <c r="P67" s="157"/>
      <c r="Q67" s="112"/>
    </row>
    <row r="68" ht="15.0" customHeight="1">
      <c r="A68" s="112"/>
      <c r="B68" s="112"/>
      <c r="C68" s="112"/>
      <c r="D68" s="129" t="s">
        <v>203</v>
      </c>
      <c r="E68" s="114" t="str">
        <f>VLOOKUP(D68,Data!H:I,2,0)</f>
        <v>Malatya</v>
      </c>
      <c r="F68" s="115" t="str">
        <f>VLOOKUP(D68,Data!H:J,3,0)</f>
        <v>Nazım Öztel</v>
      </c>
      <c r="G68" s="116" t="b">
        <v>0</v>
      </c>
      <c r="H68" s="116" t="b">
        <v>0</v>
      </c>
      <c r="I68" s="116" t="b">
        <v>0</v>
      </c>
      <c r="J68" s="116" t="b">
        <v>1</v>
      </c>
      <c r="K68" s="116" t="b">
        <v>0</v>
      </c>
      <c r="L68" s="116" t="b">
        <v>0</v>
      </c>
      <c r="M68" s="116" t="b">
        <v>0</v>
      </c>
      <c r="N68" s="117">
        <f t="shared" si="3"/>
        <v>1</v>
      </c>
      <c r="O68" s="117">
        <f t="shared" si="4"/>
        <v>4</v>
      </c>
      <c r="P68" s="157"/>
      <c r="Q68" s="112"/>
    </row>
    <row r="69" ht="15.0" customHeight="1">
      <c r="A69" s="112"/>
      <c r="B69" s="112"/>
      <c r="C69" s="112"/>
      <c r="D69" s="129" t="s">
        <v>254</v>
      </c>
      <c r="E69" s="114" t="str">
        <f>VLOOKUP(D69,Data!H:I,2,0)</f>
        <v>Manisa</v>
      </c>
      <c r="F69" s="115" t="str">
        <f>VLOOKUP(D69,Data!H:J,3,0)</f>
        <v>Nazım Öztel</v>
      </c>
      <c r="G69" s="116" t="b">
        <v>0</v>
      </c>
      <c r="H69" s="116" t="b">
        <v>0</v>
      </c>
      <c r="I69" s="116" t="b">
        <v>1</v>
      </c>
      <c r="J69" s="116" t="b">
        <v>0</v>
      </c>
      <c r="K69" s="116" t="b">
        <v>0</v>
      </c>
      <c r="L69" s="116" t="b">
        <v>0</v>
      </c>
      <c r="M69" s="116" t="b">
        <v>0</v>
      </c>
      <c r="N69" s="117">
        <f t="shared" si="3"/>
        <v>1</v>
      </c>
      <c r="O69" s="117">
        <f t="shared" si="4"/>
        <v>4</v>
      </c>
      <c r="P69" s="157"/>
      <c r="Q69" s="112"/>
    </row>
    <row r="70" ht="15.0" customHeight="1">
      <c r="A70" s="112"/>
      <c r="B70" s="112"/>
      <c r="C70" s="112"/>
      <c r="D70" s="129" t="s">
        <v>255</v>
      </c>
      <c r="E70" s="114" t="str">
        <f>VLOOKUP(D70,Data!H:I,2,0)</f>
        <v>Mardin</v>
      </c>
      <c r="F70" s="115" t="str">
        <f>VLOOKUP(D70,Data!H:J,3,0)</f>
        <v>Nazım Öztel</v>
      </c>
      <c r="G70" s="116" t="b">
        <v>0</v>
      </c>
      <c r="H70" s="116" t="b">
        <v>0</v>
      </c>
      <c r="I70" s="116" t="b">
        <v>0</v>
      </c>
      <c r="J70" s="116" t="b">
        <v>0</v>
      </c>
      <c r="K70" s="116" t="b">
        <v>0</v>
      </c>
      <c r="L70" s="116" t="b">
        <v>0</v>
      </c>
      <c r="M70" s="116" t="b">
        <v>0</v>
      </c>
      <c r="N70" s="117">
        <f t="shared" si="3"/>
        <v>0</v>
      </c>
      <c r="O70" s="117">
        <f t="shared" si="4"/>
        <v>0</v>
      </c>
      <c r="P70" s="157"/>
      <c r="Q70" s="112"/>
    </row>
    <row r="71" ht="15.0" customHeight="1">
      <c r="A71" s="112"/>
      <c r="B71" s="112"/>
      <c r="C71" s="112"/>
      <c r="D71" s="129" t="s">
        <v>294</v>
      </c>
      <c r="E71" s="114" t="str">
        <f>VLOOKUP(D71,Data!H:I,2,0)</f>
        <v>Mersin</v>
      </c>
      <c r="F71" s="115" t="str">
        <f>VLOOKUP(D71,Data!H:J,3,0)</f>
        <v>Nazım Öztel</v>
      </c>
      <c r="G71" s="116" t="b">
        <v>0</v>
      </c>
      <c r="H71" s="116" t="b">
        <v>1</v>
      </c>
      <c r="I71" s="116" t="b">
        <v>0</v>
      </c>
      <c r="J71" s="116" t="b">
        <v>1</v>
      </c>
      <c r="K71" s="116" t="b">
        <v>0</v>
      </c>
      <c r="L71" s="116" t="b">
        <v>0</v>
      </c>
      <c r="M71" s="116" t="b">
        <v>0</v>
      </c>
      <c r="N71" s="117">
        <f t="shared" si="3"/>
        <v>2</v>
      </c>
      <c r="O71" s="117">
        <f t="shared" si="4"/>
        <v>8</v>
      </c>
      <c r="P71" s="157"/>
      <c r="Q71" s="112"/>
    </row>
    <row r="72" ht="15.0" customHeight="1">
      <c r="A72" s="112"/>
      <c r="B72" s="112"/>
      <c r="C72" s="112"/>
      <c r="D72" s="129" t="s">
        <v>169</v>
      </c>
      <c r="E72" s="114" t="str">
        <f>VLOOKUP(D72,Data!H:I,2,0)</f>
        <v>Mersin</v>
      </c>
      <c r="F72" s="115" t="str">
        <f>VLOOKUP(D72,Data!H:J,3,0)</f>
        <v>Nazım Öztel</v>
      </c>
      <c r="G72" s="116" t="b">
        <v>0</v>
      </c>
      <c r="H72" s="116" t="b">
        <v>0</v>
      </c>
      <c r="I72" s="116" t="b">
        <v>0</v>
      </c>
      <c r="J72" s="116" t="b">
        <v>0</v>
      </c>
      <c r="K72" s="116" t="b">
        <v>0</v>
      </c>
      <c r="L72" s="116" t="b">
        <v>0</v>
      </c>
      <c r="M72" s="116" t="b">
        <v>0</v>
      </c>
      <c r="N72" s="117">
        <f t="shared" si="3"/>
        <v>0</v>
      </c>
      <c r="O72" s="117">
        <f t="shared" si="4"/>
        <v>0</v>
      </c>
      <c r="P72" s="157"/>
      <c r="Q72" s="112"/>
    </row>
    <row r="73" ht="15.0" customHeight="1">
      <c r="A73" s="112"/>
      <c r="B73" s="112"/>
      <c r="C73" s="112"/>
      <c r="D73" s="129" t="s">
        <v>148</v>
      </c>
      <c r="E73" s="114" t="str">
        <f>VLOOKUP(D73,Data!H:I,2,0)</f>
        <v>Muğla</v>
      </c>
      <c r="F73" s="115" t="str">
        <f>VLOOKUP(D73,Data!H:J,3,0)</f>
        <v>Nazım Öztel</v>
      </c>
      <c r="G73" s="116" t="b">
        <v>0</v>
      </c>
      <c r="H73" s="116" t="b">
        <v>0</v>
      </c>
      <c r="I73" s="116" t="b">
        <v>0</v>
      </c>
      <c r="J73" s="116" t="b">
        <v>0</v>
      </c>
      <c r="K73" s="116" t="b">
        <v>0</v>
      </c>
      <c r="L73" s="116" t="b">
        <v>0</v>
      </c>
      <c r="M73" s="116" t="b">
        <v>0</v>
      </c>
      <c r="N73" s="117">
        <f t="shared" si="3"/>
        <v>0</v>
      </c>
      <c r="O73" s="117">
        <f t="shared" si="4"/>
        <v>0</v>
      </c>
      <c r="P73" s="157"/>
      <c r="Q73" s="112"/>
    </row>
    <row r="74" ht="15.0" customHeight="1">
      <c r="A74" s="112"/>
      <c r="B74" s="112"/>
      <c r="C74" s="112"/>
      <c r="D74" s="129" t="s">
        <v>266</v>
      </c>
      <c r="E74" s="114" t="str">
        <f>VLOOKUP(D74,Data!H:I,2,0)</f>
        <v>Ordu</v>
      </c>
      <c r="F74" s="115" t="str">
        <f>VLOOKUP(D74,Data!H:J,3,0)</f>
        <v>Nazım Öztel</v>
      </c>
      <c r="G74" s="116" t="b">
        <v>0</v>
      </c>
      <c r="H74" s="116" t="b">
        <v>0</v>
      </c>
      <c r="I74" s="116" t="b">
        <v>0</v>
      </c>
      <c r="J74" s="116" t="b">
        <v>0</v>
      </c>
      <c r="K74" s="116" t="b">
        <v>0</v>
      </c>
      <c r="L74" s="116" t="b">
        <v>0</v>
      </c>
      <c r="M74" s="116" t="b">
        <v>0</v>
      </c>
      <c r="N74" s="117">
        <f t="shared" si="3"/>
        <v>0</v>
      </c>
      <c r="O74" s="117">
        <f t="shared" si="4"/>
        <v>0</v>
      </c>
      <c r="P74" s="157"/>
      <c r="Q74" s="112"/>
    </row>
    <row r="75" ht="15.0" customHeight="1">
      <c r="A75" s="112"/>
      <c r="B75" s="112"/>
      <c r="C75" s="112"/>
      <c r="D75" s="129" t="s">
        <v>256</v>
      </c>
      <c r="E75" s="114" t="s">
        <v>211</v>
      </c>
      <c r="F75" s="115" t="s">
        <v>61</v>
      </c>
      <c r="G75" s="116" t="b">
        <v>0</v>
      </c>
      <c r="H75" s="116" t="b">
        <v>0</v>
      </c>
      <c r="I75" s="116" t="b">
        <v>0</v>
      </c>
      <c r="J75" s="116" t="b">
        <v>0</v>
      </c>
      <c r="K75" s="116" t="b">
        <v>0</v>
      </c>
      <c r="L75" s="116" t="b">
        <v>0</v>
      </c>
      <c r="M75" s="116" t="b">
        <v>0</v>
      </c>
      <c r="N75" s="117">
        <f t="shared" si="3"/>
        <v>0</v>
      </c>
      <c r="O75" s="117">
        <f t="shared" si="4"/>
        <v>0</v>
      </c>
      <c r="P75" s="157"/>
      <c r="Q75" s="112"/>
    </row>
    <row r="76" ht="15.0" customHeight="1">
      <c r="A76" s="112"/>
      <c r="B76" s="112"/>
      <c r="C76" s="112"/>
      <c r="D76" s="129" t="s">
        <v>275</v>
      </c>
      <c r="E76" s="114" t="str">
        <f>VLOOKUP(D76,Data!H:I,2,0)</f>
        <v>Sakarya</v>
      </c>
      <c r="F76" s="115" t="str">
        <f>VLOOKUP(D76,Data!H:J,3,0)</f>
        <v>Nazım Öztel</v>
      </c>
      <c r="G76" s="116" t="b">
        <v>0</v>
      </c>
      <c r="H76" s="116" t="b">
        <v>0</v>
      </c>
      <c r="I76" s="116" t="b">
        <v>0</v>
      </c>
      <c r="J76" s="116" t="b">
        <v>0</v>
      </c>
      <c r="K76" s="116" t="b">
        <v>0</v>
      </c>
      <c r="L76" s="116" t="b">
        <v>0</v>
      </c>
      <c r="M76" s="116" t="b">
        <v>0</v>
      </c>
      <c r="N76" s="117">
        <f t="shared" si="3"/>
        <v>0</v>
      </c>
      <c r="O76" s="117">
        <f t="shared" si="4"/>
        <v>0</v>
      </c>
      <c r="P76" s="157" t="s">
        <v>324</v>
      </c>
      <c r="Q76" s="112"/>
    </row>
    <row r="77" ht="15.0" customHeight="1">
      <c r="A77" s="112"/>
      <c r="B77" s="112"/>
      <c r="C77" s="112"/>
      <c r="D77" s="129" t="s">
        <v>257</v>
      </c>
      <c r="E77" s="114" t="str">
        <f>VLOOKUP(D77,Data!H:I,2,0)</f>
        <v>Samsun</v>
      </c>
      <c r="F77" s="115" t="str">
        <f>VLOOKUP(D77,Data!H:J,3,0)</f>
        <v>Nazım Öztel</v>
      </c>
      <c r="G77" s="116" t="b">
        <v>0</v>
      </c>
      <c r="H77" s="116" t="b">
        <v>0</v>
      </c>
      <c r="I77" s="116" t="b">
        <v>0</v>
      </c>
      <c r="J77" s="116" t="b">
        <v>0</v>
      </c>
      <c r="K77" s="116" t="b">
        <v>0</v>
      </c>
      <c r="L77" s="116" t="b">
        <v>0</v>
      </c>
      <c r="M77" s="116" t="b">
        <v>0</v>
      </c>
      <c r="N77" s="117">
        <f t="shared" si="3"/>
        <v>0</v>
      </c>
      <c r="O77" s="117">
        <f t="shared" si="4"/>
        <v>0</v>
      </c>
      <c r="P77" s="157"/>
      <c r="Q77" s="112"/>
    </row>
    <row r="78" ht="15.0" customHeight="1">
      <c r="A78" s="112"/>
      <c r="B78" s="112"/>
      <c r="C78" s="112"/>
      <c r="D78" s="129" t="s">
        <v>267</v>
      </c>
      <c r="E78" s="114" t="str">
        <f>VLOOKUP(D78,Data!H:I,2,0)</f>
        <v>Sinop</v>
      </c>
      <c r="F78" s="115" t="str">
        <f>VLOOKUP(D78,Data!H:J,3,0)</f>
        <v>Nazım Öztel</v>
      </c>
      <c r="G78" s="116" t="b">
        <v>0</v>
      </c>
      <c r="H78" s="116" t="b">
        <v>0</v>
      </c>
      <c r="I78" s="116" t="b">
        <v>0</v>
      </c>
      <c r="J78" s="116" t="b">
        <v>0</v>
      </c>
      <c r="K78" s="116" t="b">
        <v>0</v>
      </c>
      <c r="L78" s="116" t="b">
        <v>0</v>
      </c>
      <c r="M78" s="116" t="b">
        <v>0</v>
      </c>
      <c r="N78" s="117">
        <f t="shared" si="3"/>
        <v>0</v>
      </c>
      <c r="O78" s="117">
        <f t="shared" si="4"/>
        <v>0</v>
      </c>
      <c r="P78" s="157"/>
      <c r="Q78" s="112"/>
    </row>
    <row r="79" ht="15.0" customHeight="1">
      <c r="A79" s="112"/>
      <c r="B79" s="112"/>
      <c r="C79" s="112"/>
      <c r="D79" s="129" t="s">
        <v>268</v>
      </c>
      <c r="E79" s="114" t="str">
        <f>VLOOKUP(D79,Data!H:I,2,0)</f>
        <v>Sivas</v>
      </c>
      <c r="F79" s="115" t="str">
        <f>VLOOKUP(D79,Data!H:J,3,0)</f>
        <v>Nazım Öztel</v>
      </c>
      <c r="G79" s="116" t="b">
        <v>0</v>
      </c>
      <c r="H79" s="116" t="b">
        <v>0</v>
      </c>
      <c r="I79" s="116" t="b">
        <v>0</v>
      </c>
      <c r="J79" s="116" t="b">
        <v>0</v>
      </c>
      <c r="K79" s="116" t="b">
        <v>0</v>
      </c>
      <c r="L79" s="116" t="b">
        <v>0</v>
      </c>
      <c r="M79" s="116" t="b">
        <v>0</v>
      </c>
      <c r="N79" s="117">
        <f t="shared" si="3"/>
        <v>0</v>
      </c>
      <c r="O79" s="117">
        <f t="shared" si="4"/>
        <v>0</v>
      </c>
      <c r="P79" s="157" t="s">
        <v>341</v>
      </c>
      <c r="Q79" s="112"/>
    </row>
    <row r="80" ht="15.0" customHeight="1">
      <c r="A80" s="112"/>
      <c r="B80" s="112"/>
      <c r="C80" s="112"/>
      <c r="D80" s="129" t="s">
        <v>104</v>
      </c>
      <c r="E80" s="114" t="str">
        <f>VLOOKUP(D80,Data!H:I,2,0)</f>
        <v>Tekirdağ</v>
      </c>
      <c r="F80" s="115" t="str">
        <f>VLOOKUP(D80,Data!H:J,3,0)</f>
        <v>Freelance</v>
      </c>
      <c r="G80" s="116" t="b">
        <v>0</v>
      </c>
      <c r="H80" s="116" t="b">
        <v>0</v>
      </c>
      <c r="I80" s="116" t="b">
        <v>0</v>
      </c>
      <c r="J80" s="116" t="b">
        <v>0</v>
      </c>
      <c r="K80" s="116" t="b">
        <v>0</v>
      </c>
      <c r="L80" s="116" t="b">
        <v>0</v>
      </c>
      <c r="M80" s="116" t="b">
        <v>0</v>
      </c>
      <c r="N80" s="117">
        <f t="shared" si="3"/>
        <v>0</v>
      </c>
      <c r="O80" s="117">
        <f t="shared" si="4"/>
        <v>0</v>
      </c>
      <c r="P80" s="157" t="s">
        <v>341</v>
      </c>
      <c r="Q80" s="112"/>
    </row>
    <row r="81" ht="15.0" customHeight="1">
      <c r="A81" s="112"/>
      <c r="B81" s="112"/>
      <c r="C81" s="112"/>
      <c r="D81" s="129" t="s">
        <v>258</v>
      </c>
      <c r="E81" s="114" t="str">
        <f>VLOOKUP(D81,Data!H:I,2,0)</f>
        <v>Tokat</v>
      </c>
      <c r="F81" s="115" t="str">
        <f>VLOOKUP(D81,Data!H:J,3,0)</f>
        <v>Nazım Öztel</v>
      </c>
      <c r="G81" s="116" t="b">
        <v>0</v>
      </c>
      <c r="H81" s="116" t="b">
        <v>0</v>
      </c>
      <c r="I81" s="116" t="b">
        <v>0</v>
      </c>
      <c r="J81" s="116" t="b">
        <v>0</v>
      </c>
      <c r="K81" s="116" t="b">
        <v>0</v>
      </c>
      <c r="L81" s="116" t="b">
        <v>0</v>
      </c>
      <c r="M81" s="116" t="b">
        <v>0</v>
      </c>
      <c r="N81" s="117">
        <f t="shared" si="3"/>
        <v>0</v>
      </c>
      <c r="O81" s="117">
        <f t="shared" si="4"/>
        <v>0</v>
      </c>
      <c r="P81" s="157"/>
      <c r="Q81" s="112"/>
    </row>
    <row r="82" ht="15.0" customHeight="1">
      <c r="A82" s="112"/>
      <c r="B82" s="112"/>
      <c r="C82" s="112"/>
      <c r="D82" s="129" t="s">
        <v>154</v>
      </c>
      <c r="E82" s="114" t="str">
        <f>VLOOKUP(D82,Data!H:I,2,0)</f>
        <v>Uşak</v>
      </c>
      <c r="F82" s="115" t="str">
        <f>VLOOKUP(D82,Data!H:J,3,0)</f>
        <v>Nazım Öztel</v>
      </c>
      <c r="G82" s="116" t="b">
        <v>0</v>
      </c>
      <c r="H82" s="116" t="b">
        <v>1</v>
      </c>
      <c r="I82" s="116" t="b">
        <v>0</v>
      </c>
      <c r="J82" s="116" t="b">
        <v>0</v>
      </c>
      <c r="K82" s="116" t="b">
        <v>0</v>
      </c>
      <c r="L82" s="116" t="b">
        <v>0</v>
      </c>
      <c r="M82" s="116" t="b">
        <v>0</v>
      </c>
      <c r="N82" s="117">
        <f t="shared" si="3"/>
        <v>1</v>
      </c>
      <c r="O82" s="117">
        <f t="shared" si="4"/>
        <v>4</v>
      </c>
      <c r="P82" s="157"/>
      <c r="Q82" s="112"/>
    </row>
    <row r="83" ht="15.0" customHeight="1">
      <c r="A83" s="112"/>
      <c r="B83" s="112"/>
      <c r="C83" s="112"/>
      <c r="D83" s="129" t="s">
        <v>276</v>
      </c>
      <c r="E83" s="114" t="str">
        <f>VLOOKUP(D83,Data!H:I,2,0)</f>
        <v>Zonguldak</v>
      </c>
      <c r="F83" s="115" t="str">
        <f>VLOOKUP(D83,Data!H:J,3,0)</f>
        <v>Nazım Öztel</v>
      </c>
      <c r="G83" s="116" t="b">
        <v>0</v>
      </c>
      <c r="H83" s="116" t="b">
        <v>0</v>
      </c>
      <c r="I83" s="116" t="b">
        <v>0</v>
      </c>
      <c r="J83" s="116" t="b">
        <v>0</v>
      </c>
      <c r="K83" s="116" t="b">
        <v>0</v>
      </c>
      <c r="L83" s="116" t="b">
        <v>0</v>
      </c>
      <c r="M83" s="116" t="b">
        <v>0</v>
      </c>
      <c r="N83" s="117">
        <f t="shared" si="3"/>
        <v>0</v>
      </c>
      <c r="O83" s="117">
        <f t="shared" si="4"/>
        <v>0</v>
      </c>
      <c r="P83" s="157"/>
      <c r="Q83" s="112"/>
    </row>
    <row r="84" ht="15.0" customHeight="1">
      <c r="A84" s="112"/>
      <c r="B84" s="112"/>
      <c r="C84" s="112"/>
      <c r="D84" s="113" t="s">
        <v>282</v>
      </c>
      <c r="E84" s="114" t="str">
        <f>VLOOKUP(D84,Data!H:I,2,0)</f>
        <v>Antalya</v>
      </c>
      <c r="F84" s="115" t="str">
        <f>VLOOKUP(D84,Data!H:J,3,0)</f>
        <v>Nazım Öztel</v>
      </c>
      <c r="G84" s="116" t="b">
        <v>0</v>
      </c>
      <c r="H84" s="116" t="b">
        <v>0</v>
      </c>
      <c r="I84" s="116" t="b">
        <v>0</v>
      </c>
      <c r="J84" s="116" t="b">
        <v>0</v>
      </c>
      <c r="K84" s="116" t="b">
        <v>0</v>
      </c>
      <c r="L84" s="116" t="b">
        <v>0</v>
      </c>
      <c r="M84" s="116" t="b">
        <v>0</v>
      </c>
      <c r="N84" s="117">
        <f t="shared" si="3"/>
        <v>0</v>
      </c>
      <c r="O84" s="117">
        <f t="shared" si="4"/>
        <v>0</v>
      </c>
      <c r="P84" s="157"/>
      <c r="Q84" s="112"/>
    </row>
    <row r="85" ht="15.0" customHeight="1">
      <c r="A85" s="112"/>
      <c r="B85" s="112"/>
      <c r="C85" s="112"/>
      <c r="D85" s="98" t="s">
        <v>283</v>
      </c>
      <c r="E85" s="114" t="str">
        <f>VLOOKUP(D85,Data!H:I,2,0)</f>
        <v>Adana</v>
      </c>
      <c r="F85" s="115" t="str">
        <f>VLOOKUP(D85,Data!H:J,3,0)</f>
        <v>Nazım Öztel</v>
      </c>
      <c r="G85" s="116" t="b">
        <v>0</v>
      </c>
      <c r="H85" s="116" t="b">
        <v>0</v>
      </c>
      <c r="I85" s="116" t="b">
        <v>0</v>
      </c>
      <c r="J85" s="116" t="b">
        <v>0</v>
      </c>
      <c r="K85" s="116" t="b">
        <v>0</v>
      </c>
      <c r="L85" s="116" t="b">
        <v>0</v>
      </c>
      <c r="M85" s="116" t="b">
        <v>0</v>
      </c>
      <c r="N85" s="117">
        <f t="shared" si="3"/>
        <v>0</v>
      </c>
      <c r="O85" s="117">
        <f t="shared" si="4"/>
        <v>0</v>
      </c>
      <c r="P85" s="157" t="s">
        <v>342</v>
      </c>
      <c r="Q85" s="112"/>
    </row>
    <row r="86" ht="15.0" customHeight="1">
      <c r="A86" s="112"/>
      <c r="B86" s="112"/>
      <c r="C86" s="112"/>
      <c r="D86" s="163" t="s">
        <v>284</v>
      </c>
      <c r="E86" s="114" t="str">
        <f>VLOOKUP(D86,Data!H:I,2,0)</f>
        <v>Iğdır</v>
      </c>
      <c r="F86" s="115" t="str">
        <f>VLOOKUP(D86,Data!H:J,3,0)</f>
        <v>Nazım Öztel</v>
      </c>
      <c r="G86" s="116" t="b">
        <v>0</v>
      </c>
      <c r="H86" s="116" t="b">
        <v>0</v>
      </c>
      <c r="I86" s="116" t="b">
        <v>0</v>
      </c>
      <c r="J86" s="116" t="b">
        <v>0</v>
      </c>
      <c r="K86" s="116" t="b">
        <v>0</v>
      </c>
      <c r="L86" s="116" t="b">
        <v>0</v>
      </c>
      <c r="M86" s="116" t="b">
        <v>0</v>
      </c>
      <c r="N86" s="117">
        <f t="shared" si="3"/>
        <v>0</v>
      </c>
      <c r="O86" s="117">
        <f t="shared" si="4"/>
        <v>0</v>
      </c>
      <c r="P86" s="157"/>
      <c r="Q86" s="112"/>
    </row>
    <row r="87" ht="15.0" customHeight="1">
      <c r="A87" s="112"/>
      <c r="B87" s="112"/>
      <c r="C87" s="112"/>
      <c r="D87" s="163" t="s">
        <v>285</v>
      </c>
      <c r="E87" s="114" t="str">
        <f>VLOOKUP(D87,Data!H:I,2,0)</f>
        <v>Bitlis</v>
      </c>
      <c r="F87" s="115" t="str">
        <f>VLOOKUP(D87,Data!H:J,3,0)</f>
        <v>Nazım Öztel</v>
      </c>
      <c r="G87" s="116" t="b">
        <v>0</v>
      </c>
      <c r="H87" s="116" t="b">
        <v>0</v>
      </c>
      <c r="I87" s="116" t="b">
        <v>0</v>
      </c>
      <c r="J87" s="116" t="b">
        <v>0</v>
      </c>
      <c r="K87" s="116" t="b">
        <v>0</v>
      </c>
      <c r="L87" s="116" t="b">
        <v>0</v>
      </c>
      <c r="M87" s="116" t="b">
        <v>0</v>
      </c>
      <c r="N87" s="117">
        <f t="shared" si="3"/>
        <v>0</v>
      </c>
      <c r="O87" s="117">
        <f t="shared" si="4"/>
        <v>0</v>
      </c>
      <c r="P87" s="157"/>
      <c r="Q87" s="112"/>
    </row>
    <row r="88" ht="15.0" customHeight="1">
      <c r="A88" s="112"/>
      <c r="B88" s="112"/>
      <c r="C88" s="112"/>
      <c r="D88" s="98" t="s">
        <v>286</v>
      </c>
      <c r="E88" s="114" t="str">
        <f>VLOOKUP(D88,Data!H:I,2,0)</f>
        <v>Trabzon</v>
      </c>
      <c r="F88" s="115" t="str">
        <f>VLOOKUP(D88,Data!H:J,3,0)</f>
        <v>Nazım Öztel</v>
      </c>
      <c r="G88" s="116" t="b">
        <v>0</v>
      </c>
      <c r="H88" s="116" t="b">
        <v>1</v>
      </c>
      <c r="I88" s="116" t="b">
        <v>0</v>
      </c>
      <c r="J88" s="116" t="b">
        <v>0</v>
      </c>
      <c r="K88" s="116" t="b">
        <v>1</v>
      </c>
      <c r="L88" s="116" t="b">
        <v>0</v>
      </c>
      <c r="M88" s="116" t="b">
        <v>0</v>
      </c>
      <c r="N88" s="117">
        <f t="shared" si="3"/>
        <v>2</v>
      </c>
      <c r="O88" s="117">
        <f t="shared" si="4"/>
        <v>8</v>
      </c>
      <c r="P88" s="157"/>
      <c r="Q88" s="112"/>
    </row>
    <row r="89" ht="15.0" customHeight="1">
      <c r="A89" s="112"/>
      <c r="B89" s="112"/>
      <c r="C89" s="112"/>
      <c r="D89" s="163" t="s">
        <v>287</v>
      </c>
      <c r="E89" s="114" t="str">
        <f>VLOOKUP(D89,Data!H:I,2,0)</f>
        <v>Ankara</v>
      </c>
      <c r="F89" s="115" t="str">
        <f>VLOOKUP(D89,Data!H:J,3,0)</f>
        <v>Nazım Öztel</v>
      </c>
      <c r="G89" s="116" t="b">
        <v>0</v>
      </c>
      <c r="H89" s="116" t="b">
        <v>0</v>
      </c>
      <c r="I89" s="116" t="b">
        <v>1</v>
      </c>
      <c r="J89" s="116" t="b">
        <v>1</v>
      </c>
      <c r="K89" s="116" t="b">
        <v>1</v>
      </c>
      <c r="L89" s="116" t="b">
        <v>0</v>
      </c>
      <c r="M89" s="116" t="b">
        <v>0</v>
      </c>
      <c r="N89" s="117">
        <f t="shared" si="3"/>
        <v>3</v>
      </c>
      <c r="O89" s="117">
        <f t="shared" si="4"/>
        <v>12</v>
      </c>
      <c r="P89" s="157"/>
      <c r="Q89" s="112"/>
    </row>
    <row r="90" ht="15.0" customHeight="1">
      <c r="A90" s="112"/>
      <c r="B90" s="112"/>
      <c r="C90" s="112"/>
      <c r="D90" s="163" t="s">
        <v>288</v>
      </c>
      <c r="E90" s="114" t="str">
        <f>VLOOKUP(D90,Data!H:I,2,0)</f>
        <v>Şanlıurfa</v>
      </c>
      <c r="F90" s="115" t="str">
        <f>VLOOKUP(D90,Data!H:J,3,0)</f>
        <v>Nazım Öztel</v>
      </c>
      <c r="G90" s="116" t="b">
        <v>0</v>
      </c>
      <c r="H90" s="116" t="b">
        <v>0</v>
      </c>
      <c r="I90" s="116" t="b">
        <v>0</v>
      </c>
      <c r="J90" s="116" t="b">
        <v>0</v>
      </c>
      <c r="K90" s="116" t="b">
        <v>0</v>
      </c>
      <c r="L90" s="116" t="b">
        <v>0</v>
      </c>
      <c r="M90" s="116" t="b">
        <v>0</v>
      </c>
      <c r="N90" s="117">
        <f t="shared" si="3"/>
        <v>0</v>
      </c>
      <c r="O90" s="117">
        <f t="shared" si="4"/>
        <v>0</v>
      </c>
      <c r="P90" s="157" t="s">
        <v>343</v>
      </c>
      <c r="Q90" s="112"/>
    </row>
    <row r="91" ht="15.0" customHeight="1">
      <c r="A91" s="112"/>
      <c r="B91" s="112"/>
      <c r="C91" s="112"/>
      <c r="D91" s="98" t="s">
        <v>289</v>
      </c>
      <c r="E91" s="114" t="str">
        <f>VLOOKUP(D91,Data!H:I,2,0)</f>
        <v>Elazığ</v>
      </c>
      <c r="F91" s="115" t="str">
        <f>VLOOKUP(D91,Data!H:J,3,0)</f>
        <v>Nazım Öztel</v>
      </c>
      <c r="G91" s="116" t="b">
        <v>0</v>
      </c>
      <c r="H91" s="116" t="b">
        <v>0</v>
      </c>
      <c r="I91" s="116" t="b">
        <v>0</v>
      </c>
      <c r="J91" s="116" t="b">
        <v>0</v>
      </c>
      <c r="K91" s="116" t="b">
        <v>0</v>
      </c>
      <c r="L91" s="116" t="b">
        <v>0</v>
      </c>
      <c r="M91" s="116" t="b">
        <v>0</v>
      </c>
      <c r="N91" s="117">
        <f t="shared" si="3"/>
        <v>0</v>
      </c>
      <c r="O91" s="117">
        <f t="shared" si="4"/>
        <v>0</v>
      </c>
      <c r="P91" s="157" t="s">
        <v>344</v>
      </c>
      <c r="Q91" s="112"/>
    </row>
    <row r="92" ht="15.0" customHeight="1">
      <c r="A92" s="112"/>
      <c r="B92" s="112"/>
      <c r="C92" s="112"/>
      <c r="D92" s="98" t="s">
        <v>290</v>
      </c>
      <c r="E92" s="114" t="str">
        <f>VLOOKUP(D92,Data!H:I,2,0)</f>
        <v>Bayburt</v>
      </c>
      <c r="F92" s="115" t="str">
        <f>VLOOKUP(D92,Data!H:J,3,0)</f>
        <v>Nazım Öztel</v>
      </c>
      <c r="G92" s="116" t="b">
        <v>0</v>
      </c>
      <c r="H92" s="116" t="b">
        <v>0</v>
      </c>
      <c r="I92" s="116" t="b">
        <v>0</v>
      </c>
      <c r="J92" s="116" t="b">
        <v>0</v>
      </c>
      <c r="K92" s="116" t="b">
        <v>0</v>
      </c>
      <c r="L92" s="116" t="b">
        <v>0</v>
      </c>
      <c r="M92" s="116" t="b">
        <v>0</v>
      </c>
      <c r="N92" s="117">
        <f t="shared" si="3"/>
        <v>0</v>
      </c>
      <c r="O92" s="117">
        <f t="shared" si="4"/>
        <v>0</v>
      </c>
      <c r="P92" s="157"/>
      <c r="Q92" s="112"/>
    </row>
    <row r="93" ht="15.0" customHeight="1">
      <c r="A93" s="112"/>
      <c r="B93" s="112"/>
      <c r="C93" s="112"/>
      <c r="D93" s="98" t="s">
        <v>291</v>
      </c>
      <c r="E93" s="114" t="str">
        <f>VLOOKUP(D93,Data!H:I,2,0)</f>
        <v>Bingöl</v>
      </c>
      <c r="F93" s="115" t="str">
        <f>VLOOKUP(D93,Data!H:J,3,0)</f>
        <v>Nazım Öztel</v>
      </c>
      <c r="G93" s="116" t="b">
        <v>0</v>
      </c>
      <c r="H93" s="116" t="b">
        <v>0</v>
      </c>
      <c r="I93" s="116" t="b">
        <v>0</v>
      </c>
      <c r="J93" s="116" t="b">
        <v>0</v>
      </c>
      <c r="K93" s="116" t="b">
        <v>0</v>
      </c>
      <c r="L93" s="116" t="b">
        <v>0</v>
      </c>
      <c r="M93" s="116" t="b">
        <v>0</v>
      </c>
      <c r="N93" s="117">
        <f t="shared" si="3"/>
        <v>0</v>
      </c>
      <c r="O93" s="117">
        <f t="shared" si="4"/>
        <v>0</v>
      </c>
      <c r="P93" s="157"/>
      <c r="Q93" s="112"/>
    </row>
    <row r="94" ht="15.0" customHeight="1">
      <c r="A94" s="112"/>
      <c r="B94" s="112"/>
      <c r="C94" s="112"/>
      <c r="D94" s="98" t="s">
        <v>292</v>
      </c>
      <c r="E94" s="114" t="str">
        <f>VLOOKUP(D94,Data!H:I,2,0)</f>
        <v>Diyarbakır</v>
      </c>
      <c r="F94" s="115" t="str">
        <f>VLOOKUP(D94,Data!H:J,3,0)</f>
        <v>Nazım Öztel</v>
      </c>
      <c r="G94" s="116" t="b">
        <v>0</v>
      </c>
      <c r="H94" s="116" t="b">
        <v>0</v>
      </c>
      <c r="I94" s="116" t="b">
        <v>0</v>
      </c>
      <c r="J94" s="116" t="b">
        <v>0</v>
      </c>
      <c r="K94" s="116" t="b">
        <v>0</v>
      </c>
      <c r="L94" s="116" t="b">
        <v>0</v>
      </c>
      <c r="M94" s="116" t="b">
        <v>0</v>
      </c>
      <c r="N94" s="117">
        <f t="shared" si="3"/>
        <v>0</v>
      </c>
      <c r="O94" s="117">
        <f t="shared" si="4"/>
        <v>0</v>
      </c>
      <c r="P94" s="157"/>
      <c r="Q94" s="112"/>
    </row>
    <row r="95" ht="15.0" customHeight="1">
      <c r="A95" s="112"/>
      <c r="B95" s="112"/>
      <c r="C95" s="112"/>
      <c r="D95" s="164" t="s">
        <v>293</v>
      </c>
      <c r="E95" s="114" t="str">
        <f>VLOOKUP(D95,Data!H:I,2,0)</f>
        <v>Çanakkale</v>
      </c>
      <c r="F95" s="115" t="str">
        <f>VLOOKUP(D95,Data!H:J,3,0)</f>
        <v>Nazım Öztel</v>
      </c>
      <c r="G95" s="116" t="b">
        <v>0</v>
      </c>
      <c r="H95" s="116" t="b">
        <v>0</v>
      </c>
      <c r="I95" s="116" t="b">
        <v>0</v>
      </c>
      <c r="J95" s="116" t="b">
        <v>0</v>
      </c>
      <c r="K95" s="116" t="b">
        <v>0</v>
      </c>
      <c r="L95" s="116" t="b">
        <v>0</v>
      </c>
      <c r="M95" s="116" t="b">
        <v>0</v>
      </c>
      <c r="N95" s="117">
        <f t="shared" si="3"/>
        <v>0</v>
      </c>
      <c r="O95" s="117">
        <f t="shared" si="4"/>
        <v>0</v>
      </c>
      <c r="P95" s="157"/>
      <c r="Q95" s="112"/>
    </row>
    <row r="96" ht="15.0" customHeight="1">
      <c r="A96" s="112"/>
      <c r="B96" s="112"/>
      <c r="C96" s="112"/>
      <c r="D96" s="163" t="s">
        <v>325</v>
      </c>
      <c r="E96" s="114" t="s">
        <v>326</v>
      </c>
      <c r="F96" s="115" t="s">
        <v>61</v>
      </c>
      <c r="G96" s="139" t="b">
        <v>0</v>
      </c>
      <c r="H96" s="139" t="b">
        <v>0</v>
      </c>
      <c r="I96" s="139" t="b">
        <v>0</v>
      </c>
      <c r="J96" s="139" t="b">
        <v>0</v>
      </c>
      <c r="K96" s="139" t="b">
        <v>0</v>
      </c>
      <c r="L96" s="139" t="b">
        <v>0</v>
      </c>
      <c r="M96" s="139" t="b">
        <v>0</v>
      </c>
      <c r="N96" s="117">
        <f t="shared" si="3"/>
        <v>0</v>
      </c>
      <c r="O96" s="117">
        <f t="shared" si="4"/>
        <v>0</v>
      </c>
      <c r="P96" s="157" t="s">
        <v>343</v>
      </c>
      <c r="Q96" s="112"/>
    </row>
    <row r="97" ht="15.0" customHeight="1">
      <c r="A97" s="112"/>
      <c r="B97" s="112"/>
      <c r="C97" s="112"/>
      <c r="D97" s="98" t="s">
        <v>296</v>
      </c>
      <c r="E97" s="114" t="str">
        <f>VLOOKUP(D97,Data!H:I,2,0)</f>
        <v>Bilecik</v>
      </c>
      <c r="F97" s="115" t="str">
        <f>VLOOKUP(D97,Data!H:J,3,0)</f>
        <v>Nazım Öztel</v>
      </c>
      <c r="G97" s="139" t="b">
        <v>0</v>
      </c>
      <c r="H97" s="139" t="b">
        <v>0</v>
      </c>
      <c r="I97" s="139" t="b">
        <v>0</v>
      </c>
      <c r="J97" s="139" t="b">
        <v>0</v>
      </c>
      <c r="K97" s="139" t="b">
        <v>0</v>
      </c>
      <c r="L97" s="139" t="b">
        <v>0</v>
      </c>
      <c r="M97" s="139" t="b">
        <v>0</v>
      </c>
      <c r="N97" s="117">
        <f t="shared" ref="N97:O97" si="5">SUM(N15:N95)</f>
        <v>47</v>
      </c>
      <c r="O97" s="117">
        <f t="shared" si="5"/>
        <v>188</v>
      </c>
      <c r="P97" s="157"/>
      <c r="Q97" s="112"/>
    </row>
    <row r="98" ht="15.0" customHeight="1">
      <c r="A98" s="112"/>
      <c r="B98" s="112"/>
      <c r="C98" s="112"/>
      <c r="D98" s="150" t="s">
        <v>345</v>
      </c>
      <c r="E98" s="144" t="s">
        <v>346</v>
      </c>
      <c r="F98" s="115" t="s">
        <v>61</v>
      </c>
      <c r="G98" s="116" t="b">
        <v>0</v>
      </c>
      <c r="H98" s="116" t="b">
        <v>0</v>
      </c>
      <c r="I98" s="116" t="b">
        <v>1</v>
      </c>
      <c r="J98" s="116" t="b">
        <v>1</v>
      </c>
      <c r="K98" s="116" t="b">
        <v>1</v>
      </c>
      <c r="L98" s="116" t="b">
        <v>0</v>
      </c>
      <c r="M98" s="116" t="b">
        <v>0</v>
      </c>
      <c r="N98" s="117">
        <f>COUNTIF(G98:M98,"TRUE")</f>
        <v>3</v>
      </c>
      <c r="O98" s="117">
        <f>N98*4</f>
        <v>12</v>
      </c>
      <c r="P98" s="157"/>
      <c r="Q98" s="112"/>
    </row>
    <row r="99" ht="15.0" customHeight="1">
      <c r="A99" s="112"/>
      <c r="B99" s="112"/>
      <c r="C99" s="112"/>
      <c r="D99" s="149"/>
      <c r="E99" s="144"/>
      <c r="F99" s="144"/>
      <c r="G99" s="135"/>
      <c r="H99" s="135"/>
      <c r="I99" s="135"/>
      <c r="J99" s="135"/>
      <c r="K99" s="135"/>
      <c r="L99" s="135"/>
      <c r="M99" s="135"/>
      <c r="N99" s="135"/>
      <c r="O99" s="135"/>
      <c r="P99" s="160"/>
      <c r="Q99" s="112"/>
    </row>
    <row r="100" ht="15.0" customHeight="1">
      <c r="A100" s="112"/>
      <c r="B100" s="112"/>
      <c r="C100" s="112"/>
      <c r="D100" s="149"/>
      <c r="E100" s="144"/>
      <c r="F100" s="144"/>
      <c r="G100" s="135"/>
      <c r="H100" s="135"/>
      <c r="I100" s="135"/>
      <c r="J100" s="135"/>
      <c r="K100" s="135"/>
      <c r="L100" s="135"/>
      <c r="M100" s="135"/>
      <c r="N100" s="135"/>
      <c r="O100" s="135"/>
      <c r="P100" s="160"/>
      <c r="Q100" s="112"/>
    </row>
    <row r="101" ht="15.0" customHeight="1">
      <c r="A101" s="112"/>
      <c r="B101" s="112"/>
      <c r="C101" s="112"/>
      <c r="D101" s="149"/>
      <c r="E101" s="144"/>
      <c r="F101" s="144"/>
      <c r="G101" s="135"/>
      <c r="H101" s="135"/>
      <c r="I101" s="135"/>
      <c r="J101" s="135"/>
      <c r="K101" s="135"/>
      <c r="L101" s="135"/>
      <c r="M101" s="135"/>
      <c r="N101" s="135"/>
      <c r="O101" s="135"/>
      <c r="P101" s="160"/>
      <c r="Q101" s="112"/>
    </row>
    <row r="102">
      <c r="P102" s="161"/>
    </row>
    <row r="103">
      <c r="P103" s="161"/>
    </row>
    <row r="104">
      <c r="P104" s="161"/>
    </row>
    <row r="105">
      <c r="P105" s="161"/>
    </row>
    <row r="106">
      <c r="P106" s="161"/>
    </row>
    <row r="107">
      <c r="P107" s="161"/>
    </row>
    <row r="108">
      <c r="P108" s="161"/>
    </row>
    <row r="109">
      <c r="P109" s="161"/>
    </row>
    <row r="110">
      <c r="P110" s="161"/>
    </row>
    <row r="111">
      <c r="P111" s="161"/>
    </row>
    <row r="112">
      <c r="P112" s="161"/>
    </row>
    <row r="113">
      <c r="P113" s="161"/>
    </row>
    <row r="114">
      <c r="P114" s="161"/>
    </row>
    <row r="115">
      <c r="P115" s="161"/>
    </row>
    <row r="116">
      <c r="P116" s="161"/>
    </row>
    <row r="117">
      <c r="P117" s="161"/>
    </row>
    <row r="118">
      <c r="P118" s="161"/>
    </row>
    <row r="119">
      <c r="P119" s="161"/>
    </row>
    <row r="120">
      <c r="P120" s="161"/>
    </row>
    <row r="121">
      <c r="P121" s="161"/>
    </row>
    <row r="122">
      <c r="P122" s="161"/>
    </row>
    <row r="123">
      <c r="P123" s="161"/>
    </row>
    <row r="124">
      <c r="P124" s="161"/>
    </row>
    <row r="125">
      <c r="P125" s="161"/>
    </row>
    <row r="126">
      <c r="P126" s="161"/>
    </row>
    <row r="127">
      <c r="P127" s="161"/>
    </row>
    <row r="128">
      <c r="P128" s="161"/>
    </row>
    <row r="129">
      <c r="P129" s="161"/>
    </row>
    <row r="130">
      <c r="P130" s="161"/>
    </row>
    <row r="131">
      <c r="P131" s="161"/>
    </row>
    <row r="132">
      <c r="P132" s="161"/>
    </row>
    <row r="133">
      <c r="P133" s="161"/>
    </row>
    <row r="134">
      <c r="P134" s="161"/>
    </row>
    <row r="135">
      <c r="P135" s="161"/>
    </row>
    <row r="136">
      <c r="P136" s="161"/>
    </row>
    <row r="137">
      <c r="P137" s="161"/>
    </row>
    <row r="138">
      <c r="P138" s="161"/>
    </row>
    <row r="139">
      <c r="P139" s="161"/>
    </row>
    <row r="140">
      <c r="P140" s="161"/>
    </row>
    <row r="141">
      <c r="P141" s="161"/>
    </row>
    <row r="142">
      <c r="P142" s="161"/>
    </row>
    <row r="143">
      <c r="P143" s="161"/>
    </row>
    <row r="144">
      <c r="P144" s="161"/>
    </row>
    <row r="145">
      <c r="P145" s="161"/>
    </row>
    <row r="146">
      <c r="P146" s="161"/>
    </row>
    <row r="147">
      <c r="P147" s="161"/>
    </row>
    <row r="148">
      <c r="P148" s="161"/>
    </row>
    <row r="149">
      <c r="P149" s="161"/>
    </row>
    <row r="150">
      <c r="P150" s="161"/>
    </row>
    <row r="151">
      <c r="P151" s="161"/>
    </row>
    <row r="152">
      <c r="P152" s="161"/>
    </row>
    <row r="153">
      <c r="P153" s="161"/>
    </row>
    <row r="154">
      <c r="P154" s="161"/>
    </row>
    <row r="155">
      <c r="P155" s="161"/>
    </row>
    <row r="156">
      <c r="P156" s="161"/>
    </row>
    <row r="157">
      <c r="P157" s="161"/>
    </row>
    <row r="158">
      <c r="P158" s="161"/>
    </row>
    <row r="159">
      <c r="P159" s="161"/>
    </row>
    <row r="160">
      <c r="P160" s="161"/>
    </row>
    <row r="161">
      <c r="P161" s="161"/>
    </row>
    <row r="162">
      <c r="P162" s="161"/>
    </row>
    <row r="163">
      <c r="P163" s="161"/>
    </row>
    <row r="164">
      <c r="P164" s="161"/>
    </row>
    <row r="165">
      <c r="P165" s="161"/>
    </row>
    <row r="166">
      <c r="P166" s="161"/>
    </row>
    <row r="167">
      <c r="P167" s="161"/>
    </row>
    <row r="168">
      <c r="P168" s="161"/>
    </row>
    <row r="169">
      <c r="P169" s="161"/>
    </row>
    <row r="170">
      <c r="P170" s="161"/>
    </row>
    <row r="171">
      <c r="P171" s="161"/>
    </row>
    <row r="172">
      <c r="P172" s="161"/>
    </row>
    <row r="173">
      <c r="P173" s="161"/>
    </row>
    <row r="174">
      <c r="P174" s="161"/>
    </row>
    <row r="175">
      <c r="P175" s="161"/>
    </row>
    <row r="176">
      <c r="P176" s="161"/>
    </row>
    <row r="177">
      <c r="P177" s="161"/>
    </row>
    <row r="178">
      <c r="P178" s="161"/>
    </row>
    <row r="179">
      <c r="P179" s="161"/>
    </row>
    <row r="180">
      <c r="P180" s="161"/>
    </row>
    <row r="181">
      <c r="P181" s="161"/>
    </row>
    <row r="182">
      <c r="P182" s="161"/>
    </row>
    <row r="183">
      <c r="P183" s="161"/>
    </row>
    <row r="184">
      <c r="P184" s="161"/>
    </row>
    <row r="185">
      <c r="P185" s="161"/>
    </row>
    <row r="186">
      <c r="P186" s="161"/>
    </row>
    <row r="187">
      <c r="P187" s="161"/>
    </row>
    <row r="188">
      <c r="P188" s="161"/>
    </row>
    <row r="189">
      <c r="P189" s="161"/>
    </row>
    <row r="190">
      <c r="P190" s="161"/>
    </row>
    <row r="191">
      <c r="P191" s="161"/>
    </row>
    <row r="192">
      <c r="P192" s="161"/>
    </row>
    <row r="193">
      <c r="P193" s="161"/>
    </row>
    <row r="194">
      <c r="P194" s="161"/>
    </row>
    <row r="195">
      <c r="P195" s="161"/>
    </row>
    <row r="196">
      <c r="P196" s="161"/>
    </row>
    <row r="197">
      <c r="P197" s="161"/>
    </row>
    <row r="198">
      <c r="P198" s="161"/>
    </row>
    <row r="199">
      <c r="P199" s="161"/>
    </row>
    <row r="200">
      <c r="P200" s="161"/>
    </row>
    <row r="201">
      <c r="P201" s="161"/>
    </row>
    <row r="202">
      <c r="P202" s="161"/>
    </row>
    <row r="203">
      <c r="P203" s="161"/>
    </row>
    <row r="204">
      <c r="P204" s="161"/>
    </row>
    <row r="205">
      <c r="P205" s="161"/>
    </row>
    <row r="206">
      <c r="P206" s="161"/>
    </row>
    <row r="207">
      <c r="P207" s="161"/>
    </row>
    <row r="208">
      <c r="P208" s="161"/>
    </row>
    <row r="209">
      <c r="P209" s="161"/>
    </row>
    <row r="210">
      <c r="P210" s="161"/>
    </row>
    <row r="211">
      <c r="P211" s="161"/>
    </row>
    <row r="212">
      <c r="P212" s="161"/>
    </row>
    <row r="213">
      <c r="P213" s="161"/>
    </row>
    <row r="214">
      <c r="P214" s="161"/>
    </row>
    <row r="215">
      <c r="P215" s="161"/>
    </row>
    <row r="216">
      <c r="P216" s="161"/>
    </row>
    <row r="217">
      <c r="P217" s="161"/>
    </row>
    <row r="218">
      <c r="P218" s="161"/>
    </row>
    <row r="219">
      <c r="P219" s="161"/>
    </row>
    <row r="220">
      <c r="P220" s="161"/>
    </row>
    <row r="221">
      <c r="P221" s="161"/>
    </row>
    <row r="222">
      <c r="P222" s="161"/>
    </row>
    <row r="223">
      <c r="P223" s="161"/>
    </row>
    <row r="224">
      <c r="P224" s="161"/>
    </row>
    <row r="225">
      <c r="P225" s="161"/>
    </row>
    <row r="226">
      <c r="P226" s="161"/>
    </row>
    <row r="227">
      <c r="P227" s="161"/>
    </row>
    <row r="228">
      <c r="P228" s="161"/>
    </row>
    <row r="229">
      <c r="P229" s="161"/>
    </row>
    <row r="230">
      <c r="P230" s="161"/>
    </row>
    <row r="231">
      <c r="P231" s="161"/>
    </row>
    <row r="232">
      <c r="P232" s="161"/>
    </row>
    <row r="233">
      <c r="P233" s="161"/>
    </row>
    <row r="234">
      <c r="P234" s="161"/>
    </row>
    <row r="235">
      <c r="P235" s="161"/>
    </row>
    <row r="236">
      <c r="P236" s="161"/>
    </row>
    <row r="237">
      <c r="P237" s="161"/>
    </row>
    <row r="238">
      <c r="P238" s="161"/>
    </row>
    <row r="239">
      <c r="P239" s="161"/>
    </row>
    <row r="240">
      <c r="P240" s="161"/>
    </row>
    <row r="241">
      <c r="P241" s="161"/>
    </row>
    <row r="242">
      <c r="P242" s="161"/>
    </row>
    <row r="243">
      <c r="P243" s="161"/>
    </row>
    <row r="244">
      <c r="P244" s="161"/>
    </row>
    <row r="245">
      <c r="P245" s="161"/>
    </row>
    <row r="246">
      <c r="P246" s="161"/>
    </row>
    <row r="247">
      <c r="P247" s="161"/>
    </row>
    <row r="248">
      <c r="P248" s="161"/>
    </row>
    <row r="249">
      <c r="P249" s="161"/>
    </row>
    <row r="250">
      <c r="P250" s="161"/>
    </row>
    <row r="251">
      <c r="P251" s="161"/>
    </row>
    <row r="252">
      <c r="P252" s="161"/>
    </row>
    <row r="253">
      <c r="P253" s="161"/>
    </row>
    <row r="254">
      <c r="P254" s="161"/>
    </row>
    <row r="255">
      <c r="P255" s="161"/>
    </row>
    <row r="256">
      <c r="P256" s="161"/>
    </row>
    <row r="257">
      <c r="P257" s="161"/>
    </row>
    <row r="258">
      <c r="P258" s="161"/>
    </row>
    <row r="259">
      <c r="P259" s="161"/>
    </row>
    <row r="260">
      <c r="P260" s="161"/>
    </row>
    <row r="261">
      <c r="P261" s="161"/>
    </row>
    <row r="262">
      <c r="P262" s="161"/>
    </row>
    <row r="263">
      <c r="P263" s="161"/>
    </row>
    <row r="264">
      <c r="P264" s="161"/>
    </row>
    <row r="265">
      <c r="P265" s="161"/>
    </row>
    <row r="266">
      <c r="P266" s="161"/>
    </row>
    <row r="267">
      <c r="P267" s="161"/>
    </row>
    <row r="268">
      <c r="P268" s="161"/>
    </row>
    <row r="269">
      <c r="P269" s="161"/>
    </row>
    <row r="270">
      <c r="P270" s="161"/>
    </row>
    <row r="271">
      <c r="P271" s="161"/>
    </row>
    <row r="272">
      <c r="P272" s="161"/>
    </row>
    <row r="273">
      <c r="P273" s="161"/>
    </row>
    <row r="274">
      <c r="P274" s="161"/>
    </row>
    <row r="275">
      <c r="P275" s="161"/>
    </row>
    <row r="276">
      <c r="P276" s="161"/>
    </row>
    <row r="277">
      <c r="P277" s="161"/>
    </row>
    <row r="278">
      <c r="P278" s="161"/>
    </row>
    <row r="279">
      <c r="P279" s="161"/>
    </row>
    <row r="280">
      <c r="P280" s="161"/>
    </row>
    <row r="281">
      <c r="P281" s="161"/>
    </row>
    <row r="282">
      <c r="P282" s="161"/>
    </row>
    <row r="283">
      <c r="P283" s="161"/>
    </row>
    <row r="284">
      <c r="P284" s="161"/>
    </row>
    <row r="285">
      <c r="P285" s="161"/>
    </row>
    <row r="286">
      <c r="P286" s="161"/>
    </row>
    <row r="287">
      <c r="P287" s="161"/>
    </row>
    <row r="288">
      <c r="P288" s="161"/>
    </row>
    <row r="289">
      <c r="P289" s="161"/>
    </row>
    <row r="290">
      <c r="P290" s="161"/>
    </row>
    <row r="291">
      <c r="P291" s="161"/>
    </row>
    <row r="292">
      <c r="P292" s="161"/>
    </row>
    <row r="293">
      <c r="P293" s="161"/>
    </row>
    <row r="294">
      <c r="P294" s="161"/>
    </row>
    <row r="295">
      <c r="P295" s="161"/>
    </row>
    <row r="296">
      <c r="P296" s="161"/>
    </row>
    <row r="297">
      <c r="P297" s="161"/>
    </row>
    <row r="298">
      <c r="P298" s="161"/>
    </row>
    <row r="299">
      <c r="P299" s="161"/>
    </row>
    <row r="300">
      <c r="P300" s="161"/>
    </row>
    <row r="301">
      <c r="P301" s="161"/>
    </row>
    <row r="302">
      <c r="P302" s="161"/>
    </row>
    <row r="303">
      <c r="P303" s="161"/>
    </row>
    <row r="304">
      <c r="P304" s="161"/>
    </row>
    <row r="305">
      <c r="P305" s="161"/>
    </row>
    <row r="306">
      <c r="P306" s="161"/>
    </row>
    <row r="307">
      <c r="P307" s="161"/>
    </row>
    <row r="308">
      <c r="P308" s="161"/>
    </row>
    <row r="309">
      <c r="P309" s="161"/>
    </row>
    <row r="310">
      <c r="P310" s="161"/>
    </row>
    <row r="311">
      <c r="P311" s="161"/>
    </row>
    <row r="312">
      <c r="P312" s="161"/>
    </row>
    <row r="313">
      <c r="P313" s="161"/>
    </row>
    <row r="314">
      <c r="P314" s="161"/>
    </row>
    <row r="315">
      <c r="P315" s="161"/>
    </row>
    <row r="316">
      <c r="P316" s="161"/>
    </row>
    <row r="317">
      <c r="P317" s="161"/>
    </row>
    <row r="318">
      <c r="P318" s="161"/>
    </row>
    <row r="319">
      <c r="P319" s="161"/>
    </row>
    <row r="320">
      <c r="P320" s="161"/>
    </row>
    <row r="321">
      <c r="P321" s="161"/>
    </row>
    <row r="322">
      <c r="P322" s="161"/>
    </row>
    <row r="323">
      <c r="P323" s="161"/>
    </row>
    <row r="324">
      <c r="P324" s="161"/>
    </row>
    <row r="325">
      <c r="P325" s="161"/>
    </row>
    <row r="326">
      <c r="P326" s="161"/>
    </row>
    <row r="327">
      <c r="P327" s="161"/>
    </row>
    <row r="328">
      <c r="P328" s="161"/>
    </row>
    <row r="329">
      <c r="P329" s="161"/>
    </row>
    <row r="330">
      <c r="P330" s="161"/>
    </row>
    <row r="331">
      <c r="P331" s="161"/>
    </row>
    <row r="332">
      <c r="P332" s="161"/>
    </row>
    <row r="333">
      <c r="P333" s="161"/>
    </row>
    <row r="334">
      <c r="P334" s="161"/>
    </row>
    <row r="335">
      <c r="P335" s="161"/>
    </row>
    <row r="336">
      <c r="P336" s="161"/>
    </row>
    <row r="337">
      <c r="P337" s="161"/>
    </row>
    <row r="338">
      <c r="P338" s="161"/>
    </row>
    <row r="339">
      <c r="P339" s="161"/>
    </row>
    <row r="340">
      <c r="P340" s="161"/>
    </row>
    <row r="341">
      <c r="P341" s="161"/>
    </row>
    <row r="342">
      <c r="P342" s="161"/>
    </row>
    <row r="343">
      <c r="P343" s="161"/>
    </row>
    <row r="344">
      <c r="P344" s="161"/>
    </row>
    <row r="345">
      <c r="P345" s="161"/>
    </row>
    <row r="346">
      <c r="P346" s="161"/>
    </row>
    <row r="347">
      <c r="P347" s="161"/>
    </row>
    <row r="348">
      <c r="P348" s="161"/>
    </row>
    <row r="349">
      <c r="P349" s="161"/>
    </row>
    <row r="350">
      <c r="P350" s="161"/>
    </row>
    <row r="351">
      <c r="P351" s="161"/>
    </row>
    <row r="352">
      <c r="P352" s="161"/>
    </row>
    <row r="353">
      <c r="P353" s="161"/>
    </row>
    <row r="354">
      <c r="P354" s="161"/>
    </row>
    <row r="355">
      <c r="P355" s="161"/>
    </row>
    <row r="356">
      <c r="P356" s="161"/>
    </row>
    <row r="357">
      <c r="P357" s="161"/>
    </row>
    <row r="358">
      <c r="P358" s="161"/>
    </row>
    <row r="359">
      <c r="P359" s="161"/>
    </row>
    <row r="360">
      <c r="P360" s="161"/>
    </row>
    <row r="361">
      <c r="P361" s="161"/>
    </row>
    <row r="362">
      <c r="P362" s="161"/>
    </row>
    <row r="363">
      <c r="P363" s="161"/>
    </row>
    <row r="364">
      <c r="P364" s="161"/>
    </row>
    <row r="365">
      <c r="P365" s="161"/>
    </row>
    <row r="366">
      <c r="P366" s="161"/>
    </row>
    <row r="367">
      <c r="P367" s="161"/>
    </row>
    <row r="368">
      <c r="P368" s="161"/>
    </row>
    <row r="369">
      <c r="P369" s="161"/>
    </row>
    <row r="370">
      <c r="P370" s="161"/>
    </row>
    <row r="371">
      <c r="P371" s="161"/>
    </row>
    <row r="372">
      <c r="P372" s="161"/>
    </row>
    <row r="373">
      <c r="P373" s="161"/>
    </row>
    <row r="374">
      <c r="P374" s="161"/>
    </row>
    <row r="375">
      <c r="P375" s="161"/>
    </row>
    <row r="376">
      <c r="P376" s="161"/>
    </row>
    <row r="377">
      <c r="P377" s="161"/>
    </row>
    <row r="378">
      <c r="P378" s="161"/>
    </row>
    <row r="379">
      <c r="P379" s="161"/>
    </row>
    <row r="380">
      <c r="P380" s="161"/>
    </row>
    <row r="381">
      <c r="P381" s="161"/>
    </row>
    <row r="382">
      <c r="P382" s="161"/>
    </row>
    <row r="383">
      <c r="P383" s="161"/>
    </row>
    <row r="384">
      <c r="P384" s="161"/>
    </row>
    <row r="385">
      <c r="P385" s="161"/>
    </row>
    <row r="386">
      <c r="P386" s="161"/>
    </row>
    <row r="387">
      <c r="P387" s="161"/>
    </row>
    <row r="388">
      <c r="P388" s="161"/>
    </row>
    <row r="389">
      <c r="P389" s="161"/>
    </row>
    <row r="390">
      <c r="P390" s="161"/>
    </row>
    <row r="391">
      <c r="P391" s="161"/>
    </row>
    <row r="392">
      <c r="P392" s="161"/>
    </row>
    <row r="393">
      <c r="P393" s="161"/>
    </row>
    <row r="394">
      <c r="P394" s="161"/>
    </row>
    <row r="395">
      <c r="P395" s="161"/>
    </row>
    <row r="396">
      <c r="P396" s="161"/>
    </row>
    <row r="397">
      <c r="P397" s="161"/>
    </row>
    <row r="398">
      <c r="P398" s="161"/>
    </row>
    <row r="399">
      <c r="P399" s="161"/>
    </row>
    <row r="400">
      <c r="P400" s="161"/>
    </row>
    <row r="401">
      <c r="P401" s="161"/>
    </row>
    <row r="402">
      <c r="P402" s="161"/>
    </row>
    <row r="403">
      <c r="P403" s="161"/>
    </row>
    <row r="404">
      <c r="P404" s="161"/>
    </row>
    <row r="405">
      <c r="P405" s="161"/>
    </row>
    <row r="406">
      <c r="P406" s="161"/>
    </row>
    <row r="407">
      <c r="P407" s="161"/>
    </row>
    <row r="408">
      <c r="P408" s="161"/>
    </row>
    <row r="409">
      <c r="P409" s="161"/>
    </row>
    <row r="410">
      <c r="P410" s="161"/>
    </row>
    <row r="411">
      <c r="P411" s="161"/>
    </row>
    <row r="412">
      <c r="P412" s="161"/>
    </row>
    <row r="413">
      <c r="P413" s="161"/>
    </row>
    <row r="414">
      <c r="P414" s="161"/>
    </row>
    <row r="415">
      <c r="P415" s="161"/>
    </row>
    <row r="416">
      <c r="P416" s="161"/>
    </row>
    <row r="417">
      <c r="P417" s="161"/>
    </row>
    <row r="418">
      <c r="P418" s="161"/>
    </row>
    <row r="419">
      <c r="P419" s="161"/>
    </row>
    <row r="420">
      <c r="P420" s="161"/>
    </row>
    <row r="421">
      <c r="P421" s="161"/>
    </row>
    <row r="422">
      <c r="P422" s="161"/>
    </row>
    <row r="423">
      <c r="P423" s="161"/>
    </row>
    <row r="424">
      <c r="P424" s="161"/>
    </row>
    <row r="425">
      <c r="P425" s="161"/>
    </row>
    <row r="426">
      <c r="P426" s="161"/>
    </row>
    <row r="427">
      <c r="P427" s="161"/>
    </row>
    <row r="428">
      <c r="P428" s="161"/>
    </row>
    <row r="429">
      <c r="P429" s="161"/>
    </row>
    <row r="430">
      <c r="P430" s="161"/>
    </row>
    <row r="431">
      <c r="P431" s="161"/>
    </row>
    <row r="432">
      <c r="P432" s="161"/>
    </row>
    <row r="433">
      <c r="P433" s="161"/>
    </row>
    <row r="434">
      <c r="P434" s="161"/>
    </row>
    <row r="435">
      <c r="P435" s="161"/>
    </row>
    <row r="436">
      <c r="P436" s="161"/>
    </row>
    <row r="437">
      <c r="P437" s="161"/>
    </row>
    <row r="438">
      <c r="P438" s="161"/>
    </row>
    <row r="439">
      <c r="P439" s="161"/>
    </row>
    <row r="440">
      <c r="P440" s="161"/>
    </row>
    <row r="441">
      <c r="P441" s="161"/>
    </row>
    <row r="442">
      <c r="P442" s="161"/>
    </row>
    <row r="443">
      <c r="P443" s="161"/>
    </row>
    <row r="444">
      <c r="P444" s="161"/>
    </row>
    <row r="445">
      <c r="P445" s="161"/>
    </row>
    <row r="446">
      <c r="P446" s="161"/>
    </row>
    <row r="447">
      <c r="P447" s="161"/>
    </row>
    <row r="448">
      <c r="P448" s="161"/>
    </row>
    <row r="449">
      <c r="P449" s="161"/>
    </row>
    <row r="450">
      <c r="P450" s="161"/>
    </row>
    <row r="451">
      <c r="P451" s="161"/>
    </row>
    <row r="452">
      <c r="P452" s="161"/>
    </row>
    <row r="453">
      <c r="P453" s="161"/>
    </row>
    <row r="454">
      <c r="P454" s="161"/>
    </row>
    <row r="455">
      <c r="P455" s="161"/>
    </row>
    <row r="456">
      <c r="P456" s="161"/>
    </row>
    <row r="457">
      <c r="P457" s="161"/>
    </row>
    <row r="458">
      <c r="P458" s="161"/>
    </row>
    <row r="459">
      <c r="P459" s="161"/>
    </row>
    <row r="460">
      <c r="P460" s="161"/>
    </row>
    <row r="461">
      <c r="P461" s="161"/>
    </row>
    <row r="462">
      <c r="P462" s="161"/>
    </row>
    <row r="463">
      <c r="P463" s="161"/>
    </row>
    <row r="464">
      <c r="P464" s="161"/>
    </row>
    <row r="465">
      <c r="P465" s="161"/>
    </row>
    <row r="466">
      <c r="P466" s="161"/>
    </row>
    <row r="467">
      <c r="P467" s="161"/>
    </row>
    <row r="468">
      <c r="P468" s="161"/>
    </row>
    <row r="469">
      <c r="P469" s="161"/>
    </row>
    <row r="470">
      <c r="P470" s="161"/>
    </row>
    <row r="471">
      <c r="P471" s="161"/>
    </row>
    <row r="472">
      <c r="P472" s="161"/>
    </row>
    <row r="473">
      <c r="P473" s="161"/>
    </row>
    <row r="474">
      <c r="P474" s="161"/>
    </row>
    <row r="475">
      <c r="P475" s="161"/>
    </row>
    <row r="476">
      <c r="P476" s="161"/>
    </row>
    <row r="477">
      <c r="P477" s="161"/>
    </row>
    <row r="478">
      <c r="P478" s="161"/>
    </row>
    <row r="479">
      <c r="P479" s="161"/>
    </row>
    <row r="480">
      <c r="P480" s="161"/>
    </row>
    <row r="481">
      <c r="P481" s="161"/>
    </row>
    <row r="482">
      <c r="P482" s="161"/>
    </row>
    <row r="483">
      <c r="P483" s="161"/>
    </row>
    <row r="484">
      <c r="P484" s="161"/>
    </row>
    <row r="485">
      <c r="P485" s="161"/>
    </row>
    <row r="486">
      <c r="P486" s="161"/>
    </row>
    <row r="487">
      <c r="P487" s="161"/>
    </row>
    <row r="488">
      <c r="P488" s="161"/>
    </row>
    <row r="489">
      <c r="P489" s="161"/>
    </row>
    <row r="490">
      <c r="P490" s="161"/>
    </row>
    <row r="491">
      <c r="P491" s="161"/>
    </row>
    <row r="492">
      <c r="P492" s="161"/>
    </row>
    <row r="493">
      <c r="P493" s="161"/>
    </row>
    <row r="494">
      <c r="P494" s="161"/>
    </row>
    <row r="495">
      <c r="P495" s="161"/>
    </row>
    <row r="496">
      <c r="P496" s="161"/>
    </row>
    <row r="497">
      <c r="P497" s="161"/>
    </row>
    <row r="498">
      <c r="P498" s="161"/>
    </row>
    <row r="499">
      <c r="P499" s="161"/>
    </row>
    <row r="500">
      <c r="P500" s="161"/>
    </row>
    <row r="501">
      <c r="P501" s="161"/>
    </row>
    <row r="502">
      <c r="P502" s="161"/>
    </row>
    <row r="503">
      <c r="P503" s="161"/>
    </row>
    <row r="504">
      <c r="P504" s="161"/>
    </row>
    <row r="505">
      <c r="P505" s="161"/>
    </row>
    <row r="506">
      <c r="P506" s="161"/>
    </row>
    <row r="507">
      <c r="P507" s="161"/>
    </row>
    <row r="508">
      <c r="P508" s="161"/>
    </row>
    <row r="509">
      <c r="P509" s="161"/>
    </row>
    <row r="510">
      <c r="P510" s="161"/>
    </row>
    <row r="511">
      <c r="P511" s="161"/>
    </row>
    <row r="512">
      <c r="P512" s="161"/>
    </row>
    <row r="513">
      <c r="P513" s="161"/>
    </row>
    <row r="514">
      <c r="P514" s="161"/>
    </row>
    <row r="515">
      <c r="P515" s="161"/>
    </row>
    <row r="516">
      <c r="P516" s="161"/>
    </row>
    <row r="517">
      <c r="P517" s="161"/>
    </row>
    <row r="518">
      <c r="P518" s="161"/>
    </row>
    <row r="519">
      <c r="P519" s="161"/>
    </row>
    <row r="520">
      <c r="P520" s="161"/>
    </row>
    <row r="521">
      <c r="P521" s="161"/>
    </row>
    <row r="522">
      <c r="P522" s="161"/>
    </row>
    <row r="523">
      <c r="P523" s="161"/>
    </row>
    <row r="524">
      <c r="P524" s="161"/>
    </row>
    <row r="525">
      <c r="P525" s="161"/>
    </row>
    <row r="526">
      <c r="P526" s="161"/>
    </row>
    <row r="527">
      <c r="P527" s="161"/>
    </row>
    <row r="528">
      <c r="P528" s="161"/>
    </row>
    <row r="529">
      <c r="P529" s="161"/>
    </row>
    <row r="530">
      <c r="P530" s="161"/>
    </row>
    <row r="531">
      <c r="P531" s="161"/>
    </row>
    <row r="532">
      <c r="P532" s="161"/>
    </row>
    <row r="533">
      <c r="P533" s="161"/>
    </row>
    <row r="534">
      <c r="P534" s="161"/>
    </row>
    <row r="535">
      <c r="P535" s="161"/>
    </row>
    <row r="536">
      <c r="P536" s="161"/>
    </row>
    <row r="537">
      <c r="P537" s="161"/>
    </row>
    <row r="538">
      <c r="P538" s="161"/>
    </row>
    <row r="539">
      <c r="P539" s="161"/>
    </row>
    <row r="540">
      <c r="P540" s="161"/>
    </row>
    <row r="541">
      <c r="P541" s="161"/>
    </row>
    <row r="542">
      <c r="P542" s="161"/>
    </row>
    <row r="543">
      <c r="P543" s="161"/>
    </row>
    <row r="544">
      <c r="P544" s="161"/>
    </row>
    <row r="545">
      <c r="P545" s="161"/>
    </row>
    <row r="546">
      <c r="P546" s="161"/>
    </row>
    <row r="547">
      <c r="P547" s="161"/>
    </row>
    <row r="548">
      <c r="P548" s="161"/>
    </row>
    <row r="549">
      <c r="P549" s="161"/>
    </row>
    <row r="550">
      <c r="P550" s="161"/>
    </row>
    <row r="551">
      <c r="P551" s="161"/>
    </row>
    <row r="552">
      <c r="P552" s="161"/>
    </row>
    <row r="553">
      <c r="P553" s="161"/>
    </row>
    <row r="554">
      <c r="P554" s="161"/>
    </row>
    <row r="555">
      <c r="P555" s="161"/>
    </row>
    <row r="556">
      <c r="P556" s="161"/>
    </row>
    <row r="557">
      <c r="P557" s="161"/>
    </row>
    <row r="558">
      <c r="P558" s="161"/>
    </row>
    <row r="559">
      <c r="P559" s="161"/>
    </row>
    <row r="560">
      <c r="P560" s="161"/>
    </row>
    <row r="561">
      <c r="P561" s="161"/>
    </row>
    <row r="562">
      <c r="P562" s="161"/>
    </row>
    <row r="563">
      <c r="P563" s="161"/>
    </row>
    <row r="564">
      <c r="P564" s="161"/>
    </row>
    <row r="565">
      <c r="P565" s="161"/>
    </row>
    <row r="566">
      <c r="P566" s="161"/>
    </row>
    <row r="567">
      <c r="P567" s="161"/>
    </row>
    <row r="568">
      <c r="P568" s="161"/>
    </row>
    <row r="569">
      <c r="P569" s="161"/>
    </row>
    <row r="570">
      <c r="P570" s="161"/>
    </row>
    <row r="571">
      <c r="P571" s="161"/>
    </row>
    <row r="572">
      <c r="P572" s="161"/>
    </row>
    <row r="573">
      <c r="P573" s="161"/>
    </row>
    <row r="574">
      <c r="P574" s="161"/>
    </row>
    <row r="575">
      <c r="P575" s="161"/>
    </row>
    <row r="576">
      <c r="P576" s="161"/>
    </row>
    <row r="577">
      <c r="P577" s="161"/>
    </row>
    <row r="578">
      <c r="P578" s="161"/>
    </row>
    <row r="579">
      <c r="P579" s="161"/>
    </row>
    <row r="580">
      <c r="P580" s="161"/>
    </row>
    <row r="581">
      <c r="P581" s="161"/>
    </row>
    <row r="582">
      <c r="P582" s="161"/>
    </row>
    <row r="583">
      <c r="P583" s="161"/>
    </row>
    <row r="584">
      <c r="P584" s="161"/>
    </row>
    <row r="585">
      <c r="P585" s="161"/>
    </row>
    <row r="586">
      <c r="P586" s="161"/>
    </row>
    <row r="587">
      <c r="P587" s="161"/>
    </row>
    <row r="588">
      <c r="P588" s="161"/>
    </row>
    <row r="589">
      <c r="P589" s="161"/>
    </row>
    <row r="590">
      <c r="P590" s="161"/>
    </row>
    <row r="591">
      <c r="P591" s="161"/>
    </row>
    <row r="592">
      <c r="P592" s="161"/>
    </row>
    <row r="593">
      <c r="P593" s="161"/>
    </row>
    <row r="594">
      <c r="P594" s="161"/>
    </row>
    <row r="595">
      <c r="P595" s="161"/>
    </row>
    <row r="596">
      <c r="P596" s="161"/>
    </row>
    <row r="597">
      <c r="P597" s="161"/>
    </row>
    <row r="598">
      <c r="P598" s="161"/>
    </row>
    <row r="599">
      <c r="P599" s="161"/>
    </row>
    <row r="600">
      <c r="P600" s="161"/>
    </row>
    <row r="601">
      <c r="P601" s="161"/>
    </row>
    <row r="602">
      <c r="P602" s="161"/>
    </row>
    <row r="603">
      <c r="P603" s="161"/>
    </row>
    <row r="604">
      <c r="P604" s="161"/>
    </row>
    <row r="605">
      <c r="P605" s="161"/>
    </row>
    <row r="606">
      <c r="P606" s="161"/>
    </row>
    <row r="607">
      <c r="P607" s="161"/>
    </row>
    <row r="608">
      <c r="P608" s="161"/>
    </row>
    <row r="609">
      <c r="P609" s="161"/>
    </row>
    <row r="610">
      <c r="P610" s="161"/>
    </row>
    <row r="611">
      <c r="P611" s="161"/>
    </row>
    <row r="612">
      <c r="P612" s="161"/>
    </row>
    <row r="613">
      <c r="P613" s="161"/>
    </row>
    <row r="614">
      <c r="P614" s="161"/>
    </row>
    <row r="615">
      <c r="P615" s="161"/>
    </row>
    <row r="616">
      <c r="P616" s="161"/>
    </row>
    <row r="617">
      <c r="P617" s="161"/>
    </row>
    <row r="618">
      <c r="P618" s="161"/>
    </row>
    <row r="619">
      <c r="P619" s="161"/>
    </row>
    <row r="620">
      <c r="P620" s="161"/>
    </row>
    <row r="621">
      <c r="P621" s="161"/>
    </row>
    <row r="622">
      <c r="P622" s="161"/>
    </row>
    <row r="623">
      <c r="P623" s="161"/>
    </row>
    <row r="624">
      <c r="P624" s="161"/>
    </row>
    <row r="625">
      <c r="P625" s="161"/>
    </row>
    <row r="626">
      <c r="P626" s="161"/>
    </row>
    <row r="627">
      <c r="P627" s="161"/>
    </row>
    <row r="628">
      <c r="P628" s="161"/>
    </row>
    <row r="629">
      <c r="P629" s="161"/>
    </row>
    <row r="630">
      <c r="P630" s="161"/>
    </row>
    <row r="631">
      <c r="P631" s="161"/>
    </row>
    <row r="632">
      <c r="P632" s="161"/>
    </row>
    <row r="633">
      <c r="P633" s="161"/>
    </row>
    <row r="634">
      <c r="P634" s="161"/>
    </row>
    <row r="635">
      <c r="P635" s="161"/>
    </row>
    <row r="636">
      <c r="P636" s="161"/>
    </row>
    <row r="637">
      <c r="P637" s="161"/>
    </row>
    <row r="638">
      <c r="P638" s="161"/>
    </row>
    <row r="639">
      <c r="P639" s="161"/>
    </row>
    <row r="640">
      <c r="P640" s="161"/>
    </row>
    <row r="641">
      <c r="P641" s="161"/>
    </row>
    <row r="642">
      <c r="P642" s="161"/>
    </row>
    <row r="643">
      <c r="P643" s="161"/>
    </row>
    <row r="644">
      <c r="P644" s="161"/>
    </row>
    <row r="645">
      <c r="P645" s="161"/>
    </row>
    <row r="646">
      <c r="P646" s="161"/>
    </row>
    <row r="647">
      <c r="P647" s="161"/>
    </row>
    <row r="648">
      <c r="P648" s="161"/>
    </row>
    <row r="649">
      <c r="P649" s="161"/>
    </row>
    <row r="650">
      <c r="P650" s="161"/>
    </row>
    <row r="651">
      <c r="P651" s="161"/>
    </row>
    <row r="652">
      <c r="P652" s="161"/>
    </row>
    <row r="653">
      <c r="P653" s="161"/>
    </row>
    <row r="654">
      <c r="P654" s="161"/>
    </row>
    <row r="655">
      <c r="P655" s="161"/>
    </row>
    <row r="656">
      <c r="P656" s="161"/>
    </row>
    <row r="657">
      <c r="P657" s="161"/>
    </row>
    <row r="658">
      <c r="P658" s="161"/>
    </row>
    <row r="659">
      <c r="P659" s="161"/>
    </row>
    <row r="660">
      <c r="P660" s="161"/>
    </row>
    <row r="661">
      <c r="P661" s="161"/>
    </row>
    <row r="662">
      <c r="P662" s="161"/>
    </row>
    <row r="663">
      <c r="P663" s="161"/>
    </row>
    <row r="664">
      <c r="P664" s="161"/>
    </row>
    <row r="665">
      <c r="P665" s="161"/>
    </row>
    <row r="666">
      <c r="P666" s="161"/>
    </row>
    <row r="667">
      <c r="P667" s="161"/>
    </row>
    <row r="668">
      <c r="P668" s="161"/>
    </row>
    <row r="669">
      <c r="P669" s="161"/>
    </row>
    <row r="670">
      <c r="P670" s="161"/>
    </row>
    <row r="671">
      <c r="P671" s="161"/>
    </row>
    <row r="672">
      <c r="P672" s="161"/>
    </row>
    <row r="673">
      <c r="P673" s="161"/>
    </row>
    <row r="674">
      <c r="P674" s="161"/>
    </row>
    <row r="675">
      <c r="P675" s="161"/>
    </row>
    <row r="676">
      <c r="P676" s="161"/>
    </row>
    <row r="677">
      <c r="P677" s="161"/>
    </row>
    <row r="678">
      <c r="P678" s="161"/>
    </row>
    <row r="679">
      <c r="P679" s="161"/>
    </row>
    <row r="680">
      <c r="P680" s="161"/>
    </row>
    <row r="681">
      <c r="P681" s="161"/>
    </row>
    <row r="682">
      <c r="P682" s="161"/>
    </row>
    <row r="683">
      <c r="P683" s="161"/>
    </row>
    <row r="684">
      <c r="P684" s="161"/>
    </row>
    <row r="685">
      <c r="P685" s="161"/>
    </row>
    <row r="686">
      <c r="P686" s="161"/>
    </row>
    <row r="687">
      <c r="P687" s="161"/>
    </row>
    <row r="688">
      <c r="P688" s="161"/>
    </row>
    <row r="689">
      <c r="P689" s="161"/>
    </row>
    <row r="690">
      <c r="P690" s="161"/>
    </row>
    <row r="691">
      <c r="P691" s="161"/>
    </row>
    <row r="692">
      <c r="P692" s="161"/>
    </row>
    <row r="693">
      <c r="P693" s="161"/>
    </row>
    <row r="694">
      <c r="P694" s="161"/>
    </row>
    <row r="695">
      <c r="P695" s="161"/>
    </row>
    <row r="696">
      <c r="P696" s="161"/>
    </row>
    <row r="697">
      <c r="P697" s="161"/>
    </row>
    <row r="698">
      <c r="P698" s="161"/>
    </row>
    <row r="699">
      <c r="P699" s="161"/>
    </row>
    <row r="700">
      <c r="P700" s="161"/>
    </row>
    <row r="701">
      <c r="P701" s="161"/>
    </row>
    <row r="702">
      <c r="P702" s="161"/>
    </row>
    <row r="703">
      <c r="P703" s="161"/>
    </row>
    <row r="704">
      <c r="P704" s="161"/>
    </row>
    <row r="705">
      <c r="P705" s="161"/>
    </row>
    <row r="706">
      <c r="P706" s="161"/>
    </row>
    <row r="707">
      <c r="P707" s="161"/>
    </row>
    <row r="708">
      <c r="P708" s="161"/>
    </row>
    <row r="709">
      <c r="P709" s="161"/>
    </row>
    <row r="710">
      <c r="P710" s="161"/>
    </row>
    <row r="711">
      <c r="P711" s="161"/>
    </row>
    <row r="712">
      <c r="P712" s="161"/>
    </row>
    <row r="713">
      <c r="P713" s="161"/>
    </row>
    <row r="714">
      <c r="P714" s="161"/>
    </row>
    <row r="715">
      <c r="P715" s="161"/>
    </row>
    <row r="716">
      <c r="P716" s="161"/>
    </row>
    <row r="717">
      <c r="P717" s="161"/>
    </row>
    <row r="718">
      <c r="P718" s="161"/>
    </row>
    <row r="719">
      <c r="P719" s="161"/>
    </row>
    <row r="720">
      <c r="P720" s="161"/>
    </row>
    <row r="721">
      <c r="P721" s="161"/>
    </row>
    <row r="722">
      <c r="P722" s="161"/>
    </row>
    <row r="723">
      <c r="P723" s="161"/>
    </row>
    <row r="724">
      <c r="P724" s="161"/>
    </row>
    <row r="725">
      <c r="P725" s="161"/>
    </row>
    <row r="726">
      <c r="P726" s="161"/>
    </row>
    <row r="727">
      <c r="P727" s="161"/>
    </row>
    <row r="728">
      <c r="P728" s="161"/>
    </row>
    <row r="729">
      <c r="P729" s="161"/>
    </row>
    <row r="730">
      <c r="P730" s="161"/>
    </row>
    <row r="731">
      <c r="P731" s="161"/>
    </row>
    <row r="732">
      <c r="P732" s="161"/>
    </row>
    <row r="733">
      <c r="P733" s="161"/>
    </row>
    <row r="734">
      <c r="P734" s="161"/>
    </row>
    <row r="735">
      <c r="P735" s="161"/>
    </row>
    <row r="736">
      <c r="P736" s="161"/>
    </row>
    <row r="737">
      <c r="P737" s="161"/>
    </row>
    <row r="738">
      <c r="P738" s="161"/>
    </row>
    <row r="739">
      <c r="P739" s="161"/>
    </row>
    <row r="740">
      <c r="P740" s="161"/>
    </row>
    <row r="741">
      <c r="P741" s="161"/>
    </row>
    <row r="742">
      <c r="P742" s="161"/>
    </row>
    <row r="743">
      <c r="P743" s="161"/>
    </row>
    <row r="744">
      <c r="P744" s="161"/>
    </row>
    <row r="745">
      <c r="P745" s="161"/>
    </row>
    <row r="746">
      <c r="P746" s="161"/>
    </row>
    <row r="747">
      <c r="P747" s="161"/>
    </row>
    <row r="748">
      <c r="P748" s="161"/>
    </row>
    <row r="749">
      <c r="P749" s="161"/>
    </row>
    <row r="750">
      <c r="P750" s="161"/>
    </row>
    <row r="751">
      <c r="P751" s="161"/>
    </row>
    <row r="752">
      <c r="P752" s="161"/>
    </row>
    <row r="753">
      <c r="P753" s="161"/>
    </row>
    <row r="754">
      <c r="P754" s="161"/>
    </row>
    <row r="755">
      <c r="P755" s="161"/>
    </row>
    <row r="756">
      <c r="P756" s="161"/>
    </row>
    <row r="757">
      <c r="P757" s="161"/>
    </row>
    <row r="758">
      <c r="P758" s="161"/>
    </row>
    <row r="759">
      <c r="P759" s="161"/>
    </row>
    <row r="760">
      <c r="P760" s="161"/>
    </row>
    <row r="761">
      <c r="P761" s="161"/>
    </row>
    <row r="762">
      <c r="P762" s="161"/>
    </row>
    <row r="763">
      <c r="P763" s="161"/>
    </row>
    <row r="764">
      <c r="P764" s="161"/>
    </row>
    <row r="765">
      <c r="P765" s="161"/>
    </row>
    <row r="766">
      <c r="P766" s="161"/>
    </row>
    <row r="767">
      <c r="P767" s="161"/>
    </row>
    <row r="768">
      <c r="P768" s="161"/>
    </row>
    <row r="769">
      <c r="P769" s="161"/>
    </row>
    <row r="770">
      <c r="P770" s="161"/>
    </row>
    <row r="771">
      <c r="P771" s="161"/>
    </row>
    <row r="772">
      <c r="P772" s="161"/>
    </row>
    <row r="773">
      <c r="P773" s="161"/>
    </row>
    <row r="774">
      <c r="P774" s="161"/>
    </row>
    <row r="775">
      <c r="P775" s="161"/>
    </row>
    <row r="776">
      <c r="P776" s="161"/>
    </row>
    <row r="777">
      <c r="P777" s="161"/>
    </row>
    <row r="778">
      <c r="P778" s="161"/>
    </row>
    <row r="779">
      <c r="P779" s="161"/>
    </row>
    <row r="780">
      <c r="P780" s="161"/>
    </row>
    <row r="781">
      <c r="P781" s="161"/>
    </row>
    <row r="782">
      <c r="P782" s="161"/>
    </row>
    <row r="783">
      <c r="P783" s="161"/>
    </row>
    <row r="784">
      <c r="P784" s="161"/>
    </row>
    <row r="785">
      <c r="P785" s="161"/>
    </row>
    <row r="786">
      <c r="P786" s="161"/>
    </row>
    <row r="787">
      <c r="P787" s="161"/>
    </row>
    <row r="788">
      <c r="P788" s="161"/>
    </row>
    <row r="789">
      <c r="P789" s="161"/>
    </row>
    <row r="790">
      <c r="P790" s="161"/>
    </row>
    <row r="791">
      <c r="P791" s="161"/>
    </row>
    <row r="792">
      <c r="P792" s="161"/>
    </row>
    <row r="793">
      <c r="P793" s="161"/>
    </row>
    <row r="794">
      <c r="P794" s="161"/>
    </row>
    <row r="795">
      <c r="P795" s="161"/>
    </row>
    <row r="796">
      <c r="P796" s="161"/>
    </row>
    <row r="797">
      <c r="P797" s="161"/>
    </row>
    <row r="798">
      <c r="P798" s="161"/>
    </row>
    <row r="799">
      <c r="P799" s="161"/>
    </row>
    <row r="800">
      <c r="P800" s="161"/>
    </row>
    <row r="801">
      <c r="P801" s="161"/>
    </row>
    <row r="802">
      <c r="P802" s="161"/>
    </row>
    <row r="803">
      <c r="P803" s="161"/>
    </row>
    <row r="804">
      <c r="P804" s="161"/>
    </row>
    <row r="805">
      <c r="P805" s="161"/>
    </row>
    <row r="806">
      <c r="P806" s="161"/>
    </row>
    <row r="807">
      <c r="P807" s="161"/>
    </row>
    <row r="808">
      <c r="P808" s="161"/>
    </row>
    <row r="809">
      <c r="P809" s="161"/>
    </row>
    <row r="810">
      <c r="P810" s="161"/>
    </row>
    <row r="811">
      <c r="P811" s="161"/>
    </row>
    <row r="812">
      <c r="P812" s="161"/>
    </row>
    <row r="813">
      <c r="P813" s="161"/>
    </row>
    <row r="814">
      <c r="P814" s="161"/>
    </row>
    <row r="815">
      <c r="P815" s="161"/>
    </row>
    <row r="816">
      <c r="P816" s="161"/>
    </row>
    <row r="817">
      <c r="P817" s="161"/>
    </row>
    <row r="818">
      <c r="P818" s="161"/>
    </row>
    <row r="819">
      <c r="P819" s="161"/>
    </row>
    <row r="820">
      <c r="P820" s="161"/>
    </row>
    <row r="821">
      <c r="P821" s="161"/>
    </row>
    <row r="822">
      <c r="P822" s="161"/>
    </row>
    <row r="823">
      <c r="P823" s="161"/>
    </row>
    <row r="824">
      <c r="P824" s="161"/>
    </row>
    <row r="825">
      <c r="P825" s="161"/>
    </row>
    <row r="826">
      <c r="P826" s="161"/>
    </row>
    <row r="827">
      <c r="P827" s="161"/>
    </row>
    <row r="828">
      <c r="P828" s="161"/>
    </row>
    <row r="829">
      <c r="P829" s="161"/>
    </row>
    <row r="830">
      <c r="P830" s="161"/>
    </row>
    <row r="831">
      <c r="P831" s="161"/>
    </row>
    <row r="832">
      <c r="P832" s="161"/>
    </row>
    <row r="833">
      <c r="P833" s="161"/>
    </row>
    <row r="834">
      <c r="P834" s="161"/>
    </row>
    <row r="835">
      <c r="P835" s="161"/>
    </row>
    <row r="836">
      <c r="P836" s="161"/>
    </row>
    <row r="837">
      <c r="P837" s="161"/>
    </row>
    <row r="838">
      <c r="P838" s="161"/>
    </row>
    <row r="839">
      <c r="P839" s="161"/>
    </row>
    <row r="840">
      <c r="P840" s="161"/>
    </row>
    <row r="841">
      <c r="P841" s="161"/>
    </row>
    <row r="842">
      <c r="P842" s="161"/>
    </row>
    <row r="843">
      <c r="P843" s="161"/>
    </row>
    <row r="844">
      <c r="P844" s="161"/>
    </row>
    <row r="845">
      <c r="P845" s="161"/>
    </row>
    <row r="846">
      <c r="P846" s="161"/>
    </row>
    <row r="847">
      <c r="P847" s="161"/>
    </row>
    <row r="848">
      <c r="P848" s="161"/>
    </row>
    <row r="849">
      <c r="P849" s="161"/>
    </row>
    <row r="850">
      <c r="P850" s="161"/>
    </row>
    <row r="851">
      <c r="P851" s="161"/>
    </row>
    <row r="852">
      <c r="P852" s="161"/>
    </row>
    <row r="853">
      <c r="P853" s="161"/>
    </row>
    <row r="854">
      <c r="P854" s="161"/>
    </row>
    <row r="855">
      <c r="P855" s="161"/>
    </row>
    <row r="856">
      <c r="P856" s="161"/>
    </row>
    <row r="857">
      <c r="P857" s="161"/>
    </row>
    <row r="858">
      <c r="P858" s="161"/>
    </row>
    <row r="859">
      <c r="P859" s="161"/>
    </row>
    <row r="860">
      <c r="P860" s="161"/>
    </row>
    <row r="861">
      <c r="P861" s="161"/>
    </row>
    <row r="862">
      <c r="P862" s="161"/>
    </row>
    <row r="863">
      <c r="P863" s="161"/>
    </row>
    <row r="864">
      <c r="P864" s="161"/>
    </row>
    <row r="865">
      <c r="P865" s="161"/>
    </row>
    <row r="866">
      <c r="P866" s="161"/>
    </row>
    <row r="867">
      <c r="P867" s="161"/>
    </row>
    <row r="868">
      <c r="P868" s="161"/>
    </row>
    <row r="869">
      <c r="P869" s="161"/>
    </row>
    <row r="870">
      <c r="P870" s="161"/>
    </row>
    <row r="871">
      <c r="P871" s="161"/>
    </row>
    <row r="872">
      <c r="P872" s="161"/>
    </row>
    <row r="873">
      <c r="P873" s="161"/>
    </row>
    <row r="874">
      <c r="P874" s="161"/>
    </row>
    <row r="875">
      <c r="P875" s="161"/>
    </row>
    <row r="876">
      <c r="P876" s="161"/>
    </row>
    <row r="877">
      <c r="P877" s="161"/>
    </row>
    <row r="878">
      <c r="P878" s="161"/>
    </row>
    <row r="879">
      <c r="P879" s="161"/>
    </row>
    <row r="880">
      <c r="P880" s="161"/>
    </row>
    <row r="881">
      <c r="P881" s="161"/>
    </row>
    <row r="882">
      <c r="P882" s="161"/>
    </row>
    <row r="883">
      <c r="P883" s="161"/>
    </row>
    <row r="884">
      <c r="P884" s="161"/>
    </row>
    <row r="885">
      <c r="P885" s="161"/>
    </row>
    <row r="886">
      <c r="P886" s="161"/>
    </row>
    <row r="887">
      <c r="P887" s="161"/>
    </row>
    <row r="888">
      <c r="P888" s="161"/>
    </row>
    <row r="889">
      <c r="P889" s="161"/>
    </row>
    <row r="890">
      <c r="P890" s="161"/>
    </row>
    <row r="891">
      <c r="P891" s="161"/>
    </row>
    <row r="892">
      <c r="P892" s="161"/>
    </row>
    <row r="893">
      <c r="P893" s="161"/>
    </row>
    <row r="894">
      <c r="P894" s="161"/>
    </row>
    <row r="895">
      <c r="P895" s="161"/>
    </row>
    <row r="896">
      <c r="P896" s="161"/>
    </row>
    <row r="897">
      <c r="P897" s="161"/>
    </row>
    <row r="898">
      <c r="P898" s="161"/>
    </row>
    <row r="899">
      <c r="P899" s="161"/>
    </row>
    <row r="900">
      <c r="P900" s="161"/>
    </row>
    <row r="901">
      <c r="P901" s="161"/>
    </row>
    <row r="902">
      <c r="P902" s="161"/>
    </row>
    <row r="903">
      <c r="P903" s="161"/>
    </row>
    <row r="904">
      <c r="P904" s="161"/>
    </row>
    <row r="905">
      <c r="P905" s="161"/>
    </row>
    <row r="906">
      <c r="P906" s="161"/>
    </row>
    <row r="907">
      <c r="P907" s="161"/>
    </row>
    <row r="908">
      <c r="P908" s="161"/>
    </row>
    <row r="909">
      <c r="P909" s="161"/>
    </row>
    <row r="910">
      <c r="P910" s="161"/>
    </row>
    <row r="911">
      <c r="P911" s="161"/>
    </row>
    <row r="912">
      <c r="P912" s="161"/>
    </row>
    <row r="913">
      <c r="P913" s="161"/>
    </row>
    <row r="914">
      <c r="P914" s="161"/>
    </row>
    <row r="915">
      <c r="P915" s="161"/>
    </row>
    <row r="916">
      <c r="P916" s="161"/>
    </row>
    <row r="917">
      <c r="P917" s="161"/>
    </row>
    <row r="918">
      <c r="P918" s="161"/>
    </row>
    <row r="919">
      <c r="P919" s="161"/>
    </row>
    <row r="920">
      <c r="P920" s="161"/>
    </row>
    <row r="921">
      <c r="P921" s="161"/>
    </row>
    <row r="922">
      <c r="P922" s="161"/>
    </row>
    <row r="923">
      <c r="P923" s="161"/>
    </row>
    <row r="924">
      <c r="P924" s="161"/>
    </row>
    <row r="925">
      <c r="P925" s="161"/>
    </row>
    <row r="926">
      <c r="P926" s="161"/>
    </row>
    <row r="927">
      <c r="P927" s="161"/>
    </row>
    <row r="928">
      <c r="P928" s="161"/>
    </row>
    <row r="929">
      <c r="P929" s="161"/>
    </row>
    <row r="930">
      <c r="P930" s="161"/>
    </row>
    <row r="931">
      <c r="P931" s="161"/>
    </row>
    <row r="932">
      <c r="P932" s="161"/>
    </row>
    <row r="933">
      <c r="P933" s="161"/>
    </row>
    <row r="934">
      <c r="P934" s="161"/>
    </row>
    <row r="935">
      <c r="P935" s="161"/>
    </row>
    <row r="936">
      <c r="P936" s="161"/>
    </row>
    <row r="937">
      <c r="P937" s="161"/>
    </row>
    <row r="938">
      <c r="P938" s="161"/>
    </row>
    <row r="939">
      <c r="P939" s="161"/>
    </row>
    <row r="940">
      <c r="P940" s="161"/>
    </row>
    <row r="941">
      <c r="P941" s="161"/>
    </row>
    <row r="942">
      <c r="P942" s="161"/>
    </row>
    <row r="943">
      <c r="P943" s="161"/>
    </row>
    <row r="944">
      <c r="P944" s="161"/>
    </row>
    <row r="945">
      <c r="P945" s="161"/>
    </row>
    <row r="946">
      <c r="P946" s="161"/>
    </row>
    <row r="947">
      <c r="P947" s="161"/>
    </row>
    <row r="948">
      <c r="P948" s="161"/>
    </row>
    <row r="949">
      <c r="P949" s="161"/>
    </row>
    <row r="950">
      <c r="P950" s="161"/>
    </row>
    <row r="951">
      <c r="P951" s="161"/>
    </row>
    <row r="952">
      <c r="P952" s="161"/>
    </row>
    <row r="953">
      <c r="P953" s="161"/>
    </row>
    <row r="954">
      <c r="P954" s="161"/>
    </row>
    <row r="955">
      <c r="P955" s="161"/>
    </row>
    <row r="956">
      <c r="P956" s="161"/>
    </row>
    <row r="957">
      <c r="P957" s="161"/>
    </row>
    <row r="958">
      <c r="P958" s="161"/>
    </row>
    <row r="959">
      <c r="P959" s="161"/>
    </row>
    <row r="960">
      <c r="P960" s="161"/>
    </row>
    <row r="961">
      <c r="P961" s="161"/>
    </row>
    <row r="962">
      <c r="P962" s="161"/>
    </row>
    <row r="963">
      <c r="P963" s="161"/>
    </row>
    <row r="964">
      <c r="P964" s="161"/>
    </row>
    <row r="965">
      <c r="P965" s="161"/>
    </row>
    <row r="966">
      <c r="P966" s="161"/>
    </row>
    <row r="967">
      <c r="P967" s="161"/>
    </row>
    <row r="968">
      <c r="P968" s="161"/>
    </row>
    <row r="969">
      <c r="P969" s="161"/>
    </row>
    <row r="970">
      <c r="P970" s="161"/>
    </row>
    <row r="971">
      <c r="P971" s="161"/>
    </row>
    <row r="972">
      <c r="P972" s="161"/>
    </row>
    <row r="973">
      <c r="P973" s="161"/>
    </row>
    <row r="974">
      <c r="P974" s="161"/>
    </row>
    <row r="975">
      <c r="P975" s="161"/>
    </row>
    <row r="976">
      <c r="P976" s="161"/>
    </row>
    <row r="977">
      <c r="P977" s="161"/>
    </row>
    <row r="978">
      <c r="P978" s="161"/>
    </row>
    <row r="979">
      <c r="P979" s="161"/>
    </row>
    <row r="980">
      <c r="P980" s="161"/>
    </row>
    <row r="981">
      <c r="P981" s="161"/>
    </row>
    <row r="982">
      <c r="P982" s="161"/>
    </row>
    <row r="983">
      <c r="P983" s="161"/>
    </row>
    <row r="984">
      <c r="P984" s="161"/>
    </row>
    <row r="985">
      <c r="P985" s="161"/>
    </row>
    <row r="986">
      <c r="P986" s="161"/>
    </row>
    <row r="987">
      <c r="P987" s="161"/>
    </row>
    <row r="988">
      <c r="P988" s="161"/>
    </row>
    <row r="989">
      <c r="P989" s="161"/>
    </row>
    <row r="990">
      <c r="P990" s="161"/>
    </row>
    <row r="991">
      <c r="P991" s="161"/>
    </row>
    <row r="992">
      <c r="P992" s="161"/>
    </row>
    <row r="993">
      <c r="P993" s="161"/>
    </row>
    <row r="994">
      <c r="P994" s="161"/>
    </row>
    <row r="995">
      <c r="P995" s="161"/>
    </row>
    <row r="996">
      <c r="P996" s="161"/>
    </row>
    <row r="997">
      <c r="P997" s="161"/>
    </row>
    <row r="998">
      <c r="P998" s="161"/>
    </row>
    <row r="999">
      <c r="P999" s="161"/>
    </row>
    <row r="1000">
      <c r="P1000" s="161"/>
    </row>
  </sheetData>
  <mergeCells count="4">
    <mergeCell ref="D6:M6"/>
    <mergeCell ref="D7:F7"/>
    <mergeCell ref="D9:D12"/>
    <mergeCell ref="F10:O11"/>
  </mergeCells>
  <conditionalFormatting sqref="G15:M98">
    <cfRule type="cellIs" dxfId="1" priority="1" operator="equal">
      <formula>"False"</formula>
    </cfRule>
  </conditionalFormatting>
  <conditionalFormatting sqref="G15:M98">
    <cfRule type="cellIs" dxfId="0" priority="2" operator="equal">
      <formula>"TRUE"</formula>
    </cfRule>
  </conditionalFormatting>
  <dataValidations>
    <dataValidation type="list" allowBlank="1" showErrorMessage="1" sqref="E15:E101">
      <formula1>Data!$A$2:$A$100</formula1>
    </dataValidation>
    <dataValidation type="list" allowBlank="1" showErrorMessage="1" sqref="F15:F101">
      <formula1>Data!$C$2:$C$8</formula1>
    </dataValidation>
  </dataValidations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3" width="2.63"/>
    <col customWidth="1" min="4" max="4" width="20.38"/>
    <col customWidth="1" min="5" max="5" width="11.38"/>
    <col customWidth="1" min="6" max="6" width="16.63"/>
    <col customWidth="1" min="7" max="13" width="8.63"/>
    <col customWidth="1" min="14" max="14" width="12.63"/>
    <col customWidth="1" min="15" max="15" width="15.13"/>
    <col customWidth="1" min="16" max="16" width="15.88"/>
    <col customWidth="1" min="17" max="17" width="2.63"/>
  </cols>
  <sheetData>
    <row r="1" ht="7.5" customHeight="1">
      <c r="A1" s="165" t="s">
        <v>347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5"/>
      <c r="O1" s="86"/>
      <c r="P1" s="155"/>
      <c r="Q1" s="86"/>
    </row>
    <row r="2" ht="15.0" customHeight="1">
      <c r="A2" s="87"/>
      <c r="B2" s="87"/>
      <c r="C2" s="87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7"/>
      <c r="P2" s="87"/>
      <c r="Q2" s="87"/>
    </row>
    <row r="3" ht="3.75" customHeight="1">
      <c r="A3" s="87"/>
      <c r="B3" s="87"/>
      <c r="C3" s="87"/>
      <c r="D3" s="89"/>
      <c r="E3" s="90"/>
      <c r="F3" s="90"/>
      <c r="G3" s="90"/>
      <c r="H3" s="90"/>
      <c r="I3" s="90"/>
      <c r="J3" s="90"/>
      <c r="K3" s="90"/>
      <c r="L3" s="90"/>
      <c r="M3" s="90"/>
      <c r="N3" s="90"/>
      <c r="O3" s="87"/>
      <c r="P3" s="87"/>
      <c r="Q3" s="87"/>
    </row>
    <row r="4" ht="15.0" customHeight="1">
      <c r="A4" s="87"/>
      <c r="B4" s="87"/>
      <c r="C4" s="87"/>
      <c r="D4" s="88"/>
      <c r="E4" s="88"/>
      <c r="F4" s="88"/>
      <c r="G4" s="91"/>
      <c r="H4" s="91"/>
      <c r="I4" s="91"/>
      <c r="J4" s="91"/>
      <c r="K4" s="91"/>
      <c r="L4" s="91"/>
      <c r="M4" s="91"/>
      <c r="N4" s="91"/>
      <c r="O4" s="87"/>
      <c r="P4" s="87"/>
      <c r="Q4" s="87"/>
    </row>
    <row r="5" ht="15.0" customHeight="1">
      <c r="A5" s="92"/>
      <c r="B5" s="92"/>
      <c r="C5" s="92"/>
      <c r="D5" s="88"/>
      <c r="E5" s="88"/>
      <c r="F5" s="88"/>
      <c r="G5" s="93"/>
      <c r="H5" s="93"/>
      <c r="I5" s="93"/>
      <c r="J5" s="93"/>
      <c r="K5" s="93"/>
      <c r="L5" s="93"/>
      <c r="M5" s="93"/>
      <c r="N5" s="94"/>
      <c r="O5" s="88"/>
      <c r="P5" s="92"/>
      <c r="Q5" s="92"/>
    </row>
    <row r="6" ht="15.0" customHeight="1">
      <c r="A6" s="92"/>
      <c r="B6" s="92"/>
      <c r="C6" s="92"/>
      <c r="D6" s="95" t="s">
        <v>348</v>
      </c>
      <c r="N6" s="94"/>
      <c r="O6" s="88"/>
      <c r="P6" s="92"/>
      <c r="Q6" s="92"/>
    </row>
    <row r="7" ht="15.0" customHeight="1">
      <c r="A7" s="92"/>
      <c r="B7" s="92"/>
      <c r="C7" s="92"/>
      <c r="D7" s="96" t="s">
        <v>278</v>
      </c>
      <c r="G7" s="97"/>
      <c r="H7" s="97"/>
      <c r="I7" s="97"/>
      <c r="J7" s="97"/>
      <c r="K7" s="97"/>
      <c r="L7" s="97"/>
      <c r="M7" s="97"/>
      <c r="N7" s="92"/>
      <c r="O7" s="92"/>
      <c r="P7" s="92"/>
      <c r="Q7" s="92"/>
    </row>
    <row r="8" ht="15.0" customHeight="1">
      <c r="A8" s="92"/>
      <c r="B8" s="92"/>
      <c r="C8" s="92"/>
      <c r="D8" s="97"/>
      <c r="E8" s="97"/>
      <c r="F8" s="97"/>
      <c r="G8" s="97"/>
      <c r="H8" s="97"/>
      <c r="I8" s="97"/>
      <c r="J8" s="97"/>
      <c r="K8" s="97"/>
      <c r="L8" s="97"/>
      <c r="M8" s="97"/>
      <c r="N8" s="92"/>
      <c r="O8" s="92"/>
      <c r="P8" s="92"/>
      <c r="Q8" s="92"/>
    </row>
    <row r="9" ht="15.0" customHeight="1">
      <c r="A9" s="92"/>
      <c r="B9" s="92"/>
      <c r="C9" s="98"/>
      <c r="D9" s="99" t="s">
        <v>35</v>
      </c>
      <c r="E9" s="100"/>
      <c r="F9" s="101"/>
      <c r="G9" s="101"/>
      <c r="H9" s="101"/>
      <c r="I9" s="101"/>
      <c r="J9" s="101"/>
      <c r="K9" s="101"/>
      <c r="L9" s="101"/>
      <c r="M9" s="101"/>
      <c r="N9" s="101"/>
      <c r="O9" s="100"/>
      <c r="P9" s="102"/>
      <c r="Q9" s="102"/>
    </row>
    <row r="10" ht="15.0" customHeight="1">
      <c r="A10" s="92"/>
      <c r="B10" s="92"/>
      <c r="C10" s="98"/>
      <c r="E10" s="100"/>
      <c r="F10" s="103" t="s">
        <v>36</v>
      </c>
      <c r="P10" s="102"/>
      <c r="Q10" s="102"/>
    </row>
    <row r="11" ht="15.0" customHeight="1">
      <c r="A11" s="92"/>
      <c r="B11" s="92"/>
      <c r="C11" s="98"/>
      <c r="E11" s="100"/>
      <c r="P11" s="102"/>
      <c r="Q11" s="102"/>
    </row>
    <row r="12" ht="15.0" customHeight="1">
      <c r="A12" s="88"/>
      <c r="B12" s="92"/>
      <c r="C12" s="92"/>
      <c r="E12" s="100"/>
      <c r="F12" s="100"/>
      <c r="G12" s="100"/>
      <c r="H12" s="100"/>
      <c r="I12" s="100"/>
      <c r="J12" s="100"/>
      <c r="K12" s="100"/>
      <c r="L12" s="100"/>
      <c r="M12" s="100"/>
      <c r="N12" s="100"/>
      <c r="O12" s="100"/>
      <c r="P12" s="102"/>
      <c r="Q12" s="102"/>
    </row>
    <row r="13" ht="15.0" customHeight="1">
      <c r="A13" s="88"/>
      <c r="B13" s="104"/>
      <c r="C13" s="104"/>
      <c r="D13" s="104"/>
      <c r="E13" s="104"/>
      <c r="F13" s="105"/>
      <c r="G13" s="105"/>
      <c r="H13" s="105"/>
      <c r="I13" s="105"/>
      <c r="J13" s="105"/>
      <c r="K13" s="105"/>
      <c r="L13" s="105"/>
      <c r="M13" s="105"/>
      <c r="N13" s="104"/>
      <c r="O13" s="104"/>
      <c r="P13" s="104"/>
      <c r="Q13" s="104"/>
    </row>
    <row r="14" ht="15.0" customHeight="1">
      <c r="A14" s="106"/>
      <c r="B14" s="106"/>
      <c r="C14" s="106"/>
      <c r="D14" s="107" t="s">
        <v>37</v>
      </c>
      <c r="E14" s="108" t="s">
        <v>38</v>
      </c>
      <c r="F14" s="109" t="s">
        <v>39</v>
      </c>
      <c r="G14" s="110">
        <v>44662.0</v>
      </c>
      <c r="H14" s="110">
        <v>44663.0</v>
      </c>
      <c r="I14" s="110">
        <v>44664.0</v>
      </c>
      <c r="J14" s="110">
        <v>44665.0</v>
      </c>
      <c r="K14" s="110">
        <v>44666.0</v>
      </c>
      <c r="L14" s="110">
        <v>44667.0</v>
      </c>
      <c r="M14" s="110">
        <v>44668.0</v>
      </c>
      <c r="N14" s="111" t="s">
        <v>40</v>
      </c>
      <c r="O14" s="111" t="s">
        <v>41</v>
      </c>
      <c r="P14" s="156" t="s">
        <v>281</v>
      </c>
      <c r="Q14" s="88"/>
    </row>
    <row r="15" ht="15.0" customHeight="1">
      <c r="A15" s="112"/>
      <c r="B15" s="112"/>
      <c r="C15" s="112"/>
      <c r="D15" s="129" t="s">
        <v>271</v>
      </c>
      <c r="E15" s="114" t="str">
        <f>VLOOKUP(D15,Data!H:I,2,0)</f>
        <v>Adıyaman</v>
      </c>
      <c r="F15" s="115" t="str">
        <f>VLOOKUP(D15,Data!H:J,3,0)</f>
        <v>Nazım Öztel</v>
      </c>
      <c r="G15" s="116" t="b">
        <v>0</v>
      </c>
      <c r="H15" s="116" t="b">
        <v>0</v>
      </c>
      <c r="I15" s="116" t="b">
        <v>0</v>
      </c>
      <c r="J15" s="116" t="b">
        <v>0</v>
      </c>
      <c r="K15" s="116" t="b">
        <v>0</v>
      </c>
      <c r="L15" s="116" t="b">
        <v>0</v>
      </c>
      <c r="M15" s="116" t="b">
        <v>0</v>
      </c>
      <c r="N15" s="117">
        <f t="shared" ref="N15:N36" si="1">COUNTIF(G15:M15,"TRUE")</f>
        <v>0</v>
      </c>
      <c r="O15" s="117">
        <f t="shared" ref="O15:O36" si="2">N15*4</f>
        <v>0</v>
      </c>
      <c r="P15" s="157" t="s">
        <v>328</v>
      </c>
      <c r="Q15" s="88"/>
    </row>
    <row r="16" ht="15.0" customHeight="1">
      <c r="A16" s="112"/>
      <c r="B16" s="112"/>
      <c r="C16" s="112"/>
      <c r="D16" s="129" t="s">
        <v>279</v>
      </c>
      <c r="E16" s="114" t="str">
        <f>VLOOKUP(D16,Data!H:I,2,0)</f>
        <v>Amasya</v>
      </c>
      <c r="F16" s="115" t="str">
        <f>VLOOKUP(D16,Data!H:J,3,0)</f>
        <v>Nazım Öztel</v>
      </c>
      <c r="G16" s="116" t="b">
        <v>0</v>
      </c>
      <c r="H16" s="116" t="b">
        <v>0</v>
      </c>
      <c r="I16" s="116" t="b">
        <v>0</v>
      </c>
      <c r="J16" s="116" t="b">
        <v>0</v>
      </c>
      <c r="K16" s="116" t="b">
        <v>0</v>
      </c>
      <c r="L16" s="116" t="b">
        <v>0</v>
      </c>
      <c r="M16" s="116" t="b">
        <v>0</v>
      </c>
      <c r="N16" s="117">
        <f t="shared" si="1"/>
        <v>0</v>
      </c>
      <c r="O16" s="117">
        <f t="shared" si="2"/>
        <v>0</v>
      </c>
      <c r="P16" s="157" t="s">
        <v>314</v>
      </c>
      <c r="Q16" s="88"/>
    </row>
    <row r="17" ht="15.0" customHeight="1">
      <c r="A17" s="112"/>
      <c r="B17" s="112"/>
      <c r="C17" s="112"/>
      <c r="D17" s="129" t="s">
        <v>246</v>
      </c>
      <c r="E17" s="114" t="str">
        <f>VLOOKUP(D17,Data!H:I,2,0)</f>
        <v>Ankara</v>
      </c>
      <c r="F17" s="115" t="str">
        <f>VLOOKUP(D17,Data!H:J,3,0)</f>
        <v>Nazım Öztel</v>
      </c>
      <c r="G17" s="116" t="b">
        <v>0</v>
      </c>
      <c r="H17" s="116" t="b">
        <v>0</v>
      </c>
      <c r="I17" s="116" t="b">
        <v>0</v>
      </c>
      <c r="J17" s="116" t="b">
        <v>0</v>
      </c>
      <c r="K17" s="116" t="b">
        <v>0</v>
      </c>
      <c r="L17" s="116" t="b">
        <v>0</v>
      </c>
      <c r="M17" s="116" t="b">
        <v>0</v>
      </c>
      <c r="N17" s="117">
        <f t="shared" si="1"/>
        <v>0</v>
      </c>
      <c r="O17" s="117">
        <f t="shared" si="2"/>
        <v>0</v>
      </c>
      <c r="P17" s="157" t="s">
        <v>309</v>
      </c>
      <c r="Q17" s="88"/>
    </row>
    <row r="18" ht="15.0" customHeight="1">
      <c r="A18" s="112"/>
      <c r="B18" s="112"/>
      <c r="C18" s="112"/>
      <c r="D18" s="129" t="s">
        <v>261</v>
      </c>
      <c r="E18" s="114" t="str">
        <f>VLOOKUP(D18,Data!H:I,2,0)</f>
        <v>Ankara</v>
      </c>
      <c r="F18" s="115" t="str">
        <f>VLOOKUP(D18,Data!H:J,3,0)</f>
        <v>Nazım Öztel</v>
      </c>
      <c r="G18" s="116" t="b">
        <v>0</v>
      </c>
      <c r="H18" s="116" t="b">
        <v>0</v>
      </c>
      <c r="I18" s="116" t="b">
        <v>0</v>
      </c>
      <c r="J18" s="116" t="b">
        <v>0</v>
      </c>
      <c r="K18" s="116" t="b">
        <v>0</v>
      </c>
      <c r="L18" s="116" t="b">
        <v>0</v>
      </c>
      <c r="M18" s="116" t="b">
        <v>0</v>
      </c>
      <c r="N18" s="117">
        <f t="shared" si="1"/>
        <v>0</v>
      </c>
      <c r="O18" s="117">
        <f t="shared" si="2"/>
        <v>0</v>
      </c>
      <c r="P18" s="157" t="s">
        <v>329</v>
      </c>
      <c r="Q18" s="88"/>
    </row>
    <row r="19" ht="15.0" customHeight="1">
      <c r="A19" s="106"/>
      <c r="B19" s="106"/>
      <c r="C19" s="106"/>
      <c r="D19" s="129" t="s">
        <v>164</v>
      </c>
      <c r="E19" s="114" t="str">
        <f>VLOOKUP(D19,Data!H:I,2,0)</f>
        <v>Antalya</v>
      </c>
      <c r="F19" s="115" t="str">
        <f>VLOOKUP(D19,Data!H:J,3,0)</f>
        <v>Nazım Öztel</v>
      </c>
      <c r="G19" s="116" t="b">
        <v>0</v>
      </c>
      <c r="H19" s="116" t="b">
        <v>0</v>
      </c>
      <c r="I19" s="116" t="b">
        <v>1</v>
      </c>
      <c r="J19" s="116" t="b">
        <v>1</v>
      </c>
      <c r="K19" s="116" t="b">
        <v>1</v>
      </c>
      <c r="L19" s="116" t="b">
        <v>0</v>
      </c>
      <c r="M19" s="116" t="b">
        <v>0</v>
      </c>
      <c r="N19" s="117">
        <f t="shared" si="1"/>
        <v>3</v>
      </c>
      <c r="O19" s="117">
        <f t="shared" si="2"/>
        <v>12</v>
      </c>
      <c r="P19" s="157"/>
      <c r="Q19" s="106"/>
    </row>
    <row r="20" ht="15.0" customHeight="1">
      <c r="A20" s="106"/>
      <c r="B20" s="106"/>
      <c r="C20" s="106"/>
      <c r="D20" s="162" t="s">
        <v>197</v>
      </c>
      <c r="E20" s="114" t="s">
        <v>262</v>
      </c>
      <c r="F20" s="115" t="s">
        <v>61</v>
      </c>
      <c r="G20" s="116" t="b">
        <v>0</v>
      </c>
      <c r="H20" s="116" t="b">
        <v>0</v>
      </c>
      <c r="I20" s="116" t="b">
        <v>0</v>
      </c>
      <c r="J20" s="116" t="b">
        <v>0</v>
      </c>
      <c r="K20" s="116" t="b">
        <v>0</v>
      </c>
      <c r="L20" s="116" t="b">
        <v>0</v>
      </c>
      <c r="M20" s="116" t="b">
        <v>0</v>
      </c>
      <c r="N20" s="117">
        <f t="shared" si="1"/>
        <v>0</v>
      </c>
      <c r="O20" s="117">
        <f t="shared" si="2"/>
        <v>0</v>
      </c>
      <c r="P20" s="157" t="s">
        <v>331</v>
      </c>
      <c r="Q20" s="106"/>
    </row>
    <row r="21" ht="15.0" customHeight="1">
      <c r="A21" s="112"/>
      <c r="B21" s="112"/>
      <c r="C21" s="112"/>
      <c r="D21" s="129" t="s">
        <v>241</v>
      </c>
      <c r="E21" s="114" t="s">
        <v>184</v>
      </c>
      <c r="F21" s="115" t="s">
        <v>61</v>
      </c>
      <c r="G21" s="116" t="b">
        <v>0</v>
      </c>
      <c r="H21" s="116" t="b">
        <v>0</v>
      </c>
      <c r="I21" s="116" t="b">
        <v>0</v>
      </c>
      <c r="J21" s="116" t="b">
        <v>0</v>
      </c>
      <c r="K21" s="116" t="b">
        <v>0</v>
      </c>
      <c r="L21" s="116" t="b">
        <v>0</v>
      </c>
      <c r="M21" s="116" t="b">
        <v>0</v>
      </c>
      <c r="N21" s="117">
        <f t="shared" si="1"/>
        <v>0</v>
      </c>
      <c r="O21" s="117">
        <f t="shared" si="2"/>
        <v>0</v>
      </c>
      <c r="P21" s="158" t="s">
        <v>332</v>
      </c>
      <c r="Q21" s="112"/>
    </row>
    <row r="22" ht="15.0" customHeight="1">
      <c r="A22" s="112"/>
      <c r="B22" s="112"/>
      <c r="C22" s="112"/>
      <c r="D22" s="129" t="s">
        <v>333</v>
      </c>
      <c r="E22" s="114" t="str">
        <f>VLOOKUP(D22,Data!H:I,2,0)</f>
        <v>#N/A</v>
      </c>
      <c r="F22" s="115" t="str">
        <f>VLOOKUP(D22,Data!H:J,3,0)</f>
        <v>#N/A</v>
      </c>
      <c r="G22" s="116" t="b">
        <v>0</v>
      </c>
      <c r="H22" s="116" t="b">
        <v>0</v>
      </c>
      <c r="I22" s="116" t="b">
        <v>0</v>
      </c>
      <c r="J22" s="116" t="b">
        <v>0</v>
      </c>
      <c r="K22" s="116" t="b">
        <v>0</v>
      </c>
      <c r="L22" s="116" t="b">
        <v>0</v>
      </c>
      <c r="M22" s="116" t="b">
        <v>0</v>
      </c>
      <c r="N22" s="117">
        <f t="shared" si="1"/>
        <v>0</v>
      </c>
      <c r="O22" s="117">
        <f t="shared" si="2"/>
        <v>0</v>
      </c>
      <c r="P22" s="157" t="s">
        <v>334</v>
      </c>
      <c r="Q22" s="112"/>
    </row>
    <row r="23" ht="15.0" customHeight="1">
      <c r="A23" s="112"/>
      <c r="B23" s="112"/>
      <c r="C23" s="112"/>
      <c r="D23" s="129" t="s">
        <v>53</v>
      </c>
      <c r="E23" s="114" t="str">
        <f>VLOOKUP(D23,Data!H:I,2,0)</f>
        <v>Bursa</v>
      </c>
      <c r="F23" s="115" t="str">
        <f>VLOOKUP(D23,Data!H:J,3,0)</f>
        <v>Freelance</v>
      </c>
      <c r="G23" s="116" t="b">
        <v>0</v>
      </c>
      <c r="H23" s="116" t="b">
        <v>0</v>
      </c>
      <c r="I23" s="116" t="b">
        <v>0</v>
      </c>
      <c r="J23" s="116" t="b">
        <v>0</v>
      </c>
      <c r="K23" s="116" t="b">
        <v>0</v>
      </c>
      <c r="L23" s="116" t="b">
        <v>0</v>
      </c>
      <c r="M23" s="116" t="b">
        <v>0</v>
      </c>
      <c r="N23" s="117">
        <f t="shared" si="1"/>
        <v>0</v>
      </c>
      <c r="O23" s="117">
        <f t="shared" si="2"/>
        <v>0</v>
      </c>
      <c r="P23" s="157"/>
      <c r="Q23" s="112"/>
    </row>
    <row r="24" ht="15.0" customHeight="1">
      <c r="A24" s="112"/>
      <c r="B24" s="112"/>
      <c r="C24" s="112"/>
      <c r="D24" s="129" t="s">
        <v>247</v>
      </c>
      <c r="E24" s="114" t="str">
        <f>VLOOKUP(D24,Data!H:I,2,0)</f>
        <v>Çanakkale</v>
      </c>
      <c r="F24" s="115" t="str">
        <f>VLOOKUP(D24,Data!H:J,3,0)</f>
        <v>Nazım Öztel</v>
      </c>
      <c r="G24" s="116" t="b">
        <v>0</v>
      </c>
      <c r="H24" s="116" t="b">
        <v>0</v>
      </c>
      <c r="I24" s="116" t="b">
        <v>0</v>
      </c>
      <c r="J24" s="116" t="b">
        <v>0</v>
      </c>
      <c r="K24" s="116" t="b">
        <v>0</v>
      </c>
      <c r="L24" s="116" t="b">
        <v>0</v>
      </c>
      <c r="M24" s="116" t="b">
        <v>0</v>
      </c>
      <c r="N24" s="117">
        <f t="shared" si="1"/>
        <v>0</v>
      </c>
      <c r="O24" s="117">
        <f t="shared" si="2"/>
        <v>0</v>
      </c>
      <c r="P24" s="157" t="s">
        <v>309</v>
      </c>
      <c r="Q24" s="112"/>
    </row>
    <row r="25" ht="15.0" customHeight="1">
      <c r="A25" s="112"/>
      <c r="B25" s="112"/>
      <c r="C25" s="112"/>
      <c r="D25" s="129" t="s">
        <v>221</v>
      </c>
      <c r="E25" s="114" t="str">
        <f>VLOOKUP(D25,Data!H:I,2,0)</f>
        <v>Çorum</v>
      </c>
      <c r="F25" s="115" t="str">
        <f>VLOOKUP(D25,Data!H:J,3,0)</f>
        <v>Nazım Öztel</v>
      </c>
      <c r="G25" s="116" t="b">
        <v>0</v>
      </c>
      <c r="H25" s="116" t="b">
        <v>0</v>
      </c>
      <c r="I25" s="116" t="b">
        <v>0</v>
      </c>
      <c r="J25" s="116" t="b">
        <v>0</v>
      </c>
      <c r="K25" s="116" t="b">
        <v>0</v>
      </c>
      <c r="L25" s="116" t="b">
        <v>0</v>
      </c>
      <c r="M25" s="116" t="b">
        <v>0</v>
      </c>
      <c r="N25" s="117">
        <f t="shared" si="1"/>
        <v>0</v>
      </c>
      <c r="O25" s="117">
        <f t="shared" si="2"/>
        <v>0</v>
      </c>
      <c r="P25" s="157" t="s">
        <v>314</v>
      </c>
      <c r="Q25" s="112"/>
    </row>
    <row r="26" ht="15.0" customHeight="1">
      <c r="A26" s="112"/>
      <c r="B26" s="112"/>
      <c r="C26" s="112"/>
      <c r="D26" s="129" t="s">
        <v>264</v>
      </c>
      <c r="E26" s="114" t="str">
        <f>VLOOKUP(D26,Data!H:I,2,0)</f>
        <v>Denizli</v>
      </c>
      <c r="F26" s="115" t="str">
        <f>VLOOKUP(D26,Data!H:J,3,0)</f>
        <v>Nazım Öztel</v>
      </c>
      <c r="G26" s="116" t="b">
        <v>0</v>
      </c>
      <c r="H26" s="116" t="b">
        <v>0</v>
      </c>
      <c r="I26" s="116" t="b">
        <v>1</v>
      </c>
      <c r="J26" s="116" t="b">
        <v>1</v>
      </c>
      <c r="K26" s="116" t="b">
        <v>1</v>
      </c>
      <c r="L26" s="116" t="b">
        <v>0</v>
      </c>
      <c r="M26" s="116" t="b">
        <v>0</v>
      </c>
      <c r="N26" s="117">
        <f t="shared" si="1"/>
        <v>3</v>
      </c>
      <c r="O26" s="117">
        <f t="shared" si="2"/>
        <v>12</v>
      </c>
      <c r="P26" s="157" t="s">
        <v>307</v>
      </c>
      <c r="Q26" s="112"/>
    </row>
    <row r="27" ht="15.0" customHeight="1">
      <c r="A27" s="112"/>
      <c r="B27" s="112"/>
      <c r="C27" s="112"/>
      <c r="D27" s="132" t="s">
        <v>54</v>
      </c>
      <c r="E27" s="114" t="str">
        <f>VLOOKUP(D27,Data!H:I,2,0)</f>
        <v>Diyarbakır</v>
      </c>
      <c r="F27" s="115" t="str">
        <f>VLOOKUP(D27,Data!H:J,3,0)</f>
        <v>Nazım Öztel</v>
      </c>
      <c r="G27" s="116" t="b">
        <v>0</v>
      </c>
      <c r="H27" s="116" t="b">
        <v>0</v>
      </c>
      <c r="I27" s="116" t="b">
        <v>0</v>
      </c>
      <c r="J27" s="116" t="b">
        <v>0</v>
      </c>
      <c r="K27" s="116" t="b">
        <v>0</v>
      </c>
      <c r="L27" s="116" t="b">
        <v>0</v>
      </c>
      <c r="M27" s="116" t="b">
        <v>0</v>
      </c>
      <c r="N27" s="117">
        <f t="shared" si="1"/>
        <v>0</v>
      </c>
      <c r="O27" s="117">
        <f t="shared" si="2"/>
        <v>0</v>
      </c>
      <c r="P27" s="157" t="s">
        <v>299</v>
      </c>
      <c r="Q27" s="112"/>
    </row>
    <row r="28" ht="15.0" customHeight="1">
      <c r="A28" s="112"/>
      <c r="B28" s="112"/>
      <c r="C28" s="112"/>
      <c r="D28" s="129" t="s">
        <v>173</v>
      </c>
      <c r="E28" s="114" t="str">
        <f>VLOOKUP(D28,Data!H:I,2,0)</f>
        <v>Düzce</v>
      </c>
      <c r="F28" s="115" t="str">
        <f>VLOOKUP(D28,Data!H:J,3,0)</f>
        <v>Nazım Öztel</v>
      </c>
      <c r="G28" s="116" t="b">
        <v>0</v>
      </c>
      <c r="H28" s="116" t="b">
        <v>0</v>
      </c>
      <c r="I28" s="116" t="b">
        <v>0</v>
      </c>
      <c r="J28" s="116" t="b">
        <v>0</v>
      </c>
      <c r="K28" s="116" t="b">
        <v>0</v>
      </c>
      <c r="L28" s="116" t="b">
        <v>0</v>
      </c>
      <c r="M28" s="116" t="b">
        <v>0</v>
      </c>
      <c r="N28" s="117">
        <f t="shared" si="1"/>
        <v>0</v>
      </c>
      <c r="O28" s="117">
        <f t="shared" si="2"/>
        <v>0</v>
      </c>
      <c r="P28" s="157" t="s">
        <v>314</v>
      </c>
      <c r="Q28" s="112"/>
    </row>
    <row r="29" ht="15.0" customHeight="1">
      <c r="A29" s="112"/>
      <c r="B29" s="112"/>
      <c r="C29" s="112"/>
      <c r="D29" s="129" t="s">
        <v>153</v>
      </c>
      <c r="E29" s="114" t="str">
        <f>VLOOKUP(D29,Data!H:I,2,0)</f>
        <v>Edirne</v>
      </c>
      <c r="F29" s="115" t="str">
        <f>VLOOKUP(D29,Data!H:J,3,0)</f>
        <v>Nazım Öztel</v>
      </c>
      <c r="G29" s="116" t="b">
        <v>0</v>
      </c>
      <c r="H29" s="116" t="b">
        <v>0</v>
      </c>
      <c r="I29" s="116" t="b">
        <v>0</v>
      </c>
      <c r="J29" s="116" t="b">
        <v>0</v>
      </c>
      <c r="K29" s="116" t="b">
        <v>0</v>
      </c>
      <c r="L29" s="116" t="b">
        <v>0</v>
      </c>
      <c r="M29" s="116" t="b">
        <v>0</v>
      </c>
      <c r="N29" s="117">
        <f t="shared" si="1"/>
        <v>0</v>
      </c>
      <c r="O29" s="117">
        <f t="shared" si="2"/>
        <v>0</v>
      </c>
      <c r="P29" s="157" t="s">
        <v>314</v>
      </c>
      <c r="Q29" s="112"/>
    </row>
    <row r="30" ht="15.0" customHeight="1">
      <c r="A30" s="112"/>
      <c r="B30" s="112"/>
      <c r="C30" s="112"/>
      <c r="D30" s="129" t="s">
        <v>199</v>
      </c>
      <c r="E30" s="114" t="str">
        <f>VLOOKUP(D30,Data!H:I,2,0)</f>
        <v>Elazığ</v>
      </c>
      <c r="F30" s="115" t="str">
        <f>VLOOKUP(D30,Data!H:J,3,0)</f>
        <v>Nazım Öztel</v>
      </c>
      <c r="G30" s="116" t="b">
        <v>0</v>
      </c>
      <c r="H30" s="116" t="b">
        <v>0</v>
      </c>
      <c r="I30" s="116" t="b">
        <v>0</v>
      </c>
      <c r="J30" s="116" t="b">
        <v>0</v>
      </c>
      <c r="K30" s="116" t="b">
        <v>0</v>
      </c>
      <c r="L30" s="116" t="b">
        <v>0</v>
      </c>
      <c r="M30" s="116" t="b">
        <v>0</v>
      </c>
      <c r="N30" s="117">
        <f t="shared" si="1"/>
        <v>0</v>
      </c>
      <c r="O30" s="117">
        <f t="shared" si="2"/>
        <v>0</v>
      </c>
      <c r="P30" s="157" t="s">
        <v>314</v>
      </c>
      <c r="Q30" s="112"/>
    </row>
    <row r="31" ht="15.0" customHeight="1">
      <c r="A31" s="112"/>
      <c r="B31" s="112"/>
      <c r="C31" s="112"/>
      <c r="D31" s="132" t="s">
        <v>55</v>
      </c>
      <c r="E31" s="114" t="str">
        <f>VLOOKUP(D31,Data!H:I,2,0)</f>
        <v>Erzurum</v>
      </c>
      <c r="F31" s="115" t="str">
        <f>VLOOKUP(D31,Data!H:J,3,0)</f>
        <v>Nazım Öztel</v>
      </c>
      <c r="G31" s="116" t="b">
        <v>0</v>
      </c>
      <c r="H31" s="116" t="b">
        <v>0</v>
      </c>
      <c r="I31" s="116" t="b">
        <v>0</v>
      </c>
      <c r="J31" s="116" t="b">
        <v>0</v>
      </c>
      <c r="K31" s="116" t="b">
        <v>0</v>
      </c>
      <c r="L31" s="116" t="b">
        <v>0</v>
      </c>
      <c r="M31" s="116" t="b">
        <v>0</v>
      </c>
      <c r="N31" s="117">
        <f t="shared" si="1"/>
        <v>0</v>
      </c>
      <c r="O31" s="117">
        <f t="shared" si="2"/>
        <v>0</v>
      </c>
      <c r="P31" s="157" t="s">
        <v>314</v>
      </c>
      <c r="Q31" s="112"/>
    </row>
    <row r="32" ht="15.0" customHeight="1">
      <c r="A32" s="112"/>
      <c r="B32" s="112"/>
      <c r="C32" s="112"/>
      <c r="D32" s="129" t="s">
        <v>165</v>
      </c>
      <c r="E32" s="114" t="str">
        <f>VLOOKUP(D32,Data!H:I,2,0)</f>
        <v>Eskişehir</v>
      </c>
      <c r="F32" s="115" t="str">
        <f>VLOOKUP(D32,Data!H:J,3,0)</f>
        <v>Nazım Öztel</v>
      </c>
      <c r="G32" s="116" t="b">
        <v>0</v>
      </c>
      <c r="H32" s="116" t="b">
        <v>0</v>
      </c>
      <c r="I32" s="116" t="b">
        <v>0</v>
      </c>
      <c r="J32" s="116" t="b">
        <v>0</v>
      </c>
      <c r="K32" s="116" t="b">
        <v>0</v>
      </c>
      <c r="L32" s="116" t="b">
        <v>0</v>
      </c>
      <c r="M32" s="116" t="b">
        <v>0</v>
      </c>
      <c r="N32" s="117">
        <f t="shared" si="1"/>
        <v>0</v>
      </c>
      <c r="O32" s="117">
        <f t="shared" si="2"/>
        <v>0</v>
      </c>
      <c r="P32" s="157"/>
      <c r="Q32" s="112"/>
    </row>
    <row r="33" ht="15.0" customHeight="1">
      <c r="A33" s="112"/>
      <c r="B33" s="112"/>
      <c r="C33" s="112"/>
      <c r="D33" s="129" t="s">
        <v>273</v>
      </c>
      <c r="E33" s="114" t="str">
        <f>VLOOKUP(D33,Data!H:I,2,0)</f>
        <v>Gaziantep</v>
      </c>
      <c r="F33" s="115" t="str">
        <f>VLOOKUP(D33,Data!H:J,3,0)</f>
        <v>Nazım Öztel</v>
      </c>
      <c r="G33" s="116" t="b">
        <v>0</v>
      </c>
      <c r="H33" s="116" t="b">
        <v>0</v>
      </c>
      <c r="I33" s="116" t="b">
        <v>0</v>
      </c>
      <c r="J33" s="116" t="b">
        <v>0</v>
      </c>
      <c r="K33" s="116" t="b">
        <v>0</v>
      </c>
      <c r="L33" s="116" t="b">
        <v>0</v>
      </c>
      <c r="M33" s="116" t="b">
        <v>0</v>
      </c>
      <c r="N33" s="117">
        <f t="shared" si="1"/>
        <v>0</v>
      </c>
      <c r="O33" s="117">
        <f t="shared" si="2"/>
        <v>0</v>
      </c>
      <c r="P33" s="157" t="s">
        <v>314</v>
      </c>
      <c r="Q33" s="112"/>
    </row>
    <row r="34" ht="15.0" customHeight="1">
      <c r="A34" s="112"/>
      <c r="B34" s="112"/>
      <c r="C34" s="112"/>
      <c r="D34" s="129" t="s">
        <v>248</v>
      </c>
      <c r="E34" s="114" t="str">
        <f>VLOOKUP(D34,Data!H:I,2,0)</f>
        <v>Hatay</v>
      </c>
      <c r="F34" s="115" t="str">
        <f>VLOOKUP(D34,Data!H:J,3,0)</f>
        <v>Nazım Öztel</v>
      </c>
      <c r="G34" s="116" t="b">
        <v>0</v>
      </c>
      <c r="H34" s="116" t="b">
        <v>0</v>
      </c>
      <c r="I34" s="116" t="b">
        <v>0</v>
      </c>
      <c r="J34" s="116" t="b">
        <v>0</v>
      </c>
      <c r="K34" s="116" t="b">
        <v>0</v>
      </c>
      <c r="L34" s="116" t="b">
        <v>0</v>
      </c>
      <c r="M34" s="116" t="b">
        <v>0</v>
      </c>
      <c r="N34" s="117">
        <f t="shared" si="1"/>
        <v>0</v>
      </c>
      <c r="O34" s="117">
        <f t="shared" si="2"/>
        <v>0</v>
      </c>
      <c r="P34" s="157" t="s">
        <v>314</v>
      </c>
      <c r="Q34" s="112"/>
    </row>
    <row r="35" ht="15.0" customHeight="1">
      <c r="A35" s="112"/>
      <c r="B35" s="112"/>
      <c r="C35" s="112"/>
      <c r="D35" s="129" t="s">
        <v>58</v>
      </c>
      <c r="E35" s="114" t="str">
        <f>VLOOKUP(D35,Data!H:I,2,0)</f>
        <v>İstanbul</v>
      </c>
      <c r="F35" s="115" t="str">
        <f>VLOOKUP(D35,Data!H:J,3,0)</f>
        <v>Freelance</v>
      </c>
      <c r="G35" s="116" t="b">
        <v>1</v>
      </c>
      <c r="H35" s="116" t="b">
        <v>1</v>
      </c>
      <c r="I35" s="116" t="b">
        <v>1</v>
      </c>
      <c r="J35" s="116" t="b">
        <v>1</v>
      </c>
      <c r="K35" s="116" t="b">
        <v>1</v>
      </c>
      <c r="L35" s="116" t="b">
        <v>0</v>
      </c>
      <c r="M35" s="116" t="b">
        <v>0</v>
      </c>
      <c r="N35" s="117">
        <f t="shared" si="1"/>
        <v>5</v>
      </c>
      <c r="O35" s="117">
        <f t="shared" si="2"/>
        <v>20</v>
      </c>
      <c r="P35" s="157"/>
      <c r="Q35" s="112"/>
    </row>
    <row r="36" ht="15.0" customHeight="1">
      <c r="A36" s="121"/>
      <c r="B36" s="121"/>
      <c r="C36" s="121"/>
      <c r="D36" s="129" t="s">
        <v>335</v>
      </c>
      <c r="E36" s="114" t="s">
        <v>237</v>
      </c>
      <c r="F36" s="115" t="s">
        <v>64</v>
      </c>
      <c r="G36" s="116" t="b">
        <v>0</v>
      </c>
      <c r="H36" s="116" t="b">
        <v>1</v>
      </c>
      <c r="I36" s="116" t="b">
        <v>1</v>
      </c>
      <c r="J36" s="116" t="b">
        <v>1</v>
      </c>
      <c r="K36" s="116" t="b">
        <v>0</v>
      </c>
      <c r="L36" s="116" t="b">
        <v>0</v>
      </c>
      <c r="M36" s="116" t="b">
        <v>0</v>
      </c>
      <c r="N36" s="117">
        <f t="shared" si="1"/>
        <v>3</v>
      </c>
      <c r="O36" s="117">
        <f t="shared" si="2"/>
        <v>12</v>
      </c>
      <c r="P36" s="157"/>
      <c r="Q36" s="121"/>
    </row>
    <row r="37" ht="15.0" customHeight="1">
      <c r="A37" s="112"/>
      <c r="B37" s="112"/>
      <c r="C37" s="112"/>
      <c r="D37" s="129" t="s">
        <v>336</v>
      </c>
      <c r="E37" s="114" t="s">
        <v>237</v>
      </c>
      <c r="F37" s="115" t="s">
        <v>64</v>
      </c>
      <c r="G37" s="116" t="b">
        <v>1</v>
      </c>
      <c r="H37" s="116" t="b">
        <v>1</v>
      </c>
      <c r="I37" s="116" t="b">
        <v>1</v>
      </c>
      <c r="J37" s="116" t="b">
        <v>1</v>
      </c>
      <c r="K37" s="116" t="b">
        <v>1</v>
      </c>
      <c r="L37" s="116" t="b">
        <v>0</v>
      </c>
      <c r="M37" s="116" t="b">
        <v>0</v>
      </c>
      <c r="N37" s="117"/>
      <c r="O37" s="117"/>
      <c r="P37" s="157"/>
      <c r="Q37" s="112"/>
    </row>
    <row r="38" ht="15.0" customHeight="1">
      <c r="A38" s="112"/>
      <c r="B38" s="112"/>
      <c r="C38" s="112"/>
      <c r="D38" s="129" t="s">
        <v>302</v>
      </c>
      <c r="E38" s="114" t="s">
        <v>237</v>
      </c>
      <c r="F38" s="115" t="s">
        <v>64</v>
      </c>
      <c r="G38" s="116" t="b">
        <v>0</v>
      </c>
      <c r="H38" s="116" t="b">
        <v>0</v>
      </c>
      <c r="I38" s="116" t="b">
        <v>0</v>
      </c>
      <c r="J38" s="116" t="b">
        <v>0</v>
      </c>
      <c r="K38" s="116" t="b">
        <v>0</v>
      </c>
      <c r="L38" s="116" t="b">
        <v>0</v>
      </c>
      <c r="M38" s="116" t="b">
        <v>0</v>
      </c>
      <c r="N38" s="117">
        <f t="shared" ref="N38:N96" si="3">COUNTIF(G38:M38,"TRUE")</f>
        <v>0</v>
      </c>
      <c r="O38" s="117">
        <f t="shared" ref="O38:O96" si="4">N38*4</f>
        <v>0</v>
      </c>
      <c r="P38" s="157"/>
      <c r="Q38" s="112"/>
    </row>
    <row r="39" ht="15.0" customHeight="1">
      <c r="A39" s="112"/>
      <c r="B39" s="112"/>
      <c r="C39" s="112"/>
      <c r="D39" s="129" t="s">
        <v>70</v>
      </c>
      <c r="E39" s="114" t="str">
        <f>VLOOKUP(D39,Data!H:I,2,0)</f>
        <v>İstanbul</v>
      </c>
      <c r="F39" s="115" t="str">
        <f>VLOOKUP(D39,Data!H:J,3,0)</f>
        <v>Freelance</v>
      </c>
      <c r="G39" s="116" t="b">
        <v>0</v>
      </c>
      <c r="H39" s="116" t="b">
        <v>0</v>
      </c>
      <c r="I39" s="116" t="b">
        <v>0</v>
      </c>
      <c r="J39" s="116" t="b">
        <v>0</v>
      </c>
      <c r="K39" s="116" t="b">
        <v>0</v>
      </c>
      <c r="L39" s="116" t="b">
        <v>0</v>
      </c>
      <c r="M39" s="116" t="b">
        <v>0</v>
      </c>
      <c r="N39" s="117">
        <f t="shared" si="3"/>
        <v>0</v>
      </c>
      <c r="O39" s="117">
        <f t="shared" si="4"/>
        <v>0</v>
      </c>
      <c r="P39" s="157" t="s">
        <v>309</v>
      </c>
      <c r="Q39" s="112"/>
    </row>
    <row r="40" ht="15.0" customHeight="1">
      <c r="A40" s="112"/>
      <c r="B40" s="112"/>
      <c r="C40" s="112"/>
      <c r="D40" s="129" t="s">
        <v>78</v>
      </c>
      <c r="E40" s="114" t="str">
        <f>VLOOKUP(D40,Data!H:I,2,0)</f>
        <v>İstanbul</v>
      </c>
      <c r="F40" s="115" t="str">
        <f>VLOOKUP(D40,Data!H:J,3,0)</f>
        <v>Freelance</v>
      </c>
      <c r="G40" s="116" t="b">
        <v>1</v>
      </c>
      <c r="H40" s="116" t="b">
        <v>1</v>
      </c>
      <c r="I40" s="116" t="b">
        <v>1</v>
      </c>
      <c r="J40" s="116" t="b">
        <v>1</v>
      </c>
      <c r="K40" s="116" t="b">
        <v>1</v>
      </c>
      <c r="L40" s="116" t="b">
        <v>0</v>
      </c>
      <c r="M40" s="116" t="b">
        <v>0</v>
      </c>
      <c r="N40" s="117">
        <f t="shared" si="3"/>
        <v>5</v>
      </c>
      <c r="O40" s="117">
        <f t="shared" si="4"/>
        <v>20</v>
      </c>
      <c r="P40" s="157"/>
      <c r="Q40" s="112"/>
    </row>
    <row r="41" ht="15.0" customHeight="1">
      <c r="A41" s="112"/>
      <c r="B41" s="112"/>
      <c r="C41" s="112"/>
      <c r="D41" s="129" t="s">
        <v>79</v>
      </c>
      <c r="E41" s="114" t="str">
        <f>VLOOKUP(D41,Data!H:I,2,0)</f>
        <v>İstanbul</v>
      </c>
      <c r="F41" s="115" t="str">
        <f>VLOOKUP(D41,Data!H:J,3,0)</f>
        <v>Freelance</v>
      </c>
      <c r="G41" s="116" t="b">
        <v>0</v>
      </c>
      <c r="H41" s="116" t="b">
        <v>0</v>
      </c>
      <c r="I41" s="116" t="b">
        <v>0</v>
      </c>
      <c r="J41" s="116" t="b">
        <v>0</v>
      </c>
      <c r="K41" s="116" t="b">
        <v>0</v>
      </c>
      <c r="L41" s="116" t="b">
        <v>0</v>
      </c>
      <c r="M41" s="116" t="b">
        <v>0</v>
      </c>
      <c r="N41" s="117">
        <f t="shared" si="3"/>
        <v>0</v>
      </c>
      <c r="O41" s="117">
        <f t="shared" si="4"/>
        <v>0</v>
      </c>
      <c r="P41" s="157"/>
      <c r="Q41" s="112"/>
    </row>
    <row r="42" ht="15.0" customHeight="1">
      <c r="A42" s="122"/>
      <c r="B42" s="122"/>
      <c r="C42" s="122"/>
      <c r="D42" s="129" t="s">
        <v>80</v>
      </c>
      <c r="E42" s="114" t="str">
        <f>VLOOKUP(D42,Data!H:I,2,0)</f>
        <v>İstanbul</v>
      </c>
      <c r="F42" s="115" t="str">
        <f>VLOOKUP(D42,Data!H:J,3,0)</f>
        <v>Freelance</v>
      </c>
      <c r="G42" s="116" t="b">
        <v>1</v>
      </c>
      <c r="H42" s="116" t="b">
        <v>1</v>
      </c>
      <c r="I42" s="116" t="b">
        <v>1</v>
      </c>
      <c r="J42" s="116" t="b">
        <v>1</v>
      </c>
      <c r="K42" s="116" t="b">
        <v>1</v>
      </c>
      <c r="L42" s="116" t="b">
        <v>0</v>
      </c>
      <c r="M42" s="116" t="b">
        <v>0</v>
      </c>
      <c r="N42" s="117">
        <f t="shared" si="3"/>
        <v>5</v>
      </c>
      <c r="O42" s="117">
        <f t="shared" si="4"/>
        <v>20</v>
      </c>
      <c r="P42" s="157"/>
      <c r="Q42" s="122"/>
    </row>
    <row r="43" ht="15.0" customHeight="1">
      <c r="A43" s="112"/>
      <c r="B43" s="112"/>
      <c r="C43" s="112"/>
      <c r="D43" s="132" t="s">
        <v>119</v>
      </c>
      <c r="E43" s="114" t="str">
        <f>VLOOKUP(D43,Data!H:I,2,0)</f>
        <v>İstanbul</v>
      </c>
      <c r="F43" s="115" t="str">
        <f>VLOOKUP(D43,Data!H:J,3,0)</f>
        <v>Filamingo</v>
      </c>
      <c r="G43" s="116" t="b">
        <v>0</v>
      </c>
      <c r="H43" s="116" t="b">
        <v>0</v>
      </c>
      <c r="I43" s="116" t="b">
        <v>0</v>
      </c>
      <c r="J43" s="116" t="b">
        <v>0</v>
      </c>
      <c r="K43" s="116" t="b">
        <v>0</v>
      </c>
      <c r="L43" s="116" t="b">
        <v>0</v>
      </c>
      <c r="M43" s="116" t="b">
        <v>0</v>
      </c>
      <c r="N43" s="117">
        <f t="shared" si="3"/>
        <v>0</v>
      </c>
      <c r="O43" s="117">
        <f t="shared" si="4"/>
        <v>0</v>
      </c>
      <c r="P43" s="157"/>
      <c r="Q43" s="112"/>
    </row>
    <row r="44" ht="15.0" customHeight="1">
      <c r="A44" s="112"/>
      <c r="B44" s="112"/>
      <c r="C44" s="112"/>
      <c r="D44" s="129" t="s">
        <v>96</v>
      </c>
      <c r="E44" s="114" t="s">
        <v>237</v>
      </c>
      <c r="F44" s="115" t="s">
        <v>61</v>
      </c>
      <c r="G44" s="116" t="b">
        <v>0</v>
      </c>
      <c r="H44" s="116" t="b">
        <v>0</v>
      </c>
      <c r="I44" s="116" t="b">
        <v>0</v>
      </c>
      <c r="J44" s="116" t="b">
        <v>1</v>
      </c>
      <c r="K44" s="116" t="b">
        <v>1</v>
      </c>
      <c r="L44" s="116" t="b">
        <v>0</v>
      </c>
      <c r="M44" s="116" t="b">
        <v>0</v>
      </c>
      <c r="N44" s="117">
        <f t="shared" si="3"/>
        <v>2</v>
      </c>
      <c r="O44" s="117">
        <f t="shared" si="4"/>
        <v>8</v>
      </c>
      <c r="P44" s="157"/>
      <c r="Q44" s="112"/>
    </row>
    <row r="45" ht="15.0" customHeight="1">
      <c r="A45" s="112"/>
      <c r="B45" s="112"/>
      <c r="C45" s="112"/>
      <c r="D45" s="129" t="s">
        <v>217</v>
      </c>
      <c r="E45" s="114" t="str">
        <f>VLOOKUP(D45,Data!H:I,2,0)</f>
        <v>İstanbul</v>
      </c>
      <c r="F45" s="115" t="str">
        <f>VLOOKUP(D45,Data!H:J,3,0)</f>
        <v>Freelance</v>
      </c>
      <c r="G45" s="116" t="b">
        <v>0</v>
      </c>
      <c r="H45" s="116" t="b">
        <v>0</v>
      </c>
      <c r="I45" s="116" t="b">
        <v>0</v>
      </c>
      <c r="J45" s="116" t="b">
        <v>0</v>
      </c>
      <c r="K45" s="116" t="b">
        <v>0</v>
      </c>
      <c r="L45" s="116" t="b">
        <v>0</v>
      </c>
      <c r="M45" s="116" t="b">
        <v>0</v>
      </c>
      <c r="N45" s="117">
        <f t="shared" si="3"/>
        <v>0</v>
      </c>
      <c r="O45" s="117">
        <f t="shared" si="4"/>
        <v>0</v>
      </c>
      <c r="P45" s="157"/>
      <c r="Q45" s="112"/>
    </row>
    <row r="46" ht="15.0" customHeight="1">
      <c r="A46" s="112"/>
      <c r="B46" s="112"/>
      <c r="C46" s="112"/>
      <c r="D46" s="129" t="s">
        <v>81</v>
      </c>
      <c r="E46" s="114" t="str">
        <f>VLOOKUP(D46,Data!H:I,2,0)</f>
        <v>İstanbul</v>
      </c>
      <c r="F46" s="115" t="str">
        <f>VLOOKUP(D46,Data!H:J,3,0)</f>
        <v>Freelance</v>
      </c>
      <c r="G46" s="116" t="b">
        <v>0</v>
      </c>
      <c r="H46" s="116" t="b">
        <v>0</v>
      </c>
      <c r="I46" s="116" t="b">
        <v>0</v>
      </c>
      <c r="J46" s="116" t="b">
        <v>0</v>
      </c>
      <c r="K46" s="116" t="b">
        <v>0</v>
      </c>
      <c r="L46" s="116" t="b">
        <v>0</v>
      </c>
      <c r="M46" s="116" t="b">
        <v>0</v>
      </c>
      <c r="N46" s="117">
        <f t="shared" si="3"/>
        <v>0</v>
      </c>
      <c r="O46" s="117">
        <f t="shared" si="4"/>
        <v>0</v>
      </c>
      <c r="P46" s="157"/>
      <c r="Q46" s="112"/>
    </row>
    <row r="47" ht="15.0" customHeight="1">
      <c r="A47" s="112"/>
      <c r="B47" s="112"/>
      <c r="C47" s="112"/>
      <c r="D47" s="129" t="s">
        <v>201</v>
      </c>
      <c r="E47" s="114" t="str">
        <f>VLOOKUP(D47,Data!H:I,2,0)</f>
        <v>İstanbul</v>
      </c>
      <c r="F47" s="114" t="str">
        <f>VLOOKUP(D47,Data!H:J,3,0)</f>
        <v>Freelance</v>
      </c>
      <c r="G47" s="116" t="b">
        <v>0</v>
      </c>
      <c r="H47" s="116" t="b">
        <v>0</v>
      </c>
      <c r="I47" s="116" t="b">
        <v>0</v>
      </c>
      <c r="J47" s="116" t="b">
        <v>0</v>
      </c>
      <c r="K47" s="116" t="b">
        <v>0</v>
      </c>
      <c r="L47" s="116" t="b">
        <v>0</v>
      </c>
      <c r="M47" s="116" t="b">
        <v>0</v>
      </c>
      <c r="N47" s="117">
        <f t="shared" si="3"/>
        <v>0</v>
      </c>
      <c r="O47" s="117">
        <f t="shared" si="4"/>
        <v>0</v>
      </c>
      <c r="P47" s="157"/>
      <c r="Q47" s="112"/>
    </row>
    <row r="48" ht="15.0" customHeight="1">
      <c r="A48" s="112"/>
      <c r="B48" s="112"/>
      <c r="C48" s="112"/>
      <c r="D48" s="132" t="s">
        <v>83</v>
      </c>
      <c r="E48" s="114" t="str">
        <f>VLOOKUP(D48,Data!H:I,2,0)</f>
        <v>İstanbul</v>
      </c>
      <c r="F48" s="115" t="str">
        <f>VLOOKUP(D48,Data!H:J,3,0)</f>
        <v>Nazım Öztel</v>
      </c>
      <c r="G48" s="116" t="b">
        <v>0</v>
      </c>
      <c r="H48" s="116" t="b">
        <v>0</v>
      </c>
      <c r="I48" s="116" t="b">
        <v>0</v>
      </c>
      <c r="J48" s="116" t="b">
        <v>0</v>
      </c>
      <c r="K48" s="116" t="b">
        <v>0</v>
      </c>
      <c r="L48" s="116" t="b">
        <v>0</v>
      </c>
      <c r="M48" s="116" t="b">
        <v>0</v>
      </c>
      <c r="N48" s="117">
        <f t="shared" si="3"/>
        <v>0</v>
      </c>
      <c r="O48" s="117">
        <f t="shared" si="4"/>
        <v>0</v>
      </c>
      <c r="P48" s="157"/>
      <c r="Q48" s="112"/>
    </row>
    <row r="49" ht="15.0" customHeight="1">
      <c r="A49" s="112"/>
      <c r="B49" s="112"/>
      <c r="C49" s="112"/>
      <c r="D49" s="129" t="s">
        <v>224</v>
      </c>
      <c r="E49" s="145" t="str">
        <f>VLOOKUP(D49,Data!H:I,2,0)</f>
        <v>İstanbul</v>
      </c>
      <c r="F49" s="147" t="str">
        <f>VLOOKUP(D49,Data!H:J,3,0)</f>
        <v>Filamingo</v>
      </c>
      <c r="G49" s="116" t="b">
        <v>0</v>
      </c>
      <c r="H49" s="116" t="b">
        <v>0</v>
      </c>
      <c r="I49" s="116" t="b">
        <v>0</v>
      </c>
      <c r="J49" s="116" t="b">
        <v>0</v>
      </c>
      <c r="K49" s="116" t="b">
        <v>0</v>
      </c>
      <c r="L49" s="116" t="b">
        <v>0</v>
      </c>
      <c r="M49" s="116" t="b">
        <v>0</v>
      </c>
      <c r="N49" s="146">
        <f t="shared" si="3"/>
        <v>0</v>
      </c>
      <c r="O49" s="146">
        <f t="shared" si="4"/>
        <v>0</v>
      </c>
      <c r="P49" s="159" t="s">
        <v>309</v>
      </c>
      <c r="Q49" s="112"/>
    </row>
    <row r="50" ht="15.0" customHeight="1">
      <c r="A50" s="125"/>
      <c r="B50" s="125"/>
      <c r="C50" s="125"/>
      <c r="D50" s="129" t="s">
        <v>225</v>
      </c>
      <c r="E50" s="114" t="str">
        <f>VLOOKUP(D50,Data!H:I,2,0)</f>
        <v>İstanbul</v>
      </c>
      <c r="F50" s="115" t="str">
        <f>VLOOKUP(D50,Data!H:J,3,0)</f>
        <v>Filamingo</v>
      </c>
      <c r="G50" s="116" t="b">
        <v>0</v>
      </c>
      <c r="H50" s="116" t="b">
        <v>0</v>
      </c>
      <c r="I50" s="116" t="b">
        <v>0</v>
      </c>
      <c r="J50" s="116" t="b">
        <v>0</v>
      </c>
      <c r="K50" s="116" t="b">
        <v>0</v>
      </c>
      <c r="L50" s="116" t="b">
        <v>0</v>
      </c>
      <c r="M50" s="116" t="b">
        <v>0</v>
      </c>
      <c r="N50" s="117">
        <f t="shared" si="3"/>
        <v>0</v>
      </c>
      <c r="O50" s="117">
        <f t="shared" si="4"/>
        <v>0</v>
      </c>
      <c r="P50" s="157" t="s">
        <v>309</v>
      </c>
      <c r="Q50" s="125"/>
    </row>
    <row r="51" ht="15.0" customHeight="1">
      <c r="A51" s="125"/>
      <c r="B51" s="125"/>
      <c r="C51" s="125"/>
      <c r="D51" s="129" t="s">
        <v>145</v>
      </c>
      <c r="E51" s="114" t="str">
        <f>VLOOKUP(D51,Data!H:I,2,0)</f>
        <v>İstanbul</v>
      </c>
      <c r="F51" s="115" t="str">
        <f>VLOOKUP(D51,Data!H:J,3,0)</f>
        <v>Filamingo</v>
      </c>
      <c r="G51" s="116" t="b">
        <v>0</v>
      </c>
      <c r="H51" s="116" t="b">
        <v>0</v>
      </c>
      <c r="I51" s="116" t="b">
        <v>0</v>
      </c>
      <c r="J51" s="116" t="b">
        <v>0</v>
      </c>
      <c r="K51" s="116" t="b">
        <v>0</v>
      </c>
      <c r="L51" s="116" t="b">
        <v>0</v>
      </c>
      <c r="M51" s="116" t="b">
        <v>0</v>
      </c>
      <c r="N51" s="117">
        <f t="shared" si="3"/>
        <v>0</v>
      </c>
      <c r="O51" s="117">
        <f t="shared" si="4"/>
        <v>0</v>
      </c>
      <c r="P51" s="157"/>
      <c r="Q51" s="125"/>
    </row>
    <row r="52" ht="15.0" customHeight="1">
      <c r="A52" s="125"/>
      <c r="B52" s="125"/>
      <c r="C52" s="125"/>
      <c r="D52" s="129" t="s">
        <v>274</v>
      </c>
      <c r="E52" s="114" t="str">
        <f>VLOOKUP(D52,Data!H:I,2,0)</f>
        <v>İstanbul</v>
      </c>
      <c r="F52" s="115" t="str">
        <f>VLOOKUP(D52,Data!H:J,3,0)</f>
        <v>Filamingo</v>
      </c>
      <c r="G52" s="116" t="b">
        <v>0</v>
      </c>
      <c r="H52" s="116" t="b">
        <v>0</v>
      </c>
      <c r="I52" s="116" t="b">
        <v>0</v>
      </c>
      <c r="J52" s="116" t="b">
        <v>0</v>
      </c>
      <c r="K52" s="116" t="b">
        <v>0</v>
      </c>
      <c r="L52" s="116" t="b">
        <v>0</v>
      </c>
      <c r="M52" s="116" t="b">
        <v>0</v>
      </c>
      <c r="N52" s="117">
        <f t="shared" si="3"/>
        <v>0</v>
      </c>
      <c r="O52" s="117">
        <f t="shared" si="4"/>
        <v>0</v>
      </c>
      <c r="P52" s="157" t="s">
        <v>338</v>
      </c>
      <c r="Q52" s="125"/>
    </row>
    <row r="53" ht="15.0" customHeight="1">
      <c r="A53" s="125"/>
      <c r="B53" s="125"/>
      <c r="C53" s="125"/>
      <c r="D53" s="129" t="s">
        <v>87</v>
      </c>
      <c r="E53" s="114" t="str">
        <f>VLOOKUP(D53,Data!H:I,2,0)</f>
        <v>İstanbul</v>
      </c>
      <c r="F53" s="115" t="str">
        <f>VLOOKUP(D53,Data!H:J,3,0)</f>
        <v>Freelance</v>
      </c>
      <c r="G53" s="116" t="b">
        <v>0</v>
      </c>
      <c r="H53" s="116" t="b">
        <v>0</v>
      </c>
      <c r="I53" s="116" t="b">
        <v>0</v>
      </c>
      <c r="J53" s="116" t="b">
        <v>0</v>
      </c>
      <c r="K53" s="116" t="b">
        <v>0</v>
      </c>
      <c r="L53" s="116" t="b">
        <v>0</v>
      </c>
      <c r="M53" s="116" t="b">
        <v>0</v>
      </c>
      <c r="N53" s="117">
        <f t="shared" si="3"/>
        <v>0</v>
      </c>
      <c r="O53" s="117">
        <f t="shared" si="4"/>
        <v>0</v>
      </c>
      <c r="P53" s="157" t="s">
        <v>338</v>
      </c>
      <c r="Q53" s="125"/>
    </row>
    <row r="54" ht="15.0" customHeight="1">
      <c r="A54" s="125"/>
      <c r="B54" s="125"/>
      <c r="C54" s="125"/>
      <c r="D54" s="129" t="s">
        <v>337</v>
      </c>
      <c r="E54" s="114" t="s">
        <v>237</v>
      </c>
      <c r="F54" s="115" t="s">
        <v>64</v>
      </c>
      <c r="G54" s="116" t="b">
        <v>0</v>
      </c>
      <c r="H54" s="116" t="b">
        <v>0</v>
      </c>
      <c r="I54" s="116" t="b">
        <v>0</v>
      </c>
      <c r="J54" s="116" t="b">
        <v>0</v>
      </c>
      <c r="K54" s="116" t="b">
        <v>0</v>
      </c>
      <c r="L54" s="116" t="b">
        <v>0</v>
      </c>
      <c r="M54" s="116" t="b">
        <v>0</v>
      </c>
      <c r="N54" s="117">
        <f t="shared" si="3"/>
        <v>0</v>
      </c>
      <c r="O54" s="117">
        <f t="shared" si="4"/>
        <v>0</v>
      </c>
      <c r="P54" s="157"/>
      <c r="Q54" s="125"/>
    </row>
    <row r="55" ht="15.0" customHeight="1">
      <c r="A55" s="112"/>
      <c r="B55" s="112"/>
      <c r="C55" s="112"/>
      <c r="D55" s="129" t="s">
        <v>249</v>
      </c>
      <c r="E55" s="114" t="str">
        <f>VLOOKUP(D55,Data!H:I,2,0)</f>
        <v>İstanbul</v>
      </c>
      <c r="F55" s="115" t="str">
        <f>VLOOKUP(D55,Data!H:J,3,0)</f>
        <v>Nazım Öztel</v>
      </c>
      <c r="G55" s="116" t="b">
        <v>0</v>
      </c>
      <c r="H55" s="116" t="b">
        <v>0</v>
      </c>
      <c r="I55" s="116" t="b">
        <v>0</v>
      </c>
      <c r="J55" s="116" t="b">
        <v>0</v>
      </c>
      <c r="K55" s="116" t="b">
        <v>1</v>
      </c>
      <c r="L55" s="116" t="b">
        <v>0</v>
      </c>
      <c r="M55" s="116" t="b">
        <v>0</v>
      </c>
      <c r="N55" s="117">
        <f t="shared" si="3"/>
        <v>1</v>
      </c>
      <c r="O55" s="117">
        <f t="shared" si="4"/>
        <v>4</v>
      </c>
      <c r="P55" s="157" t="s">
        <v>338</v>
      </c>
      <c r="Q55" s="112"/>
    </row>
    <row r="56" ht="15.0" customHeight="1">
      <c r="A56" s="112"/>
      <c r="B56" s="112"/>
      <c r="C56" s="112"/>
      <c r="D56" s="129" t="s">
        <v>250</v>
      </c>
      <c r="E56" s="114" t="str">
        <f>VLOOKUP(D56,Data!H:I,2,0)</f>
        <v>İstanbul</v>
      </c>
      <c r="F56" s="115" t="str">
        <f>VLOOKUP(D56,Data!H:J,3,0)</f>
        <v>Filamingo</v>
      </c>
      <c r="G56" s="116" t="b">
        <v>0</v>
      </c>
      <c r="H56" s="116" t="b">
        <v>0</v>
      </c>
      <c r="I56" s="116" t="b">
        <v>0</v>
      </c>
      <c r="J56" s="116" t="b">
        <v>0</v>
      </c>
      <c r="K56" s="116" t="b">
        <v>0</v>
      </c>
      <c r="L56" s="116" t="b">
        <v>0</v>
      </c>
      <c r="M56" s="116" t="b">
        <v>0</v>
      </c>
      <c r="N56" s="117">
        <f t="shared" si="3"/>
        <v>0</v>
      </c>
      <c r="O56" s="117">
        <f t="shared" si="4"/>
        <v>0</v>
      </c>
      <c r="P56" s="157" t="s">
        <v>309</v>
      </c>
      <c r="Q56" s="112"/>
    </row>
    <row r="57" ht="15.0" customHeight="1">
      <c r="A57" s="112"/>
      <c r="B57" s="112"/>
      <c r="C57" s="112"/>
      <c r="D57" s="129" t="s">
        <v>251</v>
      </c>
      <c r="E57" s="114" t="str">
        <f>VLOOKUP(D57,Data!H:I,2,0)</f>
        <v>İstanbul</v>
      </c>
      <c r="F57" s="115" t="str">
        <f>VLOOKUP(D57,Data!H:J,3,0)</f>
        <v>Filamingo</v>
      </c>
      <c r="G57" s="116" t="b">
        <v>1</v>
      </c>
      <c r="H57" s="116" t="b">
        <v>1</v>
      </c>
      <c r="I57" s="116" t="b">
        <v>1</v>
      </c>
      <c r="J57" s="116" t="b">
        <v>1</v>
      </c>
      <c r="K57" s="116" t="b">
        <v>1</v>
      </c>
      <c r="L57" s="116" t="b">
        <v>0</v>
      </c>
      <c r="M57" s="116" t="b">
        <v>0</v>
      </c>
      <c r="N57" s="117">
        <f t="shared" si="3"/>
        <v>5</v>
      </c>
      <c r="O57" s="117">
        <f t="shared" si="4"/>
        <v>20</v>
      </c>
      <c r="P57" s="157"/>
      <c r="Q57" s="112"/>
    </row>
    <row r="58" ht="15.0" customHeight="1">
      <c r="A58" s="112"/>
      <c r="B58" s="112"/>
      <c r="C58" s="112"/>
      <c r="D58" s="129" t="s">
        <v>252</v>
      </c>
      <c r="E58" s="114" t="str">
        <f>VLOOKUP(D58,Data!H:I,2,0)</f>
        <v>İzmir</v>
      </c>
      <c r="F58" s="115" t="str">
        <f>VLOOKUP(D58,Data!H:J,3,0)</f>
        <v>Nazım Öztel</v>
      </c>
      <c r="G58" s="116" t="b">
        <v>1</v>
      </c>
      <c r="H58" s="116" t="b">
        <v>1</v>
      </c>
      <c r="I58" s="116" t="b">
        <v>1</v>
      </c>
      <c r="J58" s="116" t="b">
        <v>1</v>
      </c>
      <c r="K58" s="116" t="b">
        <v>0</v>
      </c>
      <c r="L58" s="116" t="b">
        <v>0</v>
      </c>
      <c r="M58" s="116" t="b">
        <v>0</v>
      </c>
      <c r="N58" s="117">
        <f t="shared" si="3"/>
        <v>4</v>
      </c>
      <c r="O58" s="117">
        <f t="shared" si="4"/>
        <v>16</v>
      </c>
      <c r="P58" s="157"/>
      <c r="Q58" s="112"/>
    </row>
    <row r="59" ht="15.0" customHeight="1">
      <c r="A59" s="112"/>
      <c r="B59" s="112"/>
      <c r="C59" s="112"/>
      <c r="D59" s="132" t="s">
        <v>92</v>
      </c>
      <c r="E59" s="114" t="str">
        <f>VLOOKUP(D59,Data!H:I,2,0)</f>
        <v>İzmir</v>
      </c>
      <c r="F59" s="115" t="str">
        <f>VLOOKUP(D59,Data!H:J,3,0)</f>
        <v>Nazım Öztel</v>
      </c>
      <c r="G59" s="116" t="b">
        <v>1</v>
      </c>
      <c r="H59" s="116" t="b">
        <v>0</v>
      </c>
      <c r="I59" s="116" t="b">
        <v>0</v>
      </c>
      <c r="J59" s="116" t="b">
        <v>0</v>
      </c>
      <c r="K59" s="116" t="b">
        <v>0</v>
      </c>
      <c r="L59" s="116" t="b">
        <v>0</v>
      </c>
      <c r="M59" s="116" t="b">
        <v>0</v>
      </c>
      <c r="N59" s="117">
        <f t="shared" si="3"/>
        <v>1</v>
      </c>
      <c r="O59" s="117">
        <f t="shared" si="4"/>
        <v>4</v>
      </c>
      <c r="P59" s="157"/>
      <c r="Q59" s="112"/>
    </row>
    <row r="60" ht="15.0" customHeight="1">
      <c r="A60" s="112"/>
      <c r="B60" s="112"/>
      <c r="C60" s="112"/>
      <c r="D60" s="129" t="s">
        <v>93</v>
      </c>
      <c r="E60" s="114" t="str">
        <f>VLOOKUP(D60,Data!H:I,2,0)</f>
        <v>İzmir</v>
      </c>
      <c r="F60" s="115" t="str">
        <f>VLOOKUP(D60,Data!H:J,3,0)</f>
        <v>Freelance</v>
      </c>
      <c r="G60" s="116" t="b">
        <v>1</v>
      </c>
      <c r="H60" s="116" t="b">
        <v>1</v>
      </c>
      <c r="I60" s="116" t="b">
        <v>1</v>
      </c>
      <c r="J60" s="116" t="b">
        <v>0</v>
      </c>
      <c r="K60" s="116" t="b">
        <v>0</v>
      </c>
      <c r="L60" s="116" t="b">
        <v>0</v>
      </c>
      <c r="M60" s="116" t="b">
        <v>0</v>
      </c>
      <c r="N60" s="117">
        <f t="shared" si="3"/>
        <v>3</v>
      </c>
      <c r="O60" s="117">
        <f t="shared" si="4"/>
        <v>12</v>
      </c>
      <c r="P60" s="157"/>
      <c r="Q60" s="112"/>
    </row>
    <row r="61" ht="15.0" customHeight="1">
      <c r="A61" s="112"/>
      <c r="B61" s="112"/>
      <c r="C61" s="112"/>
      <c r="D61" s="129" t="s">
        <v>161</v>
      </c>
      <c r="E61" s="143" t="str">
        <f>VLOOKUP(D61,Data!H:I,2,0)</f>
        <v>Kahramanmaraş</v>
      </c>
      <c r="F61" s="115" t="str">
        <f>VLOOKUP(D61,Data!H:J,3,0)</f>
        <v>Nazım Öztel</v>
      </c>
      <c r="G61" s="116" t="b">
        <v>0</v>
      </c>
      <c r="H61" s="116" t="b">
        <v>0</v>
      </c>
      <c r="I61" s="116" t="b">
        <v>0</v>
      </c>
      <c r="J61" s="116" t="b">
        <v>0</v>
      </c>
      <c r="K61" s="116" t="b">
        <v>0</v>
      </c>
      <c r="L61" s="116" t="b">
        <v>0</v>
      </c>
      <c r="M61" s="116" t="b">
        <v>0</v>
      </c>
      <c r="N61" s="117">
        <f t="shared" si="3"/>
        <v>0</v>
      </c>
      <c r="O61" s="117">
        <f t="shared" si="4"/>
        <v>0</v>
      </c>
      <c r="P61" s="157" t="s">
        <v>314</v>
      </c>
      <c r="Q61" s="112"/>
    </row>
    <row r="62" ht="15.0" customHeight="1">
      <c r="A62" s="112"/>
      <c r="B62" s="112"/>
      <c r="C62" s="112"/>
      <c r="D62" s="129" t="s">
        <v>243</v>
      </c>
      <c r="E62" s="114" t="str">
        <f>VLOOKUP(D62,Data!H:I,2,0)</f>
        <v>Kayseri</v>
      </c>
      <c r="F62" s="115" t="str">
        <f>VLOOKUP(D62,Data!H:J,3,0)</f>
        <v>Nazım Öztel</v>
      </c>
      <c r="G62" s="116" t="b">
        <v>0</v>
      </c>
      <c r="H62" s="116" t="b">
        <v>1</v>
      </c>
      <c r="I62" s="116" t="b">
        <v>1</v>
      </c>
      <c r="J62" s="116" t="b">
        <v>0</v>
      </c>
      <c r="K62" s="116" t="b">
        <v>0</v>
      </c>
      <c r="L62" s="116" t="b">
        <v>0</v>
      </c>
      <c r="M62" s="116" t="b">
        <v>0</v>
      </c>
      <c r="N62" s="117">
        <f t="shared" si="3"/>
        <v>2</v>
      </c>
      <c r="O62" s="117">
        <f t="shared" si="4"/>
        <v>8</v>
      </c>
      <c r="P62" s="157"/>
      <c r="Q62" s="112"/>
    </row>
    <row r="63" ht="15.0" customHeight="1">
      <c r="A63" s="112"/>
      <c r="B63" s="112"/>
      <c r="C63" s="112"/>
      <c r="D63" s="129" t="s">
        <v>253</v>
      </c>
      <c r="E63" s="114" t="str">
        <f>VLOOKUP(D63,Data!H:I,2,0)</f>
        <v>Kırklareli</v>
      </c>
      <c r="F63" s="115" t="str">
        <f>VLOOKUP(D63,Data!H:J,3,0)</f>
        <v>Nazım Öztel</v>
      </c>
      <c r="G63" s="116" t="b">
        <v>0</v>
      </c>
      <c r="H63" s="116" t="b">
        <v>0</v>
      </c>
      <c r="I63" s="116" t="b">
        <v>0</v>
      </c>
      <c r="J63" s="116" t="b">
        <v>0</v>
      </c>
      <c r="K63" s="116" t="b">
        <v>0</v>
      </c>
      <c r="L63" s="116" t="b">
        <v>0</v>
      </c>
      <c r="M63" s="116" t="b">
        <v>0</v>
      </c>
      <c r="N63" s="117">
        <f t="shared" si="3"/>
        <v>0</v>
      </c>
      <c r="O63" s="117">
        <f t="shared" si="4"/>
        <v>0</v>
      </c>
      <c r="P63" s="157" t="s">
        <v>314</v>
      </c>
      <c r="Q63" s="112"/>
    </row>
    <row r="64" ht="15.0" customHeight="1">
      <c r="A64" s="112"/>
      <c r="B64" s="112"/>
      <c r="C64" s="112"/>
      <c r="D64" s="132" t="s">
        <v>96</v>
      </c>
      <c r="E64" s="114" t="str">
        <f>VLOOKUP(D64,Data!H:I,2,0)</f>
        <v>Kocaeli</v>
      </c>
      <c r="F64" s="115" t="str">
        <f>VLOOKUP(D64,Data!H:J,3,0)</f>
        <v>Nazım Öztel</v>
      </c>
      <c r="G64" s="116" t="b">
        <v>0</v>
      </c>
      <c r="H64" s="116" t="b">
        <v>0</v>
      </c>
      <c r="I64" s="116" t="b">
        <v>0</v>
      </c>
      <c r="J64" s="116" t="b">
        <v>1</v>
      </c>
      <c r="K64" s="116" t="b">
        <v>1</v>
      </c>
      <c r="L64" s="116" t="b">
        <v>0</v>
      </c>
      <c r="M64" s="116" t="b">
        <v>0</v>
      </c>
      <c r="N64" s="117">
        <f t="shared" si="3"/>
        <v>2</v>
      </c>
      <c r="O64" s="117">
        <f t="shared" si="4"/>
        <v>8</v>
      </c>
      <c r="P64" s="157"/>
      <c r="Q64" s="112"/>
    </row>
    <row r="65" ht="15.0" customHeight="1">
      <c r="A65" s="112"/>
      <c r="B65" s="112"/>
      <c r="C65" s="112"/>
      <c r="D65" s="129" t="s">
        <v>147</v>
      </c>
      <c r="E65" s="114" t="str">
        <f>VLOOKUP(D65,Data!H:I,2,0)</f>
        <v>Kocaeli</v>
      </c>
      <c r="F65" s="115" t="str">
        <f>VLOOKUP(D65,Data!H:J,3,0)</f>
        <v>Nazım Öztel</v>
      </c>
      <c r="G65" s="116" t="b">
        <v>0</v>
      </c>
      <c r="H65" s="116" t="b">
        <v>0</v>
      </c>
      <c r="I65" s="116" t="b">
        <v>0</v>
      </c>
      <c r="J65" s="116" t="b">
        <v>0</v>
      </c>
      <c r="K65" s="116" t="b">
        <v>0</v>
      </c>
      <c r="L65" s="116" t="b">
        <v>0</v>
      </c>
      <c r="M65" s="116" t="b">
        <v>0</v>
      </c>
      <c r="N65" s="117">
        <f t="shared" si="3"/>
        <v>0</v>
      </c>
      <c r="O65" s="117">
        <f t="shared" si="4"/>
        <v>0</v>
      </c>
      <c r="P65" s="157" t="s">
        <v>340</v>
      </c>
      <c r="Q65" s="112"/>
    </row>
    <row r="66" ht="15.0" customHeight="1">
      <c r="A66" s="112"/>
      <c r="B66" s="112"/>
      <c r="C66" s="112"/>
      <c r="D66" s="129" t="s">
        <v>227</v>
      </c>
      <c r="E66" s="114" t="str">
        <f>VLOOKUP(D66,Data!H:I,2,0)</f>
        <v>Konya</v>
      </c>
      <c r="F66" s="115" t="str">
        <f>VLOOKUP(D66,Data!H:J,3,0)</f>
        <v>Nazım Öztel</v>
      </c>
      <c r="G66" s="116" t="b">
        <v>0</v>
      </c>
      <c r="H66" s="116" t="b">
        <v>0</v>
      </c>
      <c r="I66" s="116" t="b">
        <v>1</v>
      </c>
      <c r="J66" s="116" t="b">
        <v>1</v>
      </c>
      <c r="K66" s="116" t="b">
        <v>1</v>
      </c>
      <c r="L66" s="116" t="b">
        <v>0</v>
      </c>
      <c r="M66" s="116" t="b">
        <v>0</v>
      </c>
      <c r="N66" s="117">
        <f t="shared" si="3"/>
        <v>3</v>
      </c>
      <c r="O66" s="117">
        <f t="shared" si="4"/>
        <v>12</v>
      </c>
      <c r="P66" s="157"/>
      <c r="Q66" s="112"/>
    </row>
    <row r="67" ht="15.0" customHeight="1">
      <c r="A67" s="112"/>
      <c r="B67" s="112"/>
      <c r="C67" s="112"/>
      <c r="D67" s="129" t="s">
        <v>265</v>
      </c>
      <c r="E67" s="114" t="str">
        <f>VLOOKUP(D67,Data!H:I,2,0)</f>
        <v>Konya</v>
      </c>
      <c r="F67" s="115" t="str">
        <f>VLOOKUP(D67,Data!H:J,3,0)</f>
        <v>Nazım Öztel</v>
      </c>
      <c r="G67" s="116" t="b">
        <v>0</v>
      </c>
      <c r="H67" s="116" t="b">
        <v>0</v>
      </c>
      <c r="I67" s="116" t="b">
        <v>0</v>
      </c>
      <c r="J67" s="116" t="b">
        <v>0</v>
      </c>
      <c r="K67" s="116" t="b">
        <v>0</v>
      </c>
      <c r="L67" s="116" t="b">
        <v>0</v>
      </c>
      <c r="M67" s="116" t="b">
        <v>0</v>
      </c>
      <c r="N67" s="117">
        <f t="shared" si="3"/>
        <v>0</v>
      </c>
      <c r="O67" s="117">
        <f t="shared" si="4"/>
        <v>0</v>
      </c>
      <c r="P67" s="157"/>
      <c r="Q67" s="112"/>
    </row>
    <row r="68" ht="15.0" customHeight="1">
      <c r="A68" s="112"/>
      <c r="B68" s="112"/>
      <c r="C68" s="112"/>
      <c r="D68" s="129" t="s">
        <v>203</v>
      </c>
      <c r="E68" s="114" t="str">
        <f>VLOOKUP(D68,Data!H:I,2,0)</f>
        <v>Malatya</v>
      </c>
      <c r="F68" s="115" t="str">
        <f>VLOOKUP(D68,Data!H:J,3,0)</f>
        <v>Nazım Öztel</v>
      </c>
      <c r="G68" s="116" t="b">
        <v>0</v>
      </c>
      <c r="H68" s="116" t="b">
        <v>0</v>
      </c>
      <c r="I68" s="116" t="b">
        <v>1</v>
      </c>
      <c r="J68" s="116" t="b">
        <v>1</v>
      </c>
      <c r="K68" s="116" t="b">
        <v>0</v>
      </c>
      <c r="L68" s="116" t="b">
        <v>0</v>
      </c>
      <c r="M68" s="116" t="b">
        <v>0</v>
      </c>
      <c r="N68" s="117">
        <f t="shared" si="3"/>
        <v>2</v>
      </c>
      <c r="O68" s="117">
        <f t="shared" si="4"/>
        <v>8</v>
      </c>
      <c r="P68" s="157"/>
      <c r="Q68" s="112"/>
    </row>
    <row r="69" ht="15.0" customHeight="1">
      <c r="A69" s="112"/>
      <c r="B69" s="112"/>
      <c r="C69" s="112"/>
      <c r="D69" s="129" t="s">
        <v>254</v>
      </c>
      <c r="E69" s="114" t="str">
        <f>VLOOKUP(D69,Data!H:I,2,0)</f>
        <v>Manisa</v>
      </c>
      <c r="F69" s="115" t="str">
        <f>VLOOKUP(D69,Data!H:J,3,0)</f>
        <v>Nazım Öztel</v>
      </c>
      <c r="G69" s="116" t="b">
        <v>0</v>
      </c>
      <c r="H69" s="116" t="b">
        <v>1</v>
      </c>
      <c r="I69" s="116" t="b">
        <v>1</v>
      </c>
      <c r="J69" s="116" t="b">
        <v>1</v>
      </c>
      <c r="K69" s="116" t="b">
        <v>0</v>
      </c>
      <c r="L69" s="116" t="b">
        <v>0</v>
      </c>
      <c r="M69" s="116" t="b">
        <v>0</v>
      </c>
      <c r="N69" s="117">
        <f t="shared" si="3"/>
        <v>3</v>
      </c>
      <c r="O69" s="117">
        <f t="shared" si="4"/>
        <v>12</v>
      </c>
      <c r="P69" s="157" t="s">
        <v>349</v>
      </c>
      <c r="Q69" s="112"/>
    </row>
    <row r="70" ht="15.0" customHeight="1">
      <c r="A70" s="112"/>
      <c r="B70" s="112"/>
      <c r="C70" s="112"/>
      <c r="D70" s="129" t="s">
        <v>255</v>
      </c>
      <c r="E70" s="114" t="str">
        <f>VLOOKUP(D70,Data!H:I,2,0)</f>
        <v>Mardin</v>
      </c>
      <c r="F70" s="115" t="str">
        <f>VLOOKUP(D70,Data!H:J,3,0)</f>
        <v>Nazım Öztel</v>
      </c>
      <c r="G70" s="116" t="b">
        <v>0</v>
      </c>
      <c r="H70" s="116" t="b">
        <v>0</v>
      </c>
      <c r="I70" s="116" t="b">
        <v>0</v>
      </c>
      <c r="J70" s="116" t="b">
        <v>0</v>
      </c>
      <c r="K70" s="116" t="b">
        <v>0</v>
      </c>
      <c r="L70" s="116" t="b">
        <v>0</v>
      </c>
      <c r="M70" s="116" t="b">
        <v>0</v>
      </c>
      <c r="N70" s="117">
        <f t="shared" si="3"/>
        <v>0</v>
      </c>
      <c r="O70" s="117">
        <f t="shared" si="4"/>
        <v>0</v>
      </c>
      <c r="P70" s="157"/>
      <c r="Q70" s="112"/>
    </row>
    <row r="71" ht="15.0" customHeight="1">
      <c r="A71" s="112"/>
      <c r="B71" s="112"/>
      <c r="C71" s="112"/>
      <c r="D71" s="129" t="s">
        <v>294</v>
      </c>
      <c r="E71" s="114" t="str">
        <f>VLOOKUP(D71,Data!H:I,2,0)</f>
        <v>Mersin</v>
      </c>
      <c r="F71" s="115" t="str">
        <f>VLOOKUP(D71,Data!H:J,3,0)</f>
        <v>Nazım Öztel</v>
      </c>
      <c r="G71" s="116" t="b">
        <v>0</v>
      </c>
      <c r="H71" s="116" t="b">
        <v>0</v>
      </c>
      <c r="I71" s="116" t="b">
        <v>0</v>
      </c>
      <c r="J71" s="116" t="b">
        <v>0</v>
      </c>
      <c r="K71" s="116" t="b">
        <v>0</v>
      </c>
      <c r="L71" s="116" t="b">
        <v>0</v>
      </c>
      <c r="M71" s="116" t="b">
        <v>0</v>
      </c>
      <c r="N71" s="117">
        <f t="shared" si="3"/>
        <v>0</v>
      </c>
      <c r="O71" s="117">
        <f t="shared" si="4"/>
        <v>0</v>
      </c>
      <c r="P71" s="157"/>
      <c r="Q71" s="112"/>
    </row>
    <row r="72" ht="15.0" customHeight="1">
      <c r="A72" s="112"/>
      <c r="B72" s="112"/>
      <c r="C72" s="112"/>
      <c r="D72" s="129" t="s">
        <v>169</v>
      </c>
      <c r="E72" s="114" t="str">
        <f>VLOOKUP(D72,Data!H:I,2,0)</f>
        <v>Mersin</v>
      </c>
      <c r="F72" s="115" t="str">
        <f>VLOOKUP(D72,Data!H:J,3,0)</f>
        <v>Nazım Öztel</v>
      </c>
      <c r="G72" s="116" t="b">
        <v>0</v>
      </c>
      <c r="H72" s="116" t="b">
        <v>0</v>
      </c>
      <c r="I72" s="116" t="b">
        <v>0</v>
      </c>
      <c r="J72" s="116" t="b">
        <v>0</v>
      </c>
      <c r="K72" s="116" t="b">
        <v>0</v>
      </c>
      <c r="L72" s="116" t="b">
        <v>0</v>
      </c>
      <c r="M72" s="116" t="b">
        <v>0</v>
      </c>
      <c r="N72" s="117">
        <f t="shared" si="3"/>
        <v>0</v>
      </c>
      <c r="O72" s="117">
        <f t="shared" si="4"/>
        <v>0</v>
      </c>
      <c r="P72" s="157"/>
      <c r="Q72" s="112"/>
    </row>
    <row r="73" ht="15.0" customHeight="1">
      <c r="A73" s="112"/>
      <c r="B73" s="112"/>
      <c r="C73" s="112"/>
      <c r="D73" s="129" t="s">
        <v>148</v>
      </c>
      <c r="E73" s="114" t="str">
        <f>VLOOKUP(D73,Data!H:I,2,0)</f>
        <v>Muğla</v>
      </c>
      <c r="F73" s="115" t="str">
        <f>VLOOKUP(D73,Data!H:J,3,0)</f>
        <v>Nazım Öztel</v>
      </c>
      <c r="G73" s="116" t="b">
        <v>0</v>
      </c>
      <c r="H73" s="116" t="b">
        <v>0</v>
      </c>
      <c r="I73" s="116" t="b">
        <v>0</v>
      </c>
      <c r="J73" s="116" t="b">
        <v>0</v>
      </c>
      <c r="K73" s="116" t="b">
        <v>0</v>
      </c>
      <c r="L73" s="116" t="b">
        <v>0</v>
      </c>
      <c r="M73" s="116" t="b">
        <v>0</v>
      </c>
      <c r="N73" s="117">
        <f t="shared" si="3"/>
        <v>0</v>
      </c>
      <c r="O73" s="117">
        <f t="shared" si="4"/>
        <v>0</v>
      </c>
      <c r="P73" s="157"/>
      <c r="Q73" s="112"/>
    </row>
    <row r="74" ht="15.0" customHeight="1">
      <c r="A74" s="112"/>
      <c r="B74" s="112"/>
      <c r="C74" s="112"/>
      <c r="D74" s="129" t="s">
        <v>266</v>
      </c>
      <c r="E74" s="114" t="str">
        <f>VLOOKUP(D74,Data!H:I,2,0)</f>
        <v>Ordu</v>
      </c>
      <c r="F74" s="115" t="str">
        <f>VLOOKUP(D74,Data!H:J,3,0)</f>
        <v>Nazım Öztel</v>
      </c>
      <c r="G74" s="116" t="b">
        <v>0</v>
      </c>
      <c r="H74" s="116" t="b">
        <v>0</v>
      </c>
      <c r="I74" s="116" t="b">
        <v>0</v>
      </c>
      <c r="J74" s="116" t="b">
        <v>0</v>
      </c>
      <c r="K74" s="116" t="b">
        <v>0</v>
      </c>
      <c r="L74" s="116" t="b">
        <v>0</v>
      </c>
      <c r="M74" s="116" t="b">
        <v>0</v>
      </c>
      <c r="N74" s="117">
        <f t="shared" si="3"/>
        <v>0</v>
      </c>
      <c r="O74" s="117">
        <f t="shared" si="4"/>
        <v>0</v>
      </c>
      <c r="P74" s="157"/>
      <c r="Q74" s="112"/>
    </row>
    <row r="75" ht="15.0" customHeight="1">
      <c r="A75" s="112"/>
      <c r="B75" s="112"/>
      <c r="C75" s="112"/>
      <c r="D75" s="129" t="s">
        <v>256</v>
      </c>
      <c r="E75" s="114" t="s">
        <v>211</v>
      </c>
      <c r="F75" s="115" t="s">
        <v>61</v>
      </c>
      <c r="G75" s="116" t="b">
        <v>0</v>
      </c>
      <c r="H75" s="116" t="b">
        <v>0</v>
      </c>
      <c r="I75" s="116" t="b">
        <v>0</v>
      </c>
      <c r="J75" s="116" t="b">
        <v>0</v>
      </c>
      <c r="K75" s="116" t="b">
        <v>0</v>
      </c>
      <c r="L75" s="116" t="b">
        <v>0</v>
      </c>
      <c r="M75" s="116" t="b">
        <v>0</v>
      </c>
      <c r="N75" s="117">
        <f t="shared" si="3"/>
        <v>0</v>
      </c>
      <c r="O75" s="117">
        <f t="shared" si="4"/>
        <v>0</v>
      </c>
      <c r="P75" s="157"/>
      <c r="Q75" s="112"/>
    </row>
    <row r="76" ht="15.0" customHeight="1">
      <c r="A76" s="112"/>
      <c r="B76" s="112"/>
      <c r="C76" s="112"/>
      <c r="D76" s="129" t="s">
        <v>275</v>
      </c>
      <c r="E76" s="114" t="str">
        <f>VLOOKUP(D76,Data!H:I,2,0)</f>
        <v>Sakarya</v>
      </c>
      <c r="F76" s="115" t="str">
        <f>VLOOKUP(D76,Data!H:J,3,0)</f>
        <v>Nazım Öztel</v>
      </c>
      <c r="G76" s="116" t="b">
        <v>0</v>
      </c>
      <c r="H76" s="116" t="b">
        <v>0</v>
      </c>
      <c r="I76" s="116" t="b">
        <v>0</v>
      </c>
      <c r="J76" s="116" t="b">
        <v>0</v>
      </c>
      <c r="K76" s="116" t="b">
        <v>0</v>
      </c>
      <c r="L76" s="116" t="b">
        <v>0</v>
      </c>
      <c r="M76" s="116" t="b">
        <v>0</v>
      </c>
      <c r="N76" s="117">
        <f t="shared" si="3"/>
        <v>0</v>
      </c>
      <c r="O76" s="117">
        <f t="shared" si="4"/>
        <v>0</v>
      </c>
      <c r="P76" s="157" t="s">
        <v>324</v>
      </c>
      <c r="Q76" s="112"/>
    </row>
    <row r="77" ht="15.0" customHeight="1">
      <c r="A77" s="112"/>
      <c r="B77" s="112"/>
      <c r="C77" s="112"/>
      <c r="D77" s="129" t="s">
        <v>257</v>
      </c>
      <c r="E77" s="114" t="str">
        <f>VLOOKUP(D77,Data!H:I,2,0)</f>
        <v>Samsun</v>
      </c>
      <c r="F77" s="115" t="str">
        <f>VLOOKUP(D77,Data!H:J,3,0)</f>
        <v>Nazım Öztel</v>
      </c>
      <c r="G77" s="116" t="b">
        <v>0</v>
      </c>
      <c r="H77" s="116" t="b">
        <v>0</v>
      </c>
      <c r="I77" s="116" t="b">
        <v>0</v>
      </c>
      <c r="J77" s="116" t="b">
        <v>0</v>
      </c>
      <c r="K77" s="116" t="b">
        <v>0</v>
      </c>
      <c r="L77" s="116" t="b">
        <v>0</v>
      </c>
      <c r="M77" s="116" t="b">
        <v>0</v>
      </c>
      <c r="N77" s="117">
        <f t="shared" si="3"/>
        <v>0</v>
      </c>
      <c r="O77" s="117">
        <f t="shared" si="4"/>
        <v>0</v>
      </c>
      <c r="P77" s="157"/>
      <c r="Q77" s="112"/>
    </row>
    <row r="78" ht="15.0" customHeight="1">
      <c r="A78" s="112"/>
      <c r="B78" s="112"/>
      <c r="C78" s="112"/>
      <c r="D78" s="129" t="s">
        <v>267</v>
      </c>
      <c r="E78" s="114" t="str">
        <f>VLOOKUP(D78,Data!H:I,2,0)</f>
        <v>Sinop</v>
      </c>
      <c r="F78" s="115" t="str">
        <f>VLOOKUP(D78,Data!H:J,3,0)</f>
        <v>Nazım Öztel</v>
      </c>
      <c r="G78" s="116" t="b">
        <v>0</v>
      </c>
      <c r="H78" s="116" t="b">
        <v>0</v>
      </c>
      <c r="I78" s="116" t="b">
        <v>0</v>
      </c>
      <c r="J78" s="116" t="b">
        <v>0</v>
      </c>
      <c r="K78" s="116" t="b">
        <v>0</v>
      </c>
      <c r="L78" s="116" t="b">
        <v>0</v>
      </c>
      <c r="M78" s="116" t="b">
        <v>0</v>
      </c>
      <c r="N78" s="117">
        <f t="shared" si="3"/>
        <v>0</v>
      </c>
      <c r="O78" s="117">
        <f t="shared" si="4"/>
        <v>0</v>
      </c>
      <c r="P78" s="157"/>
      <c r="Q78" s="112"/>
    </row>
    <row r="79" ht="15.0" customHeight="1">
      <c r="A79" s="112"/>
      <c r="B79" s="112"/>
      <c r="C79" s="112"/>
      <c r="D79" s="129" t="s">
        <v>268</v>
      </c>
      <c r="E79" s="114" t="str">
        <f>VLOOKUP(D79,Data!H:I,2,0)</f>
        <v>Sivas</v>
      </c>
      <c r="F79" s="115" t="str">
        <f>VLOOKUP(D79,Data!H:J,3,0)</f>
        <v>Nazım Öztel</v>
      </c>
      <c r="G79" s="116" t="b">
        <v>0</v>
      </c>
      <c r="H79" s="116" t="b">
        <v>0</v>
      </c>
      <c r="I79" s="116" t="b">
        <v>0</v>
      </c>
      <c r="J79" s="116" t="b">
        <v>0</v>
      </c>
      <c r="K79" s="116" t="b">
        <v>0</v>
      </c>
      <c r="L79" s="116" t="b">
        <v>0</v>
      </c>
      <c r="M79" s="116" t="b">
        <v>0</v>
      </c>
      <c r="N79" s="117">
        <f t="shared" si="3"/>
        <v>0</v>
      </c>
      <c r="O79" s="117">
        <f t="shared" si="4"/>
        <v>0</v>
      </c>
      <c r="P79" s="157" t="s">
        <v>341</v>
      </c>
      <c r="Q79" s="112"/>
    </row>
    <row r="80" ht="15.0" customHeight="1">
      <c r="A80" s="112"/>
      <c r="B80" s="112"/>
      <c r="C80" s="112"/>
      <c r="D80" s="129" t="s">
        <v>104</v>
      </c>
      <c r="E80" s="114" t="str">
        <f>VLOOKUP(D80,Data!H:I,2,0)</f>
        <v>Tekirdağ</v>
      </c>
      <c r="F80" s="115" t="str">
        <f>VLOOKUP(D80,Data!H:J,3,0)</f>
        <v>Freelance</v>
      </c>
      <c r="G80" s="116" t="b">
        <v>0</v>
      </c>
      <c r="H80" s="116" t="b">
        <v>0</v>
      </c>
      <c r="I80" s="116" t="b">
        <v>0</v>
      </c>
      <c r="J80" s="116" t="b">
        <v>0</v>
      </c>
      <c r="K80" s="116" t="b">
        <v>0</v>
      </c>
      <c r="L80" s="116" t="b">
        <v>0</v>
      </c>
      <c r="M80" s="116" t="b">
        <v>0</v>
      </c>
      <c r="N80" s="117">
        <f t="shared" si="3"/>
        <v>0</v>
      </c>
      <c r="O80" s="117">
        <f t="shared" si="4"/>
        <v>0</v>
      </c>
      <c r="P80" s="157" t="s">
        <v>341</v>
      </c>
      <c r="Q80" s="112"/>
    </row>
    <row r="81" ht="15.0" customHeight="1">
      <c r="A81" s="112"/>
      <c r="B81" s="112"/>
      <c r="C81" s="112"/>
      <c r="D81" s="129" t="s">
        <v>258</v>
      </c>
      <c r="E81" s="114" t="str">
        <f>VLOOKUP(D81,Data!H:I,2,0)</f>
        <v>Tokat</v>
      </c>
      <c r="F81" s="115" t="str">
        <f>VLOOKUP(D81,Data!H:J,3,0)</f>
        <v>Nazım Öztel</v>
      </c>
      <c r="G81" s="116" t="b">
        <v>0</v>
      </c>
      <c r="H81" s="116" t="b">
        <v>0</v>
      </c>
      <c r="I81" s="116" t="b">
        <v>0</v>
      </c>
      <c r="J81" s="116" t="b">
        <v>0</v>
      </c>
      <c r="K81" s="116" t="b">
        <v>0</v>
      </c>
      <c r="L81" s="116" t="b">
        <v>0</v>
      </c>
      <c r="M81" s="116" t="b">
        <v>0</v>
      </c>
      <c r="N81" s="117">
        <f t="shared" si="3"/>
        <v>0</v>
      </c>
      <c r="O81" s="117">
        <f t="shared" si="4"/>
        <v>0</v>
      </c>
      <c r="P81" s="157"/>
      <c r="Q81" s="112"/>
    </row>
    <row r="82" ht="15.0" customHeight="1">
      <c r="A82" s="112"/>
      <c r="B82" s="112"/>
      <c r="C82" s="112"/>
      <c r="D82" s="129" t="s">
        <v>154</v>
      </c>
      <c r="E82" s="114" t="str">
        <f>VLOOKUP(D82,Data!H:I,2,0)</f>
        <v>Uşak</v>
      </c>
      <c r="F82" s="115" t="str">
        <f>VLOOKUP(D82,Data!H:J,3,0)</f>
        <v>Nazım Öztel</v>
      </c>
      <c r="G82" s="116" t="b">
        <v>0</v>
      </c>
      <c r="H82" s="116" t="b">
        <v>1</v>
      </c>
      <c r="I82" s="116" t="b">
        <v>0</v>
      </c>
      <c r="J82" s="116" t="b">
        <v>0</v>
      </c>
      <c r="K82" s="116" t="b">
        <v>0</v>
      </c>
      <c r="L82" s="116" t="b">
        <v>0</v>
      </c>
      <c r="M82" s="116" t="b">
        <v>0</v>
      </c>
      <c r="N82" s="117">
        <f t="shared" si="3"/>
        <v>1</v>
      </c>
      <c r="O82" s="117">
        <f t="shared" si="4"/>
        <v>4</v>
      </c>
      <c r="P82" s="157"/>
      <c r="Q82" s="112"/>
    </row>
    <row r="83" ht="15.0" customHeight="1">
      <c r="A83" s="112"/>
      <c r="B83" s="112"/>
      <c r="C83" s="112"/>
      <c r="D83" s="129" t="s">
        <v>276</v>
      </c>
      <c r="E83" s="114" t="str">
        <f>VLOOKUP(D83,Data!H:I,2,0)</f>
        <v>Zonguldak</v>
      </c>
      <c r="F83" s="115" t="str">
        <f>VLOOKUP(D83,Data!H:J,3,0)</f>
        <v>Nazım Öztel</v>
      </c>
      <c r="G83" s="116" t="b">
        <v>0</v>
      </c>
      <c r="H83" s="116" t="b">
        <v>0</v>
      </c>
      <c r="I83" s="116" t="b">
        <v>0</v>
      </c>
      <c r="J83" s="116" t="b">
        <v>0</v>
      </c>
      <c r="K83" s="116" t="b">
        <v>0</v>
      </c>
      <c r="L83" s="116" t="b">
        <v>0</v>
      </c>
      <c r="M83" s="116" t="b">
        <v>0</v>
      </c>
      <c r="N83" s="117">
        <f t="shared" si="3"/>
        <v>0</v>
      </c>
      <c r="O83" s="117">
        <f t="shared" si="4"/>
        <v>0</v>
      </c>
      <c r="P83" s="157"/>
      <c r="Q83" s="112"/>
    </row>
    <row r="84" ht="15.0" customHeight="1">
      <c r="A84" s="112"/>
      <c r="B84" s="112"/>
      <c r="C84" s="112"/>
      <c r="D84" s="113" t="s">
        <v>282</v>
      </c>
      <c r="E84" s="114" t="str">
        <f>VLOOKUP(D84,Data!H:I,2,0)</f>
        <v>Antalya</v>
      </c>
      <c r="F84" s="115" t="str">
        <f>VLOOKUP(D84,Data!H:J,3,0)</f>
        <v>Nazım Öztel</v>
      </c>
      <c r="G84" s="116" t="b">
        <v>0</v>
      </c>
      <c r="H84" s="116" t="b">
        <v>0</v>
      </c>
      <c r="I84" s="116" t="b">
        <v>0</v>
      </c>
      <c r="J84" s="116" t="b">
        <v>0</v>
      </c>
      <c r="K84" s="116" t="b">
        <v>0</v>
      </c>
      <c r="L84" s="116" t="b">
        <v>0</v>
      </c>
      <c r="M84" s="116" t="b">
        <v>0</v>
      </c>
      <c r="N84" s="117">
        <f t="shared" si="3"/>
        <v>0</v>
      </c>
      <c r="O84" s="117">
        <f t="shared" si="4"/>
        <v>0</v>
      </c>
      <c r="P84" s="157"/>
      <c r="Q84" s="112"/>
    </row>
    <row r="85" ht="15.0" customHeight="1">
      <c r="A85" s="112"/>
      <c r="B85" s="112"/>
      <c r="C85" s="112"/>
      <c r="D85" s="98" t="s">
        <v>283</v>
      </c>
      <c r="E85" s="114" t="str">
        <f>VLOOKUP(D85,Data!H:I,2,0)</f>
        <v>Adana</v>
      </c>
      <c r="F85" s="115" t="str">
        <f>VLOOKUP(D85,Data!H:J,3,0)</f>
        <v>Nazım Öztel</v>
      </c>
      <c r="G85" s="116" t="b">
        <v>0</v>
      </c>
      <c r="H85" s="116" t="b">
        <v>0</v>
      </c>
      <c r="I85" s="116" t="b">
        <v>0</v>
      </c>
      <c r="J85" s="116" t="b">
        <v>0</v>
      </c>
      <c r="K85" s="116" t="b">
        <v>0</v>
      </c>
      <c r="L85" s="116" t="b">
        <v>0</v>
      </c>
      <c r="M85" s="116" t="b">
        <v>0</v>
      </c>
      <c r="N85" s="117">
        <f t="shared" si="3"/>
        <v>0</v>
      </c>
      <c r="O85" s="117">
        <f t="shared" si="4"/>
        <v>0</v>
      </c>
      <c r="P85" s="157" t="s">
        <v>342</v>
      </c>
      <c r="Q85" s="112"/>
    </row>
    <row r="86" ht="15.0" customHeight="1">
      <c r="A86" s="112"/>
      <c r="B86" s="112"/>
      <c r="C86" s="112"/>
      <c r="D86" s="163" t="s">
        <v>284</v>
      </c>
      <c r="E86" s="114" t="str">
        <f>VLOOKUP(D86,Data!H:I,2,0)</f>
        <v>Iğdır</v>
      </c>
      <c r="F86" s="115" t="str">
        <f>VLOOKUP(D86,Data!H:J,3,0)</f>
        <v>Nazım Öztel</v>
      </c>
      <c r="G86" s="116" t="b">
        <v>0</v>
      </c>
      <c r="H86" s="116" t="b">
        <v>0</v>
      </c>
      <c r="I86" s="116" t="b">
        <v>0</v>
      </c>
      <c r="J86" s="116" t="b">
        <v>0</v>
      </c>
      <c r="K86" s="116" t="b">
        <v>0</v>
      </c>
      <c r="L86" s="116" t="b">
        <v>0</v>
      </c>
      <c r="M86" s="116" t="b">
        <v>0</v>
      </c>
      <c r="N86" s="117">
        <f t="shared" si="3"/>
        <v>0</v>
      </c>
      <c r="O86" s="117">
        <f t="shared" si="4"/>
        <v>0</v>
      </c>
      <c r="P86" s="157"/>
      <c r="Q86" s="112"/>
    </row>
    <row r="87" ht="15.0" customHeight="1">
      <c r="A87" s="112"/>
      <c r="B87" s="112"/>
      <c r="C87" s="112"/>
      <c r="D87" s="163" t="s">
        <v>285</v>
      </c>
      <c r="E87" s="114" t="str">
        <f>VLOOKUP(D87,Data!H:I,2,0)</f>
        <v>Bitlis</v>
      </c>
      <c r="F87" s="115" t="str">
        <f>VLOOKUP(D87,Data!H:J,3,0)</f>
        <v>Nazım Öztel</v>
      </c>
      <c r="G87" s="116" t="b">
        <v>0</v>
      </c>
      <c r="H87" s="116" t="b">
        <v>0</v>
      </c>
      <c r="I87" s="116" t="b">
        <v>0</v>
      </c>
      <c r="J87" s="116" t="b">
        <v>0</v>
      </c>
      <c r="K87" s="116" t="b">
        <v>0</v>
      </c>
      <c r="L87" s="116" t="b">
        <v>0</v>
      </c>
      <c r="M87" s="116" t="b">
        <v>0</v>
      </c>
      <c r="N87" s="117">
        <f t="shared" si="3"/>
        <v>0</v>
      </c>
      <c r="O87" s="117">
        <f t="shared" si="4"/>
        <v>0</v>
      </c>
      <c r="P87" s="157"/>
      <c r="Q87" s="112"/>
    </row>
    <row r="88" ht="15.0" customHeight="1">
      <c r="A88" s="112"/>
      <c r="B88" s="112"/>
      <c r="C88" s="112"/>
      <c r="D88" s="98" t="s">
        <v>286</v>
      </c>
      <c r="E88" s="114" t="str">
        <f>VLOOKUP(D88,Data!H:I,2,0)</f>
        <v>Trabzon</v>
      </c>
      <c r="F88" s="115" t="str">
        <f>VLOOKUP(D88,Data!H:J,3,0)</f>
        <v>Nazım Öztel</v>
      </c>
      <c r="G88" s="116" t="b">
        <v>0</v>
      </c>
      <c r="H88" s="116" t="b">
        <v>0</v>
      </c>
      <c r="I88" s="116" t="b">
        <v>0</v>
      </c>
      <c r="J88" s="116" t="b">
        <v>0</v>
      </c>
      <c r="K88" s="116" t="b">
        <v>0</v>
      </c>
      <c r="L88" s="116" t="b">
        <v>0</v>
      </c>
      <c r="M88" s="116" t="b">
        <v>0</v>
      </c>
      <c r="N88" s="117">
        <f t="shared" si="3"/>
        <v>0</v>
      </c>
      <c r="O88" s="117">
        <f t="shared" si="4"/>
        <v>0</v>
      </c>
      <c r="P88" s="157" t="s">
        <v>344</v>
      </c>
      <c r="Q88" s="112"/>
    </row>
    <row r="89" ht="15.0" customHeight="1">
      <c r="A89" s="112"/>
      <c r="B89" s="112"/>
      <c r="C89" s="112"/>
      <c r="D89" s="163" t="s">
        <v>287</v>
      </c>
      <c r="E89" s="114" t="str">
        <f>VLOOKUP(D89,Data!H:I,2,0)</f>
        <v>Ankara</v>
      </c>
      <c r="F89" s="115" t="str">
        <f>VLOOKUP(D89,Data!H:J,3,0)</f>
        <v>Nazım Öztel</v>
      </c>
      <c r="G89" s="116" t="b">
        <v>0</v>
      </c>
      <c r="H89" s="116" t="b">
        <v>0</v>
      </c>
      <c r="I89" s="116" t="b">
        <v>0</v>
      </c>
      <c r="J89" s="116" t="b">
        <v>0</v>
      </c>
      <c r="K89" s="116" t="b">
        <v>0</v>
      </c>
      <c r="L89" s="116" t="b">
        <v>0</v>
      </c>
      <c r="M89" s="116" t="b">
        <v>0</v>
      </c>
      <c r="N89" s="117">
        <f t="shared" si="3"/>
        <v>0</v>
      </c>
      <c r="O89" s="117">
        <f t="shared" si="4"/>
        <v>0</v>
      </c>
      <c r="P89" s="157"/>
      <c r="Q89" s="112"/>
    </row>
    <row r="90" ht="15.0" customHeight="1">
      <c r="A90" s="112"/>
      <c r="B90" s="112"/>
      <c r="C90" s="112"/>
      <c r="D90" s="163" t="s">
        <v>288</v>
      </c>
      <c r="E90" s="114" t="str">
        <f>VLOOKUP(D90,Data!H:I,2,0)</f>
        <v>Şanlıurfa</v>
      </c>
      <c r="F90" s="115" t="str">
        <f>VLOOKUP(D90,Data!H:J,3,0)</f>
        <v>Nazım Öztel</v>
      </c>
      <c r="G90" s="116" t="b">
        <v>0</v>
      </c>
      <c r="H90" s="116" t="b">
        <v>0</v>
      </c>
      <c r="I90" s="116" t="b">
        <v>0</v>
      </c>
      <c r="J90" s="116" t="b">
        <v>0</v>
      </c>
      <c r="K90" s="116" t="b">
        <v>0</v>
      </c>
      <c r="L90" s="116" t="b">
        <v>0</v>
      </c>
      <c r="M90" s="116" t="b">
        <v>0</v>
      </c>
      <c r="N90" s="117">
        <f t="shared" si="3"/>
        <v>0</v>
      </c>
      <c r="O90" s="117">
        <f t="shared" si="4"/>
        <v>0</v>
      </c>
      <c r="P90" s="157" t="s">
        <v>343</v>
      </c>
      <c r="Q90" s="112"/>
    </row>
    <row r="91" ht="15.0" customHeight="1">
      <c r="A91" s="112"/>
      <c r="B91" s="112"/>
      <c r="C91" s="112"/>
      <c r="D91" s="98" t="s">
        <v>289</v>
      </c>
      <c r="E91" s="114" t="str">
        <f>VLOOKUP(D91,Data!H:I,2,0)</f>
        <v>Elazığ</v>
      </c>
      <c r="F91" s="115" t="str">
        <f>VLOOKUP(D91,Data!H:J,3,0)</f>
        <v>Nazım Öztel</v>
      </c>
      <c r="G91" s="116" t="b">
        <v>1</v>
      </c>
      <c r="H91" s="116" t="b">
        <v>0</v>
      </c>
      <c r="I91" s="116" t="b">
        <v>0</v>
      </c>
      <c r="J91" s="116" t="b">
        <v>0</v>
      </c>
      <c r="K91" s="116" t="b">
        <v>0</v>
      </c>
      <c r="L91" s="116" t="b">
        <v>0</v>
      </c>
      <c r="M91" s="116" t="b">
        <v>0</v>
      </c>
      <c r="N91" s="117">
        <f t="shared" si="3"/>
        <v>1</v>
      </c>
      <c r="O91" s="117">
        <f t="shared" si="4"/>
        <v>4</v>
      </c>
      <c r="P91" s="157"/>
      <c r="Q91" s="112"/>
    </row>
    <row r="92" ht="15.0" customHeight="1">
      <c r="A92" s="112"/>
      <c r="B92" s="112"/>
      <c r="C92" s="112"/>
      <c r="D92" s="98" t="s">
        <v>290</v>
      </c>
      <c r="E92" s="114" t="str">
        <f>VLOOKUP(D92,Data!H:I,2,0)</f>
        <v>Bayburt</v>
      </c>
      <c r="F92" s="115" t="str">
        <f>VLOOKUP(D92,Data!H:J,3,0)</f>
        <v>Nazım Öztel</v>
      </c>
      <c r="G92" s="116" t="b">
        <v>0</v>
      </c>
      <c r="H92" s="116" t="b">
        <v>0</v>
      </c>
      <c r="I92" s="116" t="b">
        <v>0</v>
      </c>
      <c r="J92" s="116" t="b">
        <v>0</v>
      </c>
      <c r="K92" s="116" t="b">
        <v>0</v>
      </c>
      <c r="L92" s="116" t="b">
        <v>0</v>
      </c>
      <c r="M92" s="116" t="b">
        <v>0</v>
      </c>
      <c r="N92" s="117">
        <f t="shared" si="3"/>
        <v>0</v>
      </c>
      <c r="O92" s="117">
        <f t="shared" si="4"/>
        <v>0</v>
      </c>
      <c r="P92" s="157"/>
      <c r="Q92" s="112"/>
    </row>
    <row r="93" ht="15.0" customHeight="1">
      <c r="A93" s="112"/>
      <c r="B93" s="112"/>
      <c r="C93" s="112"/>
      <c r="D93" s="98" t="s">
        <v>291</v>
      </c>
      <c r="E93" s="114" t="str">
        <f>VLOOKUP(D93,Data!H:I,2,0)</f>
        <v>Bingöl</v>
      </c>
      <c r="F93" s="115" t="str">
        <f>VLOOKUP(D93,Data!H:J,3,0)</f>
        <v>Nazım Öztel</v>
      </c>
      <c r="G93" s="116" t="b">
        <v>0</v>
      </c>
      <c r="H93" s="116" t="b">
        <v>0</v>
      </c>
      <c r="I93" s="116" t="b">
        <v>0</v>
      </c>
      <c r="J93" s="116" t="b">
        <v>0</v>
      </c>
      <c r="K93" s="116" t="b">
        <v>0</v>
      </c>
      <c r="L93" s="116" t="b">
        <v>0</v>
      </c>
      <c r="M93" s="116" t="b">
        <v>0</v>
      </c>
      <c r="N93" s="117">
        <f t="shared" si="3"/>
        <v>0</v>
      </c>
      <c r="O93" s="117">
        <f t="shared" si="4"/>
        <v>0</v>
      </c>
      <c r="P93" s="157"/>
      <c r="Q93" s="112"/>
    </row>
    <row r="94" ht="15.0" customHeight="1">
      <c r="A94" s="112"/>
      <c r="B94" s="112"/>
      <c r="C94" s="112"/>
      <c r="D94" s="98" t="s">
        <v>292</v>
      </c>
      <c r="E94" s="114" t="str">
        <f>VLOOKUP(D94,Data!H:I,2,0)</f>
        <v>Diyarbakır</v>
      </c>
      <c r="F94" s="115" t="str">
        <f>VLOOKUP(D94,Data!H:J,3,0)</f>
        <v>Nazım Öztel</v>
      </c>
      <c r="G94" s="116" t="b">
        <v>0</v>
      </c>
      <c r="H94" s="116" t="b">
        <v>0</v>
      </c>
      <c r="I94" s="116" t="b">
        <v>0</v>
      </c>
      <c r="J94" s="116" t="b">
        <v>0</v>
      </c>
      <c r="K94" s="116" t="b">
        <v>0</v>
      </c>
      <c r="L94" s="116" t="b">
        <v>0</v>
      </c>
      <c r="M94" s="116" t="b">
        <v>0</v>
      </c>
      <c r="N94" s="117">
        <f t="shared" si="3"/>
        <v>0</v>
      </c>
      <c r="O94" s="117">
        <f t="shared" si="4"/>
        <v>0</v>
      </c>
      <c r="P94" s="157"/>
      <c r="Q94" s="112"/>
    </row>
    <row r="95" ht="15.0" customHeight="1">
      <c r="A95" s="112"/>
      <c r="B95" s="112"/>
      <c r="C95" s="112"/>
      <c r="D95" s="164" t="s">
        <v>293</v>
      </c>
      <c r="E95" s="114" t="str">
        <f>VLOOKUP(D95,Data!H:I,2,0)</f>
        <v>Çanakkale</v>
      </c>
      <c r="F95" s="115" t="str">
        <f>VLOOKUP(D95,Data!H:J,3,0)</f>
        <v>Nazım Öztel</v>
      </c>
      <c r="G95" s="116" t="b">
        <v>0</v>
      </c>
      <c r="H95" s="116" t="b">
        <v>0</v>
      </c>
      <c r="I95" s="116" t="b">
        <v>0</v>
      </c>
      <c r="J95" s="116" t="b">
        <v>0</v>
      </c>
      <c r="K95" s="116" t="b">
        <v>0</v>
      </c>
      <c r="L95" s="116" t="b">
        <v>0</v>
      </c>
      <c r="M95" s="116" t="b">
        <v>0</v>
      </c>
      <c r="N95" s="117">
        <f t="shared" si="3"/>
        <v>0</v>
      </c>
      <c r="O95" s="117">
        <f t="shared" si="4"/>
        <v>0</v>
      </c>
      <c r="P95" s="157"/>
      <c r="Q95" s="112"/>
    </row>
    <row r="96" ht="15.0" customHeight="1">
      <c r="A96" s="112"/>
      <c r="B96" s="112"/>
      <c r="C96" s="112"/>
      <c r="D96" s="163" t="s">
        <v>325</v>
      </c>
      <c r="E96" s="114" t="s">
        <v>326</v>
      </c>
      <c r="F96" s="115" t="s">
        <v>61</v>
      </c>
      <c r="G96" s="139" t="b">
        <v>0</v>
      </c>
      <c r="H96" s="139" t="b">
        <v>0</v>
      </c>
      <c r="I96" s="139" t="b">
        <v>0</v>
      </c>
      <c r="J96" s="139" t="b">
        <v>0</v>
      </c>
      <c r="K96" s="139" t="b">
        <v>0</v>
      </c>
      <c r="L96" s="139" t="b">
        <v>0</v>
      </c>
      <c r="M96" s="139" t="b">
        <v>0</v>
      </c>
      <c r="N96" s="117">
        <f t="shared" si="3"/>
        <v>0</v>
      </c>
      <c r="O96" s="117">
        <f t="shared" si="4"/>
        <v>0</v>
      </c>
      <c r="P96" s="157" t="s">
        <v>343</v>
      </c>
      <c r="Q96" s="112"/>
    </row>
    <row r="97" ht="15.0" customHeight="1">
      <c r="A97" s="112"/>
      <c r="B97" s="112"/>
      <c r="C97" s="112"/>
      <c r="D97" s="98" t="s">
        <v>296</v>
      </c>
      <c r="E97" s="114" t="str">
        <f>VLOOKUP(D97,Data!H:I,2,0)</f>
        <v>Bilecik</v>
      </c>
      <c r="F97" s="115" t="str">
        <f>VLOOKUP(D97,Data!H:J,3,0)</f>
        <v>Nazım Öztel</v>
      </c>
      <c r="G97" s="139" t="b">
        <v>0</v>
      </c>
      <c r="H97" s="139" t="b">
        <v>0</v>
      </c>
      <c r="I97" s="139" t="b">
        <v>0</v>
      </c>
      <c r="J97" s="139" t="b">
        <v>0</v>
      </c>
      <c r="K97" s="139" t="b">
        <v>0</v>
      </c>
      <c r="L97" s="139" t="b">
        <v>0</v>
      </c>
      <c r="M97" s="139" t="b">
        <v>0</v>
      </c>
      <c r="N97" s="117">
        <f t="shared" ref="N97:O97" si="5">SUM(N15:N95)</f>
        <v>54</v>
      </c>
      <c r="O97" s="117">
        <f t="shared" si="5"/>
        <v>216</v>
      </c>
      <c r="P97" s="157"/>
      <c r="Q97" s="112"/>
    </row>
    <row r="98" ht="15.0" customHeight="1">
      <c r="A98" s="112"/>
      <c r="B98" s="112"/>
      <c r="C98" s="112"/>
      <c r="D98" s="150" t="s">
        <v>345</v>
      </c>
      <c r="E98" s="144" t="s">
        <v>346</v>
      </c>
      <c r="F98" s="115" t="s">
        <v>61</v>
      </c>
      <c r="G98" s="116" t="b">
        <v>0</v>
      </c>
      <c r="H98" s="116" t="b">
        <v>0</v>
      </c>
      <c r="I98" s="116" t="b">
        <v>0</v>
      </c>
      <c r="J98" s="116" t="b">
        <v>0</v>
      </c>
      <c r="K98" s="116" t="b">
        <v>0</v>
      </c>
      <c r="L98" s="116" t="b">
        <v>0</v>
      </c>
      <c r="M98" s="116" t="b">
        <v>0</v>
      </c>
      <c r="N98" s="117">
        <f>COUNTIF(G98:M98,"TRUE")</f>
        <v>0</v>
      </c>
      <c r="O98" s="117">
        <f>N98*4</f>
        <v>0</v>
      </c>
      <c r="P98" s="157"/>
      <c r="Q98" s="112"/>
    </row>
    <row r="99" ht="15.0" customHeight="1">
      <c r="A99" s="112"/>
      <c r="B99" s="112"/>
      <c r="C99" s="112"/>
      <c r="D99" s="149"/>
      <c r="E99" s="144"/>
      <c r="F99" s="144"/>
      <c r="G99" s="135"/>
      <c r="H99" s="135"/>
      <c r="I99" s="135"/>
      <c r="J99" s="135"/>
      <c r="K99" s="135"/>
      <c r="L99" s="135"/>
      <c r="M99" s="135"/>
      <c r="N99" s="135"/>
      <c r="O99" s="135"/>
      <c r="P99" s="160"/>
      <c r="Q99" s="112"/>
    </row>
    <row r="100" ht="15.0" customHeight="1">
      <c r="A100" s="112"/>
      <c r="B100" s="112"/>
      <c r="C100" s="112"/>
      <c r="D100" s="149"/>
      <c r="E100" s="144"/>
      <c r="F100" s="144"/>
      <c r="G100" s="135"/>
      <c r="H100" s="135"/>
      <c r="I100" s="135"/>
      <c r="J100" s="135"/>
      <c r="K100" s="135"/>
      <c r="L100" s="135"/>
      <c r="M100" s="135"/>
      <c r="N100" s="135"/>
      <c r="O100" s="135"/>
      <c r="P100" s="160"/>
      <c r="Q100" s="112"/>
    </row>
    <row r="101" ht="15.0" customHeight="1">
      <c r="A101" s="112"/>
      <c r="B101" s="112"/>
      <c r="C101" s="112"/>
      <c r="D101" s="149"/>
      <c r="E101" s="144"/>
      <c r="F101" s="144"/>
      <c r="G101" s="135"/>
      <c r="H101" s="135"/>
      <c r="I101" s="135"/>
      <c r="J101" s="135"/>
      <c r="K101" s="135"/>
      <c r="L101" s="135"/>
      <c r="M101" s="135"/>
      <c r="N101" s="135"/>
      <c r="O101" s="135"/>
      <c r="P101" s="160"/>
      <c r="Q101" s="112"/>
    </row>
    <row r="102">
      <c r="P102" s="161"/>
    </row>
    <row r="103">
      <c r="P103" s="161"/>
    </row>
    <row r="104">
      <c r="P104" s="161"/>
    </row>
    <row r="105">
      <c r="P105" s="161"/>
    </row>
    <row r="106">
      <c r="P106" s="161"/>
    </row>
    <row r="107">
      <c r="P107" s="161"/>
    </row>
    <row r="108">
      <c r="P108" s="161"/>
    </row>
    <row r="109">
      <c r="P109" s="161"/>
    </row>
    <row r="110">
      <c r="P110" s="161"/>
    </row>
    <row r="111">
      <c r="P111" s="161"/>
    </row>
    <row r="112">
      <c r="P112" s="161"/>
    </row>
    <row r="113">
      <c r="P113" s="161"/>
    </row>
    <row r="114">
      <c r="P114" s="161"/>
    </row>
    <row r="115">
      <c r="P115" s="161"/>
    </row>
    <row r="116">
      <c r="P116" s="161"/>
    </row>
    <row r="117">
      <c r="P117" s="161"/>
    </row>
    <row r="118">
      <c r="P118" s="161"/>
    </row>
    <row r="119">
      <c r="P119" s="161"/>
    </row>
    <row r="120">
      <c r="P120" s="161"/>
    </row>
    <row r="121">
      <c r="P121" s="161"/>
    </row>
    <row r="122">
      <c r="P122" s="161"/>
    </row>
    <row r="123">
      <c r="P123" s="161"/>
    </row>
    <row r="124">
      <c r="P124" s="161"/>
    </row>
    <row r="125">
      <c r="P125" s="161"/>
    </row>
    <row r="126">
      <c r="P126" s="161"/>
    </row>
    <row r="127">
      <c r="P127" s="161"/>
    </row>
    <row r="128">
      <c r="P128" s="161"/>
    </row>
    <row r="129">
      <c r="P129" s="161"/>
    </row>
    <row r="130">
      <c r="P130" s="161"/>
    </row>
    <row r="131">
      <c r="P131" s="161"/>
    </row>
    <row r="132">
      <c r="P132" s="161"/>
    </row>
    <row r="133">
      <c r="P133" s="161"/>
    </row>
    <row r="134">
      <c r="P134" s="161"/>
    </row>
    <row r="135">
      <c r="P135" s="161"/>
    </row>
    <row r="136">
      <c r="P136" s="161"/>
    </row>
    <row r="137">
      <c r="P137" s="161"/>
    </row>
    <row r="138">
      <c r="P138" s="161"/>
    </row>
    <row r="139">
      <c r="P139" s="161"/>
    </row>
    <row r="140">
      <c r="P140" s="161"/>
    </row>
    <row r="141">
      <c r="P141" s="161"/>
    </row>
    <row r="142">
      <c r="P142" s="161"/>
    </row>
    <row r="143">
      <c r="P143" s="161"/>
    </row>
    <row r="144">
      <c r="P144" s="161"/>
    </row>
    <row r="145">
      <c r="P145" s="161"/>
    </row>
    <row r="146">
      <c r="P146" s="161"/>
    </row>
    <row r="147">
      <c r="P147" s="161"/>
    </row>
    <row r="148">
      <c r="P148" s="161"/>
    </row>
    <row r="149">
      <c r="P149" s="161"/>
    </row>
    <row r="150">
      <c r="P150" s="161"/>
    </row>
    <row r="151">
      <c r="P151" s="161"/>
    </row>
    <row r="152">
      <c r="P152" s="161"/>
    </row>
    <row r="153">
      <c r="P153" s="161"/>
    </row>
    <row r="154">
      <c r="P154" s="161"/>
    </row>
    <row r="155">
      <c r="P155" s="161"/>
    </row>
    <row r="156">
      <c r="P156" s="161"/>
    </row>
    <row r="157">
      <c r="P157" s="161"/>
    </row>
    <row r="158">
      <c r="P158" s="161"/>
    </row>
    <row r="159">
      <c r="P159" s="161"/>
    </row>
    <row r="160">
      <c r="P160" s="161"/>
    </row>
    <row r="161">
      <c r="P161" s="161"/>
    </row>
    <row r="162">
      <c r="P162" s="161"/>
    </row>
    <row r="163">
      <c r="P163" s="161"/>
    </row>
    <row r="164">
      <c r="P164" s="161"/>
    </row>
    <row r="165">
      <c r="P165" s="161"/>
    </row>
    <row r="166">
      <c r="P166" s="161"/>
    </row>
    <row r="167">
      <c r="P167" s="161"/>
    </row>
    <row r="168">
      <c r="P168" s="161"/>
    </row>
    <row r="169">
      <c r="P169" s="161"/>
    </row>
    <row r="170">
      <c r="P170" s="161"/>
    </row>
    <row r="171">
      <c r="P171" s="161"/>
    </row>
    <row r="172">
      <c r="P172" s="161"/>
    </row>
    <row r="173">
      <c r="P173" s="161"/>
    </row>
    <row r="174">
      <c r="P174" s="161"/>
    </row>
    <row r="175">
      <c r="P175" s="161"/>
    </row>
    <row r="176">
      <c r="P176" s="161"/>
    </row>
    <row r="177">
      <c r="P177" s="161"/>
    </row>
    <row r="178">
      <c r="P178" s="161"/>
    </row>
    <row r="179">
      <c r="P179" s="161"/>
    </row>
    <row r="180">
      <c r="P180" s="161"/>
    </row>
    <row r="181">
      <c r="P181" s="161"/>
    </row>
    <row r="182">
      <c r="P182" s="161"/>
    </row>
    <row r="183">
      <c r="P183" s="161"/>
    </row>
    <row r="184">
      <c r="P184" s="161"/>
    </row>
    <row r="185">
      <c r="P185" s="161"/>
    </row>
    <row r="186">
      <c r="P186" s="161"/>
    </row>
    <row r="187">
      <c r="P187" s="161"/>
    </row>
    <row r="188">
      <c r="P188" s="161"/>
    </row>
    <row r="189">
      <c r="P189" s="161"/>
    </row>
    <row r="190">
      <c r="P190" s="161"/>
    </row>
    <row r="191">
      <c r="P191" s="161"/>
    </row>
    <row r="192">
      <c r="P192" s="161"/>
    </row>
    <row r="193">
      <c r="P193" s="161"/>
    </row>
    <row r="194">
      <c r="P194" s="161"/>
    </row>
    <row r="195">
      <c r="P195" s="161"/>
    </row>
    <row r="196">
      <c r="P196" s="161"/>
    </row>
    <row r="197">
      <c r="P197" s="161"/>
    </row>
    <row r="198">
      <c r="P198" s="161"/>
    </row>
    <row r="199">
      <c r="P199" s="161"/>
    </row>
    <row r="200">
      <c r="P200" s="161"/>
    </row>
    <row r="201">
      <c r="P201" s="161"/>
    </row>
    <row r="202">
      <c r="P202" s="161"/>
    </row>
    <row r="203">
      <c r="P203" s="161"/>
    </row>
    <row r="204">
      <c r="P204" s="161"/>
    </row>
    <row r="205">
      <c r="P205" s="161"/>
    </row>
    <row r="206">
      <c r="P206" s="161"/>
    </row>
    <row r="207">
      <c r="P207" s="161"/>
    </row>
    <row r="208">
      <c r="P208" s="161"/>
    </row>
    <row r="209">
      <c r="P209" s="161"/>
    </row>
    <row r="210">
      <c r="P210" s="161"/>
    </row>
    <row r="211">
      <c r="P211" s="161"/>
    </row>
    <row r="212">
      <c r="P212" s="161"/>
    </row>
    <row r="213">
      <c r="P213" s="161"/>
    </row>
    <row r="214">
      <c r="P214" s="161"/>
    </row>
    <row r="215">
      <c r="P215" s="161"/>
    </row>
    <row r="216">
      <c r="P216" s="161"/>
    </row>
    <row r="217">
      <c r="P217" s="161"/>
    </row>
    <row r="218">
      <c r="P218" s="161"/>
    </row>
    <row r="219">
      <c r="P219" s="161"/>
    </row>
    <row r="220">
      <c r="P220" s="161"/>
    </row>
    <row r="221">
      <c r="P221" s="161"/>
    </row>
    <row r="222">
      <c r="P222" s="161"/>
    </row>
    <row r="223">
      <c r="P223" s="161"/>
    </row>
    <row r="224">
      <c r="P224" s="161"/>
    </row>
    <row r="225">
      <c r="P225" s="161"/>
    </row>
    <row r="226">
      <c r="P226" s="161"/>
    </row>
    <row r="227">
      <c r="P227" s="161"/>
    </row>
    <row r="228">
      <c r="P228" s="161"/>
    </row>
    <row r="229">
      <c r="P229" s="161"/>
    </row>
    <row r="230">
      <c r="P230" s="161"/>
    </row>
    <row r="231">
      <c r="P231" s="161"/>
    </row>
    <row r="232">
      <c r="P232" s="161"/>
    </row>
    <row r="233">
      <c r="P233" s="161"/>
    </row>
    <row r="234">
      <c r="P234" s="161"/>
    </row>
    <row r="235">
      <c r="P235" s="161"/>
    </row>
    <row r="236">
      <c r="P236" s="161"/>
    </row>
    <row r="237">
      <c r="P237" s="161"/>
    </row>
    <row r="238">
      <c r="P238" s="161"/>
    </row>
    <row r="239">
      <c r="P239" s="161"/>
    </row>
    <row r="240">
      <c r="P240" s="161"/>
    </row>
    <row r="241">
      <c r="P241" s="161"/>
    </row>
    <row r="242">
      <c r="P242" s="161"/>
    </row>
    <row r="243">
      <c r="P243" s="161"/>
    </row>
    <row r="244">
      <c r="P244" s="161"/>
    </row>
    <row r="245">
      <c r="P245" s="161"/>
    </row>
    <row r="246">
      <c r="P246" s="161"/>
    </row>
    <row r="247">
      <c r="P247" s="161"/>
    </row>
    <row r="248">
      <c r="P248" s="161"/>
    </row>
    <row r="249">
      <c r="P249" s="161"/>
    </row>
    <row r="250">
      <c r="P250" s="161"/>
    </row>
    <row r="251">
      <c r="P251" s="161"/>
    </row>
    <row r="252">
      <c r="P252" s="161"/>
    </row>
    <row r="253">
      <c r="P253" s="161"/>
    </row>
    <row r="254">
      <c r="P254" s="161"/>
    </row>
    <row r="255">
      <c r="P255" s="161"/>
    </row>
    <row r="256">
      <c r="P256" s="161"/>
    </row>
    <row r="257">
      <c r="P257" s="161"/>
    </row>
    <row r="258">
      <c r="P258" s="161"/>
    </row>
    <row r="259">
      <c r="P259" s="161"/>
    </row>
    <row r="260">
      <c r="P260" s="161"/>
    </row>
    <row r="261">
      <c r="P261" s="161"/>
    </row>
    <row r="262">
      <c r="P262" s="161"/>
    </row>
    <row r="263">
      <c r="P263" s="161"/>
    </row>
    <row r="264">
      <c r="P264" s="161"/>
    </row>
    <row r="265">
      <c r="P265" s="161"/>
    </row>
    <row r="266">
      <c r="P266" s="161"/>
    </row>
    <row r="267">
      <c r="P267" s="161"/>
    </row>
    <row r="268">
      <c r="P268" s="161"/>
    </row>
    <row r="269">
      <c r="P269" s="161"/>
    </row>
    <row r="270">
      <c r="P270" s="161"/>
    </row>
    <row r="271">
      <c r="P271" s="161"/>
    </row>
    <row r="272">
      <c r="P272" s="161"/>
    </row>
    <row r="273">
      <c r="P273" s="161"/>
    </row>
    <row r="274">
      <c r="P274" s="161"/>
    </row>
    <row r="275">
      <c r="P275" s="161"/>
    </row>
    <row r="276">
      <c r="P276" s="161"/>
    </row>
    <row r="277">
      <c r="P277" s="161"/>
    </row>
    <row r="278">
      <c r="P278" s="161"/>
    </row>
    <row r="279">
      <c r="P279" s="161"/>
    </row>
    <row r="280">
      <c r="P280" s="161"/>
    </row>
    <row r="281">
      <c r="P281" s="161"/>
    </row>
    <row r="282">
      <c r="P282" s="161"/>
    </row>
    <row r="283">
      <c r="P283" s="161"/>
    </row>
    <row r="284">
      <c r="P284" s="161"/>
    </row>
    <row r="285">
      <c r="P285" s="161"/>
    </row>
    <row r="286">
      <c r="P286" s="161"/>
    </row>
    <row r="287">
      <c r="P287" s="161"/>
    </row>
    <row r="288">
      <c r="P288" s="161"/>
    </row>
    <row r="289">
      <c r="P289" s="161"/>
    </row>
    <row r="290">
      <c r="P290" s="161"/>
    </row>
    <row r="291">
      <c r="P291" s="161"/>
    </row>
    <row r="292">
      <c r="P292" s="161"/>
    </row>
    <row r="293">
      <c r="P293" s="161"/>
    </row>
    <row r="294">
      <c r="P294" s="161"/>
    </row>
    <row r="295">
      <c r="P295" s="161"/>
    </row>
    <row r="296">
      <c r="P296" s="161"/>
    </row>
    <row r="297">
      <c r="P297" s="161"/>
    </row>
    <row r="298">
      <c r="P298" s="161"/>
    </row>
    <row r="299">
      <c r="P299" s="161"/>
    </row>
    <row r="300">
      <c r="P300" s="161"/>
    </row>
    <row r="301">
      <c r="P301" s="161"/>
    </row>
    <row r="302">
      <c r="P302" s="161"/>
    </row>
    <row r="303">
      <c r="P303" s="161"/>
    </row>
    <row r="304">
      <c r="P304" s="161"/>
    </row>
    <row r="305">
      <c r="P305" s="161"/>
    </row>
    <row r="306">
      <c r="P306" s="161"/>
    </row>
    <row r="307">
      <c r="P307" s="161"/>
    </row>
    <row r="308">
      <c r="P308" s="161"/>
    </row>
    <row r="309">
      <c r="P309" s="161"/>
    </row>
    <row r="310">
      <c r="P310" s="161"/>
    </row>
    <row r="311">
      <c r="P311" s="161"/>
    </row>
    <row r="312">
      <c r="P312" s="161"/>
    </row>
    <row r="313">
      <c r="P313" s="161"/>
    </row>
    <row r="314">
      <c r="P314" s="161"/>
    </row>
    <row r="315">
      <c r="P315" s="161"/>
    </row>
    <row r="316">
      <c r="P316" s="161"/>
    </row>
    <row r="317">
      <c r="P317" s="161"/>
    </row>
    <row r="318">
      <c r="P318" s="161"/>
    </row>
    <row r="319">
      <c r="P319" s="161"/>
    </row>
    <row r="320">
      <c r="P320" s="161"/>
    </row>
    <row r="321">
      <c r="P321" s="161"/>
    </row>
    <row r="322">
      <c r="P322" s="161"/>
    </row>
    <row r="323">
      <c r="P323" s="161"/>
    </row>
    <row r="324">
      <c r="P324" s="161"/>
    </row>
    <row r="325">
      <c r="P325" s="161"/>
    </row>
    <row r="326">
      <c r="P326" s="161"/>
    </row>
    <row r="327">
      <c r="P327" s="161"/>
    </row>
    <row r="328">
      <c r="P328" s="161"/>
    </row>
    <row r="329">
      <c r="P329" s="161"/>
    </row>
    <row r="330">
      <c r="P330" s="161"/>
    </row>
    <row r="331">
      <c r="P331" s="161"/>
    </row>
    <row r="332">
      <c r="P332" s="161"/>
    </row>
    <row r="333">
      <c r="P333" s="161"/>
    </row>
    <row r="334">
      <c r="P334" s="161"/>
    </row>
    <row r="335">
      <c r="P335" s="161"/>
    </row>
    <row r="336">
      <c r="P336" s="161"/>
    </row>
    <row r="337">
      <c r="P337" s="161"/>
    </row>
    <row r="338">
      <c r="P338" s="161"/>
    </row>
    <row r="339">
      <c r="P339" s="161"/>
    </row>
    <row r="340">
      <c r="P340" s="161"/>
    </row>
    <row r="341">
      <c r="P341" s="161"/>
    </row>
    <row r="342">
      <c r="P342" s="161"/>
    </row>
    <row r="343">
      <c r="P343" s="161"/>
    </row>
    <row r="344">
      <c r="P344" s="161"/>
    </row>
    <row r="345">
      <c r="P345" s="161"/>
    </row>
    <row r="346">
      <c r="P346" s="161"/>
    </row>
    <row r="347">
      <c r="P347" s="161"/>
    </row>
    <row r="348">
      <c r="P348" s="161"/>
    </row>
    <row r="349">
      <c r="P349" s="161"/>
    </row>
    <row r="350">
      <c r="P350" s="161"/>
    </row>
    <row r="351">
      <c r="P351" s="161"/>
    </row>
    <row r="352">
      <c r="P352" s="161"/>
    </row>
    <row r="353">
      <c r="P353" s="161"/>
    </row>
    <row r="354">
      <c r="P354" s="161"/>
    </row>
    <row r="355">
      <c r="P355" s="161"/>
    </row>
    <row r="356">
      <c r="P356" s="161"/>
    </row>
    <row r="357">
      <c r="P357" s="161"/>
    </row>
    <row r="358">
      <c r="P358" s="161"/>
    </row>
    <row r="359">
      <c r="P359" s="161"/>
    </row>
    <row r="360">
      <c r="P360" s="161"/>
    </row>
    <row r="361">
      <c r="P361" s="161"/>
    </row>
    <row r="362">
      <c r="P362" s="161"/>
    </row>
    <row r="363">
      <c r="P363" s="161"/>
    </row>
    <row r="364">
      <c r="P364" s="161"/>
    </row>
    <row r="365">
      <c r="P365" s="161"/>
    </row>
    <row r="366">
      <c r="P366" s="161"/>
    </row>
    <row r="367">
      <c r="P367" s="161"/>
    </row>
    <row r="368">
      <c r="P368" s="161"/>
    </row>
    <row r="369">
      <c r="P369" s="161"/>
    </row>
    <row r="370">
      <c r="P370" s="161"/>
    </row>
    <row r="371">
      <c r="P371" s="161"/>
    </row>
    <row r="372">
      <c r="P372" s="161"/>
    </row>
    <row r="373">
      <c r="P373" s="161"/>
    </row>
    <row r="374">
      <c r="P374" s="161"/>
    </row>
    <row r="375">
      <c r="P375" s="161"/>
    </row>
    <row r="376">
      <c r="P376" s="161"/>
    </row>
    <row r="377">
      <c r="P377" s="161"/>
    </row>
    <row r="378">
      <c r="P378" s="161"/>
    </row>
    <row r="379">
      <c r="P379" s="161"/>
    </row>
    <row r="380">
      <c r="P380" s="161"/>
    </row>
    <row r="381">
      <c r="P381" s="161"/>
    </row>
    <row r="382">
      <c r="P382" s="161"/>
    </row>
    <row r="383">
      <c r="P383" s="161"/>
    </row>
    <row r="384">
      <c r="P384" s="161"/>
    </row>
    <row r="385">
      <c r="P385" s="161"/>
    </row>
    <row r="386">
      <c r="P386" s="161"/>
    </row>
    <row r="387">
      <c r="P387" s="161"/>
    </row>
    <row r="388">
      <c r="P388" s="161"/>
    </row>
    <row r="389">
      <c r="P389" s="161"/>
    </row>
    <row r="390">
      <c r="P390" s="161"/>
    </row>
    <row r="391">
      <c r="P391" s="161"/>
    </row>
    <row r="392">
      <c r="P392" s="161"/>
    </row>
    <row r="393">
      <c r="P393" s="161"/>
    </row>
    <row r="394">
      <c r="P394" s="161"/>
    </row>
    <row r="395">
      <c r="P395" s="161"/>
    </row>
    <row r="396">
      <c r="P396" s="161"/>
    </row>
    <row r="397">
      <c r="P397" s="161"/>
    </row>
    <row r="398">
      <c r="P398" s="161"/>
    </row>
    <row r="399">
      <c r="P399" s="161"/>
    </row>
    <row r="400">
      <c r="P400" s="161"/>
    </row>
    <row r="401">
      <c r="P401" s="161"/>
    </row>
    <row r="402">
      <c r="P402" s="161"/>
    </row>
    <row r="403">
      <c r="P403" s="161"/>
    </row>
    <row r="404">
      <c r="P404" s="161"/>
    </row>
    <row r="405">
      <c r="P405" s="161"/>
    </row>
    <row r="406">
      <c r="P406" s="161"/>
    </row>
    <row r="407">
      <c r="P407" s="161"/>
    </row>
    <row r="408">
      <c r="P408" s="161"/>
    </row>
    <row r="409">
      <c r="P409" s="161"/>
    </row>
    <row r="410">
      <c r="P410" s="161"/>
    </row>
    <row r="411">
      <c r="P411" s="161"/>
    </row>
    <row r="412">
      <c r="P412" s="161"/>
    </row>
    <row r="413">
      <c r="P413" s="161"/>
    </row>
    <row r="414">
      <c r="P414" s="161"/>
    </row>
    <row r="415">
      <c r="P415" s="161"/>
    </row>
    <row r="416">
      <c r="P416" s="161"/>
    </row>
    <row r="417">
      <c r="P417" s="161"/>
    </row>
    <row r="418">
      <c r="P418" s="161"/>
    </row>
    <row r="419">
      <c r="P419" s="161"/>
    </row>
    <row r="420">
      <c r="P420" s="161"/>
    </row>
    <row r="421">
      <c r="P421" s="161"/>
    </row>
    <row r="422">
      <c r="P422" s="161"/>
    </row>
    <row r="423">
      <c r="P423" s="161"/>
    </row>
    <row r="424">
      <c r="P424" s="161"/>
    </row>
    <row r="425">
      <c r="P425" s="161"/>
    </row>
    <row r="426">
      <c r="P426" s="161"/>
    </row>
    <row r="427">
      <c r="P427" s="161"/>
    </row>
    <row r="428">
      <c r="P428" s="161"/>
    </row>
    <row r="429">
      <c r="P429" s="161"/>
    </row>
    <row r="430">
      <c r="P430" s="161"/>
    </row>
    <row r="431">
      <c r="P431" s="161"/>
    </row>
    <row r="432">
      <c r="P432" s="161"/>
    </row>
    <row r="433">
      <c r="P433" s="161"/>
    </row>
    <row r="434">
      <c r="P434" s="161"/>
    </row>
    <row r="435">
      <c r="P435" s="161"/>
    </row>
    <row r="436">
      <c r="P436" s="161"/>
    </row>
    <row r="437">
      <c r="P437" s="161"/>
    </row>
    <row r="438">
      <c r="P438" s="161"/>
    </row>
    <row r="439">
      <c r="P439" s="161"/>
    </row>
    <row r="440">
      <c r="P440" s="161"/>
    </row>
    <row r="441">
      <c r="P441" s="161"/>
    </row>
    <row r="442">
      <c r="P442" s="161"/>
    </row>
    <row r="443">
      <c r="P443" s="161"/>
    </row>
    <row r="444">
      <c r="P444" s="161"/>
    </row>
    <row r="445">
      <c r="P445" s="161"/>
    </row>
    <row r="446">
      <c r="P446" s="161"/>
    </row>
    <row r="447">
      <c r="P447" s="161"/>
    </row>
    <row r="448">
      <c r="P448" s="161"/>
    </row>
    <row r="449">
      <c r="P449" s="161"/>
    </row>
    <row r="450">
      <c r="P450" s="161"/>
    </row>
    <row r="451">
      <c r="P451" s="161"/>
    </row>
    <row r="452">
      <c r="P452" s="161"/>
    </row>
    <row r="453">
      <c r="P453" s="161"/>
    </row>
    <row r="454">
      <c r="P454" s="161"/>
    </row>
    <row r="455">
      <c r="P455" s="161"/>
    </row>
    <row r="456">
      <c r="P456" s="161"/>
    </row>
    <row r="457">
      <c r="P457" s="161"/>
    </row>
    <row r="458">
      <c r="P458" s="161"/>
    </row>
    <row r="459">
      <c r="P459" s="161"/>
    </row>
    <row r="460">
      <c r="P460" s="161"/>
    </row>
    <row r="461">
      <c r="P461" s="161"/>
    </row>
    <row r="462">
      <c r="P462" s="161"/>
    </row>
    <row r="463">
      <c r="P463" s="161"/>
    </row>
    <row r="464">
      <c r="P464" s="161"/>
    </row>
    <row r="465">
      <c r="P465" s="161"/>
    </row>
    <row r="466">
      <c r="P466" s="161"/>
    </row>
    <row r="467">
      <c r="P467" s="161"/>
    </row>
    <row r="468">
      <c r="P468" s="161"/>
    </row>
    <row r="469">
      <c r="P469" s="161"/>
    </row>
    <row r="470">
      <c r="P470" s="161"/>
    </row>
    <row r="471">
      <c r="P471" s="161"/>
    </row>
    <row r="472">
      <c r="P472" s="161"/>
    </row>
    <row r="473">
      <c r="P473" s="161"/>
    </row>
    <row r="474">
      <c r="P474" s="161"/>
    </row>
    <row r="475">
      <c r="P475" s="161"/>
    </row>
    <row r="476">
      <c r="P476" s="161"/>
    </row>
    <row r="477">
      <c r="P477" s="161"/>
    </row>
    <row r="478">
      <c r="P478" s="161"/>
    </row>
    <row r="479">
      <c r="P479" s="161"/>
    </row>
    <row r="480">
      <c r="P480" s="161"/>
    </row>
    <row r="481">
      <c r="P481" s="161"/>
    </row>
    <row r="482">
      <c r="P482" s="161"/>
    </row>
    <row r="483">
      <c r="P483" s="161"/>
    </row>
    <row r="484">
      <c r="P484" s="161"/>
    </row>
    <row r="485">
      <c r="P485" s="161"/>
    </row>
    <row r="486">
      <c r="P486" s="161"/>
    </row>
    <row r="487">
      <c r="P487" s="161"/>
    </row>
    <row r="488">
      <c r="P488" s="161"/>
    </row>
    <row r="489">
      <c r="P489" s="161"/>
    </row>
    <row r="490">
      <c r="P490" s="161"/>
    </row>
    <row r="491">
      <c r="P491" s="161"/>
    </row>
    <row r="492">
      <c r="P492" s="161"/>
    </row>
    <row r="493">
      <c r="P493" s="161"/>
    </row>
    <row r="494">
      <c r="P494" s="161"/>
    </row>
    <row r="495">
      <c r="P495" s="161"/>
    </row>
    <row r="496">
      <c r="P496" s="161"/>
    </row>
    <row r="497">
      <c r="P497" s="161"/>
    </row>
    <row r="498">
      <c r="P498" s="161"/>
    </row>
    <row r="499">
      <c r="P499" s="161"/>
    </row>
    <row r="500">
      <c r="P500" s="161"/>
    </row>
    <row r="501">
      <c r="P501" s="161"/>
    </row>
    <row r="502">
      <c r="P502" s="161"/>
    </row>
    <row r="503">
      <c r="P503" s="161"/>
    </row>
    <row r="504">
      <c r="P504" s="161"/>
    </row>
    <row r="505">
      <c r="P505" s="161"/>
    </row>
    <row r="506">
      <c r="P506" s="161"/>
    </row>
    <row r="507">
      <c r="P507" s="161"/>
    </row>
    <row r="508">
      <c r="P508" s="161"/>
    </row>
    <row r="509">
      <c r="P509" s="161"/>
    </row>
    <row r="510">
      <c r="P510" s="161"/>
    </row>
    <row r="511">
      <c r="P511" s="161"/>
    </row>
    <row r="512">
      <c r="P512" s="161"/>
    </row>
    <row r="513">
      <c r="P513" s="161"/>
    </row>
    <row r="514">
      <c r="P514" s="161"/>
    </row>
    <row r="515">
      <c r="P515" s="161"/>
    </row>
    <row r="516">
      <c r="P516" s="161"/>
    </row>
    <row r="517">
      <c r="P517" s="161"/>
    </row>
    <row r="518">
      <c r="P518" s="161"/>
    </row>
    <row r="519">
      <c r="P519" s="161"/>
    </row>
    <row r="520">
      <c r="P520" s="161"/>
    </row>
    <row r="521">
      <c r="P521" s="161"/>
    </row>
    <row r="522">
      <c r="P522" s="161"/>
    </row>
    <row r="523">
      <c r="P523" s="161"/>
    </row>
    <row r="524">
      <c r="P524" s="161"/>
    </row>
    <row r="525">
      <c r="P525" s="161"/>
    </row>
    <row r="526">
      <c r="P526" s="161"/>
    </row>
    <row r="527">
      <c r="P527" s="161"/>
    </row>
    <row r="528">
      <c r="P528" s="161"/>
    </row>
    <row r="529">
      <c r="P529" s="161"/>
    </row>
    <row r="530">
      <c r="P530" s="161"/>
    </row>
    <row r="531">
      <c r="P531" s="161"/>
    </row>
    <row r="532">
      <c r="P532" s="161"/>
    </row>
    <row r="533">
      <c r="P533" s="161"/>
    </row>
    <row r="534">
      <c r="P534" s="161"/>
    </row>
    <row r="535">
      <c r="P535" s="161"/>
    </row>
    <row r="536">
      <c r="P536" s="161"/>
    </row>
    <row r="537">
      <c r="P537" s="161"/>
    </row>
    <row r="538">
      <c r="P538" s="161"/>
    </row>
    <row r="539">
      <c r="P539" s="161"/>
    </row>
    <row r="540">
      <c r="P540" s="161"/>
    </row>
    <row r="541">
      <c r="P541" s="161"/>
    </row>
    <row r="542">
      <c r="P542" s="161"/>
    </row>
    <row r="543">
      <c r="P543" s="161"/>
    </row>
    <row r="544">
      <c r="P544" s="161"/>
    </row>
    <row r="545">
      <c r="P545" s="161"/>
    </row>
    <row r="546">
      <c r="P546" s="161"/>
    </row>
    <row r="547">
      <c r="P547" s="161"/>
    </row>
    <row r="548">
      <c r="P548" s="161"/>
    </row>
    <row r="549">
      <c r="P549" s="161"/>
    </row>
    <row r="550">
      <c r="P550" s="161"/>
    </row>
    <row r="551">
      <c r="P551" s="161"/>
    </row>
    <row r="552">
      <c r="P552" s="161"/>
    </row>
    <row r="553">
      <c r="P553" s="161"/>
    </row>
    <row r="554">
      <c r="P554" s="161"/>
    </row>
    <row r="555">
      <c r="P555" s="161"/>
    </row>
    <row r="556">
      <c r="P556" s="161"/>
    </row>
    <row r="557">
      <c r="P557" s="161"/>
    </row>
    <row r="558">
      <c r="P558" s="161"/>
    </row>
    <row r="559">
      <c r="P559" s="161"/>
    </row>
    <row r="560">
      <c r="P560" s="161"/>
    </row>
    <row r="561">
      <c r="P561" s="161"/>
    </row>
    <row r="562">
      <c r="P562" s="161"/>
    </row>
    <row r="563">
      <c r="P563" s="161"/>
    </row>
    <row r="564">
      <c r="P564" s="161"/>
    </row>
    <row r="565">
      <c r="P565" s="161"/>
    </row>
    <row r="566">
      <c r="P566" s="161"/>
    </row>
    <row r="567">
      <c r="P567" s="161"/>
    </row>
    <row r="568">
      <c r="P568" s="161"/>
    </row>
    <row r="569">
      <c r="P569" s="161"/>
    </row>
    <row r="570">
      <c r="P570" s="161"/>
    </row>
    <row r="571">
      <c r="P571" s="161"/>
    </row>
    <row r="572">
      <c r="P572" s="161"/>
    </row>
    <row r="573">
      <c r="P573" s="161"/>
    </row>
    <row r="574">
      <c r="P574" s="161"/>
    </row>
    <row r="575">
      <c r="P575" s="161"/>
    </row>
    <row r="576">
      <c r="P576" s="161"/>
    </row>
    <row r="577">
      <c r="P577" s="161"/>
    </row>
    <row r="578">
      <c r="P578" s="161"/>
    </row>
    <row r="579">
      <c r="P579" s="161"/>
    </row>
    <row r="580">
      <c r="P580" s="161"/>
    </row>
    <row r="581">
      <c r="P581" s="161"/>
    </row>
    <row r="582">
      <c r="P582" s="161"/>
    </row>
    <row r="583">
      <c r="P583" s="161"/>
    </row>
    <row r="584">
      <c r="P584" s="161"/>
    </row>
    <row r="585">
      <c r="P585" s="161"/>
    </row>
    <row r="586">
      <c r="P586" s="161"/>
    </row>
    <row r="587">
      <c r="P587" s="161"/>
    </row>
    <row r="588">
      <c r="P588" s="161"/>
    </row>
    <row r="589">
      <c r="P589" s="161"/>
    </row>
    <row r="590">
      <c r="P590" s="161"/>
    </row>
    <row r="591">
      <c r="P591" s="161"/>
    </row>
    <row r="592">
      <c r="P592" s="161"/>
    </row>
    <row r="593">
      <c r="P593" s="161"/>
    </row>
    <row r="594">
      <c r="P594" s="161"/>
    </row>
    <row r="595">
      <c r="P595" s="161"/>
    </row>
    <row r="596">
      <c r="P596" s="161"/>
    </row>
    <row r="597">
      <c r="P597" s="161"/>
    </row>
    <row r="598">
      <c r="P598" s="161"/>
    </row>
    <row r="599">
      <c r="P599" s="161"/>
    </row>
    <row r="600">
      <c r="P600" s="161"/>
    </row>
    <row r="601">
      <c r="P601" s="161"/>
    </row>
    <row r="602">
      <c r="P602" s="161"/>
    </row>
    <row r="603">
      <c r="P603" s="161"/>
    </row>
    <row r="604">
      <c r="P604" s="161"/>
    </row>
    <row r="605">
      <c r="P605" s="161"/>
    </row>
    <row r="606">
      <c r="P606" s="161"/>
    </row>
    <row r="607">
      <c r="P607" s="161"/>
    </row>
    <row r="608">
      <c r="P608" s="161"/>
    </row>
    <row r="609">
      <c r="P609" s="161"/>
    </row>
    <row r="610">
      <c r="P610" s="161"/>
    </row>
    <row r="611">
      <c r="P611" s="161"/>
    </row>
    <row r="612">
      <c r="P612" s="161"/>
    </row>
    <row r="613">
      <c r="P613" s="161"/>
    </row>
    <row r="614">
      <c r="P614" s="161"/>
    </row>
    <row r="615">
      <c r="P615" s="161"/>
    </row>
    <row r="616">
      <c r="P616" s="161"/>
    </row>
    <row r="617">
      <c r="P617" s="161"/>
    </row>
    <row r="618">
      <c r="P618" s="161"/>
    </row>
    <row r="619">
      <c r="P619" s="161"/>
    </row>
    <row r="620">
      <c r="P620" s="161"/>
    </row>
    <row r="621">
      <c r="P621" s="161"/>
    </row>
    <row r="622">
      <c r="P622" s="161"/>
    </row>
    <row r="623">
      <c r="P623" s="161"/>
    </row>
    <row r="624">
      <c r="P624" s="161"/>
    </row>
    <row r="625">
      <c r="P625" s="161"/>
    </row>
    <row r="626">
      <c r="P626" s="161"/>
    </row>
    <row r="627">
      <c r="P627" s="161"/>
    </row>
    <row r="628">
      <c r="P628" s="161"/>
    </row>
    <row r="629">
      <c r="P629" s="161"/>
    </row>
    <row r="630">
      <c r="P630" s="161"/>
    </row>
    <row r="631">
      <c r="P631" s="161"/>
    </row>
    <row r="632">
      <c r="P632" s="161"/>
    </row>
    <row r="633">
      <c r="P633" s="161"/>
    </row>
    <row r="634">
      <c r="P634" s="161"/>
    </row>
    <row r="635">
      <c r="P635" s="161"/>
    </row>
    <row r="636">
      <c r="P636" s="161"/>
    </row>
    <row r="637">
      <c r="P637" s="161"/>
    </row>
    <row r="638">
      <c r="P638" s="161"/>
    </row>
    <row r="639">
      <c r="P639" s="161"/>
    </row>
    <row r="640">
      <c r="P640" s="161"/>
    </row>
    <row r="641">
      <c r="P641" s="161"/>
    </row>
    <row r="642">
      <c r="P642" s="161"/>
    </row>
    <row r="643">
      <c r="P643" s="161"/>
    </row>
    <row r="644">
      <c r="P644" s="161"/>
    </row>
    <row r="645">
      <c r="P645" s="161"/>
    </row>
    <row r="646">
      <c r="P646" s="161"/>
    </row>
    <row r="647">
      <c r="P647" s="161"/>
    </row>
    <row r="648">
      <c r="P648" s="161"/>
    </row>
    <row r="649">
      <c r="P649" s="161"/>
    </row>
    <row r="650">
      <c r="P650" s="161"/>
    </row>
    <row r="651">
      <c r="P651" s="161"/>
    </row>
    <row r="652">
      <c r="P652" s="161"/>
    </row>
    <row r="653">
      <c r="P653" s="161"/>
    </row>
    <row r="654">
      <c r="P654" s="161"/>
    </row>
    <row r="655">
      <c r="P655" s="161"/>
    </row>
    <row r="656">
      <c r="P656" s="161"/>
    </row>
    <row r="657">
      <c r="P657" s="161"/>
    </row>
    <row r="658">
      <c r="P658" s="161"/>
    </row>
    <row r="659">
      <c r="P659" s="161"/>
    </row>
    <row r="660">
      <c r="P660" s="161"/>
    </row>
    <row r="661">
      <c r="P661" s="161"/>
    </row>
    <row r="662">
      <c r="P662" s="161"/>
    </row>
    <row r="663">
      <c r="P663" s="161"/>
    </row>
    <row r="664">
      <c r="P664" s="161"/>
    </row>
    <row r="665">
      <c r="P665" s="161"/>
    </row>
    <row r="666">
      <c r="P666" s="161"/>
    </row>
    <row r="667">
      <c r="P667" s="161"/>
    </row>
    <row r="668">
      <c r="P668" s="161"/>
    </row>
    <row r="669">
      <c r="P669" s="161"/>
    </row>
    <row r="670">
      <c r="P670" s="161"/>
    </row>
    <row r="671">
      <c r="P671" s="161"/>
    </row>
    <row r="672">
      <c r="P672" s="161"/>
    </row>
    <row r="673">
      <c r="P673" s="161"/>
    </row>
    <row r="674">
      <c r="P674" s="161"/>
    </row>
    <row r="675">
      <c r="P675" s="161"/>
    </row>
    <row r="676">
      <c r="P676" s="161"/>
    </row>
    <row r="677">
      <c r="P677" s="161"/>
    </row>
    <row r="678">
      <c r="P678" s="161"/>
    </row>
    <row r="679">
      <c r="P679" s="161"/>
    </row>
    <row r="680">
      <c r="P680" s="161"/>
    </row>
    <row r="681">
      <c r="P681" s="161"/>
    </row>
    <row r="682">
      <c r="P682" s="161"/>
    </row>
    <row r="683">
      <c r="P683" s="161"/>
    </row>
    <row r="684">
      <c r="P684" s="161"/>
    </row>
    <row r="685">
      <c r="P685" s="161"/>
    </row>
    <row r="686">
      <c r="P686" s="161"/>
    </row>
    <row r="687">
      <c r="P687" s="161"/>
    </row>
    <row r="688">
      <c r="P688" s="161"/>
    </row>
    <row r="689">
      <c r="P689" s="161"/>
    </row>
    <row r="690">
      <c r="P690" s="161"/>
    </row>
    <row r="691">
      <c r="P691" s="161"/>
    </row>
    <row r="692">
      <c r="P692" s="161"/>
    </row>
    <row r="693">
      <c r="P693" s="161"/>
    </row>
    <row r="694">
      <c r="P694" s="161"/>
    </row>
    <row r="695">
      <c r="P695" s="161"/>
    </row>
    <row r="696">
      <c r="P696" s="161"/>
    </row>
    <row r="697">
      <c r="P697" s="161"/>
    </row>
    <row r="698">
      <c r="P698" s="161"/>
    </row>
    <row r="699">
      <c r="P699" s="161"/>
    </row>
    <row r="700">
      <c r="P700" s="161"/>
    </row>
    <row r="701">
      <c r="P701" s="161"/>
    </row>
    <row r="702">
      <c r="P702" s="161"/>
    </row>
    <row r="703">
      <c r="P703" s="161"/>
    </row>
    <row r="704">
      <c r="P704" s="161"/>
    </row>
    <row r="705">
      <c r="P705" s="161"/>
    </row>
    <row r="706">
      <c r="P706" s="161"/>
    </row>
    <row r="707">
      <c r="P707" s="161"/>
    </row>
    <row r="708">
      <c r="P708" s="161"/>
    </row>
    <row r="709">
      <c r="P709" s="161"/>
    </row>
    <row r="710">
      <c r="P710" s="161"/>
    </row>
    <row r="711">
      <c r="P711" s="161"/>
    </row>
    <row r="712">
      <c r="P712" s="161"/>
    </row>
    <row r="713">
      <c r="P713" s="161"/>
    </row>
    <row r="714">
      <c r="P714" s="161"/>
    </row>
    <row r="715">
      <c r="P715" s="161"/>
    </row>
    <row r="716">
      <c r="P716" s="161"/>
    </row>
    <row r="717">
      <c r="P717" s="161"/>
    </row>
    <row r="718">
      <c r="P718" s="161"/>
    </row>
    <row r="719">
      <c r="P719" s="161"/>
    </row>
    <row r="720">
      <c r="P720" s="161"/>
    </row>
    <row r="721">
      <c r="P721" s="161"/>
    </row>
    <row r="722">
      <c r="P722" s="161"/>
    </row>
    <row r="723">
      <c r="P723" s="161"/>
    </row>
    <row r="724">
      <c r="P724" s="161"/>
    </row>
    <row r="725">
      <c r="P725" s="161"/>
    </row>
    <row r="726">
      <c r="P726" s="161"/>
    </row>
    <row r="727">
      <c r="P727" s="161"/>
    </row>
    <row r="728">
      <c r="P728" s="161"/>
    </row>
    <row r="729">
      <c r="P729" s="161"/>
    </row>
    <row r="730">
      <c r="P730" s="161"/>
    </row>
    <row r="731">
      <c r="P731" s="161"/>
    </row>
    <row r="732">
      <c r="P732" s="161"/>
    </row>
    <row r="733">
      <c r="P733" s="161"/>
    </row>
    <row r="734">
      <c r="P734" s="161"/>
    </row>
    <row r="735">
      <c r="P735" s="161"/>
    </row>
    <row r="736">
      <c r="P736" s="161"/>
    </row>
    <row r="737">
      <c r="P737" s="161"/>
    </row>
    <row r="738">
      <c r="P738" s="161"/>
    </row>
    <row r="739">
      <c r="P739" s="161"/>
    </row>
    <row r="740">
      <c r="P740" s="161"/>
    </row>
    <row r="741">
      <c r="P741" s="161"/>
    </row>
    <row r="742">
      <c r="P742" s="161"/>
    </row>
    <row r="743">
      <c r="P743" s="161"/>
    </row>
    <row r="744">
      <c r="P744" s="161"/>
    </row>
    <row r="745">
      <c r="P745" s="161"/>
    </row>
    <row r="746">
      <c r="P746" s="161"/>
    </row>
    <row r="747">
      <c r="P747" s="161"/>
    </row>
    <row r="748">
      <c r="P748" s="161"/>
    </row>
    <row r="749">
      <c r="P749" s="161"/>
    </row>
    <row r="750">
      <c r="P750" s="161"/>
    </row>
    <row r="751">
      <c r="P751" s="161"/>
    </row>
    <row r="752">
      <c r="P752" s="161"/>
    </row>
    <row r="753">
      <c r="P753" s="161"/>
    </row>
    <row r="754">
      <c r="P754" s="161"/>
    </row>
    <row r="755">
      <c r="P755" s="161"/>
    </row>
    <row r="756">
      <c r="P756" s="161"/>
    </row>
    <row r="757">
      <c r="P757" s="161"/>
    </row>
    <row r="758">
      <c r="P758" s="161"/>
    </row>
    <row r="759">
      <c r="P759" s="161"/>
    </row>
    <row r="760">
      <c r="P760" s="161"/>
    </row>
    <row r="761">
      <c r="P761" s="161"/>
    </row>
    <row r="762">
      <c r="P762" s="161"/>
    </row>
    <row r="763">
      <c r="P763" s="161"/>
    </row>
    <row r="764">
      <c r="P764" s="161"/>
    </row>
    <row r="765">
      <c r="P765" s="161"/>
    </row>
    <row r="766">
      <c r="P766" s="161"/>
    </row>
    <row r="767">
      <c r="P767" s="161"/>
    </row>
    <row r="768">
      <c r="P768" s="161"/>
    </row>
    <row r="769">
      <c r="P769" s="161"/>
    </row>
    <row r="770">
      <c r="P770" s="161"/>
    </row>
    <row r="771">
      <c r="P771" s="161"/>
    </row>
    <row r="772">
      <c r="P772" s="161"/>
    </row>
    <row r="773">
      <c r="P773" s="161"/>
    </row>
    <row r="774">
      <c r="P774" s="161"/>
    </row>
    <row r="775">
      <c r="P775" s="161"/>
    </row>
    <row r="776">
      <c r="P776" s="161"/>
    </row>
    <row r="777">
      <c r="P777" s="161"/>
    </row>
    <row r="778">
      <c r="P778" s="161"/>
    </row>
    <row r="779">
      <c r="P779" s="161"/>
    </row>
    <row r="780">
      <c r="P780" s="161"/>
    </row>
    <row r="781">
      <c r="P781" s="161"/>
    </row>
    <row r="782">
      <c r="P782" s="161"/>
    </row>
    <row r="783">
      <c r="P783" s="161"/>
    </row>
    <row r="784">
      <c r="P784" s="161"/>
    </row>
    <row r="785">
      <c r="P785" s="161"/>
    </row>
    <row r="786">
      <c r="P786" s="161"/>
    </row>
    <row r="787">
      <c r="P787" s="161"/>
    </row>
    <row r="788">
      <c r="P788" s="161"/>
    </row>
    <row r="789">
      <c r="P789" s="161"/>
    </row>
    <row r="790">
      <c r="P790" s="161"/>
    </row>
    <row r="791">
      <c r="P791" s="161"/>
    </row>
    <row r="792">
      <c r="P792" s="161"/>
    </row>
    <row r="793">
      <c r="P793" s="161"/>
    </row>
    <row r="794">
      <c r="P794" s="161"/>
    </row>
    <row r="795">
      <c r="P795" s="161"/>
    </row>
    <row r="796">
      <c r="P796" s="161"/>
    </row>
    <row r="797">
      <c r="P797" s="161"/>
    </row>
    <row r="798">
      <c r="P798" s="161"/>
    </row>
    <row r="799">
      <c r="P799" s="161"/>
    </row>
    <row r="800">
      <c r="P800" s="161"/>
    </row>
    <row r="801">
      <c r="P801" s="161"/>
    </row>
    <row r="802">
      <c r="P802" s="161"/>
    </row>
    <row r="803">
      <c r="P803" s="161"/>
    </row>
    <row r="804">
      <c r="P804" s="161"/>
    </row>
    <row r="805">
      <c r="P805" s="161"/>
    </row>
    <row r="806">
      <c r="P806" s="161"/>
    </row>
    <row r="807">
      <c r="P807" s="161"/>
    </row>
    <row r="808">
      <c r="P808" s="161"/>
    </row>
    <row r="809">
      <c r="P809" s="161"/>
    </row>
    <row r="810">
      <c r="P810" s="161"/>
    </row>
    <row r="811">
      <c r="P811" s="161"/>
    </row>
    <row r="812">
      <c r="P812" s="161"/>
    </row>
    <row r="813">
      <c r="P813" s="161"/>
    </row>
    <row r="814">
      <c r="P814" s="161"/>
    </row>
    <row r="815">
      <c r="P815" s="161"/>
    </row>
    <row r="816">
      <c r="P816" s="161"/>
    </row>
    <row r="817">
      <c r="P817" s="161"/>
    </row>
    <row r="818">
      <c r="P818" s="161"/>
    </row>
    <row r="819">
      <c r="P819" s="161"/>
    </row>
    <row r="820">
      <c r="P820" s="161"/>
    </row>
    <row r="821">
      <c r="P821" s="161"/>
    </row>
    <row r="822">
      <c r="P822" s="161"/>
    </row>
    <row r="823">
      <c r="P823" s="161"/>
    </row>
    <row r="824">
      <c r="P824" s="161"/>
    </row>
    <row r="825">
      <c r="P825" s="161"/>
    </row>
    <row r="826">
      <c r="P826" s="161"/>
    </row>
    <row r="827">
      <c r="P827" s="161"/>
    </row>
    <row r="828">
      <c r="P828" s="161"/>
    </row>
    <row r="829">
      <c r="P829" s="161"/>
    </row>
    <row r="830">
      <c r="P830" s="161"/>
    </row>
    <row r="831">
      <c r="P831" s="161"/>
    </row>
    <row r="832">
      <c r="P832" s="161"/>
    </row>
    <row r="833">
      <c r="P833" s="161"/>
    </row>
    <row r="834">
      <c r="P834" s="161"/>
    </row>
    <row r="835">
      <c r="P835" s="161"/>
    </row>
    <row r="836">
      <c r="P836" s="161"/>
    </row>
    <row r="837">
      <c r="P837" s="161"/>
    </row>
    <row r="838">
      <c r="P838" s="161"/>
    </row>
    <row r="839">
      <c r="P839" s="161"/>
    </row>
    <row r="840">
      <c r="P840" s="161"/>
    </row>
    <row r="841">
      <c r="P841" s="161"/>
    </row>
    <row r="842">
      <c r="P842" s="161"/>
    </row>
    <row r="843">
      <c r="P843" s="161"/>
    </row>
    <row r="844">
      <c r="P844" s="161"/>
    </row>
    <row r="845">
      <c r="P845" s="161"/>
    </row>
    <row r="846">
      <c r="P846" s="161"/>
    </row>
    <row r="847">
      <c r="P847" s="161"/>
    </row>
    <row r="848">
      <c r="P848" s="161"/>
    </row>
    <row r="849">
      <c r="P849" s="161"/>
    </row>
    <row r="850">
      <c r="P850" s="161"/>
    </row>
    <row r="851">
      <c r="P851" s="161"/>
    </row>
    <row r="852">
      <c r="P852" s="161"/>
    </row>
    <row r="853">
      <c r="P853" s="161"/>
    </row>
    <row r="854">
      <c r="P854" s="161"/>
    </row>
    <row r="855">
      <c r="P855" s="161"/>
    </row>
    <row r="856">
      <c r="P856" s="161"/>
    </row>
    <row r="857">
      <c r="P857" s="161"/>
    </row>
    <row r="858">
      <c r="P858" s="161"/>
    </row>
    <row r="859">
      <c r="P859" s="161"/>
    </row>
    <row r="860">
      <c r="P860" s="161"/>
    </row>
    <row r="861">
      <c r="P861" s="161"/>
    </row>
    <row r="862">
      <c r="P862" s="161"/>
    </row>
    <row r="863">
      <c r="P863" s="161"/>
    </row>
    <row r="864">
      <c r="P864" s="161"/>
    </row>
    <row r="865">
      <c r="P865" s="161"/>
    </row>
    <row r="866">
      <c r="P866" s="161"/>
    </row>
    <row r="867">
      <c r="P867" s="161"/>
    </row>
    <row r="868">
      <c r="P868" s="161"/>
    </row>
    <row r="869">
      <c r="P869" s="161"/>
    </row>
    <row r="870">
      <c r="P870" s="161"/>
    </row>
    <row r="871">
      <c r="P871" s="161"/>
    </row>
    <row r="872">
      <c r="P872" s="161"/>
    </row>
    <row r="873">
      <c r="P873" s="161"/>
    </row>
    <row r="874">
      <c r="P874" s="161"/>
    </row>
    <row r="875">
      <c r="P875" s="161"/>
    </row>
    <row r="876">
      <c r="P876" s="161"/>
    </row>
    <row r="877">
      <c r="P877" s="161"/>
    </row>
    <row r="878">
      <c r="P878" s="161"/>
    </row>
    <row r="879">
      <c r="P879" s="161"/>
    </row>
    <row r="880">
      <c r="P880" s="161"/>
    </row>
    <row r="881">
      <c r="P881" s="161"/>
    </row>
    <row r="882">
      <c r="P882" s="161"/>
    </row>
    <row r="883">
      <c r="P883" s="161"/>
    </row>
    <row r="884">
      <c r="P884" s="161"/>
    </row>
    <row r="885">
      <c r="P885" s="161"/>
    </row>
    <row r="886">
      <c r="P886" s="161"/>
    </row>
    <row r="887">
      <c r="P887" s="161"/>
    </row>
    <row r="888">
      <c r="P888" s="161"/>
    </row>
    <row r="889">
      <c r="P889" s="161"/>
    </row>
    <row r="890">
      <c r="P890" s="161"/>
    </row>
    <row r="891">
      <c r="P891" s="161"/>
    </row>
    <row r="892">
      <c r="P892" s="161"/>
    </row>
    <row r="893">
      <c r="P893" s="161"/>
    </row>
    <row r="894">
      <c r="P894" s="161"/>
    </row>
    <row r="895">
      <c r="P895" s="161"/>
    </row>
    <row r="896">
      <c r="P896" s="161"/>
    </row>
    <row r="897">
      <c r="P897" s="161"/>
    </row>
    <row r="898">
      <c r="P898" s="161"/>
    </row>
    <row r="899">
      <c r="P899" s="161"/>
    </row>
    <row r="900">
      <c r="P900" s="161"/>
    </row>
    <row r="901">
      <c r="P901" s="161"/>
    </row>
    <row r="902">
      <c r="P902" s="161"/>
    </row>
    <row r="903">
      <c r="P903" s="161"/>
    </row>
    <row r="904">
      <c r="P904" s="161"/>
    </row>
    <row r="905">
      <c r="P905" s="161"/>
    </row>
    <row r="906">
      <c r="P906" s="161"/>
    </row>
    <row r="907">
      <c r="P907" s="161"/>
    </row>
    <row r="908">
      <c r="P908" s="161"/>
    </row>
    <row r="909">
      <c r="P909" s="161"/>
    </row>
    <row r="910">
      <c r="P910" s="161"/>
    </row>
    <row r="911">
      <c r="P911" s="161"/>
    </row>
    <row r="912">
      <c r="P912" s="161"/>
    </row>
    <row r="913">
      <c r="P913" s="161"/>
    </row>
    <row r="914">
      <c r="P914" s="161"/>
    </row>
    <row r="915">
      <c r="P915" s="161"/>
    </row>
    <row r="916">
      <c r="P916" s="161"/>
    </row>
    <row r="917">
      <c r="P917" s="161"/>
    </row>
    <row r="918">
      <c r="P918" s="161"/>
    </row>
    <row r="919">
      <c r="P919" s="161"/>
    </row>
    <row r="920">
      <c r="P920" s="161"/>
    </row>
    <row r="921">
      <c r="P921" s="161"/>
    </row>
    <row r="922">
      <c r="P922" s="161"/>
    </row>
    <row r="923">
      <c r="P923" s="161"/>
    </row>
    <row r="924">
      <c r="P924" s="161"/>
    </row>
    <row r="925">
      <c r="P925" s="161"/>
    </row>
    <row r="926">
      <c r="P926" s="161"/>
    </row>
    <row r="927">
      <c r="P927" s="161"/>
    </row>
    <row r="928">
      <c r="P928" s="161"/>
    </row>
    <row r="929">
      <c r="P929" s="161"/>
    </row>
    <row r="930">
      <c r="P930" s="161"/>
    </row>
    <row r="931">
      <c r="P931" s="161"/>
    </row>
    <row r="932">
      <c r="P932" s="161"/>
    </row>
    <row r="933">
      <c r="P933" s="161"/>
    </row>
    <row r="934">
      <c r="P934" s="161"/>
    </row>
    <row r="935">
      <c r="P935" s="161"/>
    </row>
    <row r="936">
      <c r="P936" s="161"/>
    </row>
    <row r="937">
      <c r="P937" s="161"/>
    </row>
    <row r="938">
      <c r="P938" s="161"/>
    </row>
    <row r="939">
      <c r="P939" s="161"/>
    </row>
    <row r="940">
      <c r="P940" s="161"/>
    </row>
    <row r="941">
      <c r="P941" s="161"/>
    </row>
    <row r="942">
      <c r="P942" s="161"/>
    </row>
    <row r="943">
      <c r="P943" s="161"/>
    </row>
    <row r="944">
      <c r="P944" s="161"/>
    </row>
    <row r="945">
      <c r="P945" s="161"/>
    </row>
    <row r="946">
      <c r="P946" s="161"/>
    </row>
    <row r="947">
      <c r="P947" s="161"/>
    </row>
    <row r="948">
      <c r="P948" s="161"/>
    </row>
    <row r="949">
      <c r="P949" s="161"/>
    </row>
    <row r="950">
      <c r="P950" s="161"/>
    </row>
    <row r="951">
      <c r="P951" s="161"/>
    </row>
    <row r="952">
      <c r="P952" s="161"/>
    </row>
    <row r="953">
      <c r="P953" s="161"/>
    </row>
    <row r="954">
      <c r="P954" s="161"/>
    </row>
    <row r="955">
      <c r="P955" s="161"/>
    </row>
    <row r="956">
      <c r="P956" s="161"/>
    </row>
    <row r="957">
      <c r="P957" s="161"/>
    </row>
    <row r="958">
      <c r="P958" s="161"/>
    </row>
    <row r="959">
      <c r="P959" s="161"/>
    </row>
    <row r="960">
      <c r="P960" s="161"/>
    </row>
    <row r="961">
      <c r="P961" s="161"/>
    </row>
    <row r="962">
      <c r="P962" s="161"/>
    </row>
    <row r="963">
      <c r="P963" s="161"/>
    </row>
    <row r="964">
      <c r="P964" s="161"/>
    </row>
    <row r="965">
      <c r="P965" s="161"/>
    </row>
    <row r="966">
      <c r="P966" s="161"/>
    </row>
    <row r="967">
      <c r="P967" s="161"/>
    </row>
    <row r="968">
      <c r="P968" s="161"/>
    </row>
    <row r="969">
      <c r="P969" s="161"/>
    </row>
    <row r="970">
      <c r="P970" s="161"/>
    </row>
    <row r="971">
      <c r="P971" s="161"/>
    </row>
    <row r="972">
      <c r="P972" s="161"/>
    </row>
    <row r="973">
      <c r="P973" s="161"/>
    </row>
    <row r="974">
      <c r="P974" s="161"/>
    </row>
    <row r="975">
      <c r="P975" s="161"/>
    </row>
    <row r="976">
      <c r="P976" s="161"/>
    </row>
    <row r="977">
      <c r="P977" s="161"/>
    </row>
    <row r="978">
      <c r="P978" s="161"/>
    </row>
    <row r="979">
      <c r="P979" s="161"/>
    </row>
    <row r="980">
      <c r="P980" s="161"/>
    </row>
    <row r="981">
      <c r="P981" s="161"/>
    </row>
    <row r="982">
      <c r="P982" s="161"/>
    </row>
    <row r="983">
      <c r="P983" s="161"/>
    </row>
    <row r="984">
      <c r="P984" s="161"/>
    </row>
    <row r="985">
      <c r="P985" s="161"/>
    </row>
    <row r="986">
      <c r="P986" s="161"/>
    </row>
    <row r="987">
      <c r="P987" s="161"/>
    </row>
    <row r="988">
      <c r="P988" s="161"/>
    </row>
    <row r="989">
      <c r="P989" s="161"/>
    </row>
    <row r="990">
      <c r="P990" s="161"/>
    </row>
    <row r="991">
      <c r="P991" s="161"/>
    </row>
    <row r="992">
      <c r="P992" s="161"/>
    </row>
    <row r="993">
      <c r="P993" s="161"/>
    </row>
    <row r="994">
      <c r="P994" s="161"/>
    </row>
    <row r="995">
      <c r="P995" s="161"/>
    </row>
    <row r="996">
      <c r="P996" s="161"/>
    </row>
    <row r="997">
      <c r="P997" s="161"/>
    </row>
    <row r="998">
      <c r="P998" s="161"/>
    </row>
    <row r="999">
      <c r="P999" s="161"/>
    </row>
    <row r="1000">
      <c r="P1000" s="161"/>
    </row>
  </sheetData>
  <mergeCells count="4">
    <mergeCell ref="D6:M6"/>
    <mergeCell ref="D7:F7"/>
    <mergeCell ref="D9:D12"/>
    <mergeCell ref="F10:O11"/>
  </mergeCells>
  <conditionalFormatting sqref="G15:M98">
    <cfRule type="cellIs" dxfId="1" priority="1" operator="equal">
      <formula>"False"</formula>
    </cfRule>
  </conditionalFormatting>
  <conditionalFormatting sqref="G15:M98">
    <cfRule type="cellIs" dxfId="0" priority="2" operator="equal">
      <formula>"TRUE"</formula>
    </cfRule>
  </conditionalFormatting>
  <dataValidations>
    <dataValidation type="list" allowBlank="1" showErrorMessage="1" sqref="E15:E101">
      <formula1>Data!$A$2:$A$100</formula1>
    </dataValidation>
    <dataValidation type="list" allowBlank="1" showErrorMessage="1" sqref="F15:F101">
      <formula1>Data!$C$2:$C$8</formula1>
    </dataValidation>
  </dataValidations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3" width="2.63"/>
    <col customWidth="1" min="4" max="4" width="20.38"/>
    <col customWidth="1" min="5" max="5" width="11.38"/>
    <col customWidth="1" min="6" max="6" width="16.63"/>
    <col customWidth="1" min="7" max="13" width="8.63"/>
    <col customWidth="1" min="14" max="14" width="12.63"/>
    <col customWidth="1" min="15" max="15" width="15.13"/>
    <col customWidth="1" min="16" max="16" width="15.88"/>
    <col customWidth="1" min="17" max="17" width="2.63"/>
  </cols>
  <sheetData>
    <row r="1" ht="7.5" customHeight="1">
      <c r="A1" s="165" t="s">
        <v>347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5"/>
      <c r="O1" s="86"/>
      <c r="P1" s="155"/>
      <c r="Q1" s="86"/>
    </row>
    <row r="2" ht="15.0" customHeight="1">
      <c r="A2" s="87"/>
      <c r="B2" s="87"/>
      <c r="C2" s="87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7"/>
      <c r="P2" s="87"/>
      <c r="Q2" s="87"/>
    </row>
    <row r="3" ht="3.75" customHeight="1">
      <c r="A3" s="87"/>
      <c r="B3" s="87"/>
      <c r="C3" s="87"/>
      <c r="D3" s="89"/>
      <c r="E3" s="90"/>
      <c r="F3" s="90"/>
      <c r="G3" s="90"/>
      <c r="H3" s="90"/>
      <c r="I3" s="90"/>
      <c r="J3" s="90"/>
      <c r="K3" s="90"/>
      <c r="L3" s="90"/>
      <c r="M3" s="90"/>
      <c r="N3" s="90"/>
      <c r="O3" s="87"/>
      <c r="P3" s="87"/>
      <c r="Q3" s="87"/>
    </row>
    <row r="4" ht="15.0" customHeight="1">
      <c r="A4" s="87"/>
      <c r="B4" s="87"/>
      <c r="C4" s="87"/>
      <c r="D4" s="88"/>
      <c r="E4" s="88"/>
      <c r="F4" s="88"/>
      <c r="G4" s="91"/>
      <c r="H4" s="91"/>
      <c r="I4" s="91"/>
      <c r="J4" s="91"/>
      <c r="K4" s="91"/>
      <c r="L4" s="91"/>
      <c r="M4" s="91"/>
      <c r="N4" s="91"/>
      <c r="O4" s="87"/>
      <c r="P4" s="87"/>
      <c r="Q4" s="87"/>
    </row>
    <row r="5" ht="15.0" customHeight="1">
      <c r="A5" s="92"/>
      <c r="B5" s="92"/>
      <c r="C5" s="92"/>
      <c r="D5" s="88"/>
      <c r="E5" s="88"/>
      <c r="F5" s="88"/>
      <c r="G5" s="93"/>
      <c r="H5" s="93"/>
      <c r="I5" s="93"/>
      <c r="J5" s="93"/>
      <c r="K5" s="93"/>
      <c r="L5" s="93"/>
      <c r="M5" s="93"/>
      <c r="N5" s="94"/>
      <c r="O5" s="88"/>
      <c r="P5" s="92"/>
      <c r="Q5" s="92"/>
    </row>
    <row r="6" ht="15.0" customHeight="1">
      <c r="A6" s="92"/>
      <c r="B6" s="92"/>
      <c r="C6" s="92"/>
      <c r="D6" s="95" t="s">
        <v>350</v>
      </c>
      <c r="N6" s="94"/>
      <c r="O6" s="88"/>
      <c r="P6" s="92"/>
      <c r="Q6" s="92"/>
    </row>
    <row r="7" ht="15.0" customHeight="1">
      <c r="A7" s="92"/>
      <c r="B7" s="92"/>
      <c r="C7" s="92"/>
      <c r="D7" s="96"/>
      <c r="G7" s="97"/>
      <c r="H7" s="97"/>
      <c r="I7" s="97"/>
      <c r="J7" s="97"/>
      <c r="K7" s="97"/>
      <c r="L7" s="97"/>
      <c r="M7" s="97"/>
      <c r="N7" s="92"/>
      <c r="O7" s="92"/>
      <c r="P7" s="92"/>
      <c r="Q7" s="92"/>
    </row>
    <row r="8" ht="15.0" customHeight="1">
      <c r="A8" s="92"/>
      <c r="B8" s="92"/>
      <c r="C8" s="92"/>
      <c r="D8" s="97"/>
      <c r="E8" s="97"/>
      <c r="F8" s="97"/>
      <c r="G8" s="97"/>
      <c r="H8" s="97"/>
      <c r="I8" s="97"/>
      <c r="J8" s="97"/>
      <c r="K8" s="97"/>
      <c r="L8" s="97"/>
      <c r="M8" s="97"/>
      <c r="N8" s="92"/>
      <c r="O8" s="92"/>
      <c r="P8" s="92"/>
      <c r="Q8" s="92"/>
    </row>
    <row r="9" ht="15.0" customHeight="1">
      <c r="A9" s="92"/>
      <c r="B9" s="92"/>
      <c r="C9" s="98"/>
      <c r="D9" s="99" t="s">
        <v>35</v>
      </c>
      <c r="E9" s="100"/>
      <c r="F9" s="101"/>
      <c r="G9" s="101"/>
      <c r="H9" s="101"/>
      <c r="I9" s="101"/>
      <c r="J9" s="101"/>
      <c r="K9" s="101"/>
      <c r="L9" s="101"/>
      <c r="M9" s="101"/>
      <c r="N9" s="101"/>
      <c r="O9" s="100"/>
      <c r="P9" s="102"/>
      <c r="Q9" s="102"/>
    </row>
    <row r="10" ht="15.0" customHeight="1">
      <c r="A10" s="92"/>
      <c r="B10" s="92"/>
      <c r="C10" s="98"/>
      <c r="E10" s="100"/>
      <c r="F10" s="103" t="s">
        <v>36</v>
      </c>
      <c r="P10" s="102"/>
      <c r="Q10" s="102"/>
    </row>
    <row r="11" ht="15.0" customHeight="1">
      <c r="A11" s="92"/>
      <c r="B11" s="92"/>
      <c r="C11" s="98"/>
      <c r="E11" s="100"/>
      <c r="P11" s="102"/>
      <c r="Q11" s="102"/>
    </row>
    <row r="12" ht="15.0" customHeight="1">
      <c r="A12" s="88"/>
      <c r="B12" s="92"/>
      <c r="C12" s="92"/>
      <c r="E12" s="100"/>
      <c r="F12" s="100"/>
      <c r="G12" s="100"/>
      <c r="H12" s="100"/>
      <c r="I12" s="100"/>
      <c r="J12" s="100"/>
      <c r="K12" s="100"/>
      <c r="L12" s="100"/>
      <c r="M12" s="100"/>
      <c r="N12" s="100"/>
      <c r="O12" s="100"/>
      <c r="P12" s="102"/>
      <c r="Q12" s="102"/>
    </row>
    <row r="13" ht="15.0" customHeight="1">
      <c r="A13" s="88"/>
      <c r="B13" s="104"/>
      <c r="C13" s="104"/>
      <c r="D13" s="104"/>
      <c r="E13" s="104"/>
      <c r="F13" s="105"/>
      <c r="G13" s="105"/>
      <c r="H13" s="105"/>
      <c r="I13" s="105"/>
      <c r="J13" s="105"/>
      <c r="K13" s="105"/>
      <c r="L13" s="105"/>
      <c r="M13" s="105"/>
      <c r="N13" s="104"/>
      <c r="O13" s="104"/>
      <c r="P13" s="104"/>
      <c r="Q13" s="104"/>
    </row>
    <row r="14" ht="15.0" customHeight="1">
      <c r="A14" s="106"/>
      <c r="B14" s="106"/>
      <c r="C14" s="106"/>
      <c r="D14" s="107" t="s">
        <v>37</v>
      </c>
      <c r="E14" s="108" t="s">
        <v>38</v>
      </c>
      <c r="F14" s="109" t="s">
        <v>39</v>
      </c>
      <c r="G14" s="110">
        <v>44669.0</v>
      </c>
      <c r="H14" s="110">
        <v>44670.0</v>
      </c>
      <c r="I14" s="110">
        <v>44671.0</v>
      </c>
      <c r="J14" s="110">
        <v>44672.0</v>
      </c>
      <c r="K14" s="110">
        <v>44673.0</v>
      </c>
      <c r="L14" s="110">
        <v>44674.0</v>
      </c>
      <c r="M14" s="110">
        <v>44675.0</v>
      </c>
      <c r="N14" s="111" t="s">
        <v>40</v>
      </c>
      <c r="O14" s="111" t="s">
        <v>41</v>
      </c>
      <c r="P14" s="156" t="s">
        <v>281</v>
      </c>
      <c r="Q14" s="88"/>
    </row>
    <row r="15" ht="15.0" customHeight="1">
      <c r="A15" s="112"/>
      <c r="B15" s="112"/>
      <c r="C15" s="112"/>
      <c r="D15" s="129" t="s">
        <v>271</v>
      </c>
      <c r="E15" s="114" t="str">
        <f>VLOOKUP(D15,Data!H:I,2,0)</f>
        <v>Adıyaman</v>
      </c>
      <c r="F15" s="115" t="str">
        <f>VLOOKUP(D15,Data!H:J,3,0)</f>
        <v>Nazım Öztel</v>
      </c>
      <c r="G15" s="116" t="b">
        <v>0</v>
      </c>
      <c r="H15" s="116" t="b">
        <v>0</v>
      </c>
      <c r="I15" s="116" t="b">
        <v>0</v>
      </c>
      <c r="J15" s="116" t="b">
        <v>0</v>
      </c>
      <c r="K15" s="116" t="b">
        <v>0</v>
      </c>
      <c r="L15" s="116" t="b">
        <v>0</v>
      </c>
      <c r="M15" s="116" t="b">
        <v>0</v>
      </c>
      <c r="N15" s="117">
        <f t="shared" ref="N15:N36" si="1">COUNTIF(G15:M15,"TRUE")</f>
        <v>0</v>
      </c>
      <c r="O15" s="117">
        <f t="shared" ref="O15:O36" si="2">N15*4</f>
        <v>0</v>
      </c>
      <c r="P15" s="157"/>
      <c r="Q15" s="88"/>
    </row>
    <row r="16" ht="15.0" customHeight="1">
      <c r="A16" s="112"/>
      <c r="B16" s="112"/>
      <c r="C16" s="112"/>
      <c r="D16" s="129" t="s">
        <v>279</v>
      </c>
      <c r="E16" s="114" t="str">
        <f>VLOOKUP(D16,Data!H:I,2,0)</f>
        <v>Amasya</v>
      </c>
      <c r="F16" s="115" t="str">
        <f>VLOOKUP(D16,Data!H:J,3,0)</f>
        <v>Nazım Öztel</v>
      </c>
      <c r="G16" s="116" t="b">
        <v>0</v>
      </c>
      <c r="H16" s="116" t="b">
        <v>0</v>
      </c>
      <c r="I16" s="116" t="b">
        <v>0</v>
      </c>
      <c r="J16" s="116" t="b">
        <v>0</v>
      </c>
      <c r="K16" s="116" t="b">
        <v>0</v>
      </c>
      <c r="L16" s="116" t="b">
        <v>0</v>
      </c>
      <c r="M16" s="116" t="b">
        <v>0</v>
      </c>
      <c r="N16" s="117">
        <f t="shared" si="1"/>
        <v>0</v>
      </c>
      <c r="O16" s="117">
        <f t="shared" si="2"/>
        <v>0</v>
      </c>
      <c r="P16" s="157" t="s">
        <v>314</v>
      </c>
      <c r="Q16" s="88"/>
    </row>
    <row r="17" ht="15.0" customHeight="1">
      <c r="A17" s="112"/>
      <c r="B17" s="112"/>
      <c r="C17" s="112"/>
      <c r="D17" s="129" t="s">
        <v>246</v>
      </c>
      <c r="E17" s="114" t="str">
        <f>VLOOKUP(D17,Data!H:I,2,0)</f>
        <v>Ankara</v>
      </c>
      <c r="F17" s="115" t="str">
        <f>VLOOKUP(D17,Data!H:J,3,0)</f>
        <v>Nazım Öztel</v>
      </c>
      <c r="G17" s="116" t="b">
        <v>0</v>
      </c>
      <c r="H17" s="116" t="b">
        <v>0</v>
      </c>
      <c r="I17" s="116" t="b">
        <v>1</v>
      </c>
      <c r="J17" s="116" t="b">
        <v>1</v>
      </c>
      <c r="K17" s="116" t="b">
        <v>1</v>
      </c>
      <c r="L17" s="116" t="b">
        <v>0</v>
      </c>
      <c r="M17" s="116" t="b">
        <v>0</v>
      </c>
      <c r="N17" s="117">
        <f t="shared" si="1"/>
        <v>3</v>
      </c>
      <c r="O17" s="117">
        <f t="shared" si="2"/>
        <v>12</v>
      </c>
      <c r="P17" s="157" t="s">
        <v>309</v>
      </c>
      <c r="Q17" s="88"/>
    </row>
    <row r="18" ht="15.0" customHeight="1">
      <c r="A18" s="112"/>
      <c r="B18" s="112"/>
      <c r="C18" s="112"/>
      <c r="D18" s="129" t="s">
        <v>261</v>
      </c>
      <c r="E18" s="114" t="str">
        <f>VLOOKUP(D18,Data!H:I,2,0)</f>
        <v>Ankara</v>
      </c>
      <c r="F18" s="115" t="str">
        <f>VLOOKUP(D18,Data!H:J,3,0)</f>
        <v>Nazım Öztel</v>
      </c>
      <c r="G18" s="116" t="b">
        <v>0</v>
      </c>
      <c r="H18" s="116" t="b">
        <v>0</v>
      </c>
      <c r="I18" s="116" t="b">
        <v>0</v>
      </c>
      <c r="J18" s="116" t="b">
        <v>0</v>
      </c>
      <c r="K18" s="116" t="b">
        <v>0</v>
      </c>
      <c r="L18" s="116" t="b">
        <v>0</v>
      </c>
      <c r="M18" s="116" t="b">
        <v>0</v>
      </c>
      <c r="N18" s="117">
        <f t="shared" si="1"/>
        <v>0</v>
      </c>
      <c r="O18" s="117">
        <f t="shared" si="2"/>
        <v>0</v>
      </c>
      <c r="P18" s="157" t="s">
        <v>329</v>
      </c>
      <c r="Q18" s="88"/>
    </row>
    <row r="19" ht="15.0" customHeight="1">
      <c r="A19" s="106"/>
      <c r="B19" s="106"/>
      <c r="C19" s="106"/>
      <c r="D19" s="129" t="s">
        <v>164</v>
      </c>
      <c r="E19" s="114" t="str">
        <f>VLOOKUP(D19,Data!H:I,2,0)</f>
        <v>Antalya</v>
      </c>
      <c r="F19" s="115" t="str">
        <f>VLOOKUP(D19,Data!H:J,3,0)</f>
        <v>Nazım Öztel</v>
      </c>
      <c r="G19" s="116" t="b">
        <v>1</v>
      </c>
      <c r="H19" s="116" t="b">
        <v>0</v>
      </c>
      <c r="I19" s="116" t="b">
        <v>0</v>
      </c>
      <c r="J19" s="116" t="b">
        <v>1</v>
      </c>
      <c r="K19" s="116" t="b">
        <v>1</v>
      </c>
      <c r="L19" s="116" t="b">
        <v>0</v>
      </c>
      <c r="M19" s="116" t="b">
        <v>0</v>
      </c>
      <c r="N19" s="117">
        <f t="shared" si="1"/>
        <v>3</v>
      </c>
      <c r="O19" s="117">
        <f t="shared" si="2"/>
        <v>12</v>
      </c>
      <c r="P19" s="157"/>
      <c r="Q19" s="106"/>
    </row>
    <row r="20" ht="15.0" customHeight="1">
      <c r="A20" s="106"/>
      <c r="B20" s="106"/>
      <c r="C20" s="106"/>
      <c r="D20" s="162" t="s">
        <v>197</v>
      </c>
      <c r="E20" s="114" t="s">
        <v>262</v>
      </c>
      <c r="F20" s="115" t="s">
        <v>61</v>
      </c>
      <c r="G20" s="116" t="b">
        <v>0</v>
      </c>
      <c r="H20" s="116" t="b">
        <v>0</v>
      </c>
      <c r="I20" s="116" t="b">
        <v>0</v>
      </c>
      <c r="J20" s="116" t="b">
        <v>0</v>
      </c>
      <c r="K20" s="116" t="b">
        <v>0</v>
      </c>
      <c r="L20" s="116" t="b">
        <v>0</v>
      </c>
      <c r="M20" s="116" t="b">
        <v>0</v>
      </c>
      <c r="N20" s="117">
        <f t="shared" si="1"/>
        <v>0</v>
      </c>
      <c r="O20" s="117">
        <f t="shared" si="2"/>
        <v>0</v>
      </c>
      <c r="P20" s="157" t="s">
        <v>331</v>
      </c>
      <c r="Q20" s="106"/>
    </row>
    <row r="21" ht="15.0" customHeight="1">
      <c r="A21" s="112"/>
      <c r="B21" s="112"/>
      <c r="C21" s="112"/>
      <c r="D21" s="129" t="s">
        <v>241</v>
      </c>
      <c r="E21" s="114" t="s">
        <v>184</v>
      </c>
      <c r="F21" s="115" t="s">
        <v>61</v>
      </c>
      <c r="G21" s="116" t="b">
        <v>0</v>
      </c>
      <c r="H21" s="116" t="b">
        <v>0</v>
      </c>
      <c r="I21" s="116" t="b">
        <v>0</v>
      </c>
      <c r="J21" s="116" t="b">
        <v>0</v>
      </c>
      <c r="K21" s="116" t="b">
        <v>0</v>
      </c>
      <c r="L21" s="116" t="b">
        <v>0</v>
      </c>
      <c r="M21" s="116" t="b">
        <v>0</v>
      </c>
      <c r="N21" s="117">
        <f t="shared" si="1"/>
        <v>0</v>
      </c>
      <c r="O21" s="117">
        <f t="shared" si="2"/>
        <v>0</v>
      </c>
      <c r="P21" s="158" t="s">
        <v>332</v>
      </c>
      <c r="Q21" s="112"/>
    </row>
    <row r="22" ht="15.0" customHeight="1">
      <c r="A22" s="112"/>
      <c r="B22" s="112"/>
      <c r="C22" s="112"/>
      <c r="D22" s="129" t="s">
        <v>333</v>
      </c>
      <c r="E22" s="114" t="str">
        <f>VLOOKUP(D22,Data!H:I,2,0)</f>
        <v>#N/A</v>
      </c>
      <c r="F22" s="115" t="str">
        <f>VLOOKUP(D22,Data!H:J,3,0)</f>
        <v>#N/A</v>
      </c>
      <c r="G22" s="116" t="b">
        <v>0</v>
      </c>
      <c r="H22" s="116" t="b">
        <v>0</v>
      </c>
      <c r="I22" s="116" t="b">
        <v>0</v>
      </c>
      <c r="J22" s="116" t="b">
        <v>0</v>
      </c>
      <c r="K22" s="116" t="b">
        <v>0</v>
      </c>
      <c r="L22" s="116" t="b">
        <v>0</v>
      </c>
      <c r="M22" s="116" t="b">
        <v>0</v>
      </c>
      <c r="N22" s="117">
        <f t="shared" si="1"/>
        <v>0</v>
      </c>
      <c r="O22" s="117">
        <f t="shared" si="2"/>
        <v>0</v>
      </c>
      <c r="P22" s="157"/>
      <c r="Q22" s="112"/>
    </row>
    <row r="23" ht="15.0" customHeight="1">
      <c r="A23" s="112"/>
      <c r="B23" s="112"/>
      <c r="C23" s="112"/>
      <c r="D23" s="129" t="s">
        <v>53</v>
      </c>
      <c r="E23" s="114" t="str">
        <f>VLOOKUP(D23,Data!H:I,2,0)</f>
        <v>Bursa</v>
      </c>
      <c r="F23" s="115" t="str">
        <f>VLOOKUP(D23,Data!H:J,3,0)</f>
        <v>Freelance</v>
      </c>
      <c r="G23" s="116" t="b">
        <v>0</v>
      </c>
      <c r="H23" s="116" t="b">
        <v>0</v>
      </c>
      <c r="I23" s="116" t="b">
        <v>0</v>
      </c>
      <c r="J23" s="116" t="b">
        <v>0</v>
      </c>
      <c r="K23" s="116" t="b">
        <v>0</v>
      </c>
      <c r="L23" s="116" t="b">
        <v>0</v>
      </c>
      <c r="M23" s="116" t="b">
        <v>0</v>
      </c>
      <c r="N23" s="117">
        <f t="shared" si="1"/>
        <v>0</v>
      </c>
      <c r="O23" s="117">
        <f t="shared" si="2"/>
        <v>0</v>
      </c>
      <c r="P23" s="157"/>
      <c r="Q23" s="112"/>
    </row>
    <row r="24" ht="15.0" customHeight="1">
      <c r="A24" s="112"/>
      <c r="B24" s="112"/>
      <c r="C24" s="112"/>
      <c r="D24" s="129" t="s">
        <v>247</v>
      </c>
      <c r="E24" s="114" t="str">
        <f>VLOOKUP(D24,Data!H:I,2,0)</f>
        <v>Çanakkale</v>
      </c>
      <c r="F24" s="115" t="str">
        <f>VLOOKUP(D24,Data!H:J,3,0)</f>
        <v>Nazım Öztel</v>
      </c>
      <c r="G24" s="116" t="b">
        <v>0</v>
      </c>
      <c r="H24" s="116" t="b">
        <v>0</v>
      </c>
      <c r="I24" s="116" t="b">
        <v>0</v>
      </c>
      <c r="J24" s="116" t="b">
        <v>0</v>
      </c>
      <c r="K24" s="116" t="b">
        <v>0</v>
      </c>
      <c r="L24" s="116" t="b">
        <v>0</v>
      </c>
      <c r="M24" s="116" t="b">
        <v>0</v>
      </c>
      <c r="N24" s="117">
        <f t="shared" si="1"/>
        <v>0</v>
      </c>
      <c r="O24" s="117">
        <f t="shared" si="2"/>
        <v>0</v>
      </c>
      <c r="P24" s="157" t="s">
        <v>309</v>
      </c>
      <c r="Q24" s="112"/>
    </row>
    <row r="25" ht="15.0" customHeight="1">
      <c r="A25" s="112"/>
      <c r="B25" s="112"/>
      <c r="C25" s="112"/>
      <c r="D25" s="129" t="s">
        <v>221</v>
      </c>
      <c r="E25" s="114" t="str">
        <f>VLOOKUP(D25,Data!H:I,2,0)</f>
        <v>Çorum</v>
      </c>
      <c r="F25" s="115" t="str">
        <f>VLOOKUP(D25,Data!H:J,3,0)</f>
        <v>Nazım Öztel</v>
      </c>
      <c r="G25" s="116" t="b">
        <v>0</v>
      </c>
      <c r="H25" s="116" t="b">
        <v>0</v>
      </c>
      <c r="I25" s="116" t="b">
        <v>0</v>
      </c>
      <c r="J25" s="116" t="b">
        <v>0</v>
      </c>
      <c r="K25" s="116" t="b">
        <v>0</v>
      </c>
      <c r="L25" s="116" t="b">
        <v>0</v>
      </c>
      <c r="M25" s="116" t="b">
        <v>0</v>
      </c>
      <c r="N25" s="117">
        <f t="shared" si="1"/>
        <v>0</v>
      </c>
      <c r="O25" s="117">
        <f t="shared" si="2"/>
        <v>0</v>
      </c>
      <c r="P25" s="157" t="s">
        <v>314</v>
      </c>
      <c r="Q25" s="112"/>
    </row>
    <row r="26" ht="15.0" customHeight="1">
      <c r="A26" s="112"/>
      <c r="B26" s="112"/>
      <c r="C26" s="112"/>
      <c r="D26" s="129" t="s">
        <v>264</v>
      </c>
      <c r="E26" s="114" t="str">
        <f>VLOOKUP(D26,Data!H:I,2,0)</f>
        <v>Denizli</v>
      </c>
      <c r="F26" s="115" t="str">
        <f>VLOOKUP(D26,Data!H:J,3,0)</f>
        <v>Nazım Öztel</v>
      </c>
      <c r="G26" s="116" t="b">
        <v>0</v>
      </c>
      <c r="H26" s="116" t="b">
        <v>0</v>
      </c>
      <c r="I26" s="116" t="b">
        <v>0</v>
      </c>
      <c r="J26" s="116" t="b">
        <v>0</v>
      </c>
      <c r="K26" s="116" t="b">
        <v>0</v>
      </c>
      <c r="L26" s="116" t="b">
        <v>0</v>
      </c>
      <c r="M26" s="116" t="b">
        <v>0</v>
      </c>
      <c r="N26" s="117">
        <f t="shared" si="1"/>
        <v>0</v>
      </c>
      <c r="O26" s="117">
        <f t="shared" si="2"/>
        <v>0</v>
      </c>
      <c r="P26" s="157"/>
      <c r="Q26" s="112"/>
    </row>
    <row r="27" ht="15.0" customHeight="1">
      <c r="A27" s="112"/>
      <c r="B27" s="112"/>
      <c r="C27" s="112"/>
      <c r="D27" s="132" t="s">
        <v>54</v>
      </c>
      <c r="E27" s="114" t="str">
        <f>VLOOKUP(D27,Data!H:I,2,0)</f>
        <v>Diyarbakır</v>
      </c>
      <c r="F27" s="115" t="str">
        <f>VLOOKUP(D27,Data!H:J,3,0)</f>
        <v>Nazım Öztel</v>
      </c>
      <c r="G27" s="116" t="b">
        <v>0</v>
      </c>
      <c r="H27" s="116" t="b">
        <v>0</v>
      </c>
      <c r="I27" s="116" t="b">
        <v>0</v>
      </c>
      <c r="J27" s="116" t="b">
        <v>0</v>
      </c>
      <c r="K27" s="116" t="b">
        <v>0</v>
      </c>
      <c r="L27" s="116" t="b">
        <v>0</v>
      </c>
      <c r="M27" s="116" t="b">
        <v>0</v>
      </c>
      <c r="N27" s="117">
        <f t="shared" si="1"/>
        <v>0</v>
      </c>
      <c r="O27" s="117">
        <f t="shared" si="2"/>
        <v>0</v>
      </c>
      <c r="P27" s="157" t="s">
        <v>299</v>
      </c>
      <c r="Q27" s="112"/>
    </row>
    <row r="28" ht="15.0" customHeight="1">
      <c r="A28" s="112"/>
      <c r="B28" s="112"/>
      <c r="C28" s="112"/>
      <c r="D28" s="129" t="s">
        <v>173</v>
      </c>
      <c r="E28" s="114" t="str">
        <f>VLOOKUP(D28,Data!H:I,2,0)</f>
        <v>Düzce</v>
      </c>
      <c r="F28" s="115" t="str">
        <f>VLOOKUP(D28,Data!H:J,3,0)</f>
        <v>Nazım Öztel</v>
      </c>
      <c r="G28" s="116" t="b">
        <v>0</v>
      </c>
      <c r="H28" s="116" t="b">
        <v>0</v>
      </c>
      <c r="I28" s="116" t="b">
        <v>0</v>
      </c>
      <c r="J28" s="116" t="b">
        <v>0</v>
      </c>
      <c r="K28" s="116" t="b">
        <v>0</v>
      </c>
      <c r="L28" s="116" t="b">
        <v>0</v>
      </c>
      <c r="M28" s="116" t="b">
        <v>0</v>
      </c>
      <c r="N28" s="117">
        <f t="shared" si="1"/>
        <v>0</v>
      </c>
      <c r="O28" s="117">
        <f t="shared" si="2"/>
        <v>0</v>
      </c>
      <c r="P28" s="157" t="s">
        <v>314</v>
      </c>
      <c r="Q28" s="112"/>
    </row>
    <row r="29" ht="15.0" customHeight="1">
      <c r="A29" s="112"/>
      <c r="B29" s="112"/>
      <c r="C29" s="112"/>
      <c r="D29" s="129" t="s">
        <v>153</v>
      </c>
      <c r="E29" s="114" t="str">
        <f>VLOOKUP(D29,Data!H:I,2,0)</f>
        <v>Edirne</v>
      </c>
      <c r="F29" s="115" t="str">
        <f>VLOOKUP(D29,Data!H:J,3,0)</f>
        <v>Nazım Öztel</v>
      </c>
      <c r="G29" s="116" t="b">
        <v>0</v>
      </c>
      <c r="H29" s="116" t="b">
        <v>0</v>
      </c>
      <c r="I29" s="116" t="b">
        <v>0</v>
      </c>
      <c r="J29" s="116" t="b">
        <v>0</v>
      </c>
      <c r="K29" s="116" t="b">
        <v>0</v>
      </c>
      <c r="L29" s="116" t="b">
        <v>0</v>
      </c>
      <c r="M29" s="116" t="b">
        <v>0</v>
      </c>
      <c r="N29" s="117">
        <f t="shared" si="1"/>
        <v>0</v>
      </c>
      <c r="O29" s="117">
        <f t="shared" si="2"/>
        <v>0</v>
      </c>
      <c r="P29" s="157" t="s">
        <v>314</v>
      </c>
      <c r="Q29" s="112"/>
    </row>
    <row r="30" ht="15.0" customHeight="1">
      <c r="A30" s="112"/>
      <c r="B30" s="112"/>
      <c r="C30" s="112"/>
      <c r="D30" s="129" t="s">
        <v>199</v>
      </c>
      <c r="E30" s="114" t="str">
        <f>VLOOKUP(D30,Data!H:I,2,0)</f>
        <v>Elazığ</v>
      </c>
      <c r="F30" s="115" t="str">
        <f>VLOOKUP(D30,Data!H:J,3,0)</f>
        <v>Nazım Öztel</v>
      </c>
      <c r="G30" s="116" t="b">
        <v>0</v>
      </c>
      <c r="H30" s="116" t="b">
        <v>0</v>
      </c>
      <c r="I30" s="116" t="b">
        <v>0</v>
      </c>
      <c r="J30" s="116" t="b">
        <v>0</v>
      </c>
      <c r="K30" s="116" t="b">
        <v>0</v>
      </c>
      <c r="L30" s="116" t="b">
        <v>0</v>
      </c>
      <c r="M30" s="116" t="b">
        <v>0</v>
      </c>
      <c r="N30" s="117">
        <f t="shared" si="1"/>
        <v>0</v>
      </c>
      <c r="O30" s="117">
        <f t="shared" si="2"/>
        <v>0</v>
      </c>
      <c r="P30" s="157" t="s">
        <v>314</v>
      </c>
      <c r="Q30" s="112"/>
    </row>
    <row r="31" ht="15.0" customHeight="1">
      <c r="A31" s="112"/>
      <c r="B31" s="112"/>
      <c r="C31" s="112"/>
      <c r="D31" s="132" t="s">
        <v>55</v>
      </c>
      <c r="E31" s="114" t="str">
        <f>VLOOKUP(D31,Data!H:I,2,0)</f>
        <v>Erzurum</v>
      </c>
      <c r="F31" s="115" t="str">
        <f>VLOOKUP(D31,Data!H:J,3,0)</f>
        <v>Nazım Öztel</v>
      </c>
      <c r="G31" s="116" t="b">
        <v>0</v>
      </c>
      <c r="H31" s="116" t="b">
        <v>0</v>
      </c>
      <c r="I31" s="116" t="b">
        <v>0</v>
      </c>
      <c r="J31" s="116" t="b">
        <v>0</v>
      </c>
      <c r="K31" s="116" t="b">
        <v>0</v>
      </c>
      <c r="L31" s="116" t="b">
        <v>0</v>
      </c>
      <c r="M31" s="116" t="b">
        <v>0</v>
      </c>
      <c r="N31" s="117">
        <f t="shared" si="1"/>
        <v>0</v>
      </c>
      <c r="O31" s="117">
        <f t="shared" si="2"/>
        <v>0</v>
      </c>
      <c r="P31" s="157" t="s">
        <v>314</v>
      </c>
      <c r="Q31" s="112"/>
    </row>
    <row r="32" ht="15.0" customHeight="1">
      <c r="A32" s="112"/>
      <c r="B32" s="112"/>
      <c r="C32" s="112"/>
      <c r="D32" s="129" t="s">
        <v>165</v>
      </c>
      <c r="E32" s="114" t="str">
        <f>VLOOKUP(D32,Data!H:I,2,0)</f>
        <v>Eskişehir</v>
      </c>
      <c r="F32" s="115" t="str">
        <f>VLOOKUP(D32,Data!H:J,3,0)</f>
        <v>Nazım Öztel</v>
      </c>
      <c r="G32" s="116" t="b">
        <v>0</v>
      </c>
      <c r="H32" s="116" t="b">
        <v>0</v>
      </c>
      <c r="I32" s="116" t="b">
        <v>0</v>
      </c>
      <c r="J32" s="116" t="b">
        <v>0</v>
      </c>
      <c r="K32" s="116" t="b">
        <v>0</v>
      </c>
      <c r="L32" s="116" t="b">
        <v>0</v>
      </c>
      <c r="M32" s="116" t="b">
        <v>0</v>
      </c>
      <c r="N32" s="117">
        <f t="shared" si="1"/>
        <v>0</v>
      </c>
      <c r="O32" s="117">
        <f t="shared" si="2"/>
        <v>0</v>
      </c>
      <c r="P32" s="157"/>
      <c r="Q32" s="112"/>
    </row>
    <row r="33" ht="15.0" customHeight="1">
      <c r="A33" s="112"/>
      <c r="B33" s="112"/>
      <c r="C33" s="112"/>
      <c r="D33" s="129" t="s">
        <v>273</v>
      </c>
      <c r="E33" s="114" t="str">
        <f>VLOOKUP(D33,Data!H:I,2,0)</f>
        <v>Gaziantep</v>
      </c>
      <c r="F33" s="115" t="str">
        <f>VLOOKUP(D33,Data!H:J,3,0)</f>
        <v>Nazım Öztel</v>
      </c>
      <c r="G33" s="116" t="b">
        <v>0</v>
      </c>
      <c r="H33" s="116" t="b">
        <v>0</v>
      </c>
      <c r="I33" s="116" t="b">
        <v>0</v>
      </c>
      <c r="J33" s="116" t="b">
        <v>0</v>
      </c>
      <c r="K33" s="116" t="b">
        <v>0</v>
      </c>
      <c r="L33" s="116" t="b">
        <v>0</v>
      </c>
      <c r="M33" s="116" t="b">
        <v>0</v>
      </c>
      <c r="N33" s="117">
        <f t="shared" si="1"/>
        <v>0</v>
      </c>
      <c r="O33" s="117">
        <f t="shared" si="2"/>
        <v>0</v>
      </c>
      <c r="P33" s="157" t="s">
        <v>314</v>
      </c>
      <c r="Q33" s="112"/>
    </row>
    <row r="34" ht="15.0" customHeight="1">
      <c r="A34" s="112"/>
      <c r="B34" s="112"/>
      <c r="C34" s="112"/>
      <c r="D34" s="129" t="s">
        <v>248</v>
      </c>
      <c r="E34" s="114" t="str">
        <f>VLOOKUP(D34,Data!H:I,2,0)</f>
        <v>Hatay</v>
      </c>
      <c r="F34" s="115" t="str">
        <f>VLOOKUP(D34,Data!H:J,3,0)</f>
        <v>Nazım Öztel</v>
      </c>
      <c r="G34" s="116" t="b">
        <v>0</v>
      </c>
      <c r="H34" s="116" t="b">
        <v>0</v>
      </c>
      <c r="I34" s="116" t="b">
        <v>0</v>
      </c>
      <c r="J34" s="116" t="b">
        <v>0</v>
      </c>
      <c r="K34" s="116" t="b">
        <v>0</v>
      </c>
      <c r="L34" s="116" t="b">
        <v>0</v>
      </c>
      <c r="M34" s="116" t="b">
        <v>0</v>
      </c>
      <c r="N34" s="117">
        <f t="shared" si="1"/>
        <v>0</v>
      </c>
      <c r="O34" s="117">
        <f t="shared" si="2"/>
        <v>0</v>
      </c>
      <c r="P34" s="157" t="s">
        <v>314</v>
      </c>
      <c r="Q34" s="112"/>
    </row>
    <row r="35" ht="15.0" customHeight="1">
      <c r="A35" s="112"/>
      <c r="B35" s="112"/>
      <c r="C35" s="112"/>
      <c r="D35" s="129" t="s">
        <v>58</v>
      </c>
      <c r="E35" s="114" t="str">
        <f>VLOOKUP(D35,Data!H:I,2,0)</f>
        <v>İstanbul</v>
      </c>
      <c r="F35" s="115" t="str">
        <f>VLOOKUP(D35,Data!H:J,3,0)</f>
        <v>Freelance</v>
      </c>
      <c r="G35" s="116" t="b">
        <v>1</v>
      </c>
      <c r="H35" s="116" t="b">
        <v>1</v>
      </c>
      <c r="I35" s="116" t="b">
        <v>1</v>
      </c>
      <c r="J35" s="116" t="b">
        <v>1</v>
      </c>
      <c r="K35" s="116" t="b">
        <v>1</v>
      </c>
      <c r="L35" s="116" t="b">
        <v>0</v>
      </c>
      <c r="M35" s="116" t="b">
        <v>0</v>
      </c>
      <c r="N35" s="117">
        <f t="shared" si="1"/>
        <v>5</v>
      </c>
      <c r="O35" s="117">
        <f t="shared" si="2"/>
        <v>20</v>
      </c>
      <c r="P35" s="157"/>
      <c r="Q35" s="112"/>
    </row>
    <row r="36" ht="15.0" customHeight="1">
      <c r="A36" s="121"/>
      <c r="B36" s="121"/>
      <c r="C36" s="121"/>
      <c r="D36" s="129" t="s">
        <v>335</v>
      </c>
      <c r="E36" s="114" t="s">
        <v>237</v>
      </c>
      <c r="F36" s="115" t="s">
        <v>64</v>
      </c>
      <c r="G36" s="116" t="b">
        <v>1</v>
      </c>
      <c r="H36" s="116" t="b">
        <v>0</v>
      </c>
      <c r="I36" s="116" t="b">
        <v>1</v>
      </c>
      <c r="J36" s="116" t="b">
        <v>1</v>
      </c>
      <c r="K36" s="116" t="b">
        <v>0</v>
      </c>
      <c r="L36" s="116" t="b">
        <v>0</v>
      </c>
      <c r="M36" s="116" t="b">
        <v>0</v>
      </c>
      <c r="N36" s="117">
        <f t="shared" si="1"/>
        <v>3</v>
      </c>
      <c r="O36" s="117">
        <f t="shared" si="2"/>
        <v>12</v>
      </c>
      <c r="P36" s="157"/>
      <c r="Q36" s="121"/>
    </row>
    <row r="37" ht="15.0" customHeight="1">
      <c r="A37" s="112"/>
      <c r="B37" s="112"/>
      <c r="C37" s="112"/>
      <c r="D37" s="129" t="s">
        <v>336</v>
      </c>
      <c r="E37" s="114" t="s">
        <v>237</v>
      </c>
      <c r="F37" s="115" t="s">
        <v>64</v>
      </c>
      <c r="G37" s="116" t="b">
        <v>0</v>
      </c>
      <c r="H37" s="116" t="b">
        <v>0</v>
      </c>
      <c r="I37" s="116" t="b">
        <v>0</v>
      </c>
      <c r="J37" s="116" t="b">
        <v>0</v>
      </c>
      <c r="K37" s="116" t="b">
        <v>0</v>
      </c>
      <c r="L37" s="116" t="b">
        <v>0</v>
      </c>
      <c r="M37" s="116" t="b">
        <v>0</v>
      </c>
      <c r="N37" s="117"/>
      <c r="O37" s="117"/>
      <c r="P37" s="157"/>
      <c r="Q37" s="112"/>
    </row>
    <row r="38" ht="15.0" customHeight="1">
      <c r="A38" s="112"/>
      <c r="B38" s="112"/>
      <c r="C38" s="112"/>
      <c r="D38" s="129" t="s">
        <v>302</v>
      </c>
      <c r="E38" s="114" t="s">
        <v>237</v>
      </c>
      <c r="F38" s="115" t="s">
        <v>64</v>
      </c>
      <c r="G38" s="116" t="b">
        <v>1</v>
      </c>
      <c r="H38" s="116" t="b">
        <v>1</v>
      </c>
      <c r="I38" s="116" t="b">
        <v>1</v>
      </c>
      <c r="J38" s="116" t="b">
        <v>1</v>
      </c>
      <c r="K38" s="116" t="b">
        <v>1</v>
      </c>
      <c r="L38" s="116" t="b">
        <v>0</v>
      </c>
      <c r="M38" s="116" t="b">
        <v>0</v>
      </c>
      <c r="N38" s="117">
        <f t="shared" ref="N38:N96" si="3">COUNTIF(G38:M38,"TRUE")</f>
        <v>5</v>
      </c>
      <c r="O38" s="117">
        <f t="shared" ref="O38:O96" si="4">N38*4</f>
        <v>20</v>
      </c>
      <c r="P38" s="157"/>
      <c r="Q38" s="112"/>
    </row>
    <row r="39" ht="15.0" customHeight="1">
      <c r="A39" s="112"/>
      <c r="B39" s="112"/>
      <c r="C39" s="112"/>
      <c r="D39" s="129" t="s">
        <v>351</v>
      </c>
      <c r="E39" s="114" t="s">
        <v>237</v>
      </c>
      <c r="F39" s="115" t="s">
        <v>64</v>
      </c>
      <c r="G39" s="116" t="b">
        <v>0</v>
      </c>
      <c r="H39" s="116" t="b">
        <v>1</v>
      </c>
      <c r="I39" s="116" t="b">
        <v>0</v>
      </c>
      <c r="J39" s="116" t="b">
        <v>1</v>
      </c>
      <c r="K39" s="116" t="b">
        <v>1</v>
      </c>
      <c r="L39" s="116" t="b">
        <v>0</v>
      </c>
      <c r="M39" s="116" t="b">
        <v>0</v>
      </c>
      <c r="N39" s="117">
        <f t="shared" si="3"/>
        <v>3</v>
      </c>
      <c r="O39" s="117">
        <f t="shared" si="4"/>
        <v>12</v>
      </c>
      <c r="P39" s="157"/>
      <c r="Q39" s="112"/>
    </row>
    <row r="40" ht="15.0" customHeight="1">
      <c r="A40" s="112"/>
      <c r="B40" s="112"/>
      <c r="C40" s="112"/>
      <c r="D40" s="129" t="s">
        <v>78</v>
      </c>
      <c r="E40" s="114" t="str">
        <f>VLOOKUP(D40,Data!H:I,2,0)</f>
        <v>İstanbul</v>
      </c>
      <c r="F40" s="115" t="str">
        <f>VLOOKUP(D40,Data!H:J,3,0)</f>
        <v>Freelance</v>
      </c>
      <c r="G40" s="116" t="b">
        <v>0</v>
      </c>
      <c r="H40" s="116" t="b">
        <v>0</v>
      </c>
      <c r="I40" s="116" t="b">
        <v>0</v>
      </c>
      <c r="J40" s="116" t="b">
        <v>0</v>
      </c>
      <c r="K40" s="116" t="b">
        <v>0</v>
      </c>
      <c r="L40" s="116" t="b">
        <v>0</v>
      </c>
      <c r="M40" s="116" t="b">
        <v>0</v>
      </c>
      <c r="N40" s="117">
        <f t="shared" si="3"/>
        <v>0</v>
      </c>
      <c r="O40" s="117">
        <f t="shared" si="4"/>
        <v>0</v>
      </c>
      <c r="P40" s="157"/>
      <c r="Q40" s="112"/>
    </row>
    <row r="41" ht="15.0" customHeight="1">
      <c r="A41" s="112"/>
      <c r="B41" s="112"/>
      <c r="C41" s="112"/>
      <c r="D41" s="129" t="s">
        <v>79</v>
      </c>
      <c r="E41" s="114" t="str">
        <f>VLOOKUP(D41,Data!H:I,2,0)</f>
        <v>İstanbul</v>
      </c>
      <c r="F41" s="115" t="str">
        <f>VLOOKUP(D41,Data!H:J,3,0)</f>
        <v>Freelance</v>
      </c>
      <c r="G41" s="116" t="b">
        <v>0</v>
      </c>
      <c r="H41" s="116" t="b">
        <v>0</v>
      </c>
      <c r="I41" s="116" t="b">
        <v>0</v>
      </c>
      <c r="J41" s="116" t="b">
        <v>0</v>
      </c>
      <c r="K41" s="116" t="b">
        <v>0</v>
      </c>
      <c r="L41" s="116" t="b">
        <v>0</v>
      </c>
      <c r="M41" s="116" t="b">
        <v>0</v>
      </c>
      <c r="N41" s="117">
        <f t="shared" si="3"/>
        <v>0</v>
      </c>
      <c r="O41" s="117">
        <f t="shared" si="4"/>
        <v>0</v>
      </c>
      <c r="P41" s="157"/>
      <c r="Q41" s="112"/>
    </row>
    <row r="42" ht="15.0" customHeight="1">
      <c r="A42" s="122"/>
      <c r="B42" s="122"/>
      <c r="C42" s="122"/>
      <c r="D42" s="129" t="s">
        <v>80</v>
      </c>
      <c r="E42" s="114" t="str">
        <f>VLOOKUP(D42,Data!H:I,2,0)</f>
        <v>İstanbul</v>
      </c>
      <c r="F42" s="115" t="str">
        <f>VLOOKUP(D42,Data!H:J,3,0)</f>
        <v>Freelance</v>
      </c>
      <c r="G42" s="116" t="b">
        <v>1</v>
      </c>
      <c r="H42" s="116" t="b">
        <v>1</v>
      </c>
      <c r="I42" s="116" t="b">
        <v>1</v>
      </c>
      <c r="J42" s="116" t="b">
        <v>1</v>
      </c>
      <c r="K42" s="116" t="b">
        <v>1</v>
      </c>
      <c r="L42" s="116" t="b">
        <v>0</v>
      </c>
      <c r="M42" s="116" t="b">
        <v>0</v>
      </c>
      <c r="N42" s="117">
        <f t="shared" si="3"/>
        <v>5</v>
      </c>
      <c r="O42" s="117">
        <f t="shared" si="4"/>
        <v>20</v>
      </c>
      <c r="P42" s="157"/>
      <c r="Q42" s="122"/>
    </row>
    <row r="43" ht="15.0" customHeight="1">
      <c r="A43" s="112"/>
      <c r="B43" s="112"/>
      <c r="C43" s="112"/>
      <c r="D43" s="132" t="s">
        <v>119</v>
      </c>
      <c r="E43" s="114" t="str">
        <f>VLOOKUP(D43,Data!H:I,2,0)</f>
        <v>İstanbul</v>
      </c>
      <c r="F43" s="115" t="str">
        <f>VLOOKUP(D43,Data!H:J,3,0)</f>
        <v>Filamingo</v>
      </c>
      <c r="G43" s="116" t="b">
        <v>0</v>
      </c>
      <c r="H43" s="116" t="b">
        <v>0</v>
      </c>
      <c r="I43" s="116" t="b">
        <v>0</v>
      </c>
      <c r="J43" s="116" t="b">
        <v>0</v>
      </c>
      <c r="K43" s="116" t="b">
        <v>0</v>
      </c>
      <c r="L43" s="116" t="b">
        <v>0</v>
      </c>
      <c r="M43" s="116" t="b">
        <v>0</v>
      </c>
      <c r="N43" s="117">
        <f t="shared" si="3"/>
        <v>0</v>
      </c>
      <c r="O43" s="117">
        <f t="shared" si="4"/>
        <v>0</v>
      </c>
      <c r="P43" s="157"/>
      <c r="Q43" s="112"/>
    </row>
    <row r="44" ht="15.0" customHeight="1">
      <c r="A44" s="112"/>
      <c r="B44" s="112"/>
      <c r="C44" s="112"/>
      <c r="D44" s="129" t="s">
        <v>96</v>
      </c>
      <c r="E44" s="114" t="s">
        <v>237</v>
      </c>
      <c r="F44" s="115" t="s">
        <v>61</v>
      </c>
      <c r="G44" s="116" t="b">
        <v>0</v>
      </c>
      <c r="H44" s="116" t="b">
        <v>0</v>
      </c>
      <c r="I44" s="116" t="b">
        <v>0</v>
      </c>
      <c r="J44" s="116" t="b">
        <v>0</v>
      </c>
      <c r="K44" s="116" t="b">
        <v>0</v>
      </c>
      <c r="L44" s="116" t="b">
        <v>0</v>
      </c>
      <c r="M44" s="116" t="b">
        <v>0</v>
      </c>
      <c r="N44" s="117">
        <f t="shared" si="3"/>
        <v>0</v>
      </c>
      <c r="O44" s="117">
        <f t="shared" si="4"/>
        <v>0</v>
      </c>
      <c r="P44" s="157"/>
      <c r="Q44" s="112"/>
    </row>
    <row r="45" ht="15.0" customHeight="1">
      <c r="A45" s="112"/>
      <c r="B45" s="112"/>
      <c r="C45" s="112"/>
      <c r="D45" s="129" t="s">
        <v>217</v>
      </c>
      <c r="E45" s="114" t="str">
        <f>VLOOKUP(D45,Data!H:I,2,0)</f>
        <v>İstanbul</v>
      </c>
      <c r="F45" s="115" t="str">
        <f>VLOOKUP(D45,Data!H:J,3,0)</f>
        <v>Freelance</v>
      </c>
      <c r="G45" s="116" t="b">
        <v>0</v>
      </c>
      <c r="H45" s="116" t="b">
        <v>0</v>
      </c>
      <c r="I45" s="116" t="b">
        <v>0</v>
      </c>
      <c r="J45" s="116" t="b">
        <v>0</v>
      </c>
      <c r="K45" s="116" t="b">
        <v>0</v>
      </c>
      <c r="L45" s="116" t="b">
        <v>0</v>
      </c>
      <c r="M45" s="116" t="b">
        <v>0</v>
      </c>
      <c r="N45" s="117">
        <f t="shared" si="3"/>
        <v>0</v>
      </c>
      <c r="O45" s="117">
        <f t="shared" si="4"/>
        <v>0</v>
      </c>
      <c r="P45" s="157"/>
      <c r="Q45" s="112"/>
    </row>
    <row r="46" ht="15.0" customHeight="1">
      <c r="A46" s="112"/>
      <c r="B46" s="112"/>
      <c r="C46" s="112"/>
      <c r="D46" s="129" t="s">
        <v>81</v>
      </c>
      <c r="E46" s="114" t="str">
        <f>VLOOKUP(D46,Data!H:I,2,0)</f>
        <v>İstanbul</v>
      </c>
      <c r="F46" s="115" t="str">
        <f>VLOOKUP(D46,Data!H:J,3,0)</f>
        <v>Freelance</v>
      </c>
      <c r="G46" s="116" t="b">
        <v>0</v>
      </c>
      <c r="H46" s="116" t="b">
        <v>0</v>
      </c>
      <c r="I46" s="116" t="b">
        <v>0</v>
      </c>
      <c r="J46" s="116" t="b">
        <v>0</v>
      </c>
      <c r="K46" s="116" t="b">
        <v>0</v>
      </c>
      <c r="L46" s="116" t="b">
        <v>0</v>
      </c>
      <c r="M46" s="116" t="b">
        <v>0</v>
      </c>
      <c r="N46" s="117">
        <f t="shared" si="3"/>
        <v>0</v>
      </c>
      <c r="O46" s="117">
        <f t="shared" si="4"/>
        <v>0</v>
      </c>
      <c r="P46" s="157"/>
      <c r="Q46" s="112"/>
    </row>
    <row r="47" ht="15.0" customHeight="1">
      <c r="A47" s="112"/>
      <c r="B47" s="112"/>
      <c r="C47" s="112"/>
      <c r="D47" s="129" t="s">
        <v>201</v>
      </c>
      <c r="E47" s="114" t="str">
        <f>VLOOKUP(D47,Data!H:I,2,0)</f>
        <v>İstanbul</v>
      </c>
      <c r="F47" s="114" t="str">
        <f>VLOOKUP(D47,Data!H:J,3,0)</f>
        <v>Freelance</v>
      </c>
      <c r="G47" s="116" t="b">
        <v>0</v>
      </c>
      <c r="H47" s="116" t="b">
        <v>0</v>
      </c>
      <c r="I47" s="116" t="b">
        <v>0</v>
      </c>
      <c r="J47" s="116" t="b">
        <v>0</v>
      </c>
      <c r="K47" s="116" t="b">
        <v>0</v>
      </c>
      <c r="L47" s="116" t="b">
        <v>0</v>
      </c>
      <c r="M47" s="116" t="b">
        <v>0</v>
      </c>
      <c r="N47" s="117">
        <f t="shared" si="3"/>
        <v>0</v>
      </c>
      <c r="O47" s="117">
        <f t="shared" si="4"/>
        <v>0</v>
      </c>
      <c r="P47" s="157"/>
      <c r="Q47" s="112"/>
    </row>
    <row r="48" ht="15.0" customHeight="1">
      <c r="A48" s="112"/>
      <c r="B48" s="112"/>
      <c r="C48" s="112"/>
      <c r="D48" s="132" t="s">
        <v>83</v>
      </c>
      <c r="E48" s="114" t="str">
        <f>VLOOKUP(D48,Data!H:I,2,0)</f>
        <v>İstanbul</v>
      </c>
      <c r="F48" s="115" t="str">
        <f>VLOOKUP(D48,Data!H:J,3,0)</f>
        <v>Nazım Öztel</v>
      </c>
      <c r="G48" s="116" t="b">
        <v>0</v>
      </c>
      <c r="H48" s="116" t="b">
        <v>0</v>
      </c>
      <c r="I48" s="116" t="b">
        <v>0</v>
      </c>
      <c r="J48" s="116" t="b">
        <v>0</v>
      </c>
      <c r="K48" s="116" t="b">
        <v>0</v>
      </c>
      <c r="L48" s="116" t="b">
        <v>0</v>
      </c>
      <c r="M48" s="116" t="b">
        <v>0</v>
      </c>
      <c r="N48" s="117">
        <f t="shared" si="3"/>
        <v>0</v>
      </c>
      <c r="O48" s="117">
        <f t="shared" si="4"/>
        <v>0</v>
      </c>
      <c r="P48" s="157"/>
      <c r="Q48" s="112"/>
    </row>
    <row r="49" ht="15.0" customHeight="1">
      <c r="A49" s="112"/>
      <c r="B49" s="112"/>
      <c r="C49" s="112"/>
      <c r="D49" s="129" t="s">
        <v>352</v>
      </c>
      <c r="E49" s="166" t="s">
        <v>237</v>
      </c>
      <c r="F49" s="167" t="s">
        <v>64</v>
      </c>
      <c r="G49" s="116" t="b">
        <v>0</v>
      </c>
      <c r="H49" s="116" t="b">
        <v>1</v>
      </c>
      <c r="I49" s="116" t="b">
        <v>0</v>
      </c>
      <c r="J49" s="116" t="b">
        <v>1</v>
      </c>
      <c r="K49" s="116" t="b">
        <v>1</v>
      </c>
      <c r="L49" s="116" t="b">
        <v>0</v>
      </c>
      <c r="M49" s="116" t="b">
        <v>0</v>
      </c>
      <c r="N49" s="146">
        <f t="shared" si="3"/>
        <v>3</v>
      </c>
      <c r="O49" s="146">
        <f t="shared" si="4"/>
        <v>12</v>
      </c>
      <c r="P49" s="159" t="s">
        <v>309</v>
      </c>
      <c r="Q49" s="112"/>
    </row>
    <row r="50" ht="15.0" customHeight="1">
      <c r="A50" s="125"/>
      <c r="B50" s="125"/>
      <c r="C50" s="125"/>
      <c r="D50" s="129" t="s">
        <v>225</v>
      </c>
      <c r="E50" s="114" t="str">
        <f>VLOOKUP(D50,Data!H:I,2,0)</f>
        <v>İstanbul</v>
      </c>
      <c r="F50" s="115" t="str">
        <f>VLOOKUP(D50,Data!H:J,3,0)</f>
        <v>Filamingo</v>
      </c>
      <c r="G50" s="116" t="b">
        <v>0</v>
      </c>
      <c r="H50" s="116" t="b">
        <v>0</v>
      </c>
      <c r="I50" s="116" t="b">
        <v>0</v>
      </c>
      <c r="J50" s="116" t="b">
        <v>0</v>
      </c>
      <c r="K50" s="116" t="b">
        <v>0</v>
      </c>
      <c r="L50" s="116" t="b">
        <v>0</v>
      </c>
      <c r="M50" s="116" t="b">
        <v>0</v>
      </c>
      <c r="N50" s="117">
        <f t="shared" si="3"/>
        <v>0</v>
      </c>
      <c r="O50" s="117">
        <f t="shared" si="4"/>
        <v>0</v>
      </c>
      <c r="P50" s="157" t="s">
        <v>309</v>
      </c>
      <c r="Q50" s="125"/>
    </row>
    <row r="51" ht="15.0" customHeight="1">
      <c r="A51" s="125"/>
      <c r="B51" s="125"/>
      <c r="C51" s="125"/>
      <c r="D51" s="129" t="s">
        <v>145</v>
      </c>
      <c r="E51" s="114" t="str">
        <f>VLOOKUP(D51,Data!H:I,2,0)</f>
        <v>İstanbul</v>
      </c>
      <c r="F51" s="115" t="str">
        <f>VLOOKUP(D51,Data!H:J,3,0)</f>
        <v>Filamingo</v>
      </c>
      <c r="G51" s="116" t="b">
        <v>0</v>
      </c>
      <c r="H51" s="116" t="b">
        <v>0</v>
      </c>
      <c r="I51" s="116" t="b">
        <v>0</v>
      </c>
      <c r="J51" s="116" t="b">
        <v>0</v>
      </c>
      <c r="K51" s="116" t="b">
        <v>0</v>
      </c>
      <c r="L51" s="116" t="b">
        <v>0</v>
      </c>
      <c r="M51" s="116" t="b">
        <v>0</v>
      </c>
      <c r="N51" s="117">
        <f t="shared" si="3"/>
        <v>0</v>
      </c>
      <c r="O51" s="117">
        <f t="shared" si="4"/>
        <v>0</v>
      </c>
      <c r="P51" s="157"/>
      <c r="Q51" s="125"/>
    </row>
    <row r="52" ht="15.0" customHeight="1">
      <c r="A52" s="125"/>
      <c r="B52" s="125"/>
      <c r="C52" s="125"/>
      <c r="D52" s="129" t="s">
        <v>274</v>
      </c>
      <c r="E52" s="114" t="str">
        <f>VLOOKUP(D52,Data!H:I,2,0)</f>
        <v>İstanbul</v>
      </c>
      <c r="F52" s="115" t="str">
        <f>VLOOKUP(D52,Data!H:J,3,0)</f>
        <v>Filamingo</v>
      </c>
      <c r="G52" s="116" t="b">
        <v>0</v>
      </c>
      <c r="H52" s="116" t="b">
        <v>0</v>
      </c>
      <c r="I52" s="116" t="b">
        <v>0</v>
      </c>
      <c r="J52" s="116" t="b">
        <v>0</v>
      </c>
      <c r="K52" s="116" t="b">
        <v>0</v>
      </c>
      <c r="L52" s="116" t="b">
        <v>0</v>
      </c>
      <c r="M52" s="116" t="b">
        <v>0</v>
      </c>
      <c r="N52" s="117">
        <f t="shared" si="3"/>
        <v>0</v>
      </c>
      <c r="O52" s="117">
        <f t="shared" si="4"/>
        <v>0</v>
      </c>
      <c r="P52" s="157"/>
      <c r="Q52" s="125"/>
    </row>
    <row r="53" ht="15.0" customHeight="1">
      <c r="A53" s="125"/>
      <c r="B53" s="125"/>
      <c r="C53" s="125"/>
      <c r="D53" s="129" t="s">
        <v>87</v>
      </c>
      <c r="E53" s="114" t="str">
        <f>VLOOKUP(D53,Data!H:I,2,0)</f>
        <v>İstanbul</v>
      </c>
      <c r="F53" s="115" t="str">
        <f>VLOOKUP(D53,Data!H:J,3,0)</f>
        <v>Freelance</v>
      </c>
      <c r="G53" s="116" t="b">
        <v>0</v>
      </c>
      <c r="H53" s="116" t="b">
        <v>0</v>
      </c>
      <c r="I53" s="116" t="b">
        <v>0</v>
      </c>
      <c r="J53" s="116" t="b">
        <v>1</v>
      </c>
      <c r="K53" s="116" t="b">
        <v>0</v>
      </c>
      <c r="L53" s="116" t="b">
        <v>0</v>
      </c>
      <c r="M53" s="116" t="b">
        <v>0</v>
      </c>
      <c r="N53" s="117">
        <f t="shared" si="3"/>
        <v>1</v>
      </c>
      <c r="O53" s="117">
        <f t="shared" si="4"/>
        <v>4</v>
      </c>
      <c r="P53" s="157"/>
      <c r="Q53" s="125"/>
    </row>
    <row r="54" ht="15.0" customHeight="1">
      <c r="A54" s="125"/>
      <c r="B54" s="125"/>
      <c r="C54" s="125"/>
      <c r="D54" s="129" t="s">
        <v>337</v>
      </c>
      <c r="E54" s="114" t="s">
        <v>237</v>
      </c>
      <c r="F54" s="115" t="s">
        <v>64</v>
      </c>
      <c r="G54" s="116" t="b">
        <v>0</v>
      </c>
      <c r="H54" s="116" t="b">
        <v>0</v>
      </c>
      <c r="I54" s="116" t="b">
        <v>0</v>
      </c>
      <c r="J54" s="116" t="b">
        <v>0</v>
      </c>
      <c r="K54" s="116" t="b">
        <v>0</v>
      </c>
      <c r="L54" s="116" t="b">
        <v>0</v>
      </c>
      <c r="M54" s="116" t="b">
        <v>0</v>
      </c>
      <c r="N54" s="117">
        <f t="shared" si="3"/>
        <v>0</v>
      </c>
      <c r="O54" s="117">
        <f t="shared" si="4"/>
        <v>0</v>
      </c>
      <c r="P54" s="157"/>
      <c r="Q54" s="125"/>
    </row>
    <row r="55" ht="15.0" customHeight="1">
      <c r="A55" s="112"/>
      <c r="B55" s="112"/>
      <c r="C55" s="112"/>
      <c r="D55" s="129" t="s">
        <v>249</v>
      </c>
      <c r="E55" s="114" t="str">
        <f>VLOOKUP(D55,Data!H:I,2,0)</f>
        <v>İstanbul</v>
      </c>
      <c r="F55" s="115" t="str">
        <f>VLOOKUP(D55,Data!H:J,3,0)</f>
        <v>Nazım Öztel</v>
      </c>
      <c r="G55" s="116" t="b">
        <v>0</v>
      </c>
      <c r="H55" s="116" t="b">
        <v>0</v>
      </c>
      <c r="I55" s="116" t="b">
        <v>0</v>
      </c>
      <c r="J55" s="116" t="b">
        <v>0</v>
      </c>
      <c r="K55" s="116" t="b">
        <v>0</v>
      </c>
      <c r="L55" s="116" t="b">
        <v>0</v>
      </c>
      <c r="M55" s="116" t="b">
        <v>0</v>
      </c>
      <c r="N55" s="117">
        <f t="shared" si="3"/>
        <v>0</v>
      </c>
      <c r="O55" s="117">
        <f t="shared" si="4"/>
        <v>0</v>
      </c>
      <c r="P55" s="157"/>
      <c r="Q55" s="112"/>
    </row>
    <row r="56" ht="15.0" customHeight="1">
      <c r="A56" s="112"/>
      <c r="B56" s="112"/>
      <c r="C56" s="112"/>
      <c r="D56" s="129" t="s">
        <v>250</v>
      </c>
      <c r="E56" s="114" t="str">
        <f>VLOOKUP(D56,Data!H:I,2,0)</f>
        <v>İstanbul</v>
      </c>
      <c r="F56" s="115" t="str">
        <f>VLOOKUP(D56,Data!H:J,3,0)</f>
        <v>Filamingo</v>
      </c>
      <c r="G56" s="116" t="b">
        <v>0</v>
      </c>
      <c r="H56" s="116" t="b">
        <v>0</v>
      </c>
      <c r="I56" s="116" t="b">
        <v>0</v>
      </c>
      <c r="J56" s="116" t="b">
        <v>0</v>
      </c>
      <c r="K56" s="116" t="b">
        <v>0</v>
      </c>
      <c r="L56" s="116" t="b">
        <v>0</v>
      </c>
      <c r="M56" s="116" t="b">
        <v>0</v>
      </c>
      <c r="N56" s="117">
        <f t="shared" si="3"/>
        <v>0</v>
      </c>
      <c r="O56" s="117">
        <f t="shared" si="4"/>
        <v>0</v>
      </c>
      <c r="P56" s="157" t="s">
        <v>309</v>
      </c>
      <c r="Q56" s="112"/>
    </row>
    <row r="57" ht="15.0" customHeight="1">
      <c r="A57" s="112"/>
      <c r="B57" s="112"/>
      <c r="C57" s="112"/>
      <c r="D57" s="129" t="s">
        <v>251</v>
      </c>
      <c r="E57" s="114" t="str">
        <f>VLOOKUP(D57,Data!H:I,2,0)</f>
        <v>İstanbul</v>
      </c>
      <c r="F57" s="115" t="str">
        <f>VLOOKUP(D57,Data!H:J,3,0)</f>
        <v>Filamingo</v>
      </c>
      <c r="G57" s="116" t="b">
        <v>1</v>
      </c>
      <c r="H57" s="116" t="b">
        <v>0</v>
      </c>
      <c r="I57" s="116" t="b">
        <v>1</v>
      </c>
      <c r="J57" s="116" t="b">
        <v>1</v>
      </c>
      <c r="K57" s="116" t="b">
        <v>1</v>
      </c>
      <c r="L57" s="116" t="b">
        <v>0</v>
      </c>
      <c r="M57" s="116" t="b">
        <v>0</v>
      </c>
      <c r="N57" s="117">
        <f t="shared" si="3"/>
        <v>4</v>
      </c>
      <c r="O57" s="117">
        <f t="shared" si="4"/>
        <v>16</v>
      </c>
      <c r="P57" s="157"/>
      <c r="Q57" s="112"/>
    </row>
    <row r="58" ht="15.0" customHeight="1">
      <c r="A58" s="112"/>
      <c r="B58" s="112"/>
      <c r="C58" s="112"/>
      <c r="D58" s="129" t="s">
        <v>252</v>
      </c>
      <c r="E58" s="114" t="str">
        <f>VLOOKUP(D58,Data!H:I,2,0)</f>
        <v>İzmir</v>
      </c>
      <c r="F58" s="115" t="str">
        <f>VLOOKUP(D58,Data!H:J,3,0)</f>
        <v>Nazım Öztel</v>
      </c>
      <c r="G58" s="116" t="b">
        <v>1</v>
      </c>
      <c r="H58" s="116" t="b">
        <v>1</v>
      </c>
      <c r="I58" s="116" t="b">
        <v>1</v>
      </c>
      <c r="J58" s="116" t="b">
        <v>1</v>
      </c>
      <c r="K58" s="116" t="b">
        <v>0</v>
      </c>
      <c r="L58" s="116" t="b">
        <v>0</v>
      </c>
      <c r="M58" s="116" t="b">
        <v>0</v>
      </c>
      <c r="N58" s="117">
        <f t="shared" si="3"/>
        <v>4</v>
      </c>
      <c r="O58" s="117">
        <f t="shared" si="4"/>
        <v>16</v>
      </c>
      <c r="P58" s="157"/>
      <c r="Q58" s="112"/>
    </row>
    <row r="59" ht="15.0" customHeight="1">
      <c r="A59" s="112"/>
      <c r="B59" s="112"/>
      <c r="C59" s="112"/>
      <c r="D59" s="132" t="s">
        <v>92</v>
      </c>
      <c r="E59" s="114" t="str">
        <f>VLOOKUP(D59,Data!H:I,2,0)</f>
        <v>İzmir</v>
      </c>
      <c r="F59" s="115" t="str">
        <f>VLOOKUP(D59,Data!H:J,3,0)</f>
        <v>Nazım Öztel</v>
      </c>
      <c r="G59" s="116" t="b">
        <v>0</v>
      </c>
      <c r="H59" s="116" t="b">
        <v>0</v>
      </c>
      <c r="I59" s="116" t="b">
        <v>0</v>
      </c>
      <c r="J59" s="116" t="b">
        <v>0</v>
      </c>
      <c r="K59" s="116" t="b">
        <v>0</v>
      </c>
      <c r="L59" s="116" t="b">
        <v>0</v>
      </c>
      <c r="M59" s="116" t="b">
        <v>0</v>
      </c>
      <c r="N59" s="117">
        <f t="shared" si="3"/>
        <v>0</v>
      </c>
      <c r="O59" s="117">
        <f t="shared" si="4"/>
        <v>0</v>
      </c>
      <c r="P59" s="157" t="s">
        <v>324</v>
      </c>
      <c r="Q59" s="112"/>
    </row>
    <row r="60" ht="15.0" customHeight="1">
      <c r="A60" s="112"/>
      <c r="B60" s="112"/>
      <c r="C60" s="112"/>
      <c r="D60" s="129" t="s">
        <v>93</v>
      </c>
      <c r="E60" s="114" t="str">
        <f>VLOOKUP(D60,Data!H:I,2,0)</f>
        <v>İzmir</v>
      </c>
      <c r="F60" s="115" t="str">
        <f>VLOOKUP(D60,Data!H:J,3,0)</f>
        <v>Freelance</v>
      </c>
      <c r="G60" s="116" t="b">
        <v>1</v>
      </c>
      <c r="H60" s="116" t="b">
        <v>1</v>
      </c>
      <c r="I60" s="116" t="b">
        <v>0</v>
      </c>
      <c r="J60" s="116" t="b">
        <v>0</v>
      </c>
      <c r="K60" s="116" t="b">
        <v>0</v>
      </c>
      <c r="L60" s="116" t="b">
        <v>0</v>
      </c>
      <c r="M60" s="116" t="b">
        <v>0</v>
      </c>
      <c r="N60" s="117">
        <f t="shared" si="3"/>
        <v>2</v>
      </c>
      <c r="O60" s="117">
        <f t="shared" si="4"/>
        <v>8</v>
      </c>
      <c r="P60" s="157"/>
      <c r="Q60" s="112"/>
    </row>
    <row r="61" ht="15.0" customHeight="1">
      <c r="A61" s="112"/>
      <c r="B61" s="112"/>
      <c r="C61" s="112"/>
      <c r="D61" s="129" t="s">
        <v>161</v>
      </c>
      <c r="E61" s="143" t="str">
        <f>VLOOKUP(D61,Data!H:I,2,0)</f>
        <v>Kahramanmaraş</v>
      </c>
      <c r="F61" s="115" t="str">
        <f>VLOOKUP(D61,Data!H:J,3,0)</f>
        <v>Nazım Öztel</v>
      </c>
      <c r="G61" s="116" t="b">
        <v>0</v>
      </c>
      <c r="H61" s="116" t="b">
        <v>0</v>
      </c>
      <c r="I61" s="116" t="b">
        <v>0</v>
      </c>
      <c r="J61" s="116" t="b">
        <v>0</v>
      </c>
      <c r="K61" s="116" t="b">
        <v>0</v>
      </c>
      <c r="L61" s="116" t="b">
        <v>0</v>
      </c>
      <c r="M61" s="116" t="b">
        <v>0</v>
      </c>
      <c r="N61" s="117">
        <f t="shared" si="3"/>
        <v>0</v>
      </c>
      <c r="O61" s="117">
        <f t="shared" si="4"/>
        <v>0</v>
      </c>
      <c r="P61" s="157" t="s">
        <v>314</v>
      </c>
      <c r="Q61" s="112"/>
    </row>
    <row r="62" ht="15.0" customHeight="1">
      <c r="A62" s="112"/>
      <c r="B62" s="112"/>
      <c r="C62" s="112"/>
      <c r="D62" s="129" t="s">
        <v>243</v>
      </c>
      <c r="E62" s="114" t="str">
        <f>VLOOKUP(D62,Data!H:I,2,0)</f>
        <v>Kayseri</v>
      </c>
      <c r="F62" s="115" t="str">
        <f>VLOOKUP(D62,Data!H:J,3,0)</f>
        <v>Nazım Öztel</v>
      </c>
      <c r="G62" s="116" t="b">
        <v>1</v>
      </c>
      <c r="H62" s="116" t="b">
        <v>1</v>
      </c>
      <c r="I62" s="116" t="b">
        <v>1</v>
      </c>
      <c r="J62" s="116" t="b">
        <v>1</v>
      </c>
      <c r="K62" s="116" t="b">
        <v>1</v>
      </c>
      <c r="L62" s="116" t="b">
        <v>0</v>
      </c>
      <c r="M62" s="116" t="b">
        <v>0</v>
      </c>
      <c r="N62" s="117">
        <f t="shared" si="3"/>
        <v>5</v>
      </c>
      <c r="O62" s="117">
        <f t="shared" si="4"/>
        <v>20</v>
      </c>
      <c r="P62" s="157"/>
      <c r="Q62" s="112"/>
    </row>
    <row r="63" ht="15.0" customHeight="1">
      <c r="A63" s="112"/>
      <c r="B63" s="112"/>
      <c r="C63" s="112"/>
      <c r="D63" s="129" t="s">
        <v>253</v>
      </c>
      <c r="E63" s="114" t="str">
        <f>VLOOKUP(D63,Data!H:I,2,0)</f>
        <v>Kırklareli</v>
      </c>
      <c r="F63" s="115" t="str">
        <f>VLOOKUP(D63,Data!H:J,3,0)</f>
        <v>Nazım Öztel</v>
      </c>
      <c r="G63" s="116" t="b">
        <v>0</v>
      </c>
      <c r="H63" s="116" t="b">
        <v>0</v>
      </c>
      <c r="I63" s="116" t="b">
        <v>0</v>
      </c>
      <c r="J63" s="116" t="b">
        <v>0</v>
      </c>
      <c r="K63" s="116" t="b">
        <v>0</v>
      </c>
      <c r="L63" s="116" t="b">
        <v>0</v>
      </c>
      <c r="M63" s="116" t="b">
        <v>0</v>
      </c>
      <c r="N63" s="117">
        <f t="shared" si="3"/>
        <v>0</v>
      </c>
      <c r="O63" s="117">
        <f t="shared" si="4"/>
        <v>0</v>
      </c>
      <c r="P63" s="157" t="s">
        <v>314</v>
      </c>
      <c r="Q63" s="112"/>
    </row>
    <row r="64" ht="15.0" customHeight="1">
      <c r="A64" s="112"/>
      <c r="B64" s="112"/>
      <c r="C64" s="112"/>
      <c r="D64" s="132" t="s">
        <v>96</v>
      </c>
      <c r="E64" s="114" t="str">
        <f>VLOOKUP(D64,Data!H:I,2,0)</f>
        <v>Kocaeli</v>
      </c>
      <c r="F64" s="115" t="str">
        <f>VLOOKUP(D64,Data!H:J,3,0)</f>
        <v>Nazım Öztel</v>
      </c>
      <c r="G64" s="116" t="b">
        <v>1</v>
      </c>
      <c r="H64" s="116" t="b">
        <v>1</v>
      </c>
      <c r="I64" s="116" t="b">
        <v>0</v>
      </c>
      <c r="J64" s="116" t="b">
        <v>0</v>
      </c>
      <c r="K64" s="116" t="b">
        <v>0</v>
      </c>
      <c r="L64" s="116" t="b">
        <v>0</v>
      </c>
      <c r="M64" s="116" t="b">
        <v>0</v>
      </c>
      <c r="N64" s="117">
        <f t="shared" si="3"/>
        <v>2</v>
      </c>
      <c r="O64" s="117">
        <f t="shared" si="4"/>
        <v>8</v>
      </c>
      <c r="P64" s="157"/>
      <c r="Q64" s="112"/>
    </row>
    <row r="65" ht="15.0" customHeight="1">
      <c r="A65" s="112"/>
      <c r="B65" s="112"/>
      <c r="C65" s="112"/>
      <c r="D65" s="129" t="s">
        <v>147</v>
      </c>
      <c r="E65" s="114" t="str">
        <f>VLOOKUP(D65,Data!H:I,2,0)</f>
        <v>Kocaeli</v>
      </c>
      <c r="F65" s="115" t="str">
        <f>VLOOKUP(D65,Data!H:J,3,0)</f>
        <v>Nazım Öztel</v>
      </c>
      <c r="G65" s="116" t="b">
        <v>0</v>
      </c>
      <c r="H65" s="116" t="b">
        <v>0</v>
      </c>
      <c r="I65" s="116" t="b">
        <v>0</v>
      </c>
      <c r="J65" s="116" t="b">
        <v>0</v>
      </c>
      <c r="K65" s="116" t="b">
        <v>0</v>
      </c>
      <c r="L65" s="116" t="b">
        <v>0</v>
      </c>
      <c r="M65" s="116" t="b">
        <v>0</v>
      </c>
      <c r="N65" s="117">
        <f t="shared" si="3"/>
        <v>0</v>
      </c>
      <c r="O65" s="117">
        <f t="shared" si="4"/>
        <v>0</v>
      </c>
      <c r="P65" s="157"/>
      <c r="Q65" s="112"/>
    </row>
    <row r="66" ht="15.0" customHeight="1">
      <c r="A66" s="112"/>
      <c r="B66" s="112"/>
      <c r="C66" s="112"/>
      <c r="D66" s="129" t="s">
        <v>227</v>
      </c>
      <c r="E66" s="114" t="str">
        <f>VLOOKUP(D66,Data!H:I,2,0)</f>
        <v>Konya</v>
      </c>
      <c r="F66" s="115" t="str">
        <f>VLOOKUP(D66,Data!H:J,3,0)</f>
        <v>Nazım Öztel</v>
      </c>
      <c r="G66" s="116" t="b">
        <v>0</v>
      </c>
      <c r="H66" s="116" t="b">
        <v>0</v>
      </c>
      <c r="I66" s="116" t="b">
        <v>0</v>
      </c>
      <c r="J66" s="116" t="b">
        <v>0</v>
      </c>
      <c r="K66" s="116" t="b">
        <v>0</v>
      </c>
      <c r="L66" s="116" t="b">
        <v>0</v>
      </c>
      <c r="M66" s="116" t="b">
        <v>0</v>
      </c>
      <c r="N66" s="117">
        <f t="shared" si="3"/>
        <v>0</v>
      </c>
      <c r="O66" s="117">
        <f t="shared" si="4"/>
        <v>0</v>
      </c>
      <c r="P66" s="157"/>
      <c r="Q66" s="112"/>
    </row>
    <row r="67" ht="15.0" customHeight="1">
      <c r="A67" s="112"/>
      <c r="B67" s="112"/>
      <c r="C67" s="112"/>
      <c r="D67" s="129" t="s">
        <v>265</v>
      </c>
      <c r="E67" s="114" t="str">
        <f>VLOOKUP(D67,Data!H:I,2,0)</f>
        <v>Konya</v>
      </c>
      <c r="F67" s="115" t="str">
        <f>VLOOKUP(D67,Data!H:J,3,0)</f>
        <v>Nazım Öztel</v>
      </c>
      <c r="G67" s="116" t="b">
        <v>0</v>
      </c>
      <c r="H67" s="116" t="b">
        <v>0</v>
      </c>
      <c r="I67" s="116" t="b">
        <v>0</v>
      </c>
      <c r="J67" s="116" t="b">
        <v>0</v>
      </c>
      <c r="K67" s="116" t="b">
        <v>0</v>
      </c>
      <c r="L67" s="116" t="b">
        <v>0</v>
      </c>
      <c r="M67" s="116" t="b">
        <v>0</v>
      </c>
      <c r="N67" s="117">
        <f t="shared" si="3"/>
        <v>0</v>
      </c>
      <c r="O67" s="117">
        <f t="shared" si="4"/>
        <v>0</v>
      </c>
      <c r="P67" s="157"/>
      <c r="Q67" s="112"/>
    </row>
    <row r="68" ht="15.0" customHeight="1">
      <c r="A68" s="112"/>
      <c r="B68" s="112"/>
      <c r="C68" s="112"/>
      <c r="D68" s="129" t="s">
        <v>203</v>
      </c>
      <c r="E68" s="114" t="str">
        <f>VLOOKUP(D68,Data!H:I,2,0)</f>
        <v>Malatya</v>
      </c>
      <c r="F68" s="115" t="str">
        <f>VLOOKUP(D68,Data!H:J,3,0)</f>
        <v>Nazım Öztel</v>
      </c>
      <c r="G68" s="116" t="b">
        <v>0</v>
      </c>
      <c r="H68" s="116" t="b">
        <v>0</v>
      </c>
      <c r="I68" s="116" t="b">
        <v>0</v>
      </c>
      <c r="J68" s="116" t="b">
        <v>0</v>
      </c>
      <c r="K68" s="116" t="b">
        <v>0</v>
      </c>
      <c r="L68" s="116" t="b">
        <v>0</v>
      </c>
      <c r="M68" s="116" t="b">
        <v>0</v>
      </c>
      <c r="N68" s="117">
        <f t="shared" si="3"/>
        <v>0</v>
      </c>
      <c r="O68" s="117">
        <f t="shared" si="4"/>
        <v>0</v>
      </c>
      <c r="P68" s="157" t="s">
        <v>324</v>
      </c>
      <c r="Q68" s="112"/>
    </row>
    <row r="69" ht="15.0" customHeight="1">
      <c r="A69" s="112"/>
      <c r="B69" s="112"/>
      <c r="C69" s="112"/>
      <c r="D69" s="129" t="s">
        <v>254</v>
      </c>
      <c r="E69" s="114" t="str">
        <f>VLOOKUP(D69,Data!H:I,2,0)</f>
        <v>Manisa</v>
      </c>
      <c r="F69" s="115" t="str">
        <f>VLOOKUP(D69,Data!H:J,3,0)</f>
        <v>Nazım Öztel</v>
      </c>
      <c r="G69" s="116" t="b">
        <v>0</v>
      </c>
      <c r="H69" s="116" t="b">
        <v>1</v>
      </c>
      <c r="I69" s="116" t="b">
        <v>0</v>
      </c>
      <c r="J69" s="116" t="b">
        <v>0</v>
      </c>
      <c r="K69" s="116" t="b">
        <v>0</v>
      </c>
      <c r="L69" s="116" t="b">
        <v>0</v>
      </c>
      <c r="M69" s="116" t="b">
        <v>0</v>
      </c>
      <c r="N69" s="117">
        <f t="shared" si="3"/>
        <v>1</v>
      </c>
      <c r="O69" s="117">
        <f t="shared" si="4"/>
        <v>4</v>
      </c>
      <c r="P69" s="168" t="s">
        <v>353</v>
      </c>
      <c r="Q69" s="112"/>
    </row>
    <row r="70" ht="15.0" customHeight="1">
      <c r="A70" s="112"/>
      <c r="B70" s="112"/>
      <c r="C70" s="112"/>
      <c r="D70" s="129" t="s">
        <v>255</v>
      </c>
      <c r="E70" s="114" t="str">
        <f>VLOOKUP(D70,Data!H:I,2,0)</f>
        <v>Mardin</v>
      </c>
      <c r="F70" s="115" t="str">
        <f>VLOOKUP(D70,Data!H:J,3,0)</f>
        <v>Nazım Öztel</v>
      </c>
      <c r="G70" s="116" t="b">
        <v>0</v>
      </c>
      <c r="H70" s="116" t="b">
        <v>0</v>
      </c>
      <c r="I70" s="116" t="b">
        <v>0</v>
      </c>
      <c r="J70" s="116" t="b">
        <v>0</v>
      </c>
      <c r="K70" s="116" t="b">
        <v>0</v>
      </c>
      <c r="L70" s="116" t="b">
        <v>0</v>
      </c>
      <c r="M70" s="116" t="b">
        <v>0</v>
      </c>
      <c r="N70" s="117">
        <f t="shared" si="3"/>
        <v>0</v>
      </c>
      <c r="O70" s="117">
        <f t="shared" si="4"/>
        <v>0</v>
      </c>
      <c r="P70" s="157"/>
      <c r="Q70" s="112"/>
    </row>
    <row r="71" ht="15.0" customHeight="1">
      <c r="A71" s="112"/>
      <c r="B71" s="112"/>
      <c r="C71" s="112"/>
      <c r="D71" s="129" t="s">
        <v>294</v>
      </c>
      <c r="E71" s="114" t="str">
        <f>VLOOKUP(D71,Data!H:I,2,0)</f>
        <v>Mersin</v>
      </c>
      <c r="F71" s="115" t="str">
        <f>VLOOKUP(D71,Data!H:J,3,0)</f>
        <v>Nazım Öztel</v>
      </c>
      <c r="G71" s="116" t="b">
        <v>0</v>
      </c>
      <c r="H71" s="116" t="b">
        <v>0</v>
      </c>
      <c r="I71" s="116" t="b">
        <v>0</v>
      </c>
      <c r="J71" s="116" t="b">
        <v>1</v>
      </c>
      <c r="K71" s="116" t="b">
        <v>0</v>
      </c>
      <c r="L71" s="116" t="b">
        <v>0</v>
      </c>
      <c r="M71" s="116" t="b">
        <v>0</v>
      </c>
      <c r="N71" s="117">
        <f t="shared" si="3"/>
        <v>1</v>
      </c>
      <c r="O71" s="117">
        <f t="shared" si="4"/>
        <v>4</v>
      </c>
      <c r="P71" s="157"/>
      <c r="Q71" s="112"/>
    </row>
    <row r="72" ht="15.0" customHeight="1">
      <c r="A72" s="112"/>
      <c r="B72" s="112"/>
      <c r="C72" s="112"/>
      <c r="D72" s="129" t="s">
        <v>169</v>
      </c>
      <c r="E72" s="114" t="str">
        <f>VLOOKUP(D72,Data!H:I,2,0)</f>
        <v>Mersin</v>
      </c>
      <c r="F72" s="115" t="str">
        <f>VLOOKUP(D72,Data!H:J,3,0)</f>
        <v>Nazım Öztel</v>
      </c>
      <c r="G72" s="116" t="b">
        <v>0</v>
      </c>
      <c r="H72" s="116" t="b">
        <v>0</v>
      </c>
      <c r="I72" s="116" t="b">
        <v>0</v>
      </c>
      <c r="J72" s="116" t="b">
        <v>0</v>
      </c>
      <c r="K72" s="116" t="b">
        <v>0</v>
      </c>
      <c r="L72" s="116" t="b">
        <v>0</v>
      </c>
      <c r="M72" s="116" t="b">
        <v>0</v>
      </c>
      <c r="N72" s="117">
        <f t="shared" si="3"/>
        <v>0</v>
      </c>
      <c r="O72" s="117">
        <f t="shared" si="4"/>
        <v>0</v>
      </c>
      <c r="P72" s="157"/>
      <c r="Q72" s="112"/>
    </row>
    <row r="73" ht="15.0" customHeight="1">
      <c r="A73" s="112"/>
      <c r="B73" s="112"/>
      <c r="C73" s="112"/>
      <c r="D73" s="129" t="s">
        <v>148</v>
      </c>
      <c r="E73" s="114" t="str">
        <f>VLOOKUP(D73,Data!H:I,2,0)</f>
        <v>Muğla</v>
      </c>
      <c r="F73" s="115" t="str">
        <f>VLOOKUP(D73,Data!H:J,3,0)</f>
        <v>Nazım Öztel</v>
      </c>
      <c r="G73" s="116" t="b">
        <v>0</v>
      </c>
      <c r="H73" s="116" t="b">
        <v>0</v>
      </c>
      <c r="I73" s="116" t="b">
        <v>0</v>
      </c>
      <c r="J73" s="116" t="b">
        <v>0</v>
      </c>
      <c r="K73" s="116" t="b">
        <v>0</v>
      </c>
      <c r="L73" s="116" t="b">
        <v>0</v>
      </c>
      <c r="M73" s="116" t="b">
        <v>0</v>
      </c>
      <c r="N73" s="117">
        <f t="shared" si="3"/>
        <v>0</v>
      </c>
      <c r="O73" s="117">
        <f t="shared" si="4"/>
        <v>0</v>
      </c>
      <c r="P73" s="157"/>
      <c r="Q73" s="112"/>
    </row>
    <row r="74" ht="15.0" customHeight="1">
      <c r="A74" s="112"/>
      <c r="B74" s="112"/>
      <c r="C74" s="112"/>
      <c r="D74" s="129" t="s">
        <v>266</v>
      </c>
      <c r="E74" s="114" t="str">
        <f>VLOOKUP(D74,Data!H:I,2,0)</f>
        <v>Ordu</v>
      </c>
      <c r="F74" s="115" t="str">
        <f>VLOOKUP(D74,Data!H:J,3,0)</f>
        <v>Nazım Öztel</v>
      </c>
      <c r="G74" s="116" t="b">
        <v>0</v>
      </c>
      <c r="H74" s="116" t="b">
        <v>0</v>
      </c>
      <c r="I74" s="116" t="b">
        <v>0</v>
      </c>
      <c r="J74" s="116" t="b">
        <v>0</v>
      </c>
      <c r="K74" s="116" t="b">
        <v>0</v>
      </c>
      <c r="L74" s="116" t="b">
        <v>0</v>
      </c>
      <c r="M74" s="116" t="b">
        <v>0</v>
      </c>
      <c r="N74" s="117">
        <f t="shared" si="3"/>
        <v>0</v>
      </c>
      <c r="O74" s="117">
        <f t="shared" si="4"/>
        <v>0</v>
      </c>
      <c r="P74" s="157"/>
      <c r="Q74" s="112"/>
    </row>
    <row r="75" ht="15.0" customHeight="1">
      <c r="A75" s="112"/>
      <c r="B75" s="112"/>
      <c r="C75" s="112"/>
      <c r="D75" s="129" t="s">
        <v>256</v>
      </c>
      <c r="E75" s="114" t="s">
        <v>211</v>
      </c>
      <c r="F75" s="115" t="s">
        <v>61</v>
      </c>
      <c r="G75" s="116" t="b">
        <v>0</v>
      </c>
      <c r="H75" s="116" t="b">
        <v>0</v>
      </c>
      <c r="I75" s="116" t="b">
        <v>0</v>
      </c>
      <c r="J75" s="116" t="b">
        <v>0</v>
      </c>
      <c r="K75" s="116" t="b">
        <v>0</v>
      </c>
      <c r="L75" s="116" t="b">
        <v>0</v>
      </c>
      <c r="M75" s="116" t="b">
        <v>0</v>
      </c>
      <c r="N75" s="117">
        <f t="shared" si="3"/>
        <v>0</v>
      </c>
      <c r="O75" s="117">
        <f t="shared" si="4"/>
        <v>0</v>
      </c>
      <c r="P75" s="157"/>
      <c r="Q75" s="112"/>
    </row>
    <row r="76" ht="15.0" customHeight="1">
      <c r="A76" s="112"/>
      <c r="B76" s="112"/>
      <c r="C76" s="112"/>
      <c r="D76" s="129" t="s">
        <v>275</v>
      </c>
      <c r="E76" s="114" t="str">
        <f>VLOOKUP(D76,Data!H:I,2,0)</f>
        <v>Sakarya</v>
      </c>
      <c r="F76" s="115" t="str">
        <f>VLOOKUP(D76,Data!H:J,3,0)</f>
        <v>Nazım Öztel</v>
      </c>
      <c r="G76" s="116" t="b">
        <v>0</v>
      </c>
      <c r="H76" s="116" t="b">
        <v>0</v>
      </c>
      <c r="I76" s="116" t="b">
        <v>0</v>
      </c>
      <c r="J76" s="116" t="b">
        <v>0</v>
      </c>
      <c r="K76" s="116" t="b">
        <v>0</v>
      </c>
      <c r="L76" s="116" t="b">
        <v>0</v>
      </c>
      <c r="M76" s="116" t="b">
        <v>0</v>
      </c>
      <c r="N76" s="117">
        <f t="shared" si="3"/>
        <v>0</v>
      </c>
      <c r="O76" s="117">
        <f t="shared" si="4"/>
        <v>0</v>
      </c>
      <c r="P76" s="157" t="s">
        <v>324</v>
      </c>
      <c r="Q76" s="112"/>
    </row>
    <row r="77" ht="15.0" customHeight="1">
      <c r="A77" s="112"/>
      <c r="B77" s="112"/>
      <c r="C77" s="112"/>
      <c r="D77" s="129" t="s">
        <v>257</v>
      </c>
      <c r="E77" s="114" t="str">
        <f>VLOOKUP(D77,Data!H:I,2,0)</f>
        <v>Samsun</v>
      </c>
      <c r="F77" s="115" t="str">
        <f>VLOOKUP(D77,Data!H:J,3,0)</f>
        <v>Nazım Öztel</v>
      </c>
      <c r="G77" s="116" t="b">
        <v>0</v>
      </c>
      <c r="H77" s="116" t="b">
        <v>0</v>
      </c>
      <c r="I77" s="116" t="b">
        <v>0</v>
      </c>
      <c r="J77" s="116" t="b">
        <v>0</v>
      </c>
      <c r="K77" s="116" t="b">
        <v>0</v>
      </c>
      <c r="L77" s="116" t="b">
        <v>0</v>
      </c>
      <c r="M77" s="116" t="b">
        <v>0</v>
      </c>
      <c r="N77" s="117">
        <f t="shared" si="3"/>
        <v>0</v>
      </c>
      <c r="O77" s="117">
        <f t="shared" si="4"/>
        <v>0</v>
      </c>
      <c r="P77" s="157"/>
      <c r="Q77" s="112"/>
    </row>
    <row r="78" ht="15.0" customHeight="1">
      <c r="A78" s="112"/>
      <c r="B78" s="112"/>
      <c r="C78" s="112"/>
      <c r="D78" s="129" t="s">
        <v>267</v>
      </c>
      <c r="E78" s="114" t="str">
        <f>VLOOKUP(D78,Data!H:I,2,0)</f>
        <v>Sinop</v>
      </c>
      <c r="F78" s="115" t="str">
        <f>VLOOKUP(D78,Data!H:J,3,0)</f>
        <v>Nazım Öztel</v>
      </c>
      <c r="G78" s="116" t="b">
        <v>0</v>
      </c>
      <c r="H78" s="116" t="b">
        <v>0</v>
      </c>
      <c r="I78" s="116" t="b">
        <v>0</v>
      </c>
      <c r="J78" s="116" t="b">
        <v>0</v>
      </c>
      <c r="K78" s="116" t="b">
        <v>0</v>
      </c>
      <c r="L78" s="116" t="b">
        <v>0</v>
      </c>
      <c r="M78" s="116" t="b">
        <v>0</v>
      </c>
      <c r="N78" s="117">
        <f t="shared" si="3"/>
        <v>0</v>
      </c>
      <c r="O78" s="117">
        <f t="shared" si="4"/>
        <v>0</v>
      </c>
      <c r="P78" s="157"/>
      <c r="Q78" s="112"/>
    </row>
    <row r="79" ht="15.0" customHeight="1">
      <c r="A79" s="112"/>
      <c r="B79" s="112"/>
      <c r="C79" s="112"/>
      <c r="D79" s="129" t="s">
        <v>268</v>
      </c>
      <c r="E79" s="114" t="str">
        <f>VLOOKUP(D79,Data!H:I,2,0)</f>
        <v>Sivas</v>
      </c>
      <c r="F79" s="115" t="str">
        <f>VLOOKUP(D79,Data!H:J,3,0)</f>
        <v>Nazım Öztel</v>
      </c>
      <c r="G79" s="116" t="b">
        <v>0</v>
      </c>
      <c r="H79" s="116" t="b">
        <v>0</v>
      </c>
      <c r="I79" s="116" t="b">
        <v>0</v>
      </c>
      <c r="J79" s="116" t="b">
        <v>0</v>
      </c>
      <c r="K79" s="116" t="b">
        <v>0</v>
      </c>
      <c r="L79" s="116" t="b">
        <v>0</v>
      </c>
      <c r="M79" s="116" t="b">
        <v>0</v>
      </c>
      <c r="N79" s="117">
        <f t="shared" si="3"/>
        <v>0</v>
      </c>
      <c r="O79" s="117">
        <f t="shared" si="4"/>
        <v>0</v>
      </c>
      <c r="P79" s="157" t="s">
        <v>341</v>
      </c>
      <c r="Q79" s="112"/>
    </row>
    <row r="80" ht="15.0" customHeight="1">
      <c r="A80" s="112"/>
      <c r="B80" s="112"/>
      <c r="C80" s="112"/>
      <c r="D80" s="129" t="s">
        <v>104</v>
      </c>
      <c r="E80" s="114" t="str">
        <f>VLOOKUP(D80,Data!H:I,2,0)</f>
        <v>Tekirdağ</v>
      </c>
      <c r="F80" s="115" t="str">
        <f>VLOOKUP(D80,Data!H:J,3,0)</f>
        <v>Freelance</v>
      </c>
      <c r="G80" s="116" t="b">
        <v>0</v>
      </c>
      <c r="H80" s="116" t="b">
        <v>0</v>
      </c>
      <c r="I80" s="116" t="b">
        <v>0</v>
      </c>
      <c r="J80" s="116" t="b">
        <v>0</v>
      </c>
      <c r="K80" s="116" t="b">
        <v>0</v>
      </c>
      <c r="L80" s="116" t="b">
        <v>0</v>
      </c>
      <c r="M80" s="116" t="b">
        <v>0</v>
      </c>
      <c r="N80" s="117">
        <f t="shared" si="3"/>
        <v>0</v>
      </c>
      <c r="O80" s="117">
        <f t="shared" si="4"/>
        <v>0</v>
      </c>
      <c r="P80" s="157" t="s">
        <v>341</v>
      </c>
      <c r="Q80" s="112"/>
    </row>
    <row r="81" ht="15.0" customHeight="1">
      <c r="A81" s="112"/>
      <c r="B81" s="112"/>
      <c r="C81" s="112"/>
      <c r="D81" s="129" t="s">
        <v>258</v>
      </c>
      <c r="E81" s="114" t="str">
        <f>VLOOKUP(D81,Data!H:I,2,0)</f>
        <v>Tokat</v>
      </c>
      <c r="F81" s="115" t="str">
        <f>VLOOKUP(D81,Data!H:J,3,0)</f>
        <v>Nazım Öztel</v>
      </c>
      <c r="G81" s="116" t="b">
        <v>0</v>
      </c>
      <c r="H81" s="116" t="b">
        <v>0</v>
      </c>
      <c r="I81" s="116" t="b">
        <v>0</v>
      </c>
      <c r="J81" s="116" t="b">
        <v>0</v>
      </c>
      <c r="K81" s="116" t="b">
        <v>0</v>
      </c>
      <c r="L81" s="116" t="b">
        <v>0</v>
      </c>
      <c r="M81" s="116" t="b">
        <v>0</v>
      </c>
      <c r="N81" s="117">
        <f t="shared" si="3"/>
        <v>0</v>
      </c>
      <c r="O81" s="117">
        <f t="shared" si="4"/>
        <v>0</v>
      </c>
      <c r="P81" s="157"/>
      <c r="Q81" s="112"/>
    </row>
    <row r="82" ht="15.0" customHeight="1">
      <c r="A82" s="112"/>
      <c r="B82" s="112"/>
      <c r="C82" s="112"/>
      <c r="D82" s="129" t="s">
        <v>154</v>
      </c>
      <c r="E82" s="114" t="str">
        <f>VLOOKUP(D82,Data!H:I,2,0)</f>
        <v>Uşak</v>
      </c>
      <c r="F82" s="115" t="str">
        <f>VLOOKUP(D82,Data!H:J,3,0)</f>
        <v>Nazım Öztel</v>
      </c>
      <c r="G82" s="116" t="b">
        <v>0</v>
      </c>
      <c r="H82" s="116" t="b">
        <v>1</v>
      </c>
      <c r="I82" s="116" t="b">
        <v>0</v>
      </c>
      <c r="J82" s="116" t="b">
        <v>0</v>
      </c>
      <c r="K82" s="116" t="b">
        <v>0</v>
      </c>
      <c r="L82" s="116" t="b">
        <v>0</v>
      </c>
      <c r="M82" s="116" t="b">
        <v>0</v>
      </c>
      <c r="N82" s="117">
        <f t="shared" si="3"/>
        <v>1</v>
      </c>
      <c r="O82" s="117">
        <f t="shared" si="4"/>
        <v>4</v>
      </c>
      <c r="P82" s="157"/>
      <c r="Q82" s="112"/>
    </row>
    <row r="83" ht="15.0" customHeight="1">
      <c r="A83" s="112"/>
      <c r="B83" s="112"/>
      <c r="C83" s="112"/>
      <c r="D83" s="129" t="s">
        <v>276</v>
      </c>
      <c r="E83" s="114" t="str">
        <f>VLOOKUP(D83,Data!H:I,2,0)</f>
        <v>Zonguldak</v>
      </c>
      <c r="F83" s="115" t="str">
        <f>VLOOKUP(D83,Data!H:J,3,0)</f>
        <v>Nazım Öztel</v>
      </c>
      <c r="G83" s="116" t="b">
        <v>0</v>
      </c>
      <c r="H83" s="116" t="b">
        <v>0</v>
      </c>
      <c r="I83" s="116" t="b">
        <v>0</v>
      </c>
      <c r="J83" s="116" t="b">
        <v>0</v>
      </c>
      <c r="K83" s="116" t="b">
        <v>0</v>
      </c>
      <c r="L83" s="116" t="b">
        <v>0</v>
      </c>
      <c r="M83" s="116" t="b">
        <v>0</v>
      </c>
      <c r="N83" s="117">
        <f t="shared" si="3"/>
        <v>0</v>
      </c>
      <c r="O83" s="117">
        <f t="shared" si="4"/>
        <v>0</v>
      </c>
      <c r="P83" s="157"/>
      <c r="Q83" s="112"/>
    </row>
    <row r="84" ht="15.0" customHeight="1">
      <c r="A84" s="112"/>
      <c r="B84" s="112"/>
      <c r="C84" s="112"/>
      <c r="D84" s="113" t="s">
        <v>282</v>
      </c>
      <c r="E84" s="114" t="str">
        <f>VLOOKUP(D84,Data!H:I,2,0)</f>
        <v>Antalya</v>
      </c>
      <c r="F84" s="115" t="str">
        <f>VLOOKUP(D84,Data!H:J,3,0)</f>
        <v>Nazım Öztel</v>
      </c>
      <c r="G84" s="116" t="b">
        <v>0</v>
      </c>
      <c r="H84" s="116" t="b">
        <v>0</v>
      </c>
      <c r="I84" s="116" t="b">
        <v>0</v>
      </c>
      <c r="J84" s="116" t="b">
        <v>0</v>
      </c>
      <c r="K84" s="116" t="b">
        <v>0</v>
      </c>
      <c r="L84" s="116" t="b">
        <v>0</v>
      </c>
      <c r="M84" s="116" t="b">
        <v>0</v>
      </c>
      <c r="N84" s="117">
        <f t="shared" si="3"/>
        <v>0</v>
      </c>
      <c r="O84" s="117">
        <f t="shared" si="4"/>
        <v>0</v>
      </c>
      <c r="P84" s="157"/>
      <c r="Q84" s="112"/>
    </row>
    <row r="85" ht="15.0" customHeight="1">
      <c r="A85" s="112"/>
      <c r="B85" s="112"/>
      <c r="C85" s="112"/>
      <c r="D85" s="98" t="s">
        <v>283</v>
      </c>
      <c r="E85" s="114" t="str">
        <f>VLOOKUP(D85,Data!H:I,2,0)</f>
        <v>Adana</v>
      </c>
      <c r="F85" s="115" t="str">
        <f>VLOOKUP(D85,Data!H:J,3,0)</f>
        <v>Nazım Öztel</v>
      </c>
      <c r="G85" s="116" t="b">
        <v>0</v>
      </c>
      <c r="H85" s="116" t="b">
        <v>0</v>
      </c>
      <c r="I85" s="116" t="b">
        <v>0</v>
      </c>
      <c r="J85" s="116" t="b">
        <v>0</v>
      </c>
      <c r="K85" s="116" t="b">
        <v>0</v>
      </c>
      <c r="L85" s="116" t="b">
        <v>0</v>
      </c>
      <c r="M85" s="116" t="b">
        <v>0</v>
      </c>
      <c r="N85" s="117">
        <f t="shared" si="3"/>
        <v>0</v>
      </c>
      <c r="O85" s="117">
        <f t="shared" si="4"/>
        <v>0</v>
      </c>
      <c r="P85" s="157" t="s">
        <v>342</v>
      </c>
      <c r="Q85" s="112"/>
    </row>
    <row r="86" ht="15.0" customHeight="1">
      <c r="A86" s="112"/>
      <c r="B86" s="112"/>
      <c r="C86" s="112"/>
      <c r="D86" s="163" t="s">
        <v>284</v>
      </c>
      <c r="E86" s="114" t="str">
        <f>VLOOKUP(D86,Data!H:I,2,0)</f>
        <v>Iğdır</v>
      </c>
      <c r="F86" s="115" t="str">
        <f>VLOOKUP(D86,Data!H:J,3,0)</f>
        <v>Nazım Öztel</v>
      </c>
      <c r="G86" s="116" t="b">
        <v>0</v>
      </c>
      <c r="H86" s="116" t="b">
        <v>0</v>
      </c>
      <c r="I86" s="116" t="b">
        <v>0</v>
      </c>
      <c r="J86" s="116" t="b">
        <v>0</v>
      </c>
      <c r="K86" s="116" t="b">
        <v>0</v>
      </c>
      <c r="L86" s="116" t="b">
        <v>0</v>
      </c>
      <c r="M86" s="116" t="b">
        <v>0</v>
      </c>
      <c r="N86" s="117">
        <f t="shared" si="3"/>
        <v>0</v>
      </c>
      <c r="O86" s="117">
        <f t="shared" si="4"/>
        <v>0</v>
      </c>
      <c r="P86" s="157"/>
      <c r="Q86" s="112"/>
    </row>
    <row r="87" ht="15.0" customHeight="1">
      <c r="A87" s="112"/>
      <c r="B87" s="112"/>
      <c r="C87" s="112"/>
      <c r="D87" s="163" t="s">
        <v>285</v>
      </c>
      <c r="E87" s="114" t="str">
        <f>VLOOKUP(D87,Data!H:I,2,0)</f>
        <v>Bitlis</v>
      </c>
      <c r="F87" s="115" t="str">
        <f>VLOOKUP(D87,Data!H:J,3,0)</f>
        <v>Nazım Öztel</v>
      </c>
      <c r="G87" s="116" t="b">
        <v>0</v>
      </c>
      <c r="H87" s="116" t="b">
        <v>0</v>
      </c>
      <c r="I87" s="116" t="b">
        <v>0</v>
      </c>
      <c r="J87" s="116" t="b">
        <v>0</v>
      </c>
      <c r="K87" s="116" t="b">
        <v>0</v>
      </c>
      <c r="L87" s="116" t="b">
        <v>0</v>
      </c>
      <c r="M87" s="116" t="b">
        <v>0</v>
      </c>
      <c r="N87" s="117">
        <f t="shared" si="3"/>
        <v>0</v>
      </c>
      <c r="O87" s="117">
        <f t="shared" si="4"/>
        <v>0</v>
      </c>
      <c r="P87" s="157"/>
      <c r="Q87" s="112"/>
    </row>
    <row r="88" ht="15.0" customHeight="1">
      <c r="A88" s="112"/>
      <c r="B88" s="112"/>
      <c r="C88" s="112"/>
      <c r="D88" s="98" t="s">
        <v>286</v>
      </c>
      <c r="E88" s="114" t="str">
        <f>VLOOKUP(D88,Data!H:I,2,0)</f>
        <v>Trabzon</v>
      </c>
      <c r="F88" s="115" t="str">
        <f>VLOOKUP(D88,Data!H:J,3,0)</f>
        <v>Nazım Öztel</v>
      </c>
      <c r="G88" s="116" t="b">
        <v>0</v>
      </c>
      <c r="H88" s="116" t="b">
        <v>0</v>
      </c>
      <c r="I88" s="116" t="b">
        <v>0</v>
      </c>
      <c r="J88" s="116" t="b">
        <v>0</v>
      </c>
      <c r="K88" s="116" t="b">
        <v>0</v>
      </c>
      <c r="L88" s="116" t="b">
        <v>0</v>
      </c>
      <c r="M88" s="116" t="b">
        <v>0</v>
      </c>
      <c r="N88" s="117">
        <f t="shared" si="3"/>
        <v>0</v>
      </c>
      <c r="O88" s="117">
        <f t="shared" si="4"/>
        <v>0</v>
      </c>
      <c r="P88" s="157" t="s">
        <v>344</v>
      </c>
      <c r="Q88" s="112"/>
    </row>
    <row r="89" ht="15.0" customHeight="1">
      <c r="A89" s="112"/>
      <c r="B89" s="112"/>
      <c r="C89" s="112"/>
      <c r="D89" s="163" t="s">
        <v>287</v>
      </c>
      <c r="E89" s="114" t="str">
        <f>VLOOKUP(D89,Data!H:I,2,0)</f>
        <v>Ankara</v>
      </c>
      <c r="F89" s="115" t="str">
        <f>VLOOKUP(D89,Data!H:J,3,0)</f>
        <v>Nazım Öztel</v>
      </c>
      <c r="G89" s="116" t="b">
        <v>0</v>
      </c>
      <c r="H89" s="116" t="b">
        <v>0</v>
      </c>
      <c r="I89" s="116" t="b">
        <v>0</v>
      </c>
      <c r="J89" s="116" t="b">
        <v>0</v>
      </c>
      <c r="K89" s="116" t="b">
        <v>0</v>
      </c>
      <c r="L89" s="116" t="b">
        <v>0</v>
      </c>
      <c r="M89" s="116" t="b">
        <v>0</v>
      </c>
      <c r="N89" s="117">
        <f t="shared" si="3"/>
        <v>0</v>
      </c>
      <c r="O89" s="117">
        <f t="shared" si="4"/>
        <v>0</v>
      </c>
      <c r="P89" s="157"/>
      <c r="Q89" s="112"/>
    </row>
    <row r="90" ht="15.0" customHeight="1">
      <c r="A90" s="112"/>
      <c r="B90" s="112"/>
      <c r="C90" s="112"/>
      <c r="D90" s="163" t="s">
        <v>354</v>
      </c>
      <c r="E90" s="114" t="s">
        <v>355</v>
      </c>
      <c r="F90" s="115" t="s">
        <v>61</v>
      </c>
      <c r="G90" s="116" t="b">
        <v>0</v>
      </c>
      <c r="H90" s="116" t="b">
        <v>0</v>
      </c>
      <c r="I90" s="116" t="b">
        <v>0</v>
      </c>
      <c r="J90" s="116" t="b">
        <v>0</v>
      </c>
      <c r="K90" s="116" t="b">
        <v>0</v>
      </c>
      <c r="L90" s="116" t="b">
        <v>1</v>
      </c>
      <c r="M90" s="116" t="b">
        <v>0</v>
      </c>
      <c r="N90" s="117">
        <f t="shared" si="3"/>
        <v>1</v>
      </c>
      <c r="O90" s="117">
        <f t="shared" si="4"/>
        <v>4</v>
      </c>
      <c r="P90" s="157"/>
      <c r="Q90" s="112"/>
    </row>
    <row r="91" ht="15.0" customHeight="1">
      <c r="A91" s="112"/>
      <c r="B91" s="112"/>
      <c r="C91" s="112"/>
      <c r="D91" s="98" t="s">
        <v>289</v>
      </c>
      <c r="E91" s="114" t="str">
        <f>VLOOKUP(D91,Data!H:I,2,0)</f>
        <v>Elazığ</v>
      </c>
      <c r="F91" s="115" t="str">
        <f>VLOOKUP(D91,Data!H:J,3,0)</f>
        <v>Nazım Öztel</v>
      </c>
      <c r="G91" s="116" t="b">
        <v>0</v>
      </c>
      <c r="H91" s="116" t="b">
        <v>0</v>
      </c>
      <c r="I91" s="116" t="b">
        <v>0</v>
      </c>
      <c r="J91" s="116" t="b">
        <v>0</v>
      </c>
      <c r="K91" s="116" t="b">
        <v>0</v>
      </c>
      <c r="L91" s="116" t="b">
        <v>0</v>
      </c>
      <c r="M91" s="116" t="b">
        <v>0</v>
      </c>
      <c r="N91" s="117">
        <f t="shared" si="3"/>
        <v>0</v>
      </c>
      <c r="O91" s="117">
        <f t="shared" si="4"/>
        <v>0</v>
      </c>
      <c r="P91" s="157"/>
      <c r="Q91" s="112"/>
    </row>
    <row r="92" ht="15.0" customHeight="1">
      <c r="A92" s="112"/>
      <c r="B92" s="112"/>
      <c r="C92" s="112"/>
      <c r="D92" s="98" t="s">
        <v>290</v>
      </c>
      <c r="E92" s="114" t="str">
        <f>VLOOKUP(D92,Data!H:I,2,0)</f>
        <v>Bayburt</v>
      </c>
      <c r="F92" s="115" t="str">
        <f>VLOOKUP(D92,Data!H:J,3,0)</f>
        <v>Nazım Öztel</v>
      </c>
      <c r="G92" s="116" t="b">
        <v>0</v>
      </c>
      <c r="H92" s="116" t="b">
        <v>0</v>
      </c>
      <c r="I92" s="116" t="b">
        <v>0</v>
      </c>
      <c r="J92" s="116" t="b">
        <v>0</v>
      </c>
      <c r="K92" s="116" t="b">
        <v>0</v>
      </c>
      <c r="L92" s="116" t="b">
        <v>0</v>
      </c>
      <c r="M92" s="116" t="b">
        <v>0</v>
      </c>
      <c r="N92" s="117">
        <f t="shared" si="3"/>
        <v>0</v>
      </c>
      <c r="O92" s="117">
        <f t="shared" si="4"/>
        <v>0</v>
      </c>
      <c r="P92" s="157"/>
      <c r="Q92" s="112"/>
    </row>
    <row r="93" ht="15.0" customHeight="1">
      <c r="A93" s="112"/>
      <c r="B93" s="112"/>
      <c r="C93" s="112"/>
      <c r="D93" s="98" t="s">
        <v>291</v>
      </c>
      <c r="E93" s="114" t="str">
        <f>VLOOKUP(D93,Data!H:I,2,0)</f>
        <v>Bingöl</v>
      </c>
      <c r="F93" s="115" t="str">
        <f>VLOOKUP(D93,Data!H:J,3,0)</f>
        <v>Nazım Öztel</v>
      </c>
      <c r="G93" s="116" t="b">
        <v>0</v>
      </c>
      <c r="H93" s="116" t="b">
        <v>0</v>
      </c>
      <c r="I93" s="116" t="b">
        <v>0</v>
      </c>
      <c r="J93" s="116" t="b">
        <v>0</v>
      </c>
      <c r="K93" s="116" t="b">
        <v>0</v>
      </c>
      <c r="L93" s="116" t="b">
        <v>0</v>
      </c>
      <c r="M93" s="116" t="b">
        <v>0</v>
      </c>
      <c r="N93" s="117">
        <f t="shared" si="3"/>
        <v>0</v>
      </c>
      <c r="O93" s="117">
        <f t="shared" si="4"/>
        <v>0</v>
      </c>
      <c r="P93" s="157"/>
      <c r="Q93" s="112"/>
    </row>
    <row r="94" ht="15.0" customHeight="1">
      <c r="A94" s="112"/>
      <c r="B94" s="112"/>
      <c r="C94" s="112"/>
      <c r="D94" s="98" t="s">
        <v>292</v>
      </c>
      <c r="E94" s="114" t="str">
        <f>VLOOKUP(D94,Data!H:I,2,0)</f>
        <v>Diyarbakır</v>
      </c>
      <c r="F94" s="115" t="str">
        <f>VLOOKUP(D94,Data!H:J,3,0)</f>
        <v>Nazım Öztel</v>
      </c>
      <c r="G94" s="116" t="b">
        <v>0</v>
      </c>
      <c r="H94" s="116" t="b">
        <v>0</v>
      </c>
      <c r="I94" s="116" t="b">
        <v>0</v>
      </c>
      <c r="J94" s="116" t="b">
        <v>0</v>
      </c>
      <c r="K94" s="116" t="b">
        <v>0</v>
      </c>
      <c r="L94" s="116" t="b">
        <v>0</v>
      </c>
      <c r="M94" s="116" t="b">
        <v>0</v>
      </c>
      <c r="N94" s="117">
        <f t="shared" si="3"/>
        <v>0</v>
      </c>
      <c r="O94" s="117">
        <f t="shared" si="4"/>
        <v>0</v>
      </c>
      <c r="P94" s="157"/>
      <c r="Q94" s="112"/>
    </row>
    <row r="95" ht="15.0" customHeight="1">
      <c r="A95" s="112"/>
      <c r="B95" s="112"/>
      <c r="C95" s="112"/>
      <c r="D95" s="164" t="s">
        <v>293</v>
      </c>
      <c r="E95" s="114" t="str">
        <f>VLOOKUP(D95,Data!H:I,2,0)</f>
        <v>Çanakkale</v>
      </c>
      <c r="F95" s="115" t="str">
        <f>VLOOKUP(D95,Data!H:J,3,0)</f>
        <v>Nazım Öztel</v>
      </c>
      <c r="G95" s="116" t="b">
        <v>0</v>
      </c>
      <c r="H95" s="116" t="b">
        <v>0</v>
      </c>
      <c r="I95" s="116" t="b">
        <v>0</v>
      </c>
      <c r="J95" s="116" t="b">
        <v>0</v>
      </c>
      <c r="K95" s="116" t="b">
        <v>0</v>
      </c>
      <c r="L95" s="116" t="b">
        <v>0</v>
      </c>
      <c r="M95" s="116" t="b">
        <v>0</v>
      </c>
      <c r="N95" s="117">
        <f t="shared" si="3"/>
        <v>0</v>
      </c>
      <c r="O95" s="117">
        <f t="shared" si="4"/>
        <v>0</v>
      </c>
      <c r="P95" s="157"/>
      <c r="Q95" s="112"/>
    </row>
    <row r="96" ht="15.0" customHeight="1">
      <c r="A96" s="112"/>
      <c r="B96" s="112"/>
      <c r="C96" s="112"/>
      <c r="D96" s="163" t="s">
        <v>325</v>
      </c>
      <c r="E96" s="114" t="s">
        <v>326</v>
      </c>
      <c r="F96" s="115" t="s">
        <v>61</v>
      </c>
      <c r="G96" s="139" t="b">
        <v>0</v>
      </c>
      <c r="H96" s="139" t="b">
        <v>0</v>
      </c>
      <c r="I96" s="139" t="b">
        <v>0</v>
      </c>
      <c r="J96" s="139" t="b">
        <v>0</v>
      </c>
      <c r="K96" s="139" t="b">
        <v>0</v>
      </c>
      <c r="L96" s="139" t="b">
        <v>0</v>
      </c>
      <c r="M96" s="139" t="b">
        <v>0</v>
      </c>
      <c r="N96" s="117">
        <f t="shared" si="3"/>
        <v>0</v>
      </c>
      <c r="O96" s="117">
        <f t="shared" si="4"/>
        <v>0</v>
      </c>
      <c r="P96" s="157" t="s">
        <v>343</v>
      </c>
      <c r="Q96" s="112"/>
    </row>
    <row r="97" ht="15.0" customHeight="1">
      <c r="A97" s="112"/>
      <c r="B97" s="112"/>
      <c r="C97" s="112"/>
      <c r="D97" s="98" t="s">
        <v>296</v>
      </c>
      <c r="E97" s="114" t="str">
        <f>VLOOKUP(D97,Data!H:I,2,0)</f>
        <v>Bilecik</v>
      </c>
      <c r="F97" s="115" t="str">
        <f>VLOOKUP(D97,Data!H:J,3,0)</f>
        <v>Nazım Öztel</v>
      </c>
      <c r="G97" s="139" t="b">
        <v>0</v>
      </c>
      <c r="H97" s="139" t="b">
        <v>0</v>
      </c>
      <c r="I97" s="139" t="b">
        <v>0</v>
      </c>
      <c r="J97" s="139" t="b">
        <v>0</v>
      </c>
      <c r="K97" s="139" t="b">
        <v>0</v>
      </c>
      <c r="L97" s="139" t="b">
        <v>0</v>
      </c>
      <c r="M97" s="139" t="b">
        <v>0</v>
      </c>
      <c r="N97" s="117">
        <f t="shared" ref="N97:O97" si="5">SUM(N15:N95)</f>
        <v>52</v>
      </c>
      <c r="O97" s="117">
        <f t="shared" si="5"/>
        <v>208</v>
      </c>
      <c r="P97" s="157"/>
      <c r="Q97" s="112"/>
    </row>
    <row r="98" ht="15.0" customHeight="1">
      <c r="A98" s="112"/>
      <c r="B98" s="112"/>
      <c r="C98" s="112"/>
      <c r="D98" s="150" t="s">
        <v>345</v>
      </c>
      <c r="E98" s="144" t="s">
        <v>346</v>
      </c>
      <c r="F98" s="115" t="s">
        <v>61</v>
      </c>
      <c r="G98" s="116" t="b">
        <v>0</v>
      </c>
      <c r="H98" s="116" t="b">
        <v>0</v>
      </c>
      <c r="I98" s="116" t="b">
        <v>0</v>
      </c>
      <c r="J98" s="116" t="b">
        <v>0</v>
      </c>
      <c r="K98" s="116" t="b">
        <v>0</v>
      </c>
      <c r="L98" s="116" t="b">
        <v>0</v>
      </c>
      <c r="M98" s="116" t="b">
        <v>0</v>
      </c>
      <c r="N98" s="117">
        <f t="shared" ref="N98:N99" si="6">COUNTIF(G98:M98,"TRUE")</f>
        <v>0</v>
      </c>
      <c r="O98" s="117">
        <f t="shared" ref="O98:O99" si="7">N98*4</f>
        <v>0</v>
      </c>
      <c r="P98" s="157"/>
      <c r="Q98" s="112"/>
    </row>
    <row r="99" ht="15.0" customHeight="1">
      <c r="A99" s="112"/>
      <c r="B99" s="112"/>
      <c r="C99" s="112"/>
      <c r="D99" s="150" t="s">
        <v>356</v>
      </c>
      <c r="E99" s="144" t="s">
        <v>357</v>
      </c>
      <c r="F99" s="144" t="s">
        <v>61</v>
      </c>
      <c r="G99" s="116" t="b">
        <v>0</v>
      </c>
      <c r="H99" s="116" t="b">
        <v>0</v>
      </c>
      <c r="I99" s="116" t="b">
        <v>1</v>
      </c>
      <c r="J99" s="116" t="b">
        <v>1</v>
      </c>
      <c r="K99" s="116" t="b">
        <v>1</v>
      </c>
      <c r="L99" s="116" t="b">
        <v>0</v>
      </c>
      <c r="M99" s="116" t="b">
        <v>0</v>
      </c>
      <c r="N99" s="117">
        <f t="shared" si="6"/>
        <v>3</v>
      </c>
      <c r="O99" s="117">
        <f t="shared" si="7"/>
        <v>12</v>
      </c>
      <c r="P99" s="157"/>
      <c r="Q99" s="112"/>
    </row>
    <row r="100" ht="15.0" customHeight="1">
      <c r="A100" s="112"/>
      <c r="B100" s="112"/>
      <c r="C100" s="112"/>
      <c r="D100" s="149"/>
      <c r="E100" s="144"/>
      <c r="F100" s="144"/>
      <c r="G100" s="135"/>
      <c r="H100" s="135"/>
      <c r="I100" s="135"/>
      <c r="J100" s="135"/>
      <c r="K100" s="135"/>
      <c r="L100" s="135"/>
      <c r="M100" s="135"/>
      <c r="N100" s="135"/>
      <c r="O100" s="135"/>
      <c r="P100" s="160"/>
      <c r="Q100" s="112"/>
    </row>
    <row r="101" ht="15.0" customHeight="1">
      <c r="A101" s="112"/>
      <c r="B101" s="112"/>
      <c r="C101" s="112"/>
      <c r="D101" s="149"/>
      <c r="E101" s="144"/>
      <c r="F101" s="144"/>
      <c r="G101" s="135"/>
      <c r="H101" s="135"/>
      <c r="I101" s="135"/>
      <c r="J101" s="135"/>
      <c r="K101" s="135"/>
      <c r="L101" s="135"/>
      <c r="M101" s="135"/>
      <c r="N101" s="135"/>
      <c r="O101" s="135"/>
      <c r="P101" s="160"/>
      <c r="Q101" s="112"/>
    </row>
    <row r="102">
      <c r="P102" s="161"/>
    </row>
    <row r="103">
      <c r="P103" s="161"/>
    </row>
    <row r="104">
      <c r="P104" s="161"/>
    </row>
    <row r="105">
      <c r="P105" s="161"/>
    </row>
    <row r="106">
      <c r="P106" s="161"/>
    </row>
    <row r="107">
      <c r="P107" s="161"/>
    </row>
    <row r="108">
      <c r="P108" s="161"/>
    </row>
    <row r="109">
      <c r="P109" s="161"/>
    </row>
    <row r="110">
      <c r="P110" s="161"/>
    </row>
    <row r="111">
      <c r="P111" s="161"/>
    </row>
    <row r="112">
      <c r="P112" s="161"/>
    </row>
    <row r="113">
      <c r="P113" s="161"/>
    </row>
    <row r="114">
      <c r="P114" s="161"/>
    </row>
    <row r="115">
      <c r="P115" s="161"/>
    </row>
    <row r="116">
      <c r="P116" s="161"/>
    </row>
    <row r="117">
      <c r="P117" s="161"/>
    </row>
    <row r="118">
      <c r="P118" s="161"/>
    </row>
    <row r="119">
      <c r="P119" s="161"/>
    </row>
    <row r="120">
      <c r="P120" s="161"/>
    </row>
    <row r="121">
      <c r="P121" s="161"/>
    </row>
    <row r="122">
      <c r="P122" s="161"/>
    </row>
    <row r="123">
      <c r="P123" s="161"/>
    </row>
    <row r="124">
      <c r="P124" s="161"/>
    </row>
    <row r="125">
      <c r="P125" s="161"/>
    </row>
    <row r="126">
      <c r="P126" s="161"/>
    </row>
    <row r="127">
      <c r="P127" s="161"/>
    </row>
    <row r="128">
      <c r="P128" s="161"/>
    </row>
    <row r="129">
      <c r="P129" s="161"/>
    </row>
    <row r="130">
      <c r="P130" s="161"/>
    </row>
    <row r="131">
      <c r="P131" s="161"/>
    </row>
    <row r="132">
      <c r="P132" s="161"/>
    </row>
    <row r="133">
      <c r="P133" s="161"/>
    </row>
    <row r="134">
      <c r="P134" s="161"/>
    </row>
    <row r="135">
      <c r="P135" s="161"/>
    </row>
    <row r="136">
      <c r="P136" s="161"/>
    </row>
    <row r="137">
      <c r="P137" s="161"/>
    </row>
    <row r="138">
      <c r="P138" s="161"/>
    </row>
    <row r="139">
      <c r="P139" s="161"/>
    </row>
    <row r="140">
      <c r="P140" s="161"/>
    </row>
    <row r="141">
      <c r="P141" s="161"/>
    </row>
    <row r="142">
      <c r="P142" s="161"/>
    </row>
    <row r="143">
      <c r="P143" s="161"/>
    </row>
    <row r="144">
      <c r="P144" s="161"/>
    </row>
    <row r="145">
      <c r="P145" s="161"/>
    </row>
    <row r="146">
      <c r="P146" s="161"/>
    </row>
    <row r="147">
      <c r="P147" s="161"/>
    </row>
    <row r="148">
      <c r="P148" s="161"/>
    </row>
    <row r="149">
      <c r="P149" s="161"/>
    </row>
    <row r="150">
      <c r="P150" s="161"/>
    </row>
    <row r="151">
      <c r="P151" s="161"/>
    </row>
    <row r="152">
      <c r="P152" s="161"/>
    </row>
    <row r="153">
      <c r="P153" s="161"/>
    </row>
    <row r="154">
      <c r="P154" s="161"/>
    </row>
    <row r="155">
      <c r="P155" s="161"/>
    </row>
    <row r="156">
      <c r="P156" s="161"/>
    </row>
    <row r="157">
      <c r="P157" s="161"/>
    </row>
    <row r="158">
      <c r="P158" s="161"/>
    </row>
    <row r="159">
      <c r="P159" s="161"/>
    </row>
    <row r="160">
      <c r="P160" s="161"/>
    </row>
    <row r="161">
      <c r="P161" s="161"/>
    </row>
    <row r="162">
      <c r="P162" s="161"/>
    </row>
    <row r="163">
      <c r="P163" s="161"/>
    </row>
    <row r="164">
      <c r="P164" s="161"/>
    </row>
    <row r="165">
      <c r="P165" s="161"/>
    </row>
    <row r="166">
      <c r="P166" s="161"/>
    </row>
    <row r="167">
      <c r="P167" s="161"/>
    </row>
    <row r="168">
      <c r="P168" s="161"/>
    </row>
    <row r="169">
      <c r="P169" s="161"/>
    </row>
    <row r="170">
      <c r="P170" s="161"/>
    </row>
    <row r="171">
      <c r="P171" s="161"/>
    </row>
    <row r="172">
      <c r="P172" s="161"/>
    </row>
    <row r="173">
      <c r="P173" s="161"/>
    </row>
    <row r="174">
      <c r="P174" s="161"/>
    </row>
    <row r="175">
      <c r="P175" s="161"/>
    </row>
    <row r="176">
      <c r="P176" s="161"/>
    </row>
    <row r="177">
      <c r="P177" s="161"/>
    </row>
    <row r="178">
      <c r="P178" s="161"/>
    </row>
    <row r="179">
      <c r="P179" s="161"/>
    </row>
    <row r="180">
      <c r="P180" s="161"/>
    </row>
    <row r="181">
      <c r="P181" s="161"/>
    </row>
    <row r="182">
      <c r="P182" s="161"/>
    </row>
    <row r="183">
      <c r="P183" s="161"/>
    </row>
    <row r="184">
      <c r="P184" s="161"/>
    </row>
    <row r="185">
      <c r="P185" s="161"/>
    </row>
    <row r="186">
      <c r="P186" s="161"/>
    </row>
    <row r="187">
      <c r="P187" s="161"/>
    </row>
    <row r="188">
      <c r="P188" s="161"/>
    </row>
    <row r="189">
      <c r="P189" s="161"/>
    </row>
    <row r="190">
      <c r="P190" s="161"/>
    </row>
    <row r="191">
      <c r="P191" s="161"/>
    </row>
    <row r="192">
      <c r="P192" s="161"/>
    </row>
    <row r="193">
      <c r="P193" s="161"/>
    </row>
    <row r="194">
      <c r="P194" s="161"/>
    </row>
    <row r="195">
      <c r="P195" s="161"/>
    </row>
    <row r="196">
      <c r="P196" s="161"/>
    </row>
    <row r="197">
      <c r="P197" s="161"/>
    </row>
    <row r="198">
      <c r="P198" s="161"/>
    </row>
    <row r="199">
      <c r="P199" s="161"/>
    </row>
    <row r="200">
      <c r="P200" s="161"/>
    </row>
    <row r="201">
      <c r="P201" s="161"/>
    </row>
    <row r="202">
      <c r="P202" s="161"/>
    </row>
    <row r="203">
      <c r="P203" s="161"/>
    </row>
    <row r="204">
      <c r="P204" s="161"/>
    </row>
    <row r="205">
      <c r="P205" s="161"/>
    </row>
    <row r="206">
      <c r="P206" s="161"/>
    </row>
    <row r="207">
      <c r="P207" s="161"/>
    </row>
    <row r="208">
      <c r="P208" s="161"/>
    </row>
    <row r="209">
      <c r="P209" s="161"/>
    </row>
    <row r="210">
      <c r="P210" s="161"/>
    </row>
    <row r="211">
      <c r="P211" s="161"/>
    </row>
    <row r="212">
      <c r="P212" s="161"/>
    </row>
    <row r="213">
      <c r="P213" s="161"/>
    </row>
    <row r="214">
      <c r="P214" s="161"/>
    </row>
    <row r="215">
      <c r="P215" s="161"/>
    </row>
    <row r="216">
      <c r="P216" s="161"/>
    </row>
    <row r="217">
      <c r="P217" s="161"/>
    </row>
    <row r="218">
      <c r="P218" s="161"/>
    </row>
    <row r="219">
      <c r="P219" s="161"/>
    </row>
    <row r="220">
      <c r="P220" s="161"/>
    </row>
    <row r="221">
      <c r="P221" s="161"/>
    </row>
    <row r="222">
      <c r="P222" s="161"/>
    </row>
    <row r="223">
      <c r="P223" s="161"/>
    </row>
    <row r="224">
      <c r="P224" s="161"/>
    </row>
    <row r="225">
      <c r="P225" s="161"/>
    </row>
    <row r="226">
      <c r="P226" s="161"/>
    </row>
    <row r="227">
      <c r="P227" s="161"/>
    </row>
    <row r="228">
      <c r="P228" s="161"/>
    </row>
    <row r="229">
      <c r="P229" s="161"/>
    </row>
    <row r="230">
      <c r="P230" s="161"/>
    </row>
    <row r="231">
      <c r="P231" s="161"/>
    </row>
    <row r="232">
      <c r="P232" s="161"/>
    </row>
    <row r="233">
      <c r="P233" s="161"/>
    </row>
    <row r="234">
      <c r="P234" s="161"/>
    </row>
    <row r="235">
      <c r="P235" s="161"/>
    </row>
    <row r="236">
      <c r="P236" s="161"/>
    </row>
    <row r="237">
      <c r="P237" s="161"/>
    </row>
    <row r="238">
      <c r="P238" s="161"/>
    </row>
    <row r="239">
      <c r="P239" s="161"/>
    </row>
    <row r="240">
      <c r="P240" s="161"/>
    </row>
    <row r="241">
      <c r="P241" s="161"/>
    </row>
    <row r="242">
      <c r="P242" s="161"/>
    </row>
    <row r="243">
      <c r="P243" s="161"/>
    </row>
    <row r="244">
      <c r="P244" s="161"/>
    </row>
    <row r="245">
      <c r="P245" s="161"/>
    </row>
    <row r="246">
      <c r="P246" s="161"/>
    </row>
    <row r="247">
      <c r="P247" s="161"/>
    </row>
    <row r="248">
      <c r="P248" s="161"/>
    </row>
    <row r="249">
      <c r="P249" s="161"/>
    </row>
    <row r="250">
      <c r="P250" s="161"/>
    </row>
    <row r="251">
      <c r="P251" s="161"/>
    </row>
    <row r="252">
      <c r="P252" s="161"/>
    </row>
    <row r="253">
      <c r="P253" s="161"/>
    </row>
    <row r="254">
      <c r="P254" s="161"/>
    </row>
    <row r="255">
      <c r="P255" s="161"/>
    </row>
    <row r="256">
      <c r="P256" s="161"/>
    </row>
    <row r="257">
      <c r="P257" s="161"/>
    </row>
    <row r="258">
      <c r="P258" s="161"/>
    </row>
    <row r="259">
      <c r="P259" s="161"/>
    </row>
    <row r="260">
      <c r="P260" s="161"/>
    </row>
    <row r="261">
      <c r="P261" s="161"/>
    </row>
    <row r="262">
      <c r="P262" s="161"/>
    </row>
    <row r="263">
      <c r="P263" s="161"/>
    </row>
    <row r="264">
      <c r="P264" s="161"/>
    </row>
    <row r="265">
      <c r="P265" s="161"/>
    </row>
    <row r="266">
      <c r="P266" s="161"/>
    </row>
    <row r="267">
      <c r="P267" s="161"/>
    </row>
    <row r="268">
      <c r="P268" s="161"/>
    </row>
    <row r="269">
      <c r="P269" s="161"/>
    </row>
    <row r="270">
      <c r="P270" s="161"/>
    </row>
    <row r="271">
      <c r="P271" s="161"/>
    </row>
    <row r="272">
      <c r="P272" s="161"/>
    </row>
    <row r="273">
      <c r="P273" s="161"/>
    </row>
    <row r="274">
      <c r="P274" s="161"/>
    </row>
    <row r="275">
      <c r="P275" s="161"/>
    </row>
    <row r="276">
      <c r="P276" s="161"/>
    </row>
    <row r="277">
      <c r="P277" s="161"/>
    </row>
    <row r="278">
      <c r="P278" s="161"/>
    </row>
    <row r="279">
      <c r="P279" s="161"/>
    </row>
    <row r="280">
      <c r="P280" s="161"/>
    </row>
    <row r="281">
      <c r="P281" s="161"/>
    </row>
    <row r="282">
      <c r="P282" s="161"/>
    </row>
    <row r="283">
      <c r="P283" s="161"/>
    </row>
    <row r="284">
      <c r="P284" s="161"/>
    </row>
    <row r="285">
      <c r="P285" s="161"/>
    </row>
    <row r="286">
      <c r="P286" s="161"/>
    </row>
    <row r="287">
      <c r="P287" s="161"/>
    </row>
    <row r="288">
      <c r="P288" s="161"/>
    </row>
    <row r="289">
      <c r="P289" s="161"/>
    </row>
    <row r="290">
      <c r="P290" s="161"/>
    </row>
    <row r="291">
      <c r="P291" s="161"/>
    </row>
    <row r="292">
      <c r="P292" s="161"/>
    </row>
    <row r="293">
      <c r="P293" s="161"/>
    </row>
    <row r="294">
      <c r="P294" s="161"/>
    </row>
    <row r="295">
      <c r="P295" s="161"/>
    </row>
    <row r="296">
      <c r="P296" s="161"/>
    </row>
    <row r="297">
      <c r="P297" s="161"/>
    </row>
    <row r="298">
      <c r="P298" s="161"/>
    </row>
    <row r="299">
      <c r="P299" s="161"/>
    </row>
    <row r="300">
      <c r="P300" s="161"/>
    </row>
    <row r="301">
      <c r="P301" s="161"/>
    </row>
    <row r="302">
      <c r="P302" s="161"/>
    </row>
    <row r="303">
      <c r="P303" s="161"/>
    </row>
    <row r="304">
      <c r="P304" s="161"/>
    </row>
    <row r="305">
      <c r="P305" s="161"/>
    </row>
    <row r="306">
      <c r="P306" s="161"/>
    </row>
    <row r="307">
      <c r="P307" s="161"/>
    </row>
    <row r="308">
      <c r="P308" s="161"/>
    </row>
    <row r="309">
      <c r="P309" s="161"/>
    </row>
    <row r="310">
      <c r="P310" s="161"/>
    </row>
    <row r="311">
      <c r="P311" s="161"/>
    </row>
    <row r="312">
      <c r="P312" s="161"/>
    </row>
    <row r="313">
      <c r="P313" s="161"/>
    </row>
    <row r="314">
      <c r="P314" s="161"/>
    </row>
    <row r="315">
      <c r="P315" s="161"/>
    </row>
    <row r="316">
      <c r="P316" s="161"/>
    </row>
    <row r="317">
      <c r="P317" s="161"/>
    </row>
    <row r="318">
      <c r="P318" s="161"/>
    </row>
    <row r="319">
      <c r="P319" s="161"/>
    </row>
    <row r="320">
      <c r="P320" s="161"/>
    </row>
    <row r="321">
      <c r="P321" s="161"/>
    </row>
    <row r="322">
      <c r="P322" s="161"/>
    </row>
    <row r="323">
      <c r="P323" s="161"/>
    </row>
    <row r="324">
      <c r="P324" s="161"/>
    </row>
    <row r="325">
      <c r="P325" s="161"/>
    </row>
    <row r="326">
      <c r="P326" s="161"/>
    </row>
    <row r="327">
      <c r="P327" s="161"/>
    </row>
    <row r="328">
      <c r="P328" s="161"/>
    </row>
    <row r="329">
      <c r="P329" s="161"/>
    </row>
    <row r="330">
      <c r="P330" s="161"/>
    </row>
    <row r="331">
      <c r="P331" s="161"/>
    </row>
    <row r="332">
      <c r="P332" s="161"/>
    </row>
    <row r="333">
      <c r="P333" s="161"/>
    </row>
    <row r="334">
      <c r="P334" s="161"/>
    </row>
    <row r="335">
      <c r="P335" s="161"/>
    </row>
    <row r="336">
      <c r="P336" s="161"/>
    </row>
    <row r="337">
      <c r="P337" s="161"/>
    </row>
    <row r="338">
      <c r="P338" s="161"/>
    </row>
    <row r="339">
      <c r="P339" s="161"/>
    </row>
    <row r="340">
      <c r="P340" s="161"/>
    </row>
    <row r="341">
      <c r="P341" s="161"/>
    </row>
    <row r="342">
      <c r="P342" s="161"/>
    </row>
    <row r="343">
      <c r="P343" s="161"/>
    </row>
    <row r="344">
      <c r="P344" s="161"/>
    </row>
    <row r="345">
      <c r="P345" s="161"/>
    </row>
    <row r="346">
      <c r="P346" s="161"/>
    </row>
    <row r="347">
      <c r="P347" s="161"/>
    </row>
    <row r="348">
      <c r="P348" s="161"/>
    </row>
    <row r="349">
      <c r="P349" s="161"/>
    </row>
    <row r="350">
      <c r="P350" s="161"/>
    </row>
    <row r="351">
      <c r="P351" s="161"/>
    </row>
    <row r="352">
      <c r="P352" s="161"/>
    </row>
    <row r="353">
      <c r="P353" s="161"/>
    </row>
    <row r="354">
      <c r="P354" s="161"/>
    </row>
    <row r="355">
      <c r="P355" s="161"/>
    </row>
    <row r="356">
      <c r="P356" s="161"/>
    </row>
    <row r="357">
      <c r="P357" s="161"/>
    </row>
    <row r="358">
      <c r="P358" s="161"/>
    </row>
    <row r="359">
      <c r="P359" s="161"/>
    </row>
    <row r="360">
      <c r="P360" s="161"/>
    </row>
    <row r="361">
      <c r="P361" s="161"/>
    </row>
    <row r="362">
      <c r="P362" s="161"/>
    </row>
    <row r="363">
      <c r="P363" s="161"/>
    </row>
    <row r="364">
      <c r="P364" s="161"/>
    </row>
    <row r="365">
      <c r="P365" s="161"/>
    </row>
    <row r="366">
      <c r="P366" s="161"/>
    </row>
    <row r="367">
      <c r="P367" s="161"/>
    </row>
    <row r="368">
      <c r="P368" s="161"/>
    </row>
    <row r="369">
      <c r="P369" s="161"/>
    </row>
    <row r="370">
      <c r="P370" s="161"/>
    </row>
    <row r="371">
      <c r="P371" s="161"/>
    </row>
    <row r="372">
      <c r="P372" s="161"/>
    </row>
    <row r="373">
      <c r="P373" s="161"/>
    </row>
    <row r="374">
      <c r="P374" s="161"/>
    </row>
    <row r="375">
      <c r="P375" s="161"/>
    </row>
    <row r="376">
      <c r="P376" s="161"/>
    </row>
    <row r="377">
      <c r="P377" s="161"/>
    </row>
    <row r="378">
      <c r="P378" s="161"/>
    </row>
    <row r="379">
      <c r="P379" s="161"/>
    </row>
    <row r="380">
      <c r="P380" s="161"/>
    </row>
    <row r="381">
      <c r="P381" s="161"/>
    </row>
    <row r="382">
      <c r="P382" s="161"/>
    </row>
    <row r="383">
      <c r="P383" s="161"/>
    </row>
    <row r="384">
      <c r="P384" s="161"/>
    </row>
    <row r="385">
      <c r="P385" s="161"/>
    </row>
    <row r="386">
      <c r="P386" s="161"/>
    </row>
    <row r="387">
      <c r="P387" s="161"/>
    </row>
    <row r="388">
      <c r="P388" s="161"/>
    </row>
    <row r="389">
      <c r="P389" s="161"/>
    </row>
    <row r="390">
      <c r="P390" s="161"/>
    </row>
    <row r="391">
      <c r="P391" s="161"/>
    </row>
    <row r="392">
      <c r="P392" s="161"/>
    </row>
    <row r="393">
      <c r="P393" s="161"/>
    </row>
    <row r="394">
      <c r="P394" s="161"/>
    </row>
    <row r="395">
      <c r="P395" s="161"/>
    </row>
    <row r="396">
      <c r="P396" s="161"/>
    </row>
    <row r="397">
      <c r="P397" s="161"/>
    </row>
    <row r="398">
      <c r="P398" s="161"/>
    </row>
    <row r="399">
      <c r="P399" s="161"/>
    </row>
    <row r="400">
      <c r="P400" s="161"/>
    </row>
    <row r="401">
      <c r="P401" s="161"/>
    </row>
    <row r="402">
      <c r="P402" s="161"/>
    </row>
    <row r="403">
      <c r="P403" s="161"/>
    </row>
    <row r="404">
      <c r="P404" s="161"/>
    </row>
    <row r="405">
      <c r="P405" s="161"/>
    </row>
    <row r="406">
      <c r="P406" s="161"/>
    </row>
    <row r="407">
      <c r="P407" s="161"/>
    </row>
    <row r="408">
      <c r="P408" s="161"/>
    </row>
    <row r="409">
      <c r="P409" s="161"/>
    </row>
    <row r="410">
      <c r="P410" s="161"/>
    </row>
    <row r="411">
      <c r="P411" s="161"/>
    </row>
    <row r="412">
      <c r="P412" s="161"/>
    </row>
    <row r="413">
      <c r="P413" s="161"/>
    </row>
    <row r="414">
      <c r="P414" s="161"/>
    </row>
    <row r="415">
      <c r="P415" s="161"/>
    </row>
    <row r="416">
      <c r="P416" s="161"/>
    </row>
    <row r="417">
      <c r="P417" s="161"/>
    </row>
    <row r="418">
      <c r="P418" s="161"/>
    </row>
    <row r="419">
      <c r="P419" s="161"/>
    </row>
    <row r="420">
      <c r="P420" s="161"/>
    </row>
    <row r="421">
      <c r="P421" s="161"/>
    </row>
    <row r="422">
      <c r="P422" s="161"/>
    </row>
    <row r="423">
      <c r="P423" s="161"/>
    </row>
    <row r="424">
      <c r="P424" s="161"/>
    </row>
    <row r="425">
      <c r="P425" s="161"/>
    </row>
    <row r="426">
      <c r="P426" s="161"/>
    </row>
    <row r="427">
      <c r="P427" s="161"/>
    </row>
    <row r="428">
      <c r="P428" s="161"/>
    </row>
    <row r="429">
      <c r="P429" s="161"/>
    </row>
    <row r="430">
      <c r="P430" s="161"/>
    </row>
    <row r="431">
      <c r="P431" s="161"/>
    </row>
    <row r="432">
      <c r="P432" s="161"/>
    </row>
    <row r="433">
      <c r="P433" s="161"/>
    </row>
    <row r="434">
      <c r="P434" s="161"/>
    </row>
    <row r="435">
      <c r="P435" s="161"/>
    </row>
    <row r="436">
      <c r="P436" s="161"/>
    </row>
    <row r="437">
      <c r="P437" s="161"/>
    </row>
    <row r="438">
      <c r="P438" s="161"/>
    </row>
    <row r="439">
      <c r="P439" s="161"/>
    </row>
    <row r="440">
      <c r="P440" s="161"/>
    </row>
    <row r="441">
      <c r="P441" s="161"/>
    </row>
    <row r="442">
      <c r="P442" s="161"/>
    </row>
    <row r="443">
      <c r="P443" s="161"/>
    </row>
    <row r="444">
      <c r="P444" s="161"/>
    </row>
    <row r="445">
      <c r="P445" s="161"/>
    </row>
    <row r="446">
      <c r="P446" s="161"/>
    </row>
    <row r="447">
      <c r="P447" s="161"/>
    </row>
    <row r="448">
      <c r="P448" s="161"/>
    </row>
    <row r="449">
      <c r="P449" s="161"/>
    </row>
    <row r="450">
      <c r="P450" s="161"/>
    </row>
    <row r="451">
      <c r="P451" s="161"/>
    </row>
    <row r="452">
      <c r="P452" s="161"/>
    </row>
    <row r="453">
      <c r="P453" s="161"/>
    </row>
    <row r="454">
      <c r="P454" s="161"/>
    </row>
    <row r="455">
      <c r="P455" s="161"/>
    </row>
    <row r="456">
      <c r="P456" s="161"/>
    </row>
    <row r="457">
      <c r="P457" s="161"/>
    </row>
    <row r="458">
      <c r="P458" s="161"/>
    </row>
    <row r="459">
      <c r="P459" s="161"/>
    </row>
    <row r="460">
      <c r="P460" s="161"/>
    </row>
    <row r="461">
      <c r="P461" s="161"/>
    </row>
    <row r="462">
      <c r="P462" s="161"/>
    </row>
    <row r="463">
      <c r="P463" s="161"/>
    </row>
    <row r="464">
      <c r="P464" s="161"/>
    </row>
    <row r="465">
      <c r="P465" s="161"/>
    </row>
    <row r="466">
      <c r="P466" s="161"/>
    </row>
    <row r="467">
      <c r="P467" s="161"/>
    </row>
    <row r="468">
      <c r="P468" s="161"/>
    </row>
    <row r="469">
      <c r="P469" s="161"/>
    </row>
    <row r="470">
      <c r="P470" s="161"/>
    </row>
    <row r="471">
      <c r="P471" s="161"/>
    </row>
    <row r="472">
      <c r="P472" s="161"/>
    </row>
    <row r="473">
      <c r="P473" s="161"/>
    </row>
    <row r="474">
      <c r="P474" s="161"/>
    </row>
    <row r="475">
      <c r="P475" s="161"/>
    </row>
    <row r="476">
      <c r="P476" s="161"/>
    </row>
    <row r="477">
      <c r="P477" s="161"/>
    </row>
    <row r="478">
      <c r="P478" s="161"/>
    </row>
    <row r="479">
      <c r="P479" s="161"/>
    </row>
    <row r="480">
      <c r="P480" s="161"/>
    </row>
    <row r="481">
      <c r="P481" s="161"/>
    </row>
    <row r="482">
      <c r="P482" s="161"/>
    </row>
    <row r="483">
      <c r="P483" s="161"/>
    </row>
    <row r="484">
      <c r="P484" s="161"/>
    </row>
    <row r="485">
      <c r="P485" s="161"/>
    </row>
    <row r="486">
      <c r="P486" s="161"/>
    </row>
    <row r="487">
      <c r="P487" s="161"/>
    </row>
    <row r="488">
      <c r="P488" s="161"/>
    </row>
    <row r="489">
      <c r="P489" s="161"/>
    </row>
    <row r="490">
      <c r="P490" s="161"/>
    </row>
    <row r="491">
      <c r="P491" s="161"/>
    </row>
    <row r="492">
      <c r="P492" s="161"/>
    </row>
    <row r="493">
      <c r="P493" s="161"/>
    </row>
    <row r="494">
      <c r="P494" s="161"/>
    </row>
    <row r="495">
      <c r="P495" s="161"/>
    </row>
    <row r="496">
      <c r="P496" s="161"/>
    </row>
    <row r="497">
      <c r="P497" s="161"/>
    </row>
    <row r="498">
      <c r="P498" s="161"/>
    </row>
    <row r="499">
      <c r="P499" s="161"/>
    </row>
    <row r="500">
      <c r="P500" s="161"/>
    </row>
    <row r="501">
      <c r="P501" s="161"/>
    </row>
    <row r="502">
      <c r="P502" s="161"/>
    </row>
    <row r="503">
      <c r="P503" s="161"/>
    </row>
    <row r="504">
      <c r="P504" s="161"/>
    </row>
    <row r="505">
      <c r="P505" s="161"/>
    </row>
    <row r="506">
      <c r="P506" s="161"/>
    </row>
    <row r="507">
      <c r="P507" s="161"/>
    </row>
    <row r="508">
      <c r="P508" s="161"/>
    </row>
    <row r="509">
      <c r="P509" s="161"/>
    </row>
    <row r="510">
      <c r="P510" s="161"/>
    </row>
    <row r="511">
      <c r="P511" s="161"/>
    </row>
    <row r="512">
      <c r="P512" s="161"/>
    </row>
    <row r="513">
      <c r="P513" s="161"/>
    </row>
    <row r="514">
      <c r="P514" s="161"/>
    </row>
    <row r="515">
      <c r="P515" s="161"/>
    </row>
    <row r="516">
      <c r="P516" s="161"/>
    </row>
    <row r="517">
      <c r="P517" s="161"/>
    </row>
    <row r="518">
      <c r="P518" s="161"/>
    </row>
    <row r="519">
      <c r="P519" s="161"/>
    </row>
    <row r="520">
      <c r="P520" s="161"/>
    </row>
    <row r="521">
      <c r="P521" s="161"/>
    </row>
    <row r="522">
      <c r="P522" s="161"/>
    </row>
    <row r="523">
      <c r="P523" s="161"/>
    </row>
    <row r="524">
      <c r="P524" s="161"/>
    </row>
    <row r="525">
      <c r="P525" s="161"/>
    </row>
    <row r="526">
      <c r="P526" s="161"/>
    </row>
    <row r="527">
      <c r="P527" s="161"/>
    </row>
    <row r="528">
      <c r="P528" s="161"/>
    </row>
    <row r="529">
      <c r="P529" s="161"/>
    </row>
    <row r="530">
      <c r="P530" s="161"/>
    </row>
    <row r="531">
      <c r="P531" s="161"/>
    </row>
    <row r="532">
      <c r="P532" s="161"/>
    </row>
    <row r="533">
      <c r="P533" s="161"/>
    </row>
    <row r="534">
      <c r="P534" s="161"/>
    </row>
    <row r="535">
      <c r="P535" s="161"/>
    </row>
    <row r="536">
      <c r="P536" s="161"/>
    </row>
    <row r="537">
      <c r="P537" s="161"/>
    </row>
    <row r="538">
      <c r="P538" s="161"/>
    </row>
    <row r="539">
      <c r="P539" s="161"/>
    </row>
    <row r="540">
      <c r="P540" s="161"/>
    </row>
    <row r="541">
      <c r="P541" s="161"/>
    </row>
    <row r="542">
      <c r="P542" s="161"/>
    </row>
    <row r="543">
      <c r="P543" s="161"/>
    </row>
    <row r="544">
      <c r="P544" s="161"/>
    </row>
    <row r="545">
      <c r="P545" s="161"/>
    </row>
    <row r="546">
      <c r="P546" s="161"/>
    </row>
    <row r="547">
      <c r="P547" s="161"/>
    </row>
    <row r="548">
      <c r="P548" s="161"/>
    </row>
    <row r="549">
      <c r="P549" s="161"/>
    </row>
    <row r="550">
      <c r="P550" s="161"/>
    </row>
    <row r="551">
      <c r="P551" s="161"/>
    </row>
    <row r="552">
      <c r="P552" s="161"/>
    </row>
    <row r="553">
      <c r="P553" s="161"/>
    </row>
    <row r="554">
      <c r="P554" s="161"/>
    </row>
    <row r="555">
      <c r="P555" s="161"/>
    </row>
    <row r="556">
      <c r="P556" s="161"/>
    </row>
    <row r="557">
      <c r="P557" s="161"/>
    </row>
    <row r="558">
      <c r="P558" s="161"/>
    </row>
    <row r="559">
      <c r="P559" s="161"/>
    </row>
    <row r="560">
      <c r="P560" s="161"/>
    </row>
    <row r="561">
      <c r="P561" s="161"/>
    </row>
    <row r="562">
      <c r="P562" s="161"/>
    </row>
    <row r="563">
      <c r="P563" s="161"/>
    </row>
    <row r="564">
      <c r="P564" s="161"/>
    </row>
    <row r="565">
      <c r="P565" s="161"/>
    </row>
    <row r="566">
      <c r="P566" s="161"/>
    </row>
    <row r="567">
      <c r="P567" s="161"/>
    </row>
    <row r="568">
      <c r="P568" s="161"/>
    </row>
    <row r="569">
      <c r="P569" s="161"/>
    </row>
    <row r="570">
      <c r="P570" s="161"/>
    </row>
    <row r="571">
      <c r="P571" s="161"/>
    </row>
    <row r="572">
      <c r="P572" s="161"/>
    </row>
    <row r="573">
      <c r="P573" s="161"/>
    </row>
    <row r="574">
      <c r="P574" s="161"/>
    </row>
    <row r="575">
      <c r="P575" s="161"/>
    </row>
    <row r="576">
      <c r="P576" s="161"/>
    </row>
    <row r="577">
      <c r="P577" s="161"/>
    </row>
    <row r="578">
      <c r="P578" s="161"/>
    </row>
    <row r="579">
      <c r="P579" s="161"/>
    </row>
    <row r="580">
      <c r="P580" s="161"/>
    </row>
    <row r="581">
      <c r="P581" s="161"/>
    </row>
    <row r="582">
      <c r="P582" s="161"/>
    </row>
    <row r="583">
      <c r="P583" s="161"/>
    </row>
    <row r="584">
      <c r="P584" s="161"/>
    </row>
    <row r="585">
      <c r="P585" s="161"/>
    </row>
    <row r="586">
      <c r="P586" s="161"/>
    </row>
    <row r="587">
      <c r="P587" s="161"/>
    </row>
    <row r="588">
      <c r="P588" s="161"/>
    </row>
    <row r="589">
      <c r="P589" s="161"/>
    </row>
    <row r="590">
      <c r="P590" s="161"/>
    </row>
    <row r="591">
      <c r="P591" s="161"/>
    </row>
    <row r="592">
      <c r="P592" s="161"/>
    </row>
    <row r="593">
      <c r="P593" s="161"/>
    </row>
    <row r="594">
      <c r="P594" s="161"/>
    </row>
    <row r="595">
      <c r="P595" s="161"/>
    </row>
    <row r="596">
      <c r="P596" s="161"/>
    </row>
    <row r="597">
      <c r="P597" s="161"/>
    </row>
    <row r="598">
      <c r="P598" s="161"/>
    </row>
    <row r="599">
      <c r="P599" s="161"/>
    </row>
    <row r="600">
      <c r="P600" s="161"/>
    </row>
    <row r="601">
      <c r="P601" s="161"/>
    </row>
    <row r="602">
      <c r="P602" s="161"/>
    </row>
    <row r="603">
      <c r="P603" s="161"/>
    </row>
    <row r="604">
      <c r="P604" s="161"/>
    </row>
    <row r="605">
      <c r="P605" s="161"/>
    </row>
    <row r="606">
      <c r="P606" s="161"/>
    </row>
    <row r="607">
      <c r="P607" s="161"/>
    </row>
    <row r="608">
      <c r="P608" s="161"/>
    </row>
    <row r="609">
      <c r="P609" s="161"/>
    </row>
    <row r="610">
      <c r="P610" s="161"/>
    </row>
    <row r="611">
      <c r="P611" s="161"/>
    </row>
    <row r="612">
      <c r="P612" s="161"/>
    </row>
    <row r="613">
      <c r="P613" s="161"/>
    </row>
    <row r="614">
      <c r="P614" s="161"/>
    </row>
    <row r="615">
      <c r="P615" s="161"/>
    </row>
    <row r="616">
      <c r="P616" s="161"/>
    </row>
    <row r="617">
      <c r="P617" s="161"/>
    </row>
    <row r="618">
      <c r="P618" s="161"/>
    </row>
    <row r="619">
      <c r="P619" s="161"/>
    </row>
    <row r="620">
      <c r="P620" s="161"/>
    </row>
    <row r="621">
      <c r="P621" s="161"/>
    </row>
    <row r="622">
      <c r="P622" s="161"/>
    </row>
    <row r="623">
      <c r="P623" s="161"/>
    </row>
    <row r="624">
      <c r="P624" s="161"/>
    </row>
    <row r="625">
      <c r="P625" s="161"/>
    </row>
    <row r="626">
      <c r="P626" s="161"/>
    </row>
    <row r="627">
      <c r="P627" s="161"/>
    </row>
    <row r="628">
      <c r="P628" s="161"/>
    </row>
    <row r="629">
      <c r="P629" s="161"/>
    </row>
    <row r="630">
      <c r="P630" s="161"/>
    </row>
    <row r="631">
      <c r="P631" s="161"/>
    </row>
    <row r="632">
      <c r="P632" s="161"/>
    </row>
    <row r="633">
      <c r="P633" s="161"/>
    </row>
    <row r="634">
      <c r="P634" s="161"/>
    </row>
    <row r="635">
      <c r="P635" s="161"/>
    </row>
    <row r="636">
      <c r="P636" s="161"/>
    </row>
    <row r="637">
      <c r="P637" s="161"/>
    </row>
    <row r="638">
      <c r="P638" s="161"/>
    </row>
    <row r="639">
      <c r="P639" s="161"/>
    </row>
    <row r="640">
      <c r="P640" s="161"/>
    </row>
    <row r="641">
      <c r="P641" s="161"/>
    </row>
    <row r="642">
      <c r="P642" s="161"/>
    </row>
    <row r="643">
      <c r="P643" s="161"/>
    </row>
    <row r="644">
      <c r="P644" s="161"/>
    </row>
    <row r="645">
      <c r="P645" s="161"/>
    </row>
    <row r="646">
      <c r="P646" s="161"/>
    </row>
    <row r="647">
      <c r="P647" s="161"/>
    </row>
    <row r="648">
      <c r="P648" s="161"/>
    </row>
    <row r="649">
      <c r="P649" s="161"/>
    </row>
    <row r="650">
      <c r="P650" s="161"/>
    </row>
    <row r="651">
      <c r="P651" s="161"/>
    </row>
    <row r="652">
      <c r="P652" s="161"/>
    </row>
    <row r="653">
      <c r="P653" s="161"/>
    </row>
    <row r="654">
      <c r="P654" s="161"/>
    </row>
    <row r="655">
      <c r="P655" s="161"/>
    </row>
    <row r="656">
      <c r="P656" s="161"/>
    </row>
    <row r="657">
      <c r="P657" s="161"/>
    </row>
    <row r="658">
      <c r="P658" s="161"/>
    </row>
    <row r="659">
      <c r="P659" s="161"/>
    </row>
    <row r="660">
      <c r="P660" s="161"/>
    </row>
    <row r="661">
      <c r="P661" s="161"/>
    </row>
    <row r="662">
      <c r="P662" s="161"/>
    </row>
    <row r="663">
      <c r="P663" s="161"/>
    </row>
    <row r="664">
      <c r="P664" s="161"/>
    </row>
    <row r="665">
      <c r="P665" s="161"/>
    </row>
    <row r="666">
      <c r="P666" s="161"/>
    </row>
    <row r="667">
      <c r="P667" s="161"/>
    </row>
    <row r="668">
      <c r="P668" s="161"/>
    </row>
    <row r="669">
      <c r="P669" s="161"/>
    </row>
    <row r="670">
      <c r="P670" s="161"/>
    </row>
    <row r="671">
      <c r="P671" s="161"/>
    </row>
    <row r="672">
      <c r="P672" s="161"/>
    </row>
    <row r="673">
      <c r="P673" s="161"/>
    </row>
    <row r="674">
      <c r="P674" s="161"/>
    </row>
    <row r="675">
      <c r="P675" s="161"/>
    </row>
    <row r="676">
      <c r="P676" s="161"/>
    </row>
    <row r="677">
      <c r="P677" s="161"/>
    </row>
    <row r="678">
      <c r="P678" s="161"/>
    </row>
    <row r="679">
      <c r="P679" s="161"/>
    </row>
    <row r="680">
      <c r="P680" s="161"/>
    </row>
    <row r="681">
      <c r="P681" s="161"/>
    </row>
    <row r="682">
      <c r="P682" s="161"/>
    </row>
    <row r="683">
      <c r="P683" s="161"/>
    </row>
    <row r="684">
      <c r="P684" s="161"/>
    </row>
    <row r="685">
      <c r="P685" s="161"/>
    </row>
    <row r="686">
      <c r="P686" s="161"/>
    </row>
    <row r="687">
      <c r="P687" s="161"/>
    </row>
    <row r="688">
      <c r="P688" s="161"/>
    </row>
    <row r="689">
      <c r="P689" s="161"/>
    </row>
    <row r="690">
      <c r="P690" s="161"/>
    </row>
    <row r="691">
      <c r="P691" s="161"/>
    </row>
    <row r="692">
      <c r="P692" s="161"/>
    </row>
    <row r="693">
      <c r="P693" s="161"/>
    </row>
    <row r="694">
      <c r="P694" s="161"/>
    </row>
    <row r="695">
      <c r="P695" s="161"/>
    </row>
    <row r="696">
      <c r="P696" s="161"/>
    </row>
    <row r="697">
      <c r="P697" s="161"/>
    </row>
    <row r="698">
      <c r="P698" s="161"/>
    </row>
    <row r="699">
      <c r="P699" s="161"/>
    </row>
    <row r="700">
      <c r="P700" s="161"/>
    </row>
    <row r="701">
      <c r="P701" s="161"/>
    </row>
    <row r="702">
      <c r="P702" s="161"/>
    </row>
    <row r="703">
      <c r="P703" s="161"/>
    </row>
    <row r="704">
      <c r="P704" s="161"/>
    </row>
    <row r="705">
      <c r="P705" s="161"/>
    </row>
    <row r="706">
      <c r="P706" s="161"/>
    </row>
    <row r="707">
      <c r="P707" s="161"/>
    </row>
    <row r="708">
      <c r="P708" s="161"/>
    </row>
    <row r="709">
      <c r="P709" s="161"/>
    </row>
    <row r="710">
      <c r="P710" s="161"/>
    </row>
    <row r="711">
      <c r="P711" s="161"/>
    </row>
    <row r="712">
      <c r="P712" s="161"/>
    </row>
    <row r="713">
      <c r="P713" s="161"/>
    </row>
    <row r="714">
      <c r="P714" s="161"/>
    </row>
    <row r="715">
      <c r="P715" s="161"/>
    </row>
    <row r="716">
      <c r="P716" s="161"/>
    </row>
    <row r="717">
      <c r="P717" s="161"/>
    </row>
    <row r="718">
      <c r="P718" s="161"/>
    </row>
    <row r="719">
      <c r="P719" s="161"/>
    </row>
    <row r="720">
      <c r="P720" s="161"/>
    </row>
    <row r="721">
      <c r="P721" s="161"/>
    </row>
    <row r="722">
      <c r="P722" s="161"/>
    </row>
    <row r="723">
      <c r="P723" s="161"/>
    </row>
    <row r="724">
      <c r="P724" s="161"/>
    </row>
    <row r="725">
      <c r="P725" s="161"/>
    </row>
    <row r="726">
      <c r="P726" s="161"/>
    </row>
    <row r="727">
      <c r="P727" s="161"/>
    </row>
    <row r="728">
      <c r="P728" s="161"/>
    </row>
    <row r="729">
      <c r="P729" s="161"/>
    </row>
    <row r="730">
      <c r="P730" s="161"/>
    </row>
    <row r="731">
      <c r="P731" s="161"/>
    </row>
    <row r="732">
      <c r="P732" s="161"/>
    </row>
    <row r="733">
      <c r="P733" s="161"/>
    </row>
    <row r="734">
      <c r="P734" s="161"/>
    </row>
    <row r="735">
      <c r="P735" s="161"/>
    </row>
    <row r="736">
      <c r="P736" s="161"/>
    </row>
    <row r="737">
      <c r="P737" s="161"/>
    </row>
    <row r="738">
      <c r="P738" s="161"/>
    </row>
    <row r="739">
      <c r="P739" s="161"/>
    </row>
    <row r="740">
      <c r="P740" s="161"/>
    </row>
    <row r="741">
      <c r="P741" s="161"/>
    </row>
    <row r="742">
      <c r="P742" s="161"/>
    </row>
    <row r="743">
      <c r="P743" s="161"/>
    </row>
    <row r="744">
      <c r="P744" s="161"/>
    </row>
    <row r="745">
      <c r="P745" s="161"/>
    </row>
    <row r="746">
      <c r="P746" s="161"/>
    </row>
    <row r="747">
      <c r="P747" s="161"/>
    </row>
    <row r="748">
      <c r="P748" s="161"/>
    </row>
    <row r="749">
      <c r="P749" s="161"/>
    </row>
    <row r="750">
      <c r="P750" s="161"/>
    </row>
    <row r="751">
      <c r="P751" s="161"/>
    </row>
    <row r="752">
      <c r="P752" s="161"/>
    </row>
    <row r="753">
      <c r="P753" s="161"/>
    </row>
    <row r="754">
      <c r="P754" s="161"/>
    </row>
    <row r="755">
      <c r="P755" s="161"/>
    </row>
    <row r="756">
      <c r="P756" s="161"/>
    </row>
    <row r="757">
      <c r="P757" s="161"/>
    </row>
    <row r="758">
      <c r="P758" s="161"/>
    </row>
    <row r="759">
      <c r="P759" s="161"/>
    </row>
    <row r="760">
      <c r="P760" s="161"/>
    </row>
    <row r="761">
      <c r="P761" s="161"/>
    </row>
    <row r="762">
      <c r="P762" s="161"/>
    </row>
    <row r="763">
      <c r="P763" s="161"/>
    </row>
    <row r="764">
      <c r="P764" s="161"/>
    </row>
    <row r="765">
      <c r="P765" s="161"/>
    </row>
    <row r="766">
      <c r="P766" s="161"/>
    </row>
    <row r="767">
      <c r="P767" s="161"/>
    </row>
    <row r="768">
      <c r="P768" s="161"/>
    </row>
    <row r="769">
      <c r="P769" s="161"/>
    </row>
    <row r="770">
      <c r="P770" s="161"/>
    </row>
    <row r="771">
      <c r="P771" s="161"/>
    </row>
    <row r="772">
      <c r="P772" s="161"/>
    </row>
    <row r="773">
      <c r="P773" s="161"/>
    </row>
    <row r="774">
      <c r="P774" s="161"/>
    </row>
    <row r="775">
      <c r="P775" s="161"/>
    </row>
    <row r="776">
      <c r="P776" s="161"/>
    </row>
    <row r="777">
      <c r="P777" s="161"/>
    </row>
    <row r="778">
      <c r="P778" s="161"/>
    </row>
    <row r="779">
      <c r="P779" s="161"/>
    </row>
    <row r="780">
      <c r="P780" s="161"/>
    </row>
    <row r="781">
      <c r="P781" s="161"/>
    </row>
    <row r="782">
      <c r="P782" s="161"/>
    </row>
    <row r="783">
      <c r="P783" s="161"/>
    </row>
    <row r="784">
      <c r="P784" s="161"/>
    </row>
    <row r="785">
      <c r="P785" s="161"/>
    </row>
    <row r="786">
      <c r="P786" s="161"/>
    </row>
    <row r="787">
      <c r="P787" s="161"/>
    </row>
    <row r="788">
      <c r="P788" s="161"/>
    </row>
    <row r="789">
      <c r="P789" s="161"/>
    </row>
    <row r="790">
      <c r="P790" s="161"/>
    </row>
    <row r="791">
      <c r="P791" s="161"/>
    </row>
    <row r="792">
      <c r="P792" s="161"/>
    </row>
    <row r="793">
      <c r="P793" s="161"/>
    </row>
    <row r="794">
      <c r="P794" s="161"/>
    </row>
    <row r="795">
      <c r="P795" s="161"/>
    </row>
    <row r="796">
      <c r="P796" s="161"/>
    </row>
    <row r="797">
      <c r="P797" s="161"/>
    </row>
    <row r="798">
      <c r="P798" s="161"/>
    </row>
    <row r="799">
      <c r="P799" s="161"/>
    </row>
    <row r="800">
      <c r="P800" s="161"/>
    </row>
    <row r="801">
      <c r="P801" s="161"/>
    </row>
    <row r="802">
      <c r="P802" s="161"/>
    </row>
    <row r="803">
      <c r="P803" s="161"/>
    </row>
    <row r="804">
      <c r="P804" s="161"/>
    </row>
    <row r="805">
      <c r="P805" s="161"/>
    </row>
    <row r="806">
      <c r="P806" s="161"/>
    </row>
    <row r="807">
      <c r="P807" s="161"/>
    </row>
    <row r="808">
      <c r="P808" s="161"/>
    </row>
    <row r="809">
      <c r="P809" s="161"/>
    </row>
    <row r="810">
      <c r="P810" s="161"/>
    </row>
    <row r="811">
      <c r="P811" s="161"/>
    </row>
    <row r="812">
      <c r="P812" s="161"/>
    </row>
    <row r="813">
      <c r="P813" s="161"/>
    </row>
    <row r="814">
      <c r="P814" s="161"/>
    </row>
    <row r="815">
      <c r="P815" s="161"/>
    </row>
    <row r="816">
      <c r="P816" s="161"/>
    </row>
    <row r="817">
      <c r="P817" s="161"/>
    </row>
    <row r="818">
      <c r="P818" s="161"/>
    </row>
    <row r="819">
      <c r="P819" s="161"/>
    </row>
    <row r="820">
      <c r="P820" s="161"/>
    </row>
    <row r="821">
      <c r="P821" s="161"/>
    </row>
    <row r="822">
      <c r="P822" s="161"/>
    </row>
    <row r="823">
      <c r="P823" s="161"/>
    </row>
    <row r="824">
      <c r="P824" s="161"/>
    </row>
    <row r="825">
      <c r="P825" s="161"/>
    </row>
    <row r="826">
      <c r="P826" s="161"/>
    </row>
    <row r="827">
      <c r="P827" s="161"/>
    </row>
    <row r="828">
      <c r="P828" s="161"/>
    </row>
    <row r="829">
      <c r="P829" s="161"/>
    </row>
    <row r="830">
      <c r="P830" s="161"/>
    </row>
    <row r="831">
      <c r="P831" s="161"/>
    </row>
    <row r="832">
      <c r="P832" s="161"/>
    </row>
    <row r="833">
      <c r="P833" s="161"/>
    </row>
    <row r="834">
      <c r="P834" s="161"/>
    </row>
    <row r="835">
      <c r="P835" s="161"/>
    </row>
    <row r="836">
      <c r="P836" s="161"/>
    </row>
    <row r="837">
      <c r="P837" s="161"/>
    </row>
    <row r="838">
      <c r="P838" s="161"/>
    </row>
    <row r="839">
      <c r="P839" s="161"/>
    </row>
    <row r="840">
      <c r="P840" s="161"/>
    </row>
    <row r="841">
      <c r="P841" s="161"/>
    </row>
    <row r="842">
      <c r="P842" s="161"/>
    </row>
    <row r="843">
      <c r="P843" s="161"/>
    </row>
    <row r="844">
      <c r="P844" s="161"/>
    </row>
    <row r="845">
      <c r="P845" s="161"/>
    </row>
    <row r="846">
      <c r="P846" s="161"/>
    </row>
    <row r="847">
      <c r="P847" s="161"/>
    </row>
    <row r="848">
      <c r="P848" s="161"/>
    </row>
    <row r="849">
      <c r="P849" s="161"/>
    </row>
    <row r="850">
      <c r="P850" s="161"/>
    </row>
    <row r="851">
      <c r="P851" s="161"/>
    </row>
    <row r="852">
      <c r="P852" s="161"/>
    </row>
    <row r="853">
      <c r="P853" s="161"/>
    </row>
    <row r="854">
      <c r="P854" s="161"/>
    </row>
    <row r="855">
      <c r="P855" s="161"/>
    </row>
    <row r="856">
      <c r="P856" s="161"/>
    </row>
    <row r="857">
      <c r="P857" s="161"/>
    </row>
    <row r="858">
      <c r="P858" s="161"/>
    </row>
    <row r="859">
      <c r="P859" s="161"/>
    </row>
    <row r="860">
      <c r="P860" s="161"/>
    </row>
    <row r="861">
      <c r="P861" s="161"/>
    </row>
    <row r="862">
      <c r="P862" s="161"/>
    </row>
    <row r="863">
      <c r="P863" s="161"/>
    </row>
    <row r="864">
      <c r="P864" s="161"/>
    </row>
    <row r="865">
      <c r="P865" s="161"/>
    </row>
    <row r="866">
      <c r="P866" s="161"/>
    </row>
    <row r="867">
      <c r="P867" s="161"/>
    </row>
    <row r="868">
      <c r="P868" s="161"/>
    </row>
    <row r="869">
      <c r="P869" s="161"/>
    </row>
    <row r="870">
      <c r="P870" s="161"/>
    </row>
    <row r="871">
      <c r="P871" s="161"/>
    </row>
    <row r="872">
      <c r="P872" s="161"/>
    </row>
    <row r="873">
      <c r="P873" s="161"/>
    </row>
    <row r="874">
      <c r="P874" s="161"/>
    </row>
    <row r="875">
      <c r="P875" s="161"/>
    </row>
    <row r="876">
      <c r="P876" s="161"/>
    </row>
    <row r="877">
      <c r="P877" s="161"/>
    </row>
    <row r="878">
      <c r="P878" s="161"/>
    </row>
    <row r="879">
      <c r="P879" s="161"/>
    </row>
    <row r="880">
      <c r="P880" s="161"/>
    </row>
    <row r="881">
      <c r="P881" s="161"/>
    </row>
    <row r="882">
      <c r="P882" s="161"/>
    </row>
    <row r="883">
      <c r="P883" s="161"/>
    </row>
    <row r="884">
      <c r="P884" s="161"/>
    </row>
    <row r="885">
      <c r="P885" s="161"/>
    </row>
    <row r="886">
      <c r="P886" s="161"/>
    </row>
    <row r="887">
      <c r="P887" s="161"/>
    </row>
    <row r="888">
      <c r="P888" s="161"/>
    </row>
    <row r="889">
      <c r="P889" s="161"/>
    </row>
    <row r="890">
      <c r="P890" s="161"/>
    </row>
    <row r="891">
      <c r="P891" s="161"/>
    </row>
    <row r="892">
      <c r="P892" s="161"/>
    </row>
    <row r="893">
      <c r="P893" s="161"/>
    </row>
    <row r="894">
      <c r="P894" s="161"/>
    </row>
    <row r="895">
      <c r="P895" s="161"/>
    </row>
    <row r="896">
      <c r="P896" s="161"/>
    </row>
    <row r="897">
      <c r="P897" s="161"/>
    </row>
    <row r="898">
      <c r="P898" s="161"/>
    </row>
    <row r="899">
      <c r="P899" s="161"/>
    </row>
    <row r="900">
      <c r="P900" s="161"/>
    </row>
    <row r="901">
      <c r="P901" s="161"/>
    </row>
    <row r="902">
      <c r="P902" s="161"/>
    </row>
    <row r="903">
      <c r="P903" s="161"/>
    </row>
    <row r="904">
      <c r="P904" s="161"/>
    </row>
    <row r="905">
      <c r="P905" s="161"/>
    </row>
    <row r="906">
      <c r="P906" s="161"/>
    </row>
    <row r="907">
      <c r="P907" s="161"/>
    </row>
    <row r="908">
      <c r="P908" s="161"/>
    </row>
    <row r="909">
      <c r="P909" s="161"/>
    </row>
    <row r="910">
      <c r="P910" s="161"/>
    </row>
    <row r="911">
      <c r="P911" s="161"/>
    </row>
    <row r="912">
      <c r="P912" s="161"/>
    </row>
    <row r="913">
      <c r="P913" s="161"/>
    </row>
    <row r="914">
      <c r="P914" s="161"/>
    </row>
    <row r="915">
      <c r="P915" s="161"/>
    </row>
    <row r="916">
      <c r="P916" s="161"/>
    </row>
    <row r="917">
      <c r="P917" s="161"/>
    </row>
    <row r="918">
      <c r="P918" s="161"/>
    </row>
    <row r="919">
      <c r="P919" s="161"/>
    </row>
    <row r="920">
      <c r="P920" s="161"/>
    </row>
    <row r="921">
      <c r="P921" s="161"/>
    </row>
    <row r="922">
      <c r="P922" s="161"/>
    </row>
    <row r="923">
      <c r="P923" s="161"/>
    </row>
    <row r="924">
      <c r="P924" s="161"/>
    </row>
    <row r="925">
      <c r="P925" s="161"/>
    </row>
    <row r="926">
      <c r="P926" s="161"/>
    </row>
    <row r="927">
      <c r="P927" s="161"/>
    </row>
    <row r="928">
      <c r="P928" s="161"/>
    </row>
    <row r="929">
      <c r="P929" s="161"/>
    </row>
    <row r="930">
      <c r="P930" s="161"/>
    </row>
    <row r="931">
      <c r="P931" s="161"/>
    </row>
    <row r="932">
      <c r="P932" s="161"/>
    </row>
    <row r="933">
      <c r="P933" s="161"/>
    </row>
    <row r="934">
      <c r="P934" s="161"/>
    </row>
    <row r="935">
      <c r="P935" s="161"/>
    </row>
    <row r="936">
      <c r="P936" s="161"/>
    </row>
    <row r="937">
      <c r="P937" s="161"/>
    </row>
    <row r="938">
      <c r="P938" s="161"/>
    </row>
    <row r="939">
      <c r="P939" s="161"/>
    </row>
    <row r="940">
      <c r="P940" s="161"/>
    </row>
    <row r="941">
      <c r="P941" s="161"/>
    </row>
    <row r="942">
      <c r="P942" s="161"/>
    </row>
    <row r="943">
      <c r="P943" s="161"/>
    </row>
    <row r="944">
      <c r="P944" s="161"/>
    </row>
    <row r="945">
      <c r="P945" s="161"/>
    </row>
    <row r="946">
      <c r="P946" s="161"/>
    </row>
    <row r="947">
      <c r="P947" s="161"/>
    </row>
    <row r="948">
      <c r="P948" s="161"/>
    </row>
    <row r="949">
      <c r="P949" s="161"/>
    </row>
    <row r="950">
      <c r="P950" s="161"/>
    </row>
    <row r="951">
      <c r="P951" s="161"/>
    </row>
    <row r="952">
      <c r="P952" s="161"/>
    </row>
    <row r="953">
      <c r="P953" s="161"/>
    </row>
    <row r="954">
      <c r="P954" s="161"/>
    </row>
    <row r="955">
      <c r="P955" s="161"/>
    </row>
    <row r="956">
      <c r="P956" s="161"/>
    </row>
    <row r="957">
      <c r="P957" s="161"/>
    </row>
    <row r="958">
      <c r="P958" s="161"/>
    </row>
    <row r="959">
      <c r="P959" s="161"/>
    </row>
    <row r="960">
      <c r="P960" s="161"/>
    </row>
    <row r="961">
      <c r="P961" s="161"/>
    </row>
    <row r="962">
      <c r="P962" s="161"/>
    </row>
    <row r="963">
      <c r="P963" s="161"/>
    </row>
    <row r="964">
      <c r="P964" s="161"/>
    </row>
    <row r="965">
      <c r="P965" s="161"/>
    </row>
    <row r="966">
      <c r="P966" s="161"/>
    </row>
    <row r="967">
      <c r="P967" s="161"/>
    </row>
    <row r="968">
      <c r="P968" s="161"/>
    </row>
    <row r="969">
      <c r="P969" s="161"/>
    </row>
    <row r="970">
      <c r="P970" s="161"/>
    </row>
    <row r="971">
      <c r="P971" s="161"/>
    </row>
    <row r="972">
      <c r="P972" s="161"/>
    </row>
    <row r="973">
      <c r="P973" s="161"/>
    </row>
    <row r="974">
      <c r="P974" s="161"/>
    </row>
    <row r="975">
      <c r="P975" s="161"/>
    </row>
    <row r="976">
      <c r="P976" s="161"/>
    </row>
    <row r="977">
      <c r="P977" s="161"/>
    </row>
    <row r="978">
      <c r="P978" s="161"/>
    </row>
    <row r="979">
      <c r="P979" s="161"/>
    </row>
    <row r="980">
      <c r="P980" s="161"/>
    </row>
    <row r="981">
      <c r="P981" s="161"/>
    </row>
    <row r="982">
      <c r="P982" s="161"/>
    </row>
    <row r="983">
      <c r="P983" s="161"/>
    </row>
    <row r="984">
      <c r="P984" s="161"/>
    </row>
    <row r="985">
      <c r="P985" s="161"/>
    </row>
    <row r="986">
      <c r="P986" s="161"/>
    </row>
    <row r="987">
      <c r="P987" s="161"/>
    </row>
    <row r="988">
      <c r="P988" s="161"/>
    </row>
    <row r="989">
      <c r="P989" s="161"/>
    </row>
    <row r="990">
      <c r="P990" s="161"/>
    </row>
    <row r="991">
      <c r="P991" s="161"/>
    </row>
    <row r="992">
      <c r="P992" s="161"/>
    </row>
    <row r="993">
      <c r="P993" s="161"/>
    </row>
    <row r="994">
      <c r="P994" s="161"/>
    </row>
    <row r="995">
      <c r="P995" s="161"/>
    </row>
    <row r="996">
      <c r="P996" s="161"/>
    </row>
    <row r="997">
      <c r="P997" s="161"/>
    </row>
    <row r="998">
      <c r="P998" s="161"/>
    </row>
    <row r="999">
      <c r="P999" s="161"/>
    </row>
    <row r="1000">
      <c r="P1000" s="161"/>
    </row>
  </sheetData>
  <mergeCells count="4">
    <mergeCell ref="D6:M6"/>
    <mergeCell ref="D7:F7"/>
    <mergeCell ref="D9:D12"/>
    <mergeCell ref="F10:O11"/>
  </mergeCells>
  <conditionalFormatting sqref="G15:M99">
    <cfRule type="cellIs" dxfId="1" priority="1" operator="equal">
      <formula>"False"</formula>
    </cfRule>
  </conditionalFormatting>
  <conditionalFormatting sqref="G15:M99">
    <cfRule type="cellIs" dxfId="0" priority="2" operator="equal">
      <formula>"TRUE"</formula>
    </cfRule>
  </conditionalFormatting>
  <dataValidations>
    <dataValidation type="list" allowBlank="1" showErrorMessage="1" sqref="E15:E101">
      <formula1>Data!$A$2:$A$100</formula1>
    </dataValidation>
    <dataValidation type="list" allowBlank="1" showErrorMessage="1" sqref="F15:F101">
      <formula1>Data!$C$2:$C$8</formula1>
    </dataValidation>
  </dataValidations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3" width="2.63"/>
    <col customWidth="1" min="4" max="4" width="20.38"/>
    <col customWidth="1" min="5" max="5" width="11.38"/>
    <col customWidth="1" min="6" max="6" width="16.63"/>
    <col customWidth="1" min="7" max="13" width="8.63"/>
    <col customWidth="1" min="14" max="14" width="12.63"/>
    <col customWidth="1" min="15" max="15" width="15.13"/>
    <col customWidth="1" min="16" max="16" width="15.88"/>
    <col customWidth="1" min="17" max="17" width="2.63"/>
  </cols>
  <sheetData>
    <row r="1" ht="7.5" customHeight="1">
      <c r="A1" s="165" t="s">
        <v>347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5"/>
      <c r="O1" s="86"/>
      <c r="P1" s="155"/>
      <c r="Q1" s="86"/>
    </row>
    <row r="2" ht="15.0" customHeight="1">
      <c r="A2" s="87"/>
      <c r="B2" s="87"/>
      <c r="C2" s="87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7"/>
      <c r="P2" s="87"/>
      <c r="Q2" s="87"/>
    </row>
    <row r="3" ht="3.75" customHeight="1">
      <c r="A3" s="87"/>
      <c r="B3" s="87"/>
      <c r="C3" s="87"/>
      <c r="D3" s="89"/>
      <c r="E3" s="90"/>
      <c r="F3" s="90"/>
      <c r="G3" s="90"/>
      <c r="H3" s="90"/>
      <c r="I3" s="90"/>
      <c r="J3" s="90"/>
      <c r="K3" s="90"/>
      <c r="L3" s="90"/>
      <c r="M3" s="90"/>
      <c r="N3" s="90"/>
      <c r="O3" s="87"/>
      <c r="P3" s="87"/>
      <c r="Q3" s="87"/>
    </row>
    <row r="4" ht="15.0" customHeight="1">
      <c r="A4" s="87"/>
      <c r="B4" s="87"/>
      <c r="C4" s="87"/>
      <c r="D4" s="88"/>
      <c r="E4" s="88"/>
      <c r="F4" s="88"/>
      <c r="G4" s="91"/>
      <c r="H4" s="91"/>
      <c r="I4" s="91"/>
      <c r="J4" s="91"/>
      <c r="K4" s="91"/>
      <c r="L4" s="91"/>
      <c r="M4" s="91"/>
      <c r="N4" s="91"/>
      <c r="O4" s="87"/>
      <c r="P4" s="87"/>
      <c r="Q4" s="87"/>
    </row>
    <row r="5" ht="15.0" customHeight="1">
      <c r="A5" s="92"/>
      <c r="B5" s="92"/>
      <c r="C5" s="92"/>
      <c r="D5" s="88"/>
      <c r="E5" s="88"/>
      <c r="F5" s="88"/>
      <c r="G5" s="93"/>
      <c r="H5" s="93"/>
      <c r="I5" s="93"/>
      <c r="J5" s="93"/>
      <c r="K5" s="93"/>
      <c r="L5" s="93"/>
      <c r="M5" s="93"/>
      <c r="N5" s="94"/>
      <c r="O5" s="88"/>
      <c r="P5" s="92"/>
      <c r="Q5" s="92"/>
    </row>
    <row r="6" ht="15.0" customHeight="1">
      <c r="A6" s="92"/>
      <c r="B6" s="92"/>
      <c r="C6" s="92"/>
      <c r="D6" s="95" t="s">
        <v>358</v>
      </c>
      <c r="N6" s="94"/>
      <c r="O6" s="88"/>
      <c r="P6" s="92"/>
      <c r="Q6" s="92"/>
    </row>
    <row r="7" ht="15.0" customHeight="1">
      <c r="A7" s="92"/>
      <c r="B7" s="92"/>
      <c r="C7" s="92"/>
      <c r="D7" s="96"/>
      <c r="G7" s="97"/>
      <c r="H7" s="97"/>
      <c r="I7" s="97"/>
      <c r="J7" s="97"/>
      <c r="K7" s="97"/>
      <c r="L7" s="97"/>
      <c r="M7" s="97"/>
      <c r="N7" s="92"/>
      <c r="O7" s="92"/>
      <c r="P7" s="92"/>
      <c r="Q7" s="92"/>
    </row>
    <row r="8" ht="15.0" customHeight="1">
      <c r="A8" s="92"/>
      <c r="B8" s="92"/>
      <c r="C8" s="92"/>
      <c r="D8" s="97"/>
      <c r="E8" s="97"/>
      <c r="F8" s="97"/>
      <c r="G8" s="97"/>
      <c r="H8" s="97"/>
      <c r="I8" s="97"/>
      <c r="J8" s="97"/>
      <c r="K8" s="97"/>
      <c r="L8" s="97"/>
      <c r="M8" s="97"/>
      <c r="N8" s="92"/>
      <c r="O8" s="92"/>
      <c r="P8" s="92"/>
      <c r="Q8" s="92"/>
    </row>
    <row r="9" ht="15.0" customHeight="1">
      <c r="A9" s="92"/>
      <c r="B9" s="92"/>
      <c r="C9" s="98"/>
      <c r="D9" s="99" t="s">
        <v>35</v>
      </c>
      <c r="E9" s="100"/>
      <c r="F9" s="101"/>
      <c r="G9" s="101"/>
      <c r="H9" s="101"/>
      <c r="I9" s="101"/>
      <c r="J9" s="101"/>
      <c r="K9" s="101"/>
      <c r="L9" s="101"/>
      <c r="M9" s="101"/>
      <c r="N9" s="101"/>
      <c r="O9" s="100"/>
      <c r="P9" s="102"/>
      <c r="Q9" s="102"/>
    </row>
    <row r="10" ht="15.0" customHeight="1">
      <c r="A10" s="92"/>
      <c r="B10" s="92"/>
      <c r="C10" s="98"/>
      <c r="E10" s="100"/>
      <c r="F10" s="103" t="s">
        <v>36</v>
      </c>
      <c r="P10" s="102"/>
      <c r="Q10" s="102"/>
    </row>
    <row r="11" ht="15.0" customHeight="1">
      <c r="A11" s="92"/>
      <c r="B11" s="92"/>
      <c r="C11" s="98"/>
      <c r="E11" s="100"/>
      <c r="P11" s="102"/>
      <c r="Q11" s="102"/>
    </row>
    <row r="12" ht="15.0" customHeight="1">
      <c r="A12" s="88"/>
      <c r="B12" s="92"/>
      <c r="C12" s="92"/>
      <c r="E12" s="100"/>
      <c r="F12" s="100"/>
      <c r="G12" s="100"/>
      <c r="H12" s="100"/>
      <c r="I12" s="100"/>
      <c r="J12" s="100"/>
      <c r="K12" s="100"/>
      <c r="L12" s="100"/>
      <c r="M12" s="100"/>
      <c r="N12" s="100"/>
      <c r="O12" s="100"/>
      <c r="P12" s="102"/>
      <c r="Q12" s="102"/>
    </row>
    <row r="13" ht="15.0" customHeight="1">
      <c r="A13" s="88"/>
      <c r="B13" s="104"/>
      <c r="C13" s="104"/>
      <c r="D13" s="104"/>
      <c r="E13" s="104"/>
      <c r="F13" s="105"/>
      <c r="G13" s="105"/>
      <c r="H13" s="105"/>
      <c r="I13" s="105"/>
      <c r="J13" s="105"/>
      <c r="K13" s="105"/>
      <c r="L13" s="105"/>
      <c r="M13" s="105"/>
      <c r="N13" s="104"/>
      <c r="O13" s="104"/>
      <c r="P13" s="104"/>
      <c r="Q13" s="104"/>
    </row>
    <row r="14" ht="15.0" customHeight="1">
      <c r="A14" s="106"/>
      <c r="B14" s="106"/>
      <c r="C14" s="106"/>
      <c r="D14" s="107" t="s">
        <v>37</v>
      </c>
      <c r="E14" s="108" t="s">
        <v>38</v>
      </c>
      <c r="F14" s="109" t="s">
        <v>39</v>
      </c>
      <c r="G14" s="110">
        <v>44676.0</v>
      </c>
      <c r="H14" s="110">
        <v>44677.0</v>
      </c>
      <c r="I14" s="110">
        <v>44678.0</v>
      </c>
      <c r="J14" s="110">
        <v>44679.0</v>
      </c>
      <c r="K14" s="110">
        <v>44680.0</v>
      </c>
      <c r="L14" s="110">
        <v>44681.0</v>
      </c>
      <c r="M14" s="110">
        <v>44682.0</v>
      </c>
      <c r="N14" s="111" t="s">
        <v>40</v>
      </c>
      <c r="O14" s="111" t="s">
        <v>41</v>
      </c>
      <c r="P14" s="156" t="s">
        <v>281</v>
      </c>
      <c r="Q14" s="88"/>
    </row>
    <row r="15" ht="15.0" customHeight="1">
      <c r="A15" s="112"/>
      <c r="B15" s="112"/>
      <c r="C15" s="112"/>
      <c r="D15" s="129" t="s">
        <v>271</v>
      </c>
      <c r="E15" s="114" t="str">
        <f>VLOOKUP(D15,Data!H:I,2,0)</f>
        <v>Adıyaman</v>
      </c>
      <c r="F15" s="115" t="str">
        <f>VLOOKUP(D15,Data!H:J,3,0)</f>
        <v>Nazım Öztel</v>
      </c>
      <c r="G15" s="116" t="b">
        <v>0</v>
      </c>
      <c r="H15" s="116" t="b">
        <v>0</v>
      </c>
      <c r="I15" s="116" t="b">
        <v>0</v>
      </c>
      <c r="J15" s="116" t="b">
        <v>0</v>
      </c>
      <c r="K15" s="116" t="b">
        <v>0</v>
      </c>
      <c r="L15" s="116" t="b">
        <v>0</v>
      </c>
      <c r="M15" s="116" t="b">
        <v>0</v>
      </c>
      <c r="N15" s="117">
        <f t="shared" ref="N15:N36" si="1">COUNTIF(G15:M15,"TRUE")</f>
        <v>0</v>
      </c>
      <c r="O15" s="117">
        <f t="shared" ref="O15:O36" si="2">N15*4</f>
        <v>0</v>
      </c>
      <c r="P15" s="157" t="s">
        <v>314</v>
      </c>
      <c r="Q15" s="88"/>
    </row>
    <row r="16" ht="15.0" customHeight="1">
      <c r="A16" s="112"/>
      <c r="B16" s="112"/>
      <c r="C16" s="112"/>
      <c r="D16" s="129" t="s">
        <v>279</v>
      </c>
      <c r="E16" s="114" t="str">
        <f>VLOOKUP(D16,Data!H:I,2,0)</f>
        <v>Amasya</v>
      </c>
      <c r="F16" s="115" t="str">
        <f>VLOOKUP(D16,Data!H:J,3,0)</f>
        <v>Nazım Öztel</v>
      </c>
      <c r="G16" s="116" t="b">
        <v>0</v>
      </c>
      <c r="H16" s="116" t="b">
        <v>0</v>
      </c>
      <c r="I16" s="116" t="b">
        <v>0</v>
      </c>
      <c r="J16" s="116" t="b">
        <v>0</v>
      </c>
      <c r="K16" s="116" t="b">
        <v>0</v>
      </c>
      <c r="L16" s="116" t="b">
        <v>0</v>
      </c>
      <c r="M16" s="116" t="b">
        <v>0</v>
      </c>
      <c r="N16" s="117">
        <f t="shared" si="1"/>
        <v>0</v>
      </c>
      <c r="O16" s="117">
        <f t="shared" si="2"/>
        <v>0</v>
      </c>
      <c r="P16" s="157" t="s">
        <v>314</v>
      </c>
      <c r="Q16" s="88"/>
    </row>
    <row r="17" ht="15.0" customHeight="1">
      <c r="A17" s="112"/>
      <c r="B17" s="112"/>
      <c r="C17" s="112"/>
      <c r="D17" s="129" t="s">
        <v>287</v>
      </c>
      <c r="E17" s="114" t="str">
        <f>VLOOKUP(D17,Data!H:I,2,0)</f>
        <v>Ankara</v>
      </c>
      <c r="F17" s="115" t="str">
        <f>VLOOKUP(D17,Data!H:J,3,0)</f>
        <v>Nazım Öztel</v>
      </c>
      <c r="G17" s="116" t="b">
        <v>0</v>
      </c>
      <c r="H17" s="116" t="b">
        <v>0</v>
      </c>
      <c r="I17" s="116" t="b">
        <v>1</v>
      </c>
      <c r="J17" s="116" t="b">
        <v>1</v>
      </c>
      <c r="K17" s="116" t="b">
        <v>1</v>
      </c>
      <c r="L17" s="116" t="b">
        <v>0</v>
      </c>
      <c r="M17" s="116" t="b">
        <v>0</v>
      </c>
      <c r="N17" s="117">
        <f t="shared" si="1"/>
        <v>3</v>
      </c>
      <c r="O17" s="117">
        <f t="shared" si="2"/>
        <v>12</v>
      </c>
      <c r="P17" s="157" t="s">
        <v>309</v>
      </c>
      <c r="Q17" s="88"/>
    </row>
    <row r="18" ht="15.0" customHeight="1">
      <c r="A18" s="112"/>
      <c r="B18" s="112"/>
      <c r="C18" s="112"/>
      <c r="D18" s="129" t="s">
        <v>261</v>
      </c>
      <c r="E18" s="114" t="str">
        <f>VLOOKUP(D18,Data!H:I,2,0)</f>
        <v>Ankara</v>
      </c>
      <c r="F18" s="115" t="str">
        <f>VLOOKUP(D18,Data!H:J,3,0)</f>
        <v>Nazım Öztel</v>
      </c>
      <c r="G18" s="116" t="b">
        <v>0</v>
      </c>
      <c r="H18" s="116" t="b">
        <v>0</v>
      </c>
      <c r="I18" s="116" t="b">
        <v>0</v>
      </c>
      <c r="J18" s="116" t="b">
        <v>0</v>
      </c>
      <c r="K18" s="116" t="b">
        <v>0</v>
      </c>
      <c r="L18" s="116" t="b">
        <v>0</v>
      </c>
      <c r="M18" s="116" t="b">
        <v>0</v>
      </c>
      <c r="N18" s="117">
        <f t="shared" si="1"/>
        <v>0</v>
      </c>
      <c r="O18" s="117">
        <f t="shared" si="2"/>
        <v>0</v>
      </c>
      <c r="P18" s="157" t="s">
        <v>329</v>
      </c>
      <c r="Q18" s="88"/>
    </row>
    <row r="19" ht="15.0" customHeight="1">
      <c r="A19" s="106"/>
      <c r="B19" s="106"/>
      <c r="C19" s="106"/>
      <c r="D19" s="129" t="s">
        <v>164</v>
      </c>
      <c r="E19" s="114" t="str">
        <f>VLOOKUP(D19,Data!H:I,2,0)</f>
        <v>Antalya</v>
      </c>
      <c r="F19" s="115" t="str">
        <f>VLOOKUP(D19,Data!H:J,3,0)</f>
        <v>Nazım Öztel</v>
      </c>
      <c r="G19" s="116" t="b">
        <v>1</v>
      </c>
      <c r="H19" s="116" t="b">
        <v>0</v>
      </c>
      <c r="I19" s="116" t="b">
        <v>1</v>
      </c>
      <c r="J19" s="116" t="b">
        <v>0</v>
      </c>
      <c r="K19" s="116" t="b">
        <v>1</v>
      </c>
      <c r="L19" s="116" t="b">
        <v>0</v>
      </c>
      <c r="M19" s="116" t="b">
        <v>0</v>
      </c>
      <c r="N19" s="117">
        <f t="shared" si="1"/>
        <v>3</v>
      </c>
      <c r="O19" s="117">
        <f t="shared" si="2"/>
        <v>12</v>
      </c>
      <c r="P19" s="157"/>
      <c r="Q19" s="106"/>
    </row>
    <row r="20" ht="15.0" customHeight="1">
      <c r="A20" s="106"/>
      <c r="B20" s="106"/>
      <c r="C20" s="106"/>
      <c r="D20" s="162" t="s">
        <v>197</v>
      </c>
      <c r="E20" s="114" t="s">
        <v>262</v>
      </c>
      <c r="F20" s="115" t="s">
        <v>61</v>
      </c>
      <c r="G20" s="116" t="b">
        <v>0</v>
      </c>
      <c r="H20" s="116" t="b">
        <v>0</v>
      </c>
      <c r="I20" s="116" t="b">
        <v>0</v>
      </c>
      <c r="J20" s="116" t="b">
        <v>0</v>
      </c>
      <c r="K20" s="116" t="b">
        <v>0</v>
      </c>
      <c r="L20" s="116" t="b">
        <v>0</v>
      </c>
      <c r="M20" s="116" t="b">
        <v>0</v>
      </c>
      <c r="N20" s="117">
        <f t="shared" si="1"/>
        <v>0</v>
      </c>
      <c r="O20" s="117">
        <f t="shared" si="2"/>
        <v>0</v>
      </c>
      <c r="P20" s="157" t="s">
        <v>331</v>
      </c>
      <c r="Q20" s="106"/>
    </row>
    <row r="21" ht="15.0" customHeight="1">
      <c r="A21" s="112"/>
      <c r="B21" s="112"/>
      <c r="C21" s="112"/>
      <c r="D21" s="129" t="s">
        <v>241</v>
      </c>
      <c r="E21" s="114" t="s">
        <v>184</v>
      </c>
      <c r="F21" s="115" t="s">
        <v>61</v>
      </c>
      <c r="G21" s="116" t="b">
        <v>0</v>
      </c>
      <c r="H21" s="116" t="b">
        <v>0</v>
      </c>
      <c r="I21" s="116" t="b">
        <v>0</v>
      </c>
      <c r="J21" s="116" t="b">
        <v>0</v>
      </c>
      <c r="K21" s="116" t="b">
        <v>0</v>
      </c>
      <c r="L21" s="116" t="b">
        <v>0</v>
      </c>
      <c r="M21" s="116" t="b">
        <v>0</v>
      </c>
      <c r="N21" s="117">
        <f t="shared" si="1"/>
        <v>0</v>
      </c>
      <c r="O21" s="117">
        <f t="shared" si="2"/>
        <v>0</v>
      </c>
      <c r="P21" s="158" t="s">
        <v>359</v>
      </c>
      <c r="Q21" s="112"/>
    </row>
    <row r="22" ht="15.0" customHeight="1">
      <c r="A22" s="112"/>
      <c r="B22" s="112"/>
      <c r="C22" s="112"/>
      <c r="D22" s="129" t="s">
        <v>333</v>
      </c>
      <c r="E22" s="114" t="s">
        <v>357</v>
      </c>
      <c r="F22" s="115" t="s">
        <v>61</v>
      </c>
      <c r="G22" s="116" t="b">
        <v>0</v>
      </c>
      <c r="H22" s="116" t="b">
        <v>0</v>
      </c>
      <c r="I22" s="116" t="b">
        <v>0</v>
      </c>
      <c r="J22" s="116" t="b">
        <v>0</v>
      </c>
      <c r="K22" s="116" t="b">
        <v>0</v>
      </c>
      <c r="L22" s="116" t="b">
        <v>0</v>
      </c>
      <c r="M22" s="116" t="b">
        <v>0</v>
      </c>
      <c r="N22" s="117">
        <f t="shared" si="1"/>
        <v>0</v>
      </c>
      <c r="O22" s="117">
        <f t="shared" si="2"/>
        <v>0</v>
      </c>
      <c r="P22" s="157" t="s">
        <v>360</v>
      </c>
      <c r="Q22" s="112"/>
    </row>
    <row r="23" ht="15.0" customHeight="1">
      <c r="A23" s="112"/>
      <c r="B23" s="112"/>
      <c r="C23" s="112"/>
      <c r="D23" s="129" t="s">
        <v>53</v>
      </c>
      <c r="E23" s="114" t="str">
        <f>VLOOKUP(D23,Data!H:I,2,0)</f>
        <v>Bursa</v>
      </c>
      <c r="F23" s="115" t="str">
        <f>VLOOKUP(D23,Data!H:J,3,0)</f>
        <v>Freelance</v>
      </c>
      <c r="G23" s="116" t="b">
        <v>0</v>
      </c>
      <c r="H23" s="116" t="b">
        <v>0</v>
      </c>
      <c r="I23" s="116" t="b">
        <v>0</v>
      </c>
      <c r="J23" s="116" t="b">
        <v>0</v>
      </c>
      <c r="K23" s="116" t="b">
        <v>0</v>
      </c>
      <c r="L23" s="116" t="b">
        <v>0</v>
      </c>
      <c r="M23" s="116" t="b">
        <v>0</v>
      </c>
      <c r="N23" s="117">
        <f t="shared" si="1"/>
        <v>0</v>
      </c>
      <c r="O23" s="117">
        <f t="shared" si="2"/>
        <v>0</v>
      </c>
      <c r="P23" s="157" t="s">
        <v>314</v>
      </c>
      <c r="Q23" s="112"/>
    </row>
    <row r="24" ht="15.0" customHeight="1">
      <c r="A24" s="112"/>
      <c r="B24" s="112"/>
      <c r="C24" s="112"/>
      <c r="D24" s="129" t="s">
        <v>247</v>
      </c>
      <c r="E24" s="114" t="str">
        <f>VLOOKUP(D24,Data!H:I,2,0)</f>
        <v>Çanakkale</v>
      </c>
      <c r="F24" s="115" t="str">
        <f>VLOOKUP(D24,Data!H:J,3,0)</f>
        <v>Nazım Öztel</v>
      </c>
      <c r="G24" s="116" t="b">
        <v>0</v>
      </c>
      <c r="H24" s="116" t="b">
        <v>0</v>
      </c>
      <c r="I24" s="116" t="b">
        <v>0</v>
      </c>
      <c r="J24" s="116" t="b">
        <v>0</v>
      </c>
      <c r="K24" s="116" t="b">
        <v>0</v>
      </c>
      <c r="L24" s="116" t="b">
        <v>0</v>
      </c>
      <c r="M24" s="116" t="b">
        <v>0</v>
      </c>
      <c r="N24" s="117">
        <f t="shared" si="1"/>
        <v>0</v>
      </c>
      <c r="O24" s="117">
        <f t="shared" si="2"/>
        <v>0</v>
      </c>
      <c r="P24" s="157" t="s">
        <v>309</v>
      </c>
      <c r="Q24" s="112"/>
    </row>
    <row r="25" ht="15.0" customHeight="1">
      <c r="A25" s="112"/>
      <c r="B25" s="112"/>
      <c r="C25" s="112"/>
      <c r="D25" s="129" t="s">
        <v>221</v>
      </c>
      <c r="E25" s="114" t="str">
        <f>VLOOKUP(D25,Data!H:I,2,0)</f>
        <v>Çorum</v>
      </c>
      <c r="F25" s="115" t="str">
        <f>VLOOKUP(D25,Data!H:J,3,0)</f>
        <v>Nazım Öztel</v>
      </c>
      <c r="G25" s="116" t="b">
        <v>0</v>
      </c>
      <c r="H25" s="116" t="b">
        <v>0</v>
      </c>
      <c r="I25" s="116" t="b">
        <v>0</v>
      </c>
      <c r="J25" s="116" t="b">
        <v>0</v>
      </c>
      <c r="K25" s="116" t="b">
        <v>0</v>
      </c>
      <c r="L25" s="116" t="b">
        <v>0</v>
      </c>
      <c r="M25" s="116" t="b">
        <v>0</v>
      </c>
      <c r="N25" s="117">
        <f t="shared" si="1"/>
        <v>0</v>
      </c>
      <c r="O25" s="117">
        <f t="shared" si="2"/>
        <v>0</v>
      </c>
      <c r="P25" s="157" t="s">
        <v>314</v>
      </c>
      <c r="Q25" s="112"/>
    </row>
    <row r="26" ht="15.0" customHeight="1">
      <c r="A26" s="112"/>
      <c r="B26" s="112"/>
      <c r="C26" s="112"/>
      <c r="D26" s="129" t="s">
        <v>264</v>
      </c>
      <c r="E26" s="114" t="str">
        <f>VLOOKUP(D26,Data!H:I,2,0)</f>
        <v>Denizli</v>
      </c>
      <c r="F26" s="115" t="str">
        <f>VLOOKUP(D26,Data!H:J,3,0)</f>
        <v>Nazım Öztel</v>
      </c>
      <c r="G26" s="116" t="b">
        <v>0</v>
      </c>
      <c r="H26" s="116" t="b">
        <v>0</v>
      </c>
      <c r="I26" s="116" t="b">
        <v>0</v>
      </c>
      <c r="J26" s="116" t="b">
        <v>0</v>
      </c>
      <c r="K26" s="116" t="b">
        <v>0</v>
      </c>
      <c r="L26" s="116" t="b">
        <v>0</v>
      </c>
      <c r="M26" s="116" t="b">
        <v>0</v>
      </c>
      <c r="N26" s="117">
        <f t="shared" si="1"/>
        <v>0</v>
      </c>
      <c r="O26" s="117">
        <f t="shared" si="2"/>
        <v>0</v>
      </c>
      <c r="P26" s="157" t="s">
        <v>361</v>
      </c>
      <c r="Q26" s="112"/>
    </row>
    <row r="27" ht="15.0" customHeight="1">
      <c r="A27" s="112"/>
      <c r="B27" s="112"/>
      <c r="C27" s="112"/>
      <c r="D27" s="132" t="s">
        <v>54</v>
      </c>
      <c r="E27" s="114" t="str">
        <f>VLOOKUP(D27,Data!H:I,2,0)</f>
        <v>Diyarbakır</v>
      </c>
      <c r="F27" s="115" t="str">
        <f>VLOOKUP(D27,Data!H:J,3,0)</f>
        <v>Nazım Öztel</v>
      </c>
      <c r="G27" s="116" t="b">
        <v>0</v>
      </c>
      <c r="H27" s="116" t="b">
        <v>0</v>
      </c>
      <c r="I27" s="116" t="b">
        <v>0</v>
      </c>
      <c r="J27" s="116" t="b">
        <v>0</v>
      </c>
      <c r="K27" s="116" t="b">
        <v>0</v>
      </c>
      <c r="L27" s="116" t="b">
        <v>0</v>
      </c>
      <c r="M27" s="116" t="b">
        <v>0</v>
      </c>
      <c r="N27" s="117">
        <f t="shared" si="1"/>
        <v>0</v>
      </c>
      <c r="O27" s="117">
        <f t="shared" si="2"/>
        <v>0</v>
      </c>
      <c r="P27" s="157" t="s">
        <v>299</v>
      </c>
      <c r="Q27" s="112"/>
    </row>
    <row r="28" ht="15.0" customHeight="1">
      <c r="A28" s="112"/>
      <c r="B28" s="112"/>
      <c r="C28" s="112"/>
      <c r="D28" s="129" t="s">
        <v>173</v>
      </c>
      <c r="E28" s="114" t="str">
        <f>VLOOKUP(D28,Data!H:I,2,0)</f>
        <v>Düzce</v>
      </c>
      <c r="F28" s="115" t="str">
        <f>VLOOKUP(D28,Data!H:J,3,0)</f>
        <v>Nazım Öztel</v>
      </c>
      <c r="G28" s="116" t="b">
        <v>0</v>
      </c>
      <c r="H28" s="116" t="b">
        <v>0</v>
      </c>
      <c r="I28" s="116" t="b">
        <v>0</v>
      </c>
      <c r="J28" s="116" t="b">
        <v>0</v>
      </c>
      <c r="K28" s="116" t="b">
        <v>0</v>
      </c>
      <c r="L28" s="116" t="b">
        <v>0</v>
      </c>
      <c r="M28" s="116" t="b">
        <v>0</v>
      </c>
      <c r="N28" s="117">
        <f t="shared" si="1"/>
        <v>0</v>
      </c>
      <c r="O28" s="117">
        <f t="shared" si="2"/>
        <v>0</v>
      </c>
      <c r="P28" s="157" t="s">
        <v>314</v>
      </c>
      <c r="Q28" s="112"/>
    </row>
    <row r="29" ht="15.0" customHeight="1">
      <c r="A29" s="112"/>
      <c r="B29" s="112"/>
      <c r="C29" s="112"/>
      <c r="D29" s="129" t="s">
        <v>153</v>
      </c>
      <c r="E29" s="114" t="str">
        <f>VLOOKUP(D29,Data!H:I,2,0)</f>
        <v>Edirne</v>
      </c>
      <c r="F29" s="115" t="str">
        <f>VLOOKUP(D29,Data!H:J,3,0)</f>
        <v>Nazım Öztel</v>
      </c>
      <c r="G29" s="116" t="b">
        <v>0</v>
      </c>
      <c r="H29" s="116" t="b">
        <v>0</v>
      </c>
      <c r="I29" s="116" t="b">
        <v>0</v>
      </c>
      <c r="J29" s="116" t="b">
        <v>0</v>
      </c>
      <c r="K29" s="116" t="b">
        <v>0</v>
      </c>
      <c r="L29" s="116" t="b">
        <v>0</v>
      </c>
      <c r="M29" s="116" t="b">
        <v>0</v>
      </c>
      <c r="N29" s="117">
        <f t="shared" si="1"/>
        <v>0</v>
      </c>
      <c r="O29" s="117">
        <f t="shared" si="2"/>
        <v>0</v>
      </c>
      <c r="P29" s="157" t="s">
        <v>314</v>
      </c>
      <c r="Q29" s="112"/>
    </row>
    <row r="30" ht="15.0" customHeight="1">
      <c r="A30" s="112"/>
      <c r="B30" s="112"/>
      <c r="C30" s="112"/>
      <c r="D30" s="129" t="s">
        <v>199</v>
      </c>
      <c r="E30" s="114" t="str">
        <f>VLOOKUP(D30,Data!H:I,2,0)</f>
        <v>Elazığ</v>
      </c>
      <c r="F30" s="115" t="str">
        <f>VLOOKUP(D30,Data!H:J,3,0)</f>
        <v>Nazım Öztel</v>
      </c>
      <c r="G30" s="116" t="b">
        <v>0</v>
      </c>
      <c r="H30" s="116" t="b">
        <v>0</v>
      </c>
      <c r="I30" s="116" t="b">
        <v>0</v>
      </c>
      <c r="J30" s="116" t="b">
        <v>0</v>
      </c>
      <c r="K30" s="116" t="b">
        <v>0</v>
      </c>
      <c r="L30" s="116" t="b">
        <v>0</v>
      </c>
      <c r="M30" s="116" t="b">
        <v>0</v>
      </c>
      <c r="N30" s="117">
        <f t="shared" si="1"/>
        <v>0</v>
      </c>
      <c r="O30" s="117">
        <f t="shared" si="2"/>
        <v>0</v>
      </c>
      <c r="P30" s="157" t="s">
        <v>314</v>
      </c>
      <c r="Q30" s="112"/>
    </row>
    <row r="31" ht="15.0" customHeight="1">
      <c r="A31" s="112"/>
      <c r="B31" s="112"/>
      <c r="C31" s="112"/>
      <c r="D31" s="132" t="s">
        <v>55</v>
      </c>
      <c r="E31" s="114" t="str">
        <f>VLOOKUP(D31,Data!H:I,2,0)</f>
        <v>Erzurum</v>
      </c>
      <c r="F31" s="115" t="str">
        <f>VLOOKUP(D31,Data!H:J,3,0)</f>
        <v>Nazım Öztel</v>
      </c>
      <c r="G31" s="116" t="b">
        <v>0</v>
      </c>
      <c r="H31" s="116" t="b">
        <v>0</v>
      </c>
      <c r="I31" s="116" t="b">
        <v>0</v>
      </c>
      <c r="J31" s="116" t="b">
        <v>0</v>
      </c>
      <c r="K31" s="116" t="b">
        <v>0</v>
      </c>
      <c r="L31" s="116" t="b">
        <v>0</v>
      </c>
      <c r="M31" s="116" t="b">
        <v>0</v>
      </c>
      <c r="N31" s="117">
        <f t="shared" si="1"/>
        <v>0</v>
      </c>
      <c r="O31" s="117">
        <f t="shared" si="2"/>
        <v>0</v>
      </c>
      <c r="P31" s="157" t="s">
        <v>314</v>
      </c>
      <c r="Q31" s="112"/>
    </row>
    <row r="32" ht="15.0" customHeight="1">
      <c r="A32" s="112"/>
      <c r="B32" s="112"/>
      <c r="C32" s="112"/>
      <c r="D32" s="129" t="s">
        <v>165</v>
      </c>
      <c r="E32" s="114" t="str">
        <f>VLOOKUP(D32,Data!H:I,2,0)</f>
        <v>Eskişehir</v>
      </c>
      <c r="F32" s="115" t="str">
        <f>VLOOKUP(D32,Data!H:J,3,0)</f>
        <v>Nazım Öztel</v>
      </c>
      <c r="G32" s="116" t="b">
        <v>0</v>
      </c>
      <c r="H32" s="116" t="b">
        <v>0</v>
      </c>
      <c r="I32" s="116" t="b">
        <v>0</v>
      </c>
      <c r="J32" s="116" t="b">
        <v>0</v>
      </c>
      <c r="K32" s="116" t="b">
        <v>0</v>
      </c>
      <c r="L32" s="116" t="b">
        <v>0</v>
      </c>
      <c r="M32" s="116" t="b">
        <v>0</v>
      </c>
      <c r="N32" s="117">
        <f t="shared" si="1"/>
        <v>0</v>
      </c>
      <c r="O32" s="117">
        <f t="shared" si="2"/>
        <v>0</v>
      </c>
      <c r="P32" s="157" t="s">
        <v>361</v>
      </c>
      <c r="Q32" s="112"/>
    </row>
    <row r="33" ht="15.0" customHeight="1">
      <c r="A33" s="112"/>
      <c r="B33" s="112"/>
      <c r="C33" s="112"/>
      <c r="D33" s="129" t="s">
        <v>273</v>
      </c>
      <c r="E33" s="114" t="str">
        <f>VLOOKUP(D33,Data!H:I,2,0)</f>
        <v>Gaziantep</v>
      </c>
      <c r="F33" s="115" t="str">
        <f>VLOOKUP(D33,Data!H:J,3,0)</f>
        <v>Nazım Öztel</v>
      </c>
      <c r="G33" s="116" t="b">
        <v>0</v>
      </c>
      <c r="H33" s="116" t="b">
        <v>0</v>
      </c>
      <c r="I33" s="116" t="b">
        <v>0</v>
      </c>
      <c r="J33" s="116" t="b">
        <v>0</v>
      </c>
      <c r="K33" s="116" t="b">
        <v>0</v>
      </c>
      <c r="L33" s="116" t="b">
        <v>0</v>
      </c>
      <c r="M33" s="116" t="b">
        <v>0</v>
      </c>
      <c r="N33" s="117">
        <f t="shared" si="1"/>
        <v>0</v>
      </c>
      <c r="O33" s="117">
        <f t="shared" si="2"/>
        <v>0</v>
      </c>
      <c r="P33" s="157" t="s">
        <v>314</v>
      </c>
      <c r="Q33" s="112"/>
    </row>
    <row r="34" ht="15.0" customHeight="1">
      <c r="A34" s="112"/>
      <c r="B34" s="112"/>
      <c r="C34" s="112"/>
      <c r="D34" s="129" t="s">
        <v>248</v>
      </c>
      <c r="E34" s="114" t="str">
        <f>VLOOKUP(D34,Data!H:I,2,0)</f>
        <v>Hatay</v>
      </c>
      <c r="F34" s="115" t="str">
        <f>VLOOKUP(D34,Data!H:J,3,0)</f>
        <v>Nazım Öztel</v>
      </c>
      <c r="G34" s="116" t="b">
        <v>0</v>
      </c>
      <c r="H34" s="116" t="b">
        <v>0</v>
      </c>
      <c r="I34" s="116" t="b">
        <v>0</v>
      </c>
      <c r="J34" s="116" t="b">
        <v>0</v>
      </c>
      <c r="K34" s="116" t="b">
        <v>0</v>
      </c>
      <c r="L34" s="116" t="b">
        <v>0</v>
      </c>
      <c r="M34" s="116" t="b">
        <v>0</v>
      </c>
      <c r="N34" s="117">
        <f t="shared" si="1"/>
        <v>0</v>
      </c>
      <c r="O34" s="117">
        <f t="shared" si="2"/>
        <v>0</v>
      </c>
      <c r="P34" s="157" t="s">
        <v>314</v>
      </c>
      <c r="Q34" s="112"/>
    </row>
    <row r="35" ht="15.0" customHeight="1">
      <c r="A35" s="112"/>
      <c r="B35" s="112"/>
      <c r="C35" s="112"/>
      <c r="D35" s="129" t="s">
        <v>58</v>
      </c>
      <c r="E35" s="114" t="str">
        <f>VLOOKUP(D35,Data!H:I,2,0)</f>
        <v>İstanbul</v>
      </c>
      <c r="F35" s="115" t="str">
        <f>VLOOKUP(D35,Data!H:J,3,0)</f>
        <v>Freelance</v>
      </c>
      <c r="G35" s="116" t="b">
        <v>1</v>
      </c>
      <c r="H35" s="116" t="b">
        <v>1</v>
      </c>
      <c r="I35" s="116" t="b">
        <v>1</v>
      </c>
      <c r="J35" s="116" t="b">
        <v>1</v>
      </c>
      <c r="K35" s="116" t="b">
        <v>1</v>
      </c>
      <c r="L35" s="116" t="b">
        <v>0</v>
      </c>
      <c r="M35" s="116" t="b">
        <v>0</v>
      </c>
      <c r="N35" s="117">
        <f t="shared" si="1"/>
        <v>5</v>
      </c>
      <c r="O35" s="117">
        <f t="shared" si="2"/>
        <v>20</v>
      </c>
      <c r="P35" s="157"/>
      <c r="Q35" s="112"/>
    </row>
    <row r="36" ht="15.0" customHeight="1">
      <c r="A36" s="121"/>
      <c r="B36" s="121"/>
      <c r="C36" s="121"/>
      <c r="D36" s="129" t="s">
        <v>335</v>
      </c>
      <c r="E36" s="114" t="s">
        <v>237</v>
      </c>
      <c r="F36" s="115" t="s">
        <v>64</v>
      </c>
      <c r="G36" s="116" t="b">
        <v>0</v>
      </c>
      <c r="H36" s="116" t="b">
        <v>1</v>
      </c>
      <c r="I36" s="116" t="b">
        <v>1</v>
      </c>
      <c r="J36" s="116" t="b">
        <v>0</v>
      </c>
      <c r="K36" s="116" t="b">
        <v>0</v>
      </c>
      <c r="L36" s="116" t="b">
        <v>0</v>
      </c>
      <c r="M36" s="116" t="b">
        <v>0</v>
      </c>
      <c r="N36" s="117">
        <f t="shared" si="1"/>
        <v>2</v>
      </c>
      <c r="O36" s="117">
        <f t="shared" si="2"/>
        <v>8</v>
      </c>
      <c r="P36" s="157"/>
      <c r="Q36" s="121"/>
    </row>
    <row r="37" ht="15.0" customHeight="1">
      <c r="A37" s="112"/>
      <c r="B37" s="112"/>
      <c r="C37" s="112"/>
      <c r="D37" s="129" t="s">
        <v>336</v>
      </c>
      <c r="E37" s="114" t="s">
        <v>237</v>
      </c>
      <c r="F37" s="115" t="s">
        <v>64</v>
      </c>
      <c r="G37" s="116" t="b">
        <v>0</v>
      </c>
      <c r="H37" s="116" t="b">
        <v>0</v>
      </c>
      <c r="I37" s="116" t="b">
        <v>0</v>
      </c>
      <c r="J37" s="116" t="b">
        <v>0</v>
      </c>
      <c r="K37" s="116" t="b">
        <v>0</v>
      </c>
      <c r="L37" s="116" t="b">
        <v>0</v>
      </c>
      <c r="M37" s="116" t="b">
        <v>0</v>
      </c>
      <c r="N37" s="117"/>
      <c r="O37" s="117"/>
      <c r="P37" s="157" t="s">
        <v>309</v>
      </c>
      <c r="Q37" s="112"/>
    </row>
    <row r="38" ht="15.0" customHeight="1">
      <c r="A38" s="112"/>
      <c r="B38" s="112"/>
      <c r="C38" s="112"/>
      <c r="D38" s="129" t="s">
        <v>302</v>
      </c>
      <c r="E38" s="114" t="s">
        <v>237</v>
      </c>
      <c r="F38" s="115" t="s">
        <v>64</v>
      </c>
      <c r="G38" s="116" t="b">
        <v>0</v>
      </c>
      <c r="H38" s="116" t="b">
        <v>1</v>
      </c>
      <c r="I38" s="116" t="b">
        <v>1</v>
      </c>
      <c r="J38" s="116" t="b">
        <v>1</v>
      </c>
      <c r="K38" s="116" t="b">
        <v>1</v>
      </c>
      <c r="L38" s="116" t="b">
        <v>0</v>
      </c>
      <c r="M38" s="116" t="b">
        <v>0</v>
      </c>
      <c r="N38" s="117">
        <f t="shared" ref="N38:N94" si="3">COUNTIF(G38:M38,"TRUE")</f>
        <v>4</v>
      </c>
      <c r="O38" s="117">
        <f t="shared" ref="O38:O94" si="4">N38*4</f>
        <v>16</v>
      </c>
      <c r="P38" s="157" t="s">
        <v>362</v>
      </c>
      <c r="Q38" s="112"/>
    </row>
    <row r="39" ht="15.0" customHeight="1">
      <c r="A39" s="112"/>
      <c r="B39" s="112"/>
      <c r="C39" s="112"/>
      <c r="D39" s="129" t="s">
        <v>351</v>
      </c>
      <c r="E39" s="114" t="s">
        <v>237</v>
      </c>
      <c r="F39" s="115" t="s">
        <v>64</v>
      </c>
      <c r="G39" s="116" t="b">
        <v>0</v>
      </c>
      <c r="H39" s="116" t="b">
        <v>0</v>
      </c>
      <c r="I39" s="116" t="b">
        <v>0</v>
      </c>
      <c r="J39" s="116" t="b">
        <v>0</v>
      </c>
      <c r="K39" s="116" t="b">
        <v>0</v>
      </c>
      <c r="L39" s="116" t="b">
        <v>0</v>
      </c>
      <c r="M39" s="116" t="b">
        <v>0</v>
      </c>
      <c r="N39" s="117">
        <f t="shared" si="3"/>
        <v>0</v>
      </c>
      <c r="O39" s="117">
        <f t="shared" si="4"/>
        <v>0</v>
      </c>
      <c r="P39" s="157" t="s">
        <v>309</v>
      </c>
      <c r="Q39" s="112"/>
    </row>
    <row r="40" ht="15.0" customHeight="1">
      <c r="A40" s="112"/>
      <c r="B40" s="112"/>
      <c r="C40" s="112"/>
      <c r="D40" s="129" t="s">
        <v>78</v>
      </c>
      <c r="E40" s="114" t="str">
        <f>VLOOKUP(D40,Data!H:I,2,0)</f>
        <v>İstanbul</v>
      </c>
      <c r="F40" s="115" t="str">
        <f>VLOOKUP(D40,Data!H:J,3,0)</f>
        <v>Freelance</v>
      </c>
      <c r="G40" s="116" t="b">
        <v>1</v>
      </c>
      <c r="H40" s="116" t="b">
        <v>1</v>
      </c>
      <c r="I40" s="116" t="b">
        <v>1</v>
      </c>
      <c r="J40" s="116" t="b">
        <v>1</v>
      </c>
      <c r="K40" s="116" t="b">
        <v>1</v>
      </c>
      <c r="L40" s="116" t="b">
        <v>0</v>
      </c>
      <c r="M40" s="116" t="b">
        <v>0</v>
      </c>
      <c r="N40" s="117">
        <f t="shared" si="3"/>
        <v>5</v>
      </c>
      <c r="O40" s="117">
        <f t="shared" si="4"/>
        <v>20</v>
      </c>
      <c r="P40" s="157"/>
      <c r="Q40" s="112"/>
    </row>
    <row r="41" ht="15.0" customHeight="1">
      <c r="A41" s="112"/>
      <c r="B41" s="112"/>
      <c r="C41" s="112"/>
      <c r="D41" s="129" t="s">
        <v>79</v>
      </c>
      <c r="E41" s="114" t="str">
        <f>VLOOKUP(D41,Data!H:I,2,0)</f>
        <v>İstanbul</v>
      </c>
      <c r="F41" s="115" t="str">
        <f>VLOOKUP(D41,Data!H:J,3,0)</f>
        <v>Freelance</v>
      </c>
      <c r="G41" s="116" t="b">
        <v>0</v>
      </c>
      <c r="H41" s="116" t="b">
        <v>0</v>
      </c>
      <c r="I41" s="116" t="b">
        <v>0</v>
      </c>
      <c r="J41" s="116" t="b">
        <v>0</v>
      </c>
      <c r="K41" s="116" t="b">
        <v>0</v>
      </c>
      <c r="L41" s="116" t="b">
        <v>0</v>
      </c>
      <c r="M41" s="116" t="b">
        <v>0</v>
      </c>
      <c r="N41" s="117">
        <f t="shared" si="3"/>
        <v>0</v>
      </c>
      <c r="O41" s="117">
        <f t="shared" si="4"/>
        <v>0</v>
      </c>
      <c r="P41" s="157" t="s">
        <v>338</v>
      </c>
      <c r="Q41" s="112"/>
    </row>
    <row r="42" ht="15.0" customHeight="1">
      <c r="A42" s="122"/>
      <c r="B42" s="122"/>
      <c r="C42" s="122"/>
      <c r="D42" s="129" t="s">
        <v>80</v>
      </c>
      <c r="E42" s="114" t="str">
        <f>VLOOKUP(D42,Data!H:I,2,0)</f>
        <v>İstanbul</v>
      </c>
      <c r="F42" s="115" t="str">
        <f>VLOOKUP(D42,Data!H:J,3,0)</f>
        <v>Freelance</v>
      </c>
      <c r="G42" s="116" t="b">
        <v>1</v>
      </c>
      <c r="H42" s="116" t="b">
        <v>1</v>
      </c>
      <c r="I42" s="116" t="b">
        <v>1</v>
      </c>
      <c r="J42" s="116" t="b">
        <v>1</v>
      </c>
      <c r="K42" s="116" t="b">
        <v>1</v>
      </c>
      <c r="L42" s="116" t="b">
        <v>0</v>
      </c>
      <c r="M42" s="116" t="b">
        <v>0</v>
      </c>
      <c r="N42" s="117">
        <f t="shared" si="3"/>
        <v>5</v>
      </c>
      <c r="O42" s="117">
        <f t="shared" si="4"/>
        <v>20</v>
      </c>
      <c r="P42" s="157"/>
      <c r="Q42" s="122"/>
    </row>
    <row r="43" ht="15.0" customHeight="1">
      <c r="A43" s="112"/>
      <c r="B43" s="112"/>
      <c r="C43" s="112"/>
      <c r="D43" s="132" t="s">
        <v>119</v>
      </c>
      <c r="E43" s="114" t="str">
        <f>VLOOKUP(D43,Data!H:I,2,0)</f>
        <v>İstanbul</v>
      </c>
      <c r="F43" s="115" t="str">
        <f>VLOOKUP(D43,Data!H:J,3,0)</f>
        <v>Filamingo</v>
      </c>
      <c r="G43" s="116" t="b">
        <v>0</v>
      </c>
      <c r="H43" s="116" t="b">
        <v>0</v>
      </c>
      <c r="I43" s="116" t="b">
        <v>0</v>
      </c>
      <c r="J43" s="116" t="b">
        <v>0</v>
      </c>
      <c r="K43" s="116" t="b">
        <v>0</v>
      </c>
      <c r="L43" s="116" t="b">
        <v>0</v>
      </c>
      <c r="M43" s="116" t="b">
        <v>0</v>
      </c>
      <c r="N43" s="117">
        <f t="shared" si="3"/>
        <v>0</v>
      </c>
      <c r="O43" s="117">
        <f t="shared" si="4"/>
        <v>0</v>
      </c>
      <c r="P43" s="157" t="s">
        <v>309</v>
      </c>
      <c r="Q43" s="112"/>
    </row>
    <row r="44" ht="15.0" customHeight="1">
      <c r="A44" s="112"/>
      <c r="B44" s="112"/>
      <c r="C44" s="112"/>
      <c r="D44" s="129" t="s">
        <v>217</v>
      </c>
      <c r="E44" s="114" t="str">
        <f>VLOOKUP(D44,Data!H:I,2,0)</f>
        <v>İstanbul</v>
      </c>
      <c r="F44" s="115" t="str">
        <f>VLOOKUP(D44,Data!H:J,3,0)</f>
        <v>Freelance</v>
      </c>
      <c r="G44" s="116" t="b">
        <v>0</v>
      </c>
      <c r="H44" s="116" t="b">
        <v>0</v>
      </c>
      <c r="I44" s="116" t="b">
        <v>0</v>
      </c>
      <c r="J44" s="116" t="b">
        <v>0</v>
      </c>
      <c r="K44" s="116" t="b">
        <v>0</v>
      </c>
      <c r="L44" s="116" t="b">
        <v>0</v>
      </c>
      <c r="M44" s="116" t="b">
        <v>0</v>
      </c>
      <c r="N44" s="117">
        <f t="shared" si="3"/>
        <v>0</v>
      </c>
      <c r="O44" s="117">
        <f t="shared" si="4"/>
        <v>0</v>
      </c>
      <c r="P44" s="157" t="s">
        <v>309</v>
      </c>
      <c r="Q44" s="112"/>
    </row>
    <row r="45" ht="15.0" customHeight="1">
      <c r="A45" s="112"/>
      <c r="B45" s="112"/>
      <c r="C45" s="112"/>
      <c r="D45" s="129" t="s">
        <v>81</v>
      </c>
      <c r="E45" s="114" t="str">
        <f>VLOOKUP(D45,Data!H:I,2,0)</f>
        <v>İstanbul</v>
      </c>
      <c r="F45" s="115" t="str">
        <f>VLOOKUP(D45,Data!H:J,3,0)</f>
        <v>Freelance</v>
      </c>
      <c r="G45" s="116" t="b">
        <v>0</v>
      </c>
      <c r="H45" s="116" t="b">
        <v>0</v>
      </c>
      <c r="I45" s="116" t="b">
        <v>0</v>
      </c>
      <c r="J45" s="116" t="b">
        <v>0</v>
      </c>
      <c r="K45" s="116" t="b">
        <v>0</v>
      </c>
      <c r="L45" s="116" t="b">
        <v>0</v>
      </c>
      <c r="M45" s="116" t="b">
        <v>0</v>
      </c>
      <c r="N45" s="117">
        <f t="shared" si="3"/>
        <v>0</v>
      </c>
      <c r="O45" s="117">
        <f t="shared" si="4"/>
        <v>0</v>
      </c>
      <c r="P45" s="157" t="s">
        <v>314</v>
      </c>
      <c r="Q45" s="112"/>
    </row>
    <row r="46" ht="15.0" customHeight="1">
      <c r="A46" s="112"/>
      <c r="B46" s="112"/>
      <c r="C46" s="112"/>
      <c r="D46" s="129" t="s">
        <v>201</v>
      </c>
      <c r="E46" s="114" t="str">
        <f>VLOOKUP(D46,Data!H:I,2,0)</f>
        <v>İstanbul</v>
      </c>
      <c r="F46" s="114" t="str">
        <f>VLOOKUP(D46,Data!H:J,3,0)</f>
        <v>Freelance</v>
      </c>
      <c r="G46" s="116" t="b">
        <v>0</v>
      </c>
      <c r="H46" s="116" t="b">
        <v>0</v>
      </c>
      <c r="I46" s="116" t="b">
        <v>0</v>
      </c>
      <c r="J46" s="116" t="b">
        <v>0</v>
      </c>
      <c r="K46" s="116" t="b">
        <v>0</v>
      </c>
      <c r="L46" s="116" t="b">
        <v>0</v>
      </c>
      <c r="M46" s="116" t="b">
        <v>0</v>
      </c>
      <c r="N46" s="117">
        <f t="shared" si="3"/>
        <v>0</v>
      </c>
      <c r="O46" s="117">
        <f t="shared" si="4"/>
        <v>0</v>
      </c>
      <c r="P46" s="157" t="s">
        <v>309</v>
      </c>
      <c r="Q46" s="112"/>
    </row>
    <row r="47" ht="15.0" customHeight="1">
      <c r="A47" s="112"/>
      <c r="B47" s="112"/>
      <c r="C47" s="112"/>
      <c r="D47" s="132" t="s">
        <v>83</v>
      </c>
      <c r="E47" s="114" t="str">
        <f>VLOOKUP(D47,Data!H:I,2,0)</f>
        <v>İstanbul</v>
      </c>
      <c r="F47" s="115" t="str">
        <f>VLOOKUP(D47,Data!H:J,3,0)</f>
        <v>Nazım Öztel</v>
      </c>
      <c r="G47" s="116" t="b">
        <v>0</v>
      </c>
      <c r="H47" s="116" t="b">
        <v>0</v>
      </c>
      <c r="I47" s="116" t="b">
        <v>0</v>
      </c>
      <c r="J47" s="116" t="b">
        <v>0</v>
      </c>
      <c r="K47" s="116" t="b">
        <v>0</v>
      </c>
      <c r="L47" s="116" t="b">
        <v>0</v>
      </c>
      <c r="M47" s="116" t="b">
        <v>0</v>
      </c>
      <c r="N47" s="117">
        <f t="shared" si="3"/>
        <v>0</v>
      </c>
      <c r="O47" s="117">
        <f t="shared" si="4"/>
        <v>0</v>
      </c>
      <c r="P47" s="157" t="s">
        <v>309</v>
      </c>
      <c r="Q47" s="112"/>
    </row>
    <row r="48" ht="15.0" customHeight="1">
      <c r="A48" s="112"/>
      <c r="B48" s="112"/>
      <c r="C48" s="112"/>
      <c r="D48" s="129" t="s">
        <v>363</v>
      </c>
      <c r="E48" s="166" t="s">
        <v>237</v>
      </c>
      <c r="F48" s="167" t="s">
        <v>64</v>
      </c>
      <c r="G48" s="116" t="b">
        <v>1</v>
      </c>
      <c r="H48" s="116" t="b">
        <v>1</v>
      </c>
      <c r="I48" s="116" t="b">
        <v>1</v>
      </c>
      <c r="J48" s="116" t="b">
        <v>0</v>
      </c>
      <c r="K48" s="116" t="b">
        <v>1</v>
      </c>
      <c r="L48" s="116" t="b">
        <v>0</v>
      </c>
      <c r="M48" s="116" t="b">
        <v>0</v>
      </c>
      <c r="N48" s="146">
        <f t="shared" si="3"/>
        <v>4</v>
      </c>
      <c r="O48" s="146">
        <f t="shared" si="4"/>
        <v>16</v>
      </c>
      <c r="P48" s="159" t="s">
        <v>364</v>
      </c>
      <c r="Q48" s="112"/>
    </row>
    <row r="49" ht="15.0" customHeight="1">
      <c r="A49" s="125"/>
      <c r="B49" s="125"/>
      <c r="C49" s="125"/>
      <c r="D49" s="129" t="s">
        <v>225</v>
      </c>
      <c r="E49" s="114" t="str">
        <f>VLOOKUP(D49,Data!H:I,2,0)</f>
        <v>İstanbul</v>
      </c>
      <c r="F49" s="115" t="str">
        <f>VLOOKUP(D49,Data!H:J,3,0)</f>
        <v>Filamingo</v>
      </c>
      <c r="G49" s="116" t="b">
        <v>0</v>
      </c>
      <c r="H49" s="116" t="b">
        <v>0</v>
      </c>
      <c r="I49" s="116" t="b">
        <v>0</v>
      </c>
      <c r="J49" s="116" t="b">
        <v>0</v>
      </c>
      <c r="K49" s="116" t="b">
        <v>0</v>
      </c>
      <c r="L49" s="116" t="b">
        <v>0</v>
      </c>
      <c r="M49" s="116" t="b">
        <v>0</v>
      </c>
      <c r="N49" s="117">
        <f t="shared" si="3"/>
        <v>0</v>
      </c>
      <c r="O49" s="117">
        <f t="shared" si="4"/>
        <v>0</v>
      </c>
      <c r="P49" s="157" t="s">
        <v>309</v>
      </c>
      <c r="Q49" s="125"/>
    </row>
    <row r="50" ht="15.0" customHeight="1">
      <c r="A50" s="125"/>
      <c r="B50" s="125"/>
      <c r="C50" s="125"/>
      <c r="D50" s="129" t="s">
        <v>145</v>
      </c>
      <c r="E50" s="114" t="str">
        <f>VLOOKUP(D50,Data!H:I,2,0)</f>
        <v>İstanbul</v>
      </c>
      <c r="F50" s="115" t="str">
        <f>VLOOKUP(D50,Data!H:J,3,0)</f>
        <v>Filamingo</v>
      </c>
      <c r="G50" s="116" t="b">
        <v>1</v>
      </c>
      <c r="H50" s="116" t="b">
        <v>1</v>
      </c>
      <c r="I50" s="116" t="b">
        <v>0</v>
      </c>
      <c r="J50" s="116" t="b">
        <v>1</v>
      </c>
      <c r="K50" s="116" t="b">
        <v>0</v>
      </c>
      <c r="L50" s="116" t="b">
        <v>0</v>
      </c>
      <c r="M50" s="116" t="b">
        <v>0</v>
      </c>
      <c r="N50" s="117">
        <f t="shared" si="3"/>
        <v>3</v>
      </c>
      <c r="O50" s="117">
        <f t="shared" si="4"/>
        <v>12</v>
      </c>
      <c r="P50" s="157" t="s">
        <v>365</v>
      </c>
      <c r="Q50" s="125"/>
    </row>
    <row r="51" ht="15.0" customHeight="1">
      <c r="A51" s="125"/>
      <c r="B51" s="125"/>
      <c r="C51" s="125"/>
      <c r="D51" s="129" t="s">
        <v>274</v>
      </c>
      <c r="E51" s="114" t="str">
        <f>VLOOKUP(D51,Data!H:I,2,0)</f>
        <v>İstanbul</v>
      </c>
      <c r="F51" s="115" t="str">
        <f>VLOOKUP(D51,Data!H:J,3,0)</f>
        <v>Filamingo</v>
      </c>
      <c r="G51" s="116" t="b">
        <v>1</v>
      </c>
      <c r="H51" s="116" t="b">
        <v>1</v>
      </c>
      <c r="I51" s="116" t="b">
        <v>0</v>
      </c>
      <c r="J51" s="116" t="b">
        <v>1</v>
      </c>
      <c r="K51" s="116" t="b">
        <v>0</v>
      </c>
      <c r="L51" s="116" t="b">
        <v>0</v>
      </c>
      <c r="M51" s="116" t="b">
        <v>0</v>
      </c>
      <c r="N51" s="117">
        <f t="shared" si="3"/>
        <v>3</v>
      </c>
      <c r="O51" s="117">
        <f t="shared" si="4"/>
        <v>12</v>
      </c>
      <c r="P51" s="157"/>
      <c r="Q51" s="125"/>
    </row>
    <row r="52" ht="15.0" customHeight="1">
      <c r="A52" s="125"/>
      <c r="B52" s="125"/>
      <c r="C52" s="125"/>
      <c r="D52" s="129" t="s">
        <v>87</v>
      </c>
      <c r="E52" s="114" t="str">
        <f>VLOOKUP(D52,Data!H:I,2,0)</f>
        <v>İstanbul</v>
      </c>
      <c r="F52" s="115" t="str">
        <f>VLOOKUP(D52,Data!H:J,3,0)</f>
        <v>Freelance</v>
      </c>
      <c r="G52" s="116" t="b">
        <v>0</v>
      </c>
      <c r="H52" s="116" t="b">
        <v>0</v>
      </c>
      <c r="I52" s="116" t="b">
        <v>0</v>
      </c>
      <c r="J52" s="116" t="b">
        <v>0</v>
      </c>
      <c r="K52" s="116" t="b">
        <v>0</v>
      </c>
      <c r="L52" s="116" t="b">
        <v>0</v>
      </c>
      <c r="M52" s="116" t="b">
        <v>0</v>
      </c>
      <c r="N52" s="117">
        <f t="shared" si="3"/>
        <v>0</v>
      </c>
      <c r="O52" s="117">
        <f t="shared" si="4"/>
        <v>0</v>
      </c>
      <c r="P52" s="157" t="s">
        <v>324</v>
      </c>
      <c r="Q52" s="125"/>
    </row>
    <row r="53" ht="15.0" customHeight="1">
      <c r="A53" s="125"/>
      <c r="B53" s="125"/>
      <c r="C53" s="125"/>
      <c r="D53" s="129" t="s">
        <v>337</v>
      </c>
      <c r="E53" s="114" t="s">
        <v>237</v>
      </c>
      <c r="F53" s="115" t="s">
        <v>64</v>
      </c>
      <c r="G53" s="116" t="b">
        <v>0</v>
      </c>
      <c r="H53" s="116" t="b">
        <v>0</v>
      </c>
      <c r="I53" s="116" t="b">
        <v>0</v>
      </c>
      <c r="J53" s="116" t="b">
        <v>0</v>
      </c>
      <c r="K53" s="116" t="b">
        <v>0</v>
      </c>
      <c r="L53" s="116" t="b">
        <v>0</v>
      </c>
      <c r="M53" s="116" t="b">
        <v>0</v>
      </c>
      <c r="N53" s="117">
        <f t="shared" si="3"/>
        <v>0</v>
      </c>
      <c r="O53" s="117">
        <f t="shared" si="4"/>
        <v>0</v>
      </c>
      <c r="P53" s="157" t="s">
        <v>309</v>
      </c>
      <c r="Q53" s="125"/>
    </row>
    <row r="54" ht="15.0" customHeight="1">
      <c r="A54" s="112"/>
      <c r="B54" s="112"/>
      <c r="C54" s="112"/>
      <c r="D54" s="129" t="s">
        <v>249</v>
      </c>
      <c r="E54" s="114" t="str">
        <f>VLOOKUP(D54,Data!H:I,2,0)</f>
        <v>İstanbul</v>
      </c>
      <c r="F54" s="115" t="str">
        <f>VLOOKUP(D54,Data!H:J,3,0)</f>
        <v>Nazım Öztel</v>
      </c>
      <c r="G54" s="116" t="b">
        <v>0</v>
      </c>
      <c r="H54" s="116" t="b">
        <v>0</v>
      </c>
      <c r="I54" s="116" t="b">
        <v>0</v>
      </c>
      <c r="J54" s="116" t="b">
        <v>0</v>
      </c>
      <c r="K54" s="116" t="b">
        <v>0</v>
      </c>
      <c r="L54" s="116" t="b">
        <v>0</v>
      </c>
      <c r="M54" s="116" t="b">
        <v>0</v>
      </c>
      <c r="N54" s="117">
        <f t="shared" si="3"/>
        <v>0</v>
      </c>
      <c r="O54" s="117">
        <f t="shared" si="4"/>
        <v>0</v>
      </c>
      <c r="P54" s="157" t="s">
        <v>324</v>
      </c>
      <c r="Q54" s="112"/>
    </row>
    <row r="55" ht="15.0" customHeight="1">
      <c r="A55" s="112"/>
      <c r="B55" s="112"/>
      <c r="C55" s="112"/>
      <c r="D55" s="129" t="s">
        <v>250</v>
      </c>
      <c r="E55" s="114" t="str">
        <f>VLOOKUP(D55,Data!H:I,2,0)</f>
        <v>İstanbul</v>
      </c>
      <c r="F55" s="115" t="str">
        <f>VLOOKUP(D55,Data!H:J,3,0)</f>
        <v>Filamingo</v>
      </c>
      <c r="G55" s="116" t="b">
        <v>0</v>
      </c>
      <c r="H55" s="116" t="b">
        <v>0</v>
      </c>
      <c r="I55" s="116" t="b">
        <v>0</v>
      </c>
      <c r="J55" s="116" t="b">
        <v>0</v>
      </c>
      <c r="K55" s="116" t="b">
        <v>0</v>
      </c>
      <c r="L55" s="116" t="b">
        <v>0</v>
      </c>
      <c r="M55" s="116" t="b">
        <v>0</v>
      </c>
      <c r="N55" s="117">
        <f t="shared" si="3"/>
        <v>0</v>
      </c>
      <c r="O55" s="117">
        <f t="shared" si="4"/>
        <v>0</v>
      </c>
      <c r="P55" s="157" t="s">
        <v>309</v>
      </c>
      <c r="Q55" s="112"/>
    </row>
    <row r="56" ht="15.0" customHeight="1">
      <c r="A56" s="112"/>
      <c r="B56" s="112"/>
      <c r="C56" s="112"/>
      <c r="D56" s="129" t="s">
        <v>251</v>
      </c>
      <c r="E56" s="114" t="str">
        <f>VLOOKUP(D56,Data!H:I,2,0)</f>
        <v>İstanbul</v>
      </c>
      <c r="F56" s="115" t="str">
        <f>VLOOKUP(D56,Data!H:J,3,0)</f>
        <v>Filamingo</v>
      </c>
      <c r="G56" s="116" t="b">
        <v>1</v>
      </c>
      <c r="H56" s="116" t="b">
        <v>1</v>
      </c>
      <c r="I56" s="116" t="b">
        <v>1</v>
      </c>
      <c r="J56" s="116" t="b">
        <v>1</v>
      </c>
      <c r="K56" s="116" t="b">
        <v>1</v>
      </c>
      <c r="L56" s="116" t="b">
        <v>0</v>
      </c>
      <c r="M56" s="116" t="b">
        <v>0</v>
      </c>
      <c r="N56" s="117">
        <f t="shared" si="3"/>
        <v>5</v>
      </c>
      <c r="O56" s="117">
        <f t="shared" si="4"/>
        <v>20</v>
      </c>
      <c r="P56" s="157"/>
      <c r="Q56" s="112"/>
    </row>
    <row r="57" ht="15.0" customHeight="1">
      <c r="A57" s="112"/>
      <c r="B57" s="112"/>
      <c r="C57" s="112"/>
      <c r="D57" s="129" t="s">
        <v>252</v>
      </c>
      <c r="E57" s="114" t="str">
        <f>VLOOKUP(D57,Data!H:I,2,0)</f>
        <v>İzmir</v>
      </c>
      <c r="F57" s="115" t="str">
        <f>VLOOKUP(D57,Data!H:J,3,0)</f>
        <v>Nazım Öztel</v>
      </c>
      <c r="G57" s="116" t="b">
        <v>1</v>
      </c>
      <c r="H57" s="116" t="b">
        <v>0</v>
      </c>
      <c r="I57" s="116" t="b">
        <v>0</v>
      </c>
      <c r="J57" s="116" t="b">
        <v>0</v>
      </c>
      <c r="K57" s="116" t="b">
        <v>0</v>
      </c>
      <c r="L57" s="116" t="b">
        <v>0</v>
      </c>
      <c r="M57" s="116" t="b">
        <v>0</v>
      </c>
      <c r="N57" s="117">
        <f t="shared" si="3"/>
        <v>1</v>
      </c>
      <c r="O57" s="117">
        <f t="shared" si="4"/>
        <v>4</v>
      </c>
      <c r="P57" s="157"/>
      <c r="Q57" s="112"/>
    </row>
    <row r="58" ht="15.0" customHeight="1">
      <c r="A58" s="112"/>
      <c r="B58" s="112"/>
      <c r="C58" s="112"/>
      <c r="D58" s="132" t="s">
        <v>92</v>
      </c>
      <c r="E58" s="114" t="str">
        <f>VLOOKUP(D58,Data!H:I,2,0)</f>
        <v>İzmir</v>
      </c>
      <c r="F58" s="115" t="str">
        <f>VLOOKUP(D58,Data!H:J,3,0)</f>
        <v>Nazım Öztel</v>
      </c>
      <c r="G58" s="116" t="b">
        <v>1</v>
      </c>
      <c r="H58" s="116" t="b">
        <v>0</v>
      </c>
      <c r="I58" s="116" t="b">
        <v>1</v>
      </c>
      <c r="J58" s="116" t="b">
        <v>0</v>
      </c>
      <c r="K58" s="116" t="b">
        <v>0</v>
      </c>
      <c r="L58" s="116" t="b">
        <v>0</v>
      </c>
      <c r="M58" s="116" t="b">
        <v>0</v>
      </c>
      <c r="N58" s="117">
        <f t="shared" si="3"/>
        <v>2</v>
      </c>
      <c r="O58" s="117">
        <f t="shared" si="4"/>
        <v>8</v>
      </c>
      <c r="P58" s="157" t="s">
        <v>366</v>
      </c>
      <c r="Q58" s="112"/>
    </row>
    <row r="59" ht="15.0" customHeight="1">
      <c r="A59" s="112"/>
      <c r="B59" s="112"/>
      <c r="C59" s="112"/>
      <c r="D59" s="129" t="s">
        <v>93</v>
      </c>
      <c r="E59" s="114" t="str">
        <f>VLOOKUP(D59,Data!H:I,2,0)</f>
        <v>İzmir</v>
      </c>
      <c r="F59" s="115" t="str">
        <f>VLOOKUP(D59,Data!H:J,3,0)</f>
        <v>Freelance</v>
      </c>
      <c r="G59" s="116" t="b">
        <v>0</v>
      </c>
      <c r="H59" s="116" t="b">
        <v>0</v>
      </c>
      <c r="I59" s="116" t="b">
        <v>0</v>
      </c>
      <c r="J59" s="116" t="b">
        <v>0</v>
      </c>
      <c r="K59" s="116" t="b">
        <v>0</v>
      </c>
      <c r="L59" s="116" t="b">
        <v>0</v>
      </c>
      <c r="M59" s="116" t="b">
        <v>0</v>
      </c>
      <c r="N59" s="117">
        <f t="shared" si="3"/>
        <v>0</v>
      </c>
      <c r="O59" s="117">
        <f t="shared" si="4"/>
        <v>0</v>
      </c>
      <c r="P59" s="157" t="s">
        <v>324</v>
      </c>
      <c r="Q59" s="112"/>
    </row>
    <row r="60" ht="15.0" customHeight="1">
      <c r="A60" s="112"/>
      <c r="B60" s="112"/>
      <c r="C60" s="112"/>
      <c r="D60" s="129" t="s">
        <v>161</v>
      </c>
      <c r="E60" s="143" t="str">
        <f>VLOOKUP(D60,Data!H:I,2,0)</f>
        <v>Kahramanmaraş</v>
      </c>
      <c r="F60" s="115" t="str">
        <f>VLOOKUP(D60,Data!H:J,3,0)</f>
        <v>Nazım Öztel</v>
      </c>
      <c r="G60" s="116" t="b">
        <v>0</v>
      </c>
      <c r="H60" s="116" t="b">
        <v>0</v>
      </c>
      <c r="I60" s="116" t="b">
        <v>0</v>
      </c>
      <c r="J60" s="116" t="b">
        <v>0</v>
      </c>
      <c r="K60" s="116" t="b">
        <v>0</v>
      </c>
      <c r="L60" s="116" t="b">
        <v>0</v>
      </c>
      <c r="M60" s="116" t="b">
        <v>0</v>
      </c>
      <c r="N60" s="117">
        <f t="shared" si="3"/>
        <v>0</v>
      </c>
      <c r="O60" s="117">
        <f t="shared" si="4"/>
        <v>0</v>
      </c>
      <c r="P60" s="157" t="s">
        <v>314</v>
      </c>
      <c r="Q60" s="112"/>
    </row>
    <row r="61" ht="15.0" customHeight="1">
      <c r="A61" s="112"/>
      <c r="B61" s="112"/>
      <c r="C61" s="112"/>
      <c r="D61" s="129" t="s">
        <v>243</v>
      </c>
      <c r="E61" s="114" t="str">
        <f>VLOOKUP(D61,Data!H:I,2,0)</f>
        <v>Kayseri</v>
      </c>
      <c r="F61" s="115" t="str">
        <f>VLOOKUP(D61,Data!H:J,3,0)</f>
        <v>Nazım Öztel</v>
      </c>
      <c r="G61" s="116" t="b">
        <v>1</v>
      </c>
      <c r="H61" s="116" t="b">
        <v>1</v>
      </c>
      <c r="I61" s="116" t="b">
        <v>1</v>
      </c>
      <c r="J61" s="116" t="b">
        <v>1</v>
      </c>
      <c r="K61" s="116" t="b">
        <v>1</v>
      </c>
      <c r="L61" s="116" t="b">
        <v>0</v>
      </c>
      <c r="M61" s="116" t="b">
        <v>0</v>
      </c>
      <c r="N61" s="117">
        <f t="shared" si="3"/>
        <v>5</v>
      </c>
      <c r="O61" s="117">
        <f t="shared" si="4"/>
        <v>20</v>
      </c>
      <c r="P61" s="157"/>
      <c r="Q61" s="112"/>
    </row>
    <row r="62" ht="15.0" customHeight="1">
      <c r="A62" s="112"/>
      <c r="B62" s="112"/>
      <c r="C62" s="112"/>
      <c r="D62" s="129" t="s">
        <v>253</v>
      </c>
      <c r="E62" s="114" t="str">
        <f>VLOOKUP(D62,Data!H:I,2,0)</f>
        <v>Kırklareli</v>
      </c>
      <c r="F62" s="115" t="str">
        <f>VLOOKUP(D62,Data!H:J,3,0)</f>
        <v>Nazım Öztel</v>
      </c>
      <c r="G62" s="116" t="b">
        <v>0</v>
      </c>
      <c r="H62" s="116" t="b">
        <v>0</v>
      </c>
      <c r="I62" s="116" t="b">
        <v>0</v>
      </c>
      <c r="J62" s="116" t="b">
        <v>0</v>
      </c>
      <c r="K62" s="116" t="b">
        <v>0</v>
      </c>
      <c r="L62" s="116" t="b">
        <v>0</v>
      </c>
      <c r="M62" s="116" t="b">
        <v>0</v>
      </c>
      <c r="N62" s="117">
        <f t="shared" si="3"/>
        <v>0</v>
      </c>
      <c r="O62" s="117">
        <f t="shared" si="4"/>
        <v>0</v>
      </c>
      <c r="P62" s="157" t="s">
        <v>314</v>
      </c>
      <c r="Q62" s="112"/>
    </row>
    <row r="63" ht="15.0" customHeight="1">
      <c r="A63" s="112"/>
      <c r="B63" s="112"/>
      <c r="C63" s="112"/>
      <c r="D63" s="132" t="s">
        <v>96</v>
      </c>
      <c r="E63" s="114" t="str">
        <f>VLOOKUP(D63,Data!H:I,2,0)</f>
        <v>Kocaeli</v>
      </c>
      <c r="F63" s="115" t="str">
        <f>VLOOKUP(D63,Data!H:J,3,0)</f>
        <v>Nazım Öztel</v>
      </c>
      <c r="G63" s="116" t="b">
        <v>0</v>
      </c>
      <c r="H63" s="116" t="b">
        <v>0</v>
      </c>
      <c r="I63" s="116" t="b">
        <v>0</v>
      </c>
      <c r="J63" s="116" t="b">
        <v>0</v>
      </c>
      <c r="K63" s="116" t="b">
        <v>0</v>
      </c>
      <c r="L63" s="116" t="b">
        <v>0</v>
      </c>
      <c r="M63" s="116" t="b">
        <v>0</v>
      </c>
      <c r="N63" s="117">
        <f t="shared" si="3"/>
        <v>0</v>
      </c>
      <c r="O63" s="117">
        <f t="shared" si="4"/>
        <v>0</v>
      </c>
      <c r="P63" s="157" t="s">
        <v>361</v>
      </c>
      <c r="Q63" s="112"/>
    </row>
    <row r="64" ht="15.0" customHeight="1">
      <c r="A64" s="112"/>
      <c r="B64" s="112"/>
      <c r="C64" s="112"/>
      <c r="D64" s="129" t="s">
        <v>367</v>
      </c>
      <c r="E64" s="114" t="s">
        <v>237</v>
      </c>
      <c r="F64" s="115" t="s">
        <v>59</v>
      </c>
      <c r="G64" s="116" t="b">
        <v>1</v>
      </c>
      <c r="H64" s="116" t="b">
        <v>0</v>
      </c>
      <c r="I64" s="116" t="b">
        <v>1</v>
      </c>
      <c r="J64" s="116" t="b">
        <v>0</v>
      </c>
      <c r="K64" s="116" t="b">
        <v>1</v>
      </c>
      <c r="L64" s="116" t="b">
        <v>0</v>
      </c>
      <c r="M64" s="116" t="b">
        <v>0</v>
      </c>
      <c r="N64" s="117">
        <f t="shared" si="3"/>
        <v>3</v>
      </c>
      <c r="O64" s="117">
        <f t="shared" si="4"/>
        <v>12</v>
      </c>
      <c r="P64" s="157"/>
      <c r="Q64" s="112"/>
    </row>
    <row r="65" ht="15.0" customHeight="1">
      <c r="A65" s="112"/>
      <c r="B65" s="112"/>
      <c r="C65" s="112"/>
      <c r="D65" s="129" t="s">
        <v>227</v>
      </c>
      <c r="E65" s="114" t="str">
        <f>VLOOKUP(D65,Data!H:I,2,0)</f>
        <v>Konya</v>
      </c>
      <c r="F65" s="115" t="str">
        <f>VLOOKUP(D65,Data!H:J,3,0)</f>
        <v>Nazım Öztel</v>
      </c>
      <c r="G65" s="116" t="b">
        <v>0</v>
      </c>
      <c r="H65" s="116" t="b">
        <v>0</v>
      </c>
      <c r="I65" s="116" t="b">
        <v>0</v>
      </c>
      <c r="J65" s="116" t="b">
        <v>0</v>
      </c>
      <c r="K65" s="116" t="b">
        <v>0</v>
      </c>
      <c r="L65" s="116" t="b">
        <v>0</v>
      </c>
      <c r="M65" s="116" t="b">
        <v>0</v>
      </c>
      <c r="N65" s="117">
        <f t="shared" si="3"/>
        <v>0</v>
      </c>
      <c r="O65" s="117">
        <f t="shared" si="4"/>
        <v>0</v>
      </c>
      <c r="P65" s="157" t="s">
        <v>368</v>
      </c>
      <c r="Q65" s="112"/>
    </row>
    <row r="66" ht="15.0" customHeight="1">
      <c r="A66" s="112"/>
      <c r="B66" s="112"/>
      <c r="C66" s="112"/>
      <c r="D66" s="129" t="s">
        <v>265</v>
      </c>
      <c r="E66" s="114" t="str">
        <f>VLOOKUP(D66,Data!H:I,2,0)</f>
        <v>Konya</v>
      </c>
      <c r="F66" s="115" t="str">
        <f>VLOOKUP(D66,Data!H:J,3,0)</f>
        <v>Nazım Öztel</v>
      </c>
      <c r="G66" s="116" t="b">
        <v>0</v>
      </c>
      <c r="H66" s="116" t="b">
        <v>0</v>
      </c>
      <c r="I66" s="116" t="b">
        <v>0</v>
      </c>
      <c r="J66" s="116" t="b">
        <v>0</v>
      </c>
      <c r="K66" s="116" t="b">
        <v>0</v>
      </c>
      <c r="L66" s="116" t="b">
        <v>0</v>
      </c>
      <c r="M66" s="116" t="b">
        <v>0</v>
      </c>
      <c r="N66" s="117">
        <f t="shared" si="3"/>
        <v>0</v>
      </c>
      <c r="O66" s="117">
        <f t="shared" si="4"/>
        <v>0</v>
      </c>
      <c r="P66" s="157" t="s">
        <v>369</v>
      </c>
      <c r="Q66" s="112"/>
    </row>
    <row r="67" ht="15.0" customHeight="1">
      <c r="A67" s="112"/>
      <c r="B67" s="112"/>
      <c r="C67" s="112"/>
      <c r="D67" s="129" t="s">
        <v>203</v>
      </c>
      <c r="E67" s="114" t="str">
        <f>VLOOKUP(D67,Data!H:I,2,0)</f>
        <v>Malatya</v>
      </c>
      <c r="F67" s="115" t="str">
        <f>VLOOKUP(D67,Data!H:J,3,0)</f>
        <v>Nazım Öztel</v>
      </c>
      <c r="G67" s="116" t="b">
        <v>0</v>
      </c>
      <c r="H67" s="116" t="b">
        <v>0</v>
      </c>
      <c r="I67" s="116" t="b">
        <v>0</v>
      </c>
      <c r="J67" s="116" t="b">
        <v>0</v>
      </c>
      <c r="K67" s="116" t="b">
        <v>0</v>
      </c>
      <c r="L67" s="116" t="b">
        <v>0</v>
      </c>
      <c r="M67" s="116" t="b">
        <v>0</v>
      </c>
      <c r="N67" s="117">
        <f t="shared" si="3"/>
        <v>0</v>
      </c>
      <c r="O67" s="117">
        <f t="shared" si="4"/>
        <v>0</v>
      </c>
      <c r="P67" s="157" t="s">
        <v>324</v>
      </c>
      <c r="Q67" s="112"/>
    </row>
    <row r="68" ht="15.0" customHeight="1">
      <c r="A68" s="112"/>
      <c r="B68" s="112"/>
      <c r="C68" s="112"/>
      <c r="D68" s="129" t="s">
        <v>254</v>
      </c>
      <c r="E68" s="114" t="str">
        <f>VLOOKUP(D68,Data!H:I,2,0)</f>
        <v>Manisa</v>
      </c>
      <c r="F68" s="115" t="str">
        <f>VLOOKUP(D68,Data!H:J,3,0)</f>
        <v>Nazım Öztel</v>
      </c>
      <c r="G68" s="116" t="b">
        <v>0</v>
      </c>
      <c r="H68" s="116" t="b">
        <v>0</v>
      </c>
      <c r="I68" s="116" t="b">
        <v>0</v>
      </c>
      <c r="J68" s="116" t="b">
        <v>0</v>
      </c>
      <c r="K68" s="116" t="b">
        <v>0</v>
      </c>
      <c r="L68" s="116" t="b">
        <v>0</v>
      </c>
      <c r="M68" s="116" t="b">
        <v>0</v>
      </c>
      <c r="N68" s="117">
        <f t="shared" si="3"/>
        <v>0</v>
      </c>
      <c r="O68" s="117">
        <f t="shared" si="4"/>
        <v>0</v>
      </c>
      <c r="P68" s="157" t="s">
        <v>324</v>
      </c>
      <c r="Q68" s="112"/>
    </row>
    <row r="69" ht="15.0" customHeight="1">
      <c r="A69" s="112"/>
      <c r="B69" s="112"/>
      <c r="C69" s="112"/>
      <c r="D69" s="129" t="s">
        <v>255</v>
      </c>
      <c r="E69" s="114" t="str">
        <f>VLOOKUP(D69,Data!H:I,2,0)</f>
        <v>Mardin</v>
      </c>
      <c r="F69" s="115" t="str">
        <f>VLOOKUP(D69,Data!H:J,3,0)</f>
        <v>Nazım Öztel</v>
      </c>
      <c r="G69" s="116" t="b">
        <v>0</v>
      </c>
      <c r="H69" s="116" t="b">
        <v>0</v>
      </c>
      <c r="I69" s="116" t="b">
        <v>0</v>
      </c>
      <c r="J69" s="116" t="b">
        <v>0</v>
      </c>
      <c r="K69" s="116" t="b">
        <v>0</v>
      </c>
      <c r="L69" s="116" t="b">
        <v>0</v>
      </c>
      <c r="M69" s="116" t="b">
        <v>0</v>
      </c>
      <c r="N69" s="117">
        <f t="shared" si="3"/>
        <v>0</v>
      </c>
      <c r="O69" s="117">
        <f t="shared" si="4"/>
        <v>0</v>
      </c>
      <c r="P69" s="157" t="s">
        <v>314</v>
      </c>
      <c r="Q69" s="112"/>
    </row>
    <row r="70" ht="15.0" customHeight="1">
      <c r="A70" s="112"/>
      <c r="B70" s="112"/>
      <c r="C70" s="112"/>
      <c r="D70" s="129" t="s">
        <v>294</v>
      </c>
      <c r="E70" s="114" t="str">
        <f>VLOOKUP(D70,Data!H:I,2,0)</f>
        <v>Mersin</v>
      </c>
      <c r="F70" s="115" t="str">
        <f>VLOOKUP(D70,Data!H:J,3,0)</f>
        <v>Nazım Öztel</v>
      </c>
      <c r="G70" s="116" t="b">
        <v>0</v>
      </c>
      <c r="H70" s="116" t="b">
        <v>0</v>
      </c>
      <c r="I70" s="116" t="b">
        <v>0</v>
      </c>
      <c r="J70" s="116" t="b">
        <v>0</v>
      </c>
      <c r="K70" s="116" t="b">
        <v>0</v>
      </c>
      <c r="L70" s="116" t="b">
        <v>0</v>
      </c>
      <c r="M70" s="116" t="b">
        <v>0</v>
      </c>
      <c r="N70" s="117">
        <f t="shared" si="3"/>
        <v>0</v>
      </c>
      <c r="O70" s="117">
        <f t="shared" si="4"/>
        <v>0</v>
      </c>
      <c r="P70" s="157"/>
      <c r="Q70" s="112"/>
    </row>
    <row r="71" ht="15.0" customHeight="1">
      <c r="A71" s="112"/>
      <c r="B71" s="112"/>
      <c r="C71" s="112"/>
      <c r="D71" s="129" t="s">
        <v>169</v>
      </c>
      <c r="E71" s="114" t="str">
        <f>VLOOKUP(D71,Data!H:I,2,0)</f>
        <v>Mersin</v>
      </c>
      <c r="F71" s="115" t="str">
        <f>VLOOKUP(D71,Data!H:J,3,0)</f>
        <v>Nazım Öztel</v>
      </c>
      <c r="G71" s="116" t="b">
        <v>0</v>
      </c>
      <c r="H71" s="116" t="b">
        <v>0</v>
      </c>
      <c r="I71" s="116" t="b">
        <v>0</v>
      </c>
      <c r="J71" s="116" t="b">
        <v>0</v>
      </c>
      <c r="K71" s="116" t="b">
        <v>0</v>
      </c>
      <c r="L71" s="116" t="b">
        <v>0</v>
      </c>
      <c r="M71" s="116" t="b">
        <v>0</v>
      </c>
      <c r="N71" s="117">
        <f t="shared" si="3"/>
        <v>0</v>
      </c>
      <c r="O71" s="117">
        <f t="shared" si="4"/>
        <v>0</v>
      </c>
      <c r="P71" s="157" t="s">
        <v>314</v>
      </c>
      <c r="Q71" s="112"/>
    </row>
    <row r="72" ht="15.0" customHeight="1">
      <c r="A72" s="112"/>
      <c r="B72" s="112"/>
      <c r="C72" s="112"/>
      <c r="D72" s="129" t="s">
        <v>148</v>
      </c>
      <c r="E72" s="114" t="str">
        <f>VLOOKUP(D72,Data!H:I,2,0)</f>
        <v>Muğla</v>
      </c>
      <c r="F72" s="115" t="str">
        <f>VLOOKUP(D72,Data!H:J,3,0)</f>
        <v>Nazım Öztel</v>
      </c>
      <c r="G72" s="116" t="b">
        <v>0</v>
      </c>
      <c r="H72" s="116" t="b">
        <v>0</v>
      </c>
      <c r="I72" s="116" t="b">
        <v>0</v>
      </c>
      <c r="J72" s="116" t="b">
        <v>0</v>
      </c>
      <c r="K72" s="116" t="b">
        <v>0</v>
      </c>
      <c r="L72" s="116" t="b">
        <v>0</v>
      </c>
      <c r="M72" s="116" t="b">
        <v>0</v>
      </c>
      <c r="N72" s="117">
        <f t="shared" si="3"/>
        <v>0</v>
      </c>
      <c r="O72" s="117">
        <f t="shared" si="4"/>
        <v>0</v>
      </c>
      <c r="P72" s="157" t="s">
        <v>314</v>
      </c>
      <c r="Q72" s="112"/>
    </row>
    <row r="73" ht="15.0" customHeight="1">
      <c r="A73" s="112"/>
      <c r="B73" s="112"/>
      <c r="C73" s="112"/>
      <c r="D73" s="129" t="s">
        <v>266</v>
      </c>
      <c r="E73" s="114" t="str">
        <f>VLOOKUP(D73,Data!H:I,2,0)</f>
        <v>Ordu</v>
      </c>
      <c r="F73" s="115" t="str">
        <f>VLOOKUP(D73,Data!H:J,3,0)</f>
        <v>Nazım Öztel</v>
      </c>
      <c r="G73" s="116" t="b">
        <v>0</v>
      </c>
      <c r="H73" s="116" t="b">
        <v>0</v>
      </c>
      <c r="I73" s="116" t="b">
        <v>0</v>
      </c>
      <c r="J73" s="116" t="b">
        <v>0</v>
      </c>
      <c r="K73" s="116" t="b">
        <v>0</v>
      </c>
      <c r="L73" s="116" t="b">
        <v>0</v>
      </c>
      <c r="M73" s="116" t="b">
        <v>0</v>
      </c>
      <c r="N73" s="117">
        <f t="shared" si="3"/>
        <v>0</v>
      </c>
      <c r="O73" s="117">
        <f t="shared" si="4"/>
        <v>0</v>
      </c>
      <c r="P73" s="157" t="s">
        <v>314</v>
      </c>
      <c r="Q73" s="112"/>
    </row>
    <row r="74" ht="15.0" customHeight="1">
      <c r="A74" s="112"/>
      <c r="B74" s="112"/>
      <c r="C74" s="112"/>
      <c r="D74" s="129" t="s">
        <v>256</v>
      </c>
      <c r="E74" s="114" t="s">
        <v>211</v>
      </c>
      <c r="F74" s="115" t="s">
        <v>61</v>
      </c>
      <c r="G74" s="116" t="b">
        <v>0</v>
      </c>
      <c r="H74" s="116" t="b">
        <v>0</v>
      </c>
      <c r="I74" s="116" t="b">
        <v>0</v>
      </c>
      <c r="J74" s="116" t="b">
        <v>0</v>
      </c>
      <c r="K74" s="116" t="b">
        <v>0</v>
      </c>
      <c r="L74" s="116" t="b">
        <v>0</v>
      </c>
      <c r="M74" s="116" t="b">
        <v>0</v>
      </c>
      <c r="N74" s="117">
        <f t="shared" si="3"/>
        <v>0</v>
      </c>
      <c r="O74" s="117">
        <f t="shared" si="4"/>
        <v>0</v>
      </c>
      <c r="P74" s="157" t="s">
        <v>309</v>
      </c>
      <c r="Q74" s="112"/>
    </row>
    <row r="75" ht="15.0" customHeight="1">
      <c r="A75" s="112"/>
      <c r="B75" s="112"/>
      <c r="C75" s="112"/>
      <c r="D75" s="129" t="s">
        <v>275</v>
      </c>
      <c r="E75" s="114" t="str">
        <f>VLOOKUP(D75,Data!H:I,2,0)</f>
        <v>Sakarya</v>
      </c>
      <c r="F75" s="115" t="str">
        <f>VLOOKUP(D75,Data!H:J,3,0)</f>
        <v>Nazım Öztel</v>
      </c>
      <c r="G75" s="116" t="b">
        <v>0</v>
      </c>
      <c r="H75" s="116" t="b">
        <v>0</v>
      </c>
      <c r="I75" s="116" t="b">
        <v>0</v>
      </c>
      <c r="J75" s="116" t="b">
        <v>0</v>
      </c>
      <c r="K75" s="116" t="b">
        <v>0</v>
      </c>
      <c r="L75" s="116" t="b">
        <v>0</v>
      </c>
      <c r="M75" s="116" t="b">
        <v>0</v>
      </c>
      <c r="N75" s="117">
        <f t="shared" si="3"/>
        <v>0</v>
      </c>
      <c r="O75" s="117">
        <f t="shared" si="4"/>
        <v>0</v>
      </c>
      <c r="P75" s="157" t="s">
        <v>324</v>
      </c>
      <c r="Q75" s="112"/>
    </row>
    <row r="76" ht="15.0" customHeight="1">
      <c r="A76" s="112"/>
      <c r="B76" s="112"/>
      <c r="C76" s="112"/>
      <c r="D76" s="129" t="s">
        <v>257</v>
      </c>
      <c r="E76" s="114" t="str">
        <f>VLOOKUP(D76,Data!H:I,2,0)</f>
        <v>Samsun</v>
      </c>
      <c r="F76" s="115" t="str">
        <f>VLOOKUP(D76,Data!H:J,3,0)</f>
        <v>Nazım Öztel</v>
      </c>
      <c r="G76" s="116" t="b">
        <v>0</v>
      </c>
      <c r="H76" s="116" t="b">
        <v>0</v>
      </c>
      <c r="I76" s="116" t="b">
        <v>0</v>
      </c>
      <c r="J76" s="116" t="b">
        <v>0</v>
      </c>
      <c r="K76" s="116" t="b">
        <v>0</v>
      </c>
      <c r="L76" s="116" t="b">
        <v>0</v>
      </c>
      <c r="M76" s="116" t="b">
        <v>0</v>
      </c>
      <c r="N76" s="117">
        <f t="shared" si="3"/>
        <v>0</v>
      </c>
      <c r="O76" s="117">
        <f t="shared" si="4"/>
        <v>0</v>
      </c>
      <c r="P76" s="157" t="s">
        <v>314</v>
      </c>
      <c r="Q76" s="112"/>
    </row>
    <row r="77" ht="15.0" customHeight="1">
      <c r="A77" s="112"/>
      <c r="B77" s="112"/>
      <c r="C77" s="112"/>
      <c r="D77" s="129" t="s">
        <v>267</v>
      </c>
      <c r="E77" s="114" t="str">
        <f>VLOOKUP(D77,Data!H:I,2,0)</f>
        <v>Sinop</v>
      </c>
      <c r="F77" s="115" t="str">
        <f>VLOOKUP(D77,Data!H:J,3,0)</f>
        <v>Nazım Öztel</v>
      </c>
      <c r="G77" s="116" t="b">
        <v>0</v>
      </c>
      <c r="H77" s="116" t="b">
        <v>0</v>
      </c>
      <c r="I77" s="116" t="b">
        <v>0</v>
      </c>
      <c r="J77" s="116" t="b">
        <v>0</v>
      </c>
      <c r="K77" s="116" t="b">
        <v>0</v>
      </c>
      <c r="L77" s="116" t="b">
        <v>0</v>
      </c>
      <c r="M77" s="116" t="b">
        <v>0</v>
      </c>
      <c r="N77" s="117">
        <f t="shared" si="3"/>
        <v>0</v>
      </c>
      <c r="O77" s="117">
        <f t="shared" si="4"/>
        <v>0</v>
      </c>
      <c r="P77" s="157" t="s">
        <v>314</v>
      </c>
      <c r="Q77" s="112"/>
    </row>
    <row r="78" ht="15.0" customHeight="1">
      <c r="A78" s="112"/>
      <c r="B78" s="112"/>
      <c r="C78" s="112"/>
      <c r="D78" s="129" t="s">
        <v>268</v>
      </c>
      <c r="E78" s="114" t="str">
        <f>VLOOKUP(D78,Data!H:I,2,0)</f>
        <v>Sivas</v>
      </c>
      <c r="F78" s="115" t="str">
        <f>VLOOKUP(D78,Data!H:J,3,0)</f>
        <v>Nazım Öztel</v>
      </c>
      <c r="G78" s="116" t="b">
        <v>0</v>
      </c>
      <c r="H78" s="116" t="b">
        <v>0</v>
      </c>
      <c r="I78" s="116" t="b">
        <v>0</v>
      </c>
      <c r="J78" s="116" t="b">
        <v>0</v>
      </c>
      <c r="K78" s="116" t="b">
        <v>0</v>
      </c>
      <c r="L78" s="116" t="b">
        <v>0</v>
      </c>
      <c r="M78" s="116" t="b">
        <v>0</v>
      </c>
      <c r="N78" s="117">
        <f t="shared" si="3"/>
        <v>0</v>
      </c>
      <c r="O78" s="117">
        <f t="shared" si="4"/>
        <v>0</v>
      </c>
      <c r="P78" s="157" t="s">
        <v>309</v>
      </c>
      <c r="Q78" s="112"/>
    </row>
    <row r="79" ht="15.0" customHeight="1">
      <c r="A79" s="112"/>
      <c r="B79" s="112"/>
      <c r="C79" s="112"/>
      <c r="D79" s="129" t="s">
        <v>104</v>
      </c>
      <c r="E79" s="114" t="str">
        <f>VLOOKUP(D79,Data!H:I,2,0)</f>
        <v>Tekirdağ</v>
      </c>
      <c r="F79" s="115" t="str">
        <f>VLOOKUP(D79,Data!H:J,3,0)</f>
        <v>Freelance</v>
      </c>
      <c r="G79" s="116" t="b">
        <v>0</v>
      </c>
      <c r="H79" s="116" t="b">
        <v>0</v>
      </c>
      <c r="I79" s="116" t="b">
        <v>0</v>
      </c>
      <c r="J79" s="116" t="b">
        <v>0</v>
      </c>
      <c r="K79" s="116" t="b">
        <v>0</v>
      </c>
      <c r="L79" s="116" t="b">
        <v>0</v>
      </c>
      <c r="M79" s="116" t="b">
        <v>0</v>
      </c>
      <c r="N79" s="117">
        <f t="shared" si="3"/>
        <v>0</v>
      </c>
      <c r="O79" s="117">
        <f t="shared" si="4"/>
        <v>0</v>
      </c>
      <c r="P79" s="157" t="s">
        <v>341</v>
      </c>
      <c r="Q79" s="112"/>
    </row>
    <row r="80" ht="15.0" customHeight="1">
      <c r="A80" s="112"/>
      <c r="B80" s="112"/>
      <c r="C80" s="112"/>
      <c r="D80" s="129" t="s">
        <v>258</v>
      </c>
      <c r="E80" s="114" t="str">
        <f>VLOOKUP(D80,Data!H:I,2,0)</f>
        <v>Tokat</v>
      </c>
      <c r="F80" s="115" t="str">
        <f>VLOOKUP(D80,Data!H:J,3,0)</f>
        <v>Nazım Öztel</v>
      </c>
      <c r="G80" s="116" t="b">
        <v>0</v>
      </c>
      <c r="H80" s="116" t="b">
        <v>0</v>
      </c>
      <c r="I80" s="116" t="b">
        <v>0</v>
      </c>
      <c r="J80" s="116" t="b">
        <v>0</v>
      </c>
      <c r="K80" s="116" t="b">
        <v>0</v>
      </c>
      <c r="L80" s="116" t="b">
        <v>0</v>
      </c>
      <c r="M80" s="116" t="b">
        <v>0</v>
      </c>
      <c r="N80" s="117">
        <f t="shared" si="3"/>
        <v>0</v>
      </c>
      <c r="O80" s="117">
        <f t="shared" si="4"/>
        <v>0</v>
      </c>
      <c r="P80" s="157" t="s">
        <v>369</v>
      </c>
      <c r="Q80" s="112"/>
    </row>
    <row r="81" ht="15.0" customHeight="1">
      <c r="A81" s="112"/>
      <c r="B81" s="112"/>
      <c r="C81" s="112"/>
      <c r="D81" s="129" t="s">
        <v>154</v>
      </c>
      <c r="E81" s="114" t="str">
        <f>VLOOKUP(D81,Data!H:I,2,0)</f>
        <v>Uşak</v>
      </c>
      <c r="F81" s="115" t="str">
        <f>VLOOKUP(D81,Data!H:J,3,0)</f>
        <v>Nazım Öztel</v>
      </c>
      <c r="G81" s="116" t="b">
        <v>0</v>
      </c>
      <c r="H81" s="116" t="b">
        <v>1</v>
      </c>
      <c r="I81" s="116" t="b">
        <v>0</v>
      </c>
      <c r="J81" s="116" t="b">
        <v>0</v>
      </c>
      <c r="K81" s="116" t="b">
        <v>0</v>
      </c>
      <c r="L81" s="116" t="b">
        <v>0</v>
      </c>
      <c r="M81" s="116" t="b">
        <v>0</v>
      </c>
      <c r="N81" s="117">
        <f t="shared" si="3"/>
        <v>1</v>
      </c>
      <c r="O81" s="117">
        <f t="shared" si="4"/>
        <v>4</v>
      </c>
      <c r="P81" s="157"/>
      <c r="Q81" s="112"/>
    </row>
    <row r="82" ht="15.0" customHeight="1">
      <c r="A82" s="112"/>
      <c r="B82" s="112"/>
      <c r="C82" s="112"/>
      <c r="D82" s="129" t="s">
        <v>276</v>
      </c>
      <c r="E82" s="114" t="str">
        <f>VLOOKUP(D82,Data!H:I,2,0)</f>
        <v>Zonguldak</v>
      </c>
      <c r="F82" s="115" t="str">
        <f>VLOOKUP(D82,Data!H:J,3,0)</f>
        <v>Nazım Öztel</v>
      </c>
      <c r="G82" s="116" t="b">
        <v>0</v>
      </c>
      <c r="H82" s="116" t="b">
        <v>0</v>
      </c>
      <c r="I82" s="116" t="b">
        <v>0</v>
      </c>
      <c r="J82" s="116" t="b">
        <v>0</v>
      </c>
      <c r="K82" s="116" t="b">
        <v>0</v>
      </c>
      <c r="L82" s="116" t="b">
        <v>0</v>
      </c>
      <c r="M82" s="116" t="b">
        <v>0</v>
      </c>
      <c r="N82" s="117">
        <f t="shared" si="3"/>
        <v>0</v>
      </c>
      <c r="O82" s="117">
        <f t="shared" si="4"/>
        <v>0</v>
      </c>
      <c r="P82" s="157" t="s">
        <v>369</v>
      </c>
      <c r="Q82" s="112"/>
    </row>
    <row r="83" ht="15.0" customHeight="1">
      <c r="A83" s="112"/>
      <c r="B83" s="112"/>
      <c r="C83" s="112"/>
      <c r="D83" s="113" t="s">
        <v>282</v>
      </c>
      <c r="E83" s="114" t="str">
        <f>VLOOKUP(D83,Data!H:I,2,0)</f>
        <v>Antalya</v>
      </c>
      <c r="F83" s="115" t="str">
        <f>VLOOKUP(D83,Data!H:J,3,0)</f>
        <v>Nazım Öztel</v>
      </c>
      <c r="G83" s="116" t="b">
        <v>0</v>
      </c>
      <c r="H83" s="116" t="b">
        <v>0</v>
      </c>
      <c r="I83" s="116" t="b">
        <v>0</v>
      </c>
      <c r="J83" s="116" t="b">
        <v>0</v>
      </c>
      <c r="K83" s="116" t="b">
        <v>0</v>
      </c>
      <c r="L83" s="116" t="b">
        <v>0</v>
      </c>
      <c r="M83" s="116" t="b">
        <v>0</v>
      </c>
      <c r="N83" s="117">
        <f t="shared" si="3"/>
        <v>0</v>
      </c>
      <c r="O83" s="117">
        <f t="shared" si="4"/>
        <v>0</v>
      </c>
      <c r="P83" s="157" t="s">
        <v>369</v>
      </c>
      <c r="Q83" s="112"/>
    </row>
    <row r="84" ht="15.0" customHeight="1">
      <c r="A84" s="112"/>
      <c r="B84" s="112"/>
      <c r="C84" s="112"/>
      <c r="D84" s="98" t="s">
        <v>283</v>
      </c>
      <c r="E84" s="114" t="str">
        <f>VLOOKUP(D84,Data!H:I,2,0)</f>
        <v>Adana</v>
      </c>
      <c r="F84" s="115" t="str">
        <f>VLOOKUP(D84,Data!H:J,3,0)</f>
        <v>Nazım Öztel</v>
      </c>
      <c r="G84" s="116" t="b">
        <v>0</v>
      </c>
      <c r="H84" s="116" t="b">
        <v>0</v>
      </c>
      <c r="I84" s="116" t="b">
        <v>0</v>
      </c>
      <c r="J84" s="116" t="b">
        <v>0</v>
      </c>
      <c r="K84" s="116" t="b">
        <v>0</v>
      </c>
      <c r="L84" s="116" t="b">
        <v>0</v>
      </c>
      <c r="M84" s="116" t="b">
        <v>0</v>
      </c>
      <c r="N84" s="117">
        <f t="shared" si="3"/>
        <v>0</v>
      </c>
      <c r="O84" s="117">
        <f t="shared" si="4"/>
        <v>0</v>
      </c>
      <c r="P84" s="157" t="s">
        <v>342</v>
      </c>
      <c r="Q84" s="112"/>
    </row>
    <row r="85" ht="15.0" customHeight="1">
      <c r="A85" s="112"/>
      <c r="B85" s="112"/>
      <c r="C85" s="112"/>
      <c r="D85" s="163" t="s">
        <v>284</v>
      </c>
      <c r="E85" s="114" t="str">
        <f>VLOOKUP(D85,Data!H:I,2,0)</f>
        <v>Iğdır</v>
      </c>
      <c r="F85" s="115" t="str">
        <f>VLOOKUP(D85,Data!H:J,3,0)</f>
        <v>Nazım Öztel</v>
      </c>
      <c r="G85" s="116" t="b">
        <v>0</v>
      </c>
      <c r="H85" s="116" t="b">
        <v>0</v>
      </c>
      <c r="I85" s="116" t="b">
        <v>0</v>
      </c>
      <c r="J85" s="116" t="b">
        <v>0</v>
      </c>
      <c r="K85" s="116" t="b">
        <v>0</v>
      </c>
      <c r="L85" s="116" t="b">
        <v>0</v>
      </c>
      <c r="M85" s="116" t="b">
        <v>0</v>
      </c>
      <c r="N85" s="117">
        <f t="shared" si="3"/>
        <v>0</v>
      </c>
      <c r="O85" s="117">
        <f t="shared" si="4"/>
        <v>0</v>
      </c>
      <c r="P85" s="157" t="s">
        <v>309</v>
      </c>
      <c r="Q85" s="112"/>
    </row>
    <row r="86" ht="15.0" customHeight="1">
      <c r="A86" s="112"/>
      <c r="B86" s="112"/>
      <c r="C86" s="112"/>
      <c r="D86" s="163" t="s">
        <v>285</v>
      </c>
      <c r="E86" s="114" t="str">
        <f>VLOOKUP(D86,Data!H:I,2,0)</f>
        <v>Bitlis</v>
      </c>
      <c r="F86" s="115" t="str">
        <f>VLOOKUP(D86,Data!H:J,3,0)</f>
        <v>Nazım Öztel</v>
      </c>
      <c r="G86" s="116" t="b">
        <v>0</v>
      </c>
      <c r="H86" s="116" t="b">
        <v>0</v>
      </c>
      <c r="I86" s="116" t="b">
        <v>0</v>
      </c>
      <c r="J86" s="116" t="b">
        <v>0</v>
      </c>
      <c r="K86" s="116" t="b">
        <v>0</v>
      </c>
      <c r="L86" s="116" t="b">
        <v>0</v>
      </c>
      <c r="M86" s="116" t="b">
        <v>0</v>
      </c>
      <c r="N86" s="117">
        <f t="shared" si="3"/>
        <v>0</v>
      </c>
      <c r="O86" s="117">
        <f t="shared" si="4"/>
        <v>0</v>
      </c>
      <c r="P86" s="157" t="s">
        <v>309</v>
      </c>
      <c r="Q86" s="112"/>
    </row>
    <row r="87" ht="15.0" customHeight="1">
      <c r="A87" s="112"/>
      <c r="B87" s="112"/>
      <c r="C87" s="112"/>
      <c r="D87" s="98" t="s">
        <v>286</v>
      </c>
      <c r="E87" s="114" t="str">
        <f>VLOOKUP(D87,Data!H:I,2,0)</f>
        <v>Trabzon</v>
      </c>
      <c r="F87" s="115" t="str">
        <f>VLOOKUP(D87,Data!H:J,3,0)</f>
        <v>Nazım Öztel</v>
      </c>
      <c r="G87" s="116" t="b">
        <v>0</v>
      </c>
      <c r="H87" s="116" t="b">
        <v>0</v>
      </c>
      <c r="I87" s="116" t="b">
        <v>0</v>
      </c>
      <c r="J87" s="116" t="b">
        <v>0</v>
      </c>
      <c r="K87" s="116" t="b">
        <v>0</v>
      </c>
      <c r="L87" s="116" t="b">
        <v>0</v>
      </c>
      <c r="M87" s="116" t="b">
        <v>0</v>
      </c>
      <c r="N87" s="117">
        <f t="shared" si="3"/>
        <v>0</v>
      </c>
      <c r="O87" s="117">
        <f t="shared" si="4"/>
        <v>0</v>
      </c>
      <c r="P87" s="157" t="s">
        <v>344</v>
      </c>
      <c r="Q87" s="112"/>
    </row>
    <row r="88" ht="15.0" customHeight="1">
      <c r="A88" s="112"/>
      <c r="B88" s="112"/>
      <c r="C88" s="112"/>
      <c r="D88" s="163" t="s">
        <v>354</v>
      </c>
      <c r="E88" s="114" t="s">
        <v>355</v>
      </c>
      <c r="F88" s="115" t="s">
        <v>61</v>
      </c>
      <c r="G88" s="116" t="b">
        <v>0</v>
      </c>
      <c r="H88" s="116" t="b">
        <v>0</v>
      </c>
      <c r="I88" s="116" t="b">
        <v>0</v>
      </c>
      <c r="J88" s="116" t="b">
        <v>0</v>
      </c>
      <c r="K88" s="116" t="b">
        <v>0</v>
      </c>
      <c r="L88" s="116" t="b">
        <v>1</v>
      </c>
      <c r="M88" s="116" t="b">
        <v>0</v>
      </c>
      <c r="N88" s="117">
        <f t="shared" si="3"/>
        <v>1</v>
      </c>
      <c r="O88" s="117">
        <f t="shared" si="4"/>
        <v>4</v>
      </c>
      <c r="P88" s="157"/>
      <c r="Q88" s="112"/>
    </row>
    <row r="89" ht="15.0" customHeight="1">
      <c r="A89" s="112"/>
      <c r="B89" s="112"/>
      <c r="C89" s="112"/>
      <c r="D89" s="98" t="s">
        <v>289</v>
      </c>
      <c r="E89" s="114" t="str">
        <f>VLOOKUP(D89,Data!H:I,2,0)</f>
        <v>Elazığ</v>
      </c>
      <c r="F89" s="115" t="str">
        <f>VLOOKUP(D89,Data!H:J,3,0)</f>
        <v>Nazım Öztel</v>
      </c>
      <c r="G89" s="116" t="b">
        <v>0</v>
      </c>
      <c r="H89" s="116" t="b">
        <v>0</v>
      </c>
      <c r="I89" s="116" t="b">
        <v>0</v>
      </c>
      <c r="J89" s="116" t="b">
        <v>0</v>
      </c>
      <c r="K89" s="116" t="b">
        <v>0</v>
      </c>
      <c r="L89" s="116" t="b">
        <v>0</v>
      </c>
      <c r="M89" s="116" t="b">
        <v>0</v>
      </c>
      <c r="N89" s="117">
        <f t="shared" si="3"/>
        <v>0</v>
      </c>
      <c r="O89" s="117">
        <f t="shared" si="4"/>
        <v>0</v>
      </c>
      <c r="P89" s="157" t="s">
        <v>369</v>
      </c>
      <c r="Q89" s="112"/>
    </row>
    <row r="90" ht="15.0" customHeight="1">
      <c r="A90" s="112"/>
      <c r="B90" s="112"/>
      <c r="C90" s="112"/>
      <c r="D90" s="98" t="s">
        <v>290</v>
      </c>
      <c r="E90" s="114" t="str">
        <f>VLOOKUP(D90,Data!H:I,2,0)</f>
        <v>Bayburt</v>
      </c>
      <c r="F90" s="115" t="str">
        <f>VLOOKUP(D90,Data!H:J,3,0)</f>
        <v>Nazım Öztel</v>
      </c>
      <c r="G90" s="116" t="b">
        <v>0</v>
      </c>
      <c r="H90" s="116" t="b">
        <v>0</v>
      </c>
      <c r="I90" s="116" t="b">
        <v>0</v>
      </c>
      <c r="J90" s="116" t="b">
        <v>0</v>
      </c>
      <c r="K90" s="116" t="b">
        <v>0</v>
      </c>
      <c r="L90" s="116" t="b">
        <v>0</v>
      </c>
      <c r="M90" s="116" t="b">
        <v>0</v>
      </c>
      <c r="N90" s="117">
        <f t="shared" si="3"/>
        <v>0</v>
      </c>
      <c r="O90" s="117">
        <f t="shared" si="4"/>
        <v>0</v>
      </c>
      <c r="P90" s="157" t="s">
        <v>369</v>
      </c>
      <c r="Q90" s="112"/>
    </row>
    <row r="91" ht="15.0" customHeight="1">
      <c r="A91" s="112"/>
      <c r="B91" s="112"/>
      <c r="C91" s="112"/>
      <c r="D91" s="98" t="s">
        <v>291</v>
      </c>
      <c r="E91" s="114" t="str">
        <f>VLOOKUP(D91,Data!H:I,2,0)</f>
        <v>Bingöl</v>
      </c>
      <c r="F91" s="115" t="str">
        <f>VLOOKUP(D91,Data!H:J,3,0)</f>
        <v>Nazım Öztel</v>
      </c>
      <c r="G91" s="116" t="b">
        <v>0</v>
      </c>
      <c r="H91" s="116" t="b">
        <v>0</v>
      </c>
      <c r="I91" s="116" t="b">
        <v>0</v>
      </c>
      <c r="J91" s="116" t="b">
        <v>0</v>
      </c>
      <c r="K91" s="116" t="b">
        <v>0</v>
      </c>
      <c r="L91" s="116" t="b">
        <v>0</v>
      </c>
      <c r="M91" s="116" t="b">
        <v>0</v>
      </c>
      <c r="N91" s="117">
        <f t="shared" si="3"/>
        <v>0</v>
      </c>
      <c r="O91" s="117">
        <f t="shared" si="4"/>
        <v>0</v>
      </c>
      <c r="P91" s="157" t="s">
        <v>369</v>
      </c>
      <c r="Q91" s="112"/>
    </row>
    <row r="92" ht="15.0" customHeight="1">
      <c r="A92" s="112"/>
      <c r="B92" s="112"/>
      <c r="C92" s="112"/>
      <c r="D92" s="98" t="s">
        <v>292</v>
      </c>
      <c r="E92" s="114" t="str">
        <f>VLOOKUP(D92,Data!H:I,2,0)</f>
        <v>Diyarbakır</v>
      </c>
      <c r="F92" s="115" t="str">
        <f>VLOOKUP(D92,Data!H:J,3,0)</f>
        <v>Nazım Öztel</v>
      </c>
      <c r="G92" s="116" t="b">
        <v>0</v>
      </c>
      <c r="H92" s="116" t="b">
        <v>0</v>
      </c>
      <c r="I92" s="116" t="b">
        <v>0</v>
      </c>
      <c r="J92" s="116" t="b">
        <v>0</v>
      </c>
      <c r="K92" s="116" t="b">
        <v>0</v>
      </c>
      <c r="L92" s="116" t="b">
        <v>0</v>
      </c>
      <c r="M92" s="116" t="b">
        <v>0</v>
      </c>
      <c r="N92" s="117">
        <f t="shared" si="3"/>
        <v>0</v>
      </c>
      <c r="O92" s="117">
        <f t="shared" si="4"/>
        <v>0</v>
      </c>
      <c r="P92" s="157" t="s">
        <v>369</v>
      </c>
      <c r="Q92" s="112"/>
    </row>
    <row r="93" ht="15.0" customHeight="1">
      <c r="A93" s="112"/>
      <c r="B93" s="112"/>
      <c r="C93" s="112"/>
      <c r="D93" s="164" t="s">
        <v>293</v>
      </c>
      <c r="E93" s="114" t="str">
        <f>VLOOKUP(D93,Data!H:I,2,0)</f>
        <v>Çanakkale</v>
      </c>
      <c r="F93" s="115" t="str">
        <f>VLOOKUP(D93,Data!H:J,3,0)</f>
        <v>Nazım Öztel</v>
      </c>
      <c r="G93" s="116" t="b">
        <v>0</v>
      </c>
      <c r="H93" s="116" t="b">
        <v>0</v>
      </c>
      <c r="I93" s="116" t="b">
        <v>0</v>
      </c>
      <c r="J93" s="116" t="b">
        <v>0</v>
      </c>
      <c r="K93" s="116" t="b">
        <v>0</v>
      </c>
      <c r="L93" s="116" t="b">
        <v>0</v>
      </c>
      <c r="M93" s="116" t="b">
        <v>0</v>
      </c>
      <c r="N93" s="117">
        <f t="shared" si="3"/>
        <v>0</v>
      </c>
      <c r="O93" s="117">
        <f t="shared" si="4"/>
        <v>0</v>
      </c>
      <c r="P93" s="157" t="s">
        <v>343</v>
      </c>
      <c r="Q93" s="112"/>
    </row>
    <row r="94" ht="15.0" customHeight="1">
      <c r="A94" s="112"/>
      <c r="B94" s="112"/>
      <c r="C94" s="112"/>
      <c r="D94" s="163" t="s">
        <v>325</v>
      </c>
      <c r="E94" s="114" t="s">
        <v>326</v>
      </c>
      <c r="F94" s="115" t="s">
        <v>61</v>
      </c>
      <c r="G94" s="139" t="b">
        <v>0</v>
      </c>
      <c r="H94" s="139" t="b">
        <v>0</v>
      </c>
      <c r="I94" s="139" t="b">
        <v>0</v>
      </c>
      <c r="J94" s="139" t="b">
        <v>0</v>
      </c>
      <c r="K94" s="139" t="b">
        <v>0</v>
      </c>
      <c r="L94" s="139" t="b">
        <v>0</v>
      </c>
      <c r="M94" s="139" t="b">
        <v>0</v>
      </c>
      <c r="N94" s="117">
        <f t="shared" si="3"/>
        <v>0</v>
      </c>
      <c r="O94" s="117">
        <f t="shared" si="4"/>
        <v>0</v>
      </c>
      <c r="P94" s="157" t="s">
        <v>343</v>
      </c>
      <c r="Q94" s="112"/>
    </row>
    <row r="95" ht="15.0" customHeight="1">
      <c r="A95" s="112"/>
      <c r="B95" s="112"/>
      <c r="C95" s="112"/>
      <c r="D95" s="98" t="s">
        <v>296</v>
      </c>
      <c r="E95" s="114" t="str">
        <f>VLOOKUP(D95,Data!H:I,2,0)</f>
        <v>Bilecik</v>
      </c>
      <c r="F95" s="115" t="str">
        <f>VLOOKUP(D95,Data!H:J,3,0)</f>
        <v>Nazım Öztel</v>
      </c>
      <c r="G95" s="139" t="b">
        <v>0</v>
      </c>
      <c r="H95" s="139" t="b">
        <v>0</v>
      </c>
      <c r="I95" s="139" t="b">
        <v>0</v>
      </c>
      <c r="J95" s="139" t="b">
        <v>0</v>
      </c>
      <c r="K95" s="139" t="b">
        <v>0</v>
      </c>
      <c r="L95" s="139" t="b">
        <v>0</v>
      </c>
      <c r="M95" s="139" t="b">
        <v>0</v>
      </c>
      <c r="N95" s="117">
        <f t="shared" ref="N95:O95" si="5">SUM(N15:N93)</f>
        <v>55</v>
      </c>
      <c r="O95" s="117">
        <f t="shared" si="5"/>
        <v>220</v>
      </c>
      <c r="P95" s="157" t="s">
        <v>369</v>
      </c>
      <c r="Q95" s="112"/>
    </row>
    <row r="96" ht="15.0" customHeight="1">
      <c r="A96" s="112"/>
      <c r="B96" s="112"/>
      <c r="C96" s="112"/>
      <c r="D96" s="150" t="s">
        <v>345</v>
      </c>
      <c r="E96" s="144" t="s">
        <v>346</v>
      </c>
      <c r="F96" s="115" t="s">
        <v>61</v>
      </c>
      <c r="G96" s="116" t="b">
        <v>0</v>
      </c>
      <c r="H96" s="116" t="b">
        <v>0</v>
      </c>
      <c r="I96" s="116" t="b">
        <v>0</v>
      </c>
      <c r="J96" s="116" t="b">
        <v>0</v>
      </c>
      <c r="K96" s="116" t="b">
        <v>0</v>
      </c>
      <c r="L96" s="116" t="b">
        <v>0</v>
      </c>
      <c r="M96" s="116" t="b">
        <v>0</v>
      </c>
      <c r="N96" s="117">
        <f t="shared" ref="N96:N97" si="6">COUNTIF(G96:M96,"TRUE")</f>
        <v>0</v>
      </c>
      <c r="O96" s="117">
        <f t="shared" ref="O96:O97" si="7">N96*4</f>
        <v>0</v>
      </c>
      <c r="P96" s="157" t="s">
        <v>369</v>
      </c>
      <c r="Q96" s="112"/>
    </row>
    <row r="97" ht="15.0" customHeight="1">
      <c r="A97" s="112"/>
      <c r="B97" s="112"/>
      <c r="C97" s="112"/>
      <c r="D97" s="150" t="s">
        <v>356</v>
      </c>
      <c r="E97" s="144" t="s">
        <v>357</v>
      </c>
      <c r="F97" s="144" t="s">
        <v>61</v>
      </c>
      <c r="G97" s="116" t="b">
        <v>0</v>
      </c>
      <c r="H97" s="116" t="b">
        <v>0</v>
      </c>
      <c r="I97" s="116" t="b">
        <v>0</v>
      </c>
      <c r="J97" s="116" t="b">
        <v>0</v>
      </c>
      <c r="K97" s="116" t="b">
        <v>0</v>
      </c>
      <c r="L97" s="116" t="b">
        <v>0</v>
      </c>
      <c r="M97" s="116" t="b">
        <v>0</v>
      </c>
      <c r="N97" s="117">
        <f t="shared" si="6"/>
        <v>0</v>
      </c>
      <c r="O97" s="117">
        <f t="shared" si="7"/>
        <v>0</v>
      </c>
      <c r="P97" s="157" t="s">
        <v>343</v>
      </c>
      <c r="Q97" s="112"/>
    </row>
    <row r="98" ht="15.0" customHeight="1">
      <c r="A98" s="112"/>
      <c r="B98" s="112"/>
      <c r="C98" s="112"/>
      <c r="D98" s="149"/>
      <c r="E98" s="144"/>
      <c r="F98" s="144"/>
      <c r="G98" s="135"/>
      <c r="H98" s="135"/>
      <c r="I98" s="135"/>
      <c r="J98" s="135"/>
      <c r="K98" s="135"/>
      <c r="L98" s="135"/>
      <c r="M98" s="135"/>
      <c r="N98" s="135"/>
      <c r="O98" s="135"/>
      <c r="P98" s="160"/>
      <c r="Q98" s="112"/>
    </row>
    <row r="99" ht="15.0" customHeight="1">
      <c r="A99" s="112"/>
      <c r="B99" s="112"/>
      <c r="C99" s="112"/>
      <c r="D99" s="149"/>
      <c r="E99" s="144"/>
      <c r="F99" s="144"/>
      <c r="G99" s="135"/>
      <c r="H99" s="135"/>
      <c r="I99" s="135"/>
      <c r="J99" s="135"/>
      <c r="K99" s="135"/>
      <c r="L99" s="135"/>
      <c r="M99" s="135"/>
      <c r="N99" s="135"/>
      <c r="O99" s="135"/>
      <c r="P99" s="160"/>
      <c r="Q99" s="112"/>
    </row>
    <row r="100">
      <c r="P100" s="161"/>
    </row>
    <row r="101">
      <c r="P101" s="161"/>
    </row>
    <row r="102">
      <c r="P102" s="161"/>
    </row>
    <row r="103">
      <c r="P103" s="161"/>
    </row>
    <row r="104">
      <c r="P104" s="161"/>
    </row>
    <row r="105">
      <c r="P105" s="161"/>
    </row>
    <row r="106">
      <c r="P106" s="161"/>
    </row>
    <row r="107">
      <c r="P107" s="161"/>
    </row>
    <row r="108">
      <c r="P108" s="161"/>
    </row>
    <row r="109">
      <c r="P109" s="161"/>
    </row>
    <row r="110">
      <c r="P110" s="161"/>
    </row>
    <row r="111">
      <c r="P111" s="161"/>
    </row>
    <row r="112">
      <c r="P112" s="161"/>
    </row>
    <row r="113">
      <c r="P113" s="161"/>
    </row>
    <row r="114">
      <c r="P114" s="161"/>
    </row>
    <row r="115">
      <c r="P115" s="161"/>
    </row>
    <row r="116">
      <c r="P116" s="161"/>
    </row>
    <row r="117">
      <c r="P117" s="161"/>
    </row>
    <row r="118">
      <c r="P118" s="161"/>
    </row>
    <row r="119">
      <c r="P119" s="161"/>
    </row>
    <row r="120">
      <c r="P120" s="161"/>
    </row>
    <row r="121">
      <c r="P121" s="161"/>
    </row>
    <row r="122">
      <c r="P122" s="161"/>
    </row>
    <row r="123">
      <c r="P123" s="161"/>
    </row>
    <row r="124">
      <c r="P124" s="161"/>
    </row>
    <row r="125">
      <c r="P125" s="161"/>
    </row>
    <row r="126">
      <c r="P126" s="161"/>
    </row>
    <row r="127">
      <c r="P127" s="161"/>
    </row>
    <row r="128">
      <c r="P128" s="161"/>
    </row>
    <row r="129">
      <c r="P129" s="161"/>
    </row>
    <row r="130">
      <c r="P130" s="161"/>
    </row>
    <row r="131">
      <c r="P131" s="161"/>
    </row>
    <row r="132">
      <c r="P132" s="161"/>
    </row>
    <row r="133">
      <c r="P133" s="161"/>
    </row>
    <row r="134">
      <c r="P134" s="161"/>
    </row>
    <row r="135">
      <c r="P135" s="161"/>
    </row>
    <row r="136">
      <c r="P136" s="161"/>
    </row>
    <row r="137">
      <c r="P137" s="161"/>
    </row>
    <row r="138">
      <c r="P138" s="161"/>
    </row>
    <row r="139">
      <c r="P139" s="161"/>
    </row>
    <row r="140">
      <c r="P140" s="161"/>
    </row>
    <row r="141">
      <c r="P141" s="161"/>
    </row>
    <row r="142">
      <c r="P142" s="161"/>
    </row>
    <row r="143">
      <c r="P143" s="161"/>
    </row>
    <row r="144">
      <c r="P144" s="161"/>
    </row>
    <row r="145">
      <c r="P145" s="161"/>
    </row>
    <row r="146">
      <c r="P146" s="161"/>
    </row>
    <row r="147">
      <c r="P147" s="161"/>
    </row>
    <row r="148">
      <c r="P148" s="161"/>
    </row>
    <row r="149">
      <c r="P149" s="161"/>
    </row>
    <row r="150">
      <c r="P150" s="161"/>
    </row>
    <row r="151">
      <c r="P151" s="161"/>
    </row>
    <row r="152">
      <c r="P152" s="161"/>
    </row>
    <row r="153">
      <c r="P153" s="161"/>
    </row>
    <row r="154">
      <c r="P154" s="161"/>
    </row>
    <row r="155">
      <c r="P155" s="161"/>
    </row>
    <row r="156">
      <c r="P156" s="161"/>
    </row>
    <row r="157">
      <c r="P157" s="161"/>
    </row>
    <row r="158">
      <c r="P158" s="161"/>
    </row>
    <row r="159">
      <c r="P159" s="161"/>
    </row>
    <row r="160">
      <c r="P160" s="161"/>
    </row>
    <row r="161">
      <c r="P161" s="161"/>
    </row>
    <row r="162">
      <c r="P162" s="161"/>
    </row>
    <row r="163">
      <c r="P163" s="161"/>
    </row>
    <row r="164">
      <c r="P164" s="161"/>
    </row>
    <row r="165">
      <c r="P165" s="161"/>
    </row>
    <row r="166">
      <c r="P166" s="161"/>
    </row>
    <row r="167">
      <c r="P167" s="161"/>
    </row>
    <row r="168">
      <c r="P168" s="161"/>
    </row>
    <row r="169">
      <c r="P169" s="161"/>
    </row>
    <row r="170">
      <c r="P170" s="161"/>
    </row>
    <row r="171">
      <c r="P171" s="161"/>
    </row>
    <row r="172">
      <c r="P172" s="161"/>
    </row>
    <row r="173">
      <c r="P173" s="161"/>
    </row>
    <row r="174">
      <c r="P174" s="161"/>
    </row>
    <row r="175">
      <c r="P175" s="161"/>
    </row>
    <row r="176">
      <c r="P176" s="161"/>
    </row>
    <row r="177">
      <c r="P177" s="161"/>
    </row>
    <row r="178">
      <c r="P178" s="161"/>
    </row>
    <row r="179">
      <c r="P179" s="161"/>
    </row>
    <row r="180">
      <c r="P180" s="161"/>
    </row>
    <row r="181">
      <c r="P181" s="161"/>
    </row>
    <row r="182">
      <c r="P182" s="161"/>
    </row>
    <row r="183">
      <c r="P183" s="161"/>
    </row>
    <row r="184">
      <c r="P184" s="161"/>
    </row>
    <row r="185">
      <c r="P185" s="161"/>
    </row>
    <row r="186">
      <c r="P186" s="161"/>
    </row>
    <row r="187">
      <c r="P187" s="161"/>
    </row>
    <row r="188">
      <c r="P188" s="161"/>
    </row>
    <row r="189">
      <c r="P189" s="161"/>
    </row>
    <row r="190">
      <c r="P190" s="161"/>
    </row>
    <row r="191">
      <c r="P191" s="161"/>
    </row>
    <row r="192">
      <c r="P192" s="161"/>
    </row>
    <row r="193">
      <c r="P193" s="161"/>
    </row>
    <row r="194">
      <c r="P194" s="161"/>
    </row>
    <row r="195">
      <c r="P195" s="161"/>
    </row>
    <row r="196">
      <c r="P196" s="161"/>
    </row>
    <row r="197">
      <c r="P197" s="161"/>
    </row>
    <row r="198">
      <c r="P198" s="161"/>
    </row>
    <row r="199">
      <c r="P199" s="161"/>
    </row>
    <row r="200">
      <c r="P200" s="161"/>
    </row>
    <row r="201">
      <c r="P201" s="161"/>
    </row>
    <row r="202">
      <c r="P202" s="161"/>
    </row>
    <row r="203">
      <c r="P203" s="161"/>
    </row>
    <row r="204">
      <c r="P204" s="161"/>
    </row>
    <row r="205">
      <c r="P205" s="161"/>
    </row>
    <row r="206">
      <c r="P206" s="161"/>
    </row>
    <row r="207">
      <c r="P207" s="161"/>
    </row>
    <row r="208">
      <c r="P208" s="161"/>
    </row>
    <row r="209">
      <c r="P209" s="161"/>
    </row>
    <row r="210">
      <c r="P210" s="161"/>
    </row>
    <row r="211">
      <c r="P211" s="161"/>
    </row>
    <row r="212">
      <c r="P212" s="161"/>
    </row>
    <row r="213">
      <c r="P213" s="161"/>
    </row>
    <row r="214">
      <c r="P214" s="161"/>
    </row>
    <row r="215">
      <c r="P215" s="161"/>
    </row>
    <row r="216">
      <c r="P216" s="161"/>
    </row>
    <row r="217">
      <c r="P217" s="161"/>
    </row>
    <row r="218">
      <c r="P218" s="161"/>
    </row>
    <row r="219">
      <c r="P219" s="161"/>
    </row>
    <row r="220">
      <c r="P220" s="161"/>
    </row>
    <row r="221">
      <c r="P221" s="161"/>
    </row>
    <row r="222">
      <c r="P222" s="161"/>
    </row>
    <row r="223">
      <c r="P223" s="161"/>
    </row>
    <row r="224">
      <c r="P224" s="161"/>
    </row>
    <row r="225">
      <c r="P225" s="161"/>
    </row>
    <row r="226">
      <c r="P226" s="161"/>
    </row>
    <row r="227">
      <c r="P227" s="161"/>
    </row>
    <row r="228">
      <c r="P228" s="161"/>
    </row>
    <row r="229">
      <c r="P229" s="161"/>
    </row>
    <row r="230">
      <c r="P230" s="161"/>
    </row>
    <row r="231">
      <c r="P231" s="161"/>
    </row>
    <row r="232">
      <c r="P232" s="161"/>
    </row>
    <row r="233">
      <c r="P233" s="161"/>
    </row>
    <row r="234">
      <c r="P234" s="161"/>
    </row>
    <row r="235">
      <c r="P235" s="161"/>
    </row>
    <row r="236">
      <c r="P236" s="161"/>
    </row>
    <row r="237">
      <c r="P237" s="161"/>
    </row>
    <row r="238">
      <c r="P238" s="161"/>
    </row>
    <row r="239">
      <c r="P239" s="161"/>
    </row>
    <row r="240">
      <c r="P240" s="161"/>
    </row>
    <row r="241">
      <c r="P241" s="161"/>
    </row>
    <row r="242">
      <c r="P242" s="161"/>
    </row>
    <row r="243">
      <c r="P243" s="161"/>
    </row>
    <row r="244">
      <c r="P244" s="161"/>
    </row>
    <row r="245">
      <c r="P245" s="161"/>
    </row>
    <row r="246">
      <c r="P246" s="161"/>
    </row>
    <row r="247">
      <c r="P247" s="161"/>
    </row>
    <row r="248">
      <c r="P248" s="161"/>
    </row>
    <row r="249">
      <c r="P249" s="161"/>
    </row>
    <row r="250">
      <c r="P250" s="161"/>
    </row>
    <row r="251">
      <c r="P251" s="161"/>
    </row>
    <row r="252">
      <c r="P252" s="161"/>
    </row>
    <row r="253">
      <c r="P253" s="161"/>
    </row>
    <row r="254">
      <c r="P254" s="161"/>
    </row>
    <row r="255">
      <c r="P255" s="161"/>
    </row>
    <row r="256">
      <c r="P256" s="161"/>
    </row>
    <row r="257">
      <c r="P257" s="161"/>
    </row>
    <row r="258">
      <c r="P258" s="161"/>
    </row>
    <row r="259">
      <c r="P259" s="161"/>
    </row>
    <row r="260">
      <c r="P260" s="161"/>
    </row>
    <row r="261">
      <c r="P261" s="161"/>
    </row>
    <row r="262">
      <c r="P262" s="161"/>
    </row>
    <row r="263">
      <c r="P263" s="161"/>
    </row>
    <row r="264">
      <c r="P264" s="161"/>
    </row>
    <row r="265">
      <c r="P265" s="161"/>
    </row>
    <row r="266">
      <c r="P266" s="161"/>
    </row>
    <row r="267">
      <c r="P267" s="161"/>
    </row>
    <row r="268">
      <c r="P268" s="161"/>
    </row>
    <row r="269">
      <c r="P269" s="161"/>
    </row>
    <row r="270">
      <c r="P270" s="161"/>
    </row>
    <row r="271">
      <c r="P271" s="161"/>
    </row>
    <row r="272">
      <c r="P272" s="161"/>
    </row>
    <row r="273">
      <c r="P273" s="161"/>
    </row>
    <row r="274">
      <c r="P274" s="161"/>
    </row>
    <row r="275">
      <c r="P275" s="161"/>
    </row>
    <row r="276">
      <c r="P276" s="161"/>
    </row>
    <row r="277">
      <c r="P277" s="161"/>
    </row>
    <row r="278">
      <c r="P278" s="161"/>
    </row>
    <row r="279">
      <c r="P279" s="161"/>
    </row>
    <row r="280">
      <c r="P280" s="161"/>
    </row>
    <row r="281">
      <c r="P281" s="161"/>
    </row>
    <row r="282">
      <c r="P282" s="161"/>
    </row>
    <row r="283">
      <c r="P283" s="161"/>
    </row>
    <row r="284">
      <c r="P284" s="161"/>
    </row>
    <row r="285">
      <c r="P285" s="161"/>
    </row>
    <row r="286">
      <c r="P286" s="161"/>
    </row>
    <row r="287">
      <c r="P287" s="161"/>
    </row>
    <row r="288">
      <c r="P288" s="161"/>
    </row>
    <row r="289">
      <c r="P289" s="161"/>
    </row>
    <row r="290">
      <c r="P290" s="161"/>
    </row>
    <row r="291">
      <c r="P291" s="161"/>
    </row>
    <row r="292">
      <c r="P292" s="161"/>
    </row>
    <row r="293">
      <c r="P293" s="161"/>
    </row>
    <row r="294">
      <c r="P294" s="161"/>
    </row>
    <row r="295">
      <c r="P295" s="161"/>
    </row>
    <row r="296">
      <c r="P296" s="161"/>
    </row>
    <row r="297">
      <c r="P297" s="161"/>
    </row>
    <row r="298">
      <c r="P298" s="161"/>
    </row>
    <row r="299">
      <c r="P299" s="161"/>
    </row>
    <row r="300">
      <c r="P300" s="161"/>
    </row>
    <row r="301">
      <c r="P301" s="161"/>
    </row>
    <row r="302">
      <c r="P302" s="161"/>
    </row>
    <row r="303">
      <c r="P303" s="161"/>
    </row>
    <row r="304">
      <c r="P304" s="161"/>
    </row>
    <row r="305">
      <c r="P305" s="161"/>
    </row>
    <row r="306">
      <c r="P306" s="161"/>
    </row>
    <row r="307">
      <c r="P307" s="161"/>
    </row>
    <row r="308">
      <c r="P308" s="161"/>
    </row>
    <row r="309">
      <c r="P309" s="161"/>
    </row>
    <row r="310">
      <c r="P310" s="161"/>
    </row>
    <row r="311">
      <c r="P311" s="161"/>
    </row>
    <row r="312">
      <c r="P312" s="161"/>
    </row>
    <row r="313">
      <c r="P313" s="161"/>
    </row>
    <row r="314">
      <c r="P314" s="161"/>
    </row>
    <row r="315">
      <c r="P315" s="161"/>
    </row>
    <row r="316">
      <c r="P316" s="161"/>
    </row>
    <row r="317">
      <c r="P317" s="161"/>
    </row>
    <row r="318">
      <c r="P318" s="161"/>
    </row>
    <row r="319">
      <c r="P319" s="161"/>
    </row>
    <row r="320">
      <c r="P320" s="161"/>
    </row>
    <row r="321">
      <c r="P321" s="161"/>
    </row>
    <row r="322">
      <c r="P322" s="161"/>
    </row>
    <row r="323">
      <c r="P323" s="161"/>
    </row>
    <row r="324">
      <c r="P324" s="161"/>
    </row>
    <row r="325">
      <c r="P325" s="161"/>
    </row>
    <row r="326">
      <c r="P326" s="161"/>
    </row>
    <row r="327">
      <c r="P327" s="161"/>
    </row>
    <row r="328">
      <c r="P328" s="161"/>
    </row>
    <row r="329">
      <c r="P329" s="161"/>
    </row>
    <row r="330">
      <c r="P330" s="161"/>
    </row>
    <row r="331">
      <c r="P331" s="161"/>
    </row>
    <row r="332">
      <c r="P332" s="161"/>
    </row>
    <row r="333">
      <c r="P333" s="161"/>
    </row>
    <row r="334">
      <c r="P334" s="161"/>
    </row>
    <row r="335">
      <c r="P335" s="161"/>
    </row>
    <row r="336">
      <c r="P336" s="161"/>
    </row>
    <row r="337">
      <c r="P337" s="161"/>
    </row>
    <row r="338">
      <c r="P338" s="161"/>
    </row>
    <row r="339">
      <c r="P339" s="161"/>
    </row>
    <row r="340">
      <c r="P340" s="161"/>
    </row>
    <row r="341">
      <c r="P341" s="161"/>
    </row>
    <row r="342">
      <c r="P342" s="161"/>
    </row>
    <row r="343">
      <c r="P343" s="161"/>
    </row>
    <row r="344">
      <c r="P344" s="161"/>
    </row>
    <row r="345">
      <c r="P345" s="161"/>
    </row>
    <row r="346">
      <c r="P346" s="161"/>
    </row>
    <row r="347">
      <c r="P347" s="161"/>
    </row>
    <row r="348">
      <c r="P348" s="161"/>
    </row>
    <row r="349">
      <c r="P349" s="161"/>
    </row>
    <row r="350">
      <c r="P350" s="161"/>
    </row>
    <row r="351">
      <c r="P351" s="161"/>
    </row>
    <row r="352">
      <c r="P352" s="161"/>
    </row>
    <row r="353">
      <c r="P353" s="161"/>
    </row>
    <row r="354">
      <c r="P354" s="161"/>
    </row>
    <row r="355">
      <c r="P355" s="161"/>
    </row>
    <row r="356">
      <c r="P356" s="161"/>
    </row>
    <row r="357">
      <c r="P357" s="161"/>
    </row>
    <row r="358">
      <c r="P358" s="161"/>
    </row>
    <row r="359">
      <c r="P359" s="161"/>
    </row>
    <row r="360">
      <c r="P360" s="161"/>
    </row>
    <row r="361">
      <c r="P361" s="161"/>
    </row>
    <row r="362">
      <c r="P362" s="161"/>
    </row>
    <row r="363">
      <c r="P363" s="161"/>
    </row>
    <row r="364">
      <c r="P364" s="161"/>
    </row>
    <row r="365">
      <c r="P365" s="161"/>
    </row>
    <row r="366">
      <c r="P366" s="161"/>
    </row>
    <row r="367">
      <c r="P367" s="161"/>
    </row>
    <row r="368">
      <c r="P368" s="161"/>
    </row>
    <row r="369">
      <c r="P369" s="161"/>
    </row>
    <row r="370">
      <c r="P370" s="161"/>
    </row>
    <row r="371">
      <c r="P371" s="161"/>
    </row>
    <row r="372">
      <c r="P372" s="161"/>
    </row>
    <row r="373">
      <c r="P373" s="161"/>
    </row>
    <row r="374">
      <c r="P374" s="161"/>
    </row>
    <row r="375">
      <c r="P375" s="161"/>
    </row>
    <row r="376">
      <c r="P376" s="161"/>
    </row>
    <row r="377">
      <c r="P377" s="161"/>
    </row>
    <row r="378">
      <c r="P378" s="161"/>
    </row>
    <row r="379">
      <c r="P379" s="161"/>
    </row>
    <row r="380">
      <c r="P380" s="161"/>
    </row>
    <row r="381">
      <c r="P381" s="161"/>
    </row>
    <row r="382">
      <c r="P382" s="161"/>
    </row>
    <row r="383">
      <c r="P383" s="161"/>
    </row>
    <row r="384">
      <c r="P384" s="161"/>
    </row>
    <row r="385">
      <c r="P385" s="161"/>
    </row>
    <row r="386">
      <c r="P386" s="161"/>
    </row>
    <row r="387">
      <c r="P387" s="161"/>
    </row>
    <row r="388">
      <c r="P388" s="161"/>
    </row>
    <row r="389">
      <c r="P389" s="161"/>
    </row>
    <row r="390">
      <c r="P390" s="161"/>
    </row>
    <row r="391">
      <c r="P391" s="161"/>
    </row>
    <row r="392">
      <c r="P392" s="161"/>
    </row>
    <row r="393">
      <c r="P393" s="161"/>
    </row>
    <row r="394">
      <c r="P394" s="161"/>
    </row>
    <row r="395">
      <c r="P395" s="161"/>
    </row>
    <row r="396">
      <c r="P396" s="161"/>
    </row>
    <row r="397">
      <c r="P397" s="161"/>
    </row>
    <row r="398">
      <c r="P398" s="161"/>
    </row>
    <row r="399">
      <c r="P399" s="161"/>
    </row>
    <row r="400">
      <c r="P400" s="161"/>
    </row>
    <row r="401">
      <c r="P401" s="161"/>
    </row>
    <row r="402">
      <c r="P402" s="161"/>
    </row>
    <row r="403">
      <c r="P403" s="161"/>
    </row>
    <row r="404">
      <c r="P404" s="161"/>
    </row>
    <row r="405">
      <c r="P405" s="161"/>
    </row>
    <row r="406">
      <c r="P406" s="161"/>
    </row>
    <row r="407">
      <c r="P407" s="161"/>
    </row>
    <row r="408">
      <c r="P408" s="161"/>
    </row>
    <row r="409">
      <c r="P409" s="161"/>
    </row>
    <row r="410">
      <c r="P410" s="161"/>
    </row>
    <row r="411">
      <c r="P411" s="161"/>
    </row>
    <row r="412">
      <c r="P412" s="161"/>
    </row>
    <row r="413">
      <c r="P413" s="161"/>
    </row>
    <row r="414">
      <c r="P414" s="161"/>
    </row>
    <row r="415">
      <c r="P415" s="161"/>
    </row>
    <row r="416">
      <c r="P416" s="161"/>
    </row>
    <row r="417">
      <c r="P417" s="161"/>
    </row>
    <row r="418">
      <c r="P418" s="161"/>
    </row>
    <row r="419">
      <c r="P419" s="161"/>
    </row>
    <row r="420">
      <c r="P420" s="161"/>
    </row>
    <row r="421">
      <c r="P421" s="161"/>
    </row>
    <row r="422">
      <c r="P422" s="161"/>
    </row>
    <row r="423">
      <c r="P423" s="161"/>
    </row>
    <row r="424">
      <c r="P424" s="161"/>
    </row>
    <row r="425">
      <c r="P425" s="161"/>
    </row>
    <row r="426">
      <c r="P426" s="161"/>
    </row>
    <row r="427">
      <c r="P427" s="161"/>
    </row>
    <row r="428">
      <c r="P428" s="161"/>
    </row>
    <row r="429">
      <c r="P429" s="161"/>
    </row>
    <row r="430">
      <c r="P430" s="161"/>
    </row>
    <row r="431">
      <c r="P431" s="161"/>
    </row>
    <row r="432">
      <c r="P432" s="161"/>
    </row>
    <row r="433">
      <c r="P433" s="161"/>
    </row>
    <row r="434">
      <c r="P434" s="161"/>
    </row>
    <row r="435">
      <c r="P435" s="161"/>
    </row>
    <row r="436">
      <c r="P436" s="161"/>
    </row>
    <row r="437">
      <c r="P437" s="161"/>
    </row>
    <row r="438">
      <c r="P438" s="161"/>
    </row>
    <row r="439">
      <c r="P439" s="161"/>
    </row>
    <row r="440">
      <c r="P440" s="161"/>
    </row>
    <row r="441">
      <c r="P441" s="161"/>
    </row>
    <row r="442">
      <c r="P442" s="161"/>
    </row>
    <row r="443">
      <c r="P443" s="161"/>
    </row>
    <row r="444">
      <c r="P444" s="161"/>
    </row>
    <row r="445">
      <c r="P445" s="161"/>
    </row>
    <row r="446">
      <c r="P446" s="161"/>
    </row>
    <row r="447">
      <c r="P447" s="161"/>
    </row>
    <row r="448">
      <c r="P448" s="161"/>
    </row>
    <row r="449">
      <c r="P449" s="161"/>
    </row>
    <row r="450">
      <c r="P450" s="161"/>
    </row>
    <row r="451">
      <c r="P451" s="161"/>
    </row>
    <row r="452">
      <c r="P452" s="161"/>
    </row>
    <row r="453">
      <c r="P453" s="161"/>
    </row>
    <row r="454">
      <c r="P454" s="161"/>
    </row>
    <row r="455">
      <c r="P455" s="161"/>
    </row>
    <row r="456">
      <c r="P456" s="161"/>
    </row>
    <row r="457">
      <c r="P457" s="161"/>
    </row>
    <row r="458">
      <c r="P458" s="161"/>
    </row>
    <row r="459">
      <c r="P459" s="161"/>
    </row>
    <row r="460">
      <c r="P460" s="161"/>
    </row>
    <row r="461">
      <c r="P461" s="161"/>
    </row>
    <row r="462">
      <c r="P462" s="161"/>
    </row>
    <row r="463">
      <c r="P463" s="161"/>
    </row>
    <row r="464">
      <c r="P464" s="161"/>
    </row>
    <row r="465">
      <c r="P465" s="161"/>
    </row>
    <row r="466">
      <c r="P466" s="161"/>
    </row>
    <row r="467">
      <c r="P467" s="161"/>
    </row>
    <row r="468">
      <c r="P468" s="161"/>
    </row>
    <row r="469">
      <c r="P469" s="161"/>
    </row>
    <row r="470">
      <c r="P470" s="161"/>
    </row>
    <row r="471">
      <c r="P471" s="161"/>
    </row>
    <row r="472">
      <c r="P472" s="161"/>
    </row>
    <row r="473">
      <c r="P473" s="161"/>
    </row>
    <row r="474">
      <c r="P474" s="161"/>
    </row>
    <row r="475">
      <c r="P475" s="161"/>
    </row>
    <row r="476">
      <c r="P476" s="161"/>
    </row>
    <row r="477">
      <c r="P477" s="161"/>
    </row>
    <row r="478">
      <c r="P478" s="161"/>
    </row>
    <row r="479">
      <c r="P479" s="161"/>
    </row>
    <row r="480">
      <c r="P480" s="161"/>
    </row>
    <row r="481">
      <c r="P481" s="161"/>
    </row>
    <row r="482">
      <c r="P482" s="161"/>
    </row>
    <row r="483">
      <c r="P483" s="161"/>
    </row>
    <row r="484">
      <c r="P484" s="161"/>
    </row>
    <row r="485">
      <c r="P485" s="161"/>
    </row>
    <row r="486">
      <c r="P486" s="161"/>
    </row>
    <row r="487">
      <c r="P487" s="161"/>
    </row>
    <row r="488">
      <c r="P488" s="161"/>
    </row>
    <row r="489">
      <c r="P489" s="161"/>
    </row>
    <row r="490">
      <c r="P490" s="161"/>
    </row>
    <row r="491">
      <c r="P491" s="161"/>
    </row>
    <row r="492">
      <c r="P492" s="161"/>
    </row>
    <row r="493">
      <c r="P493" s="161"/>
    </row>
    <row r="494">
      <c r="P494" s="161"/>
    </row>
    <row r="495">
      <c r="P495" s="161"/>
    </row>
    <row r="496">
      <c r="P496" s="161"/>
    </row>
    <row r="497">
      <c r="P497" s="161"/>
    </row>
    <row r="498">
      <c r="P498" s="161"/>
    </row>
    <row r="499">
      <c r="P499" s="161"/>
    </row>
    <row r="500">
      <c r="P500" s="161"/>
    </row>
    <row r="501">
      <c r="P501" s="161"/>
    </row>
    <row r="502">
      <c r="P502" s="161"/>
    </row>
    <row r="503">
      <c r="P503" s="161"/>
    </row>
    <row r="504">
      <c r="P504" s="161"/>
    </row>
    <row r="505">
      <c r="P505" s="161"/>
    </row>
    <row r="506">
      <c r="P506" s="161"/>
    </row>
    <row r="507">
      <c r="P507" s="161"/>
    </row>
    <row r="508">
      <c r="P508" s="161"/>
    </row>
    <row r="509">
      <c r="P509" s="161"/>
    </row>
    <row r="510">
      <c r="P510" s="161"/>
    </row>
    <row r="511">
      <c r="P511" s="161"/>
    </row>
    <row r="512">
      <c r="P512" s="161"/>
    </row>
    <row r="513">
      <c r="P513" s="161"/>
    </row>
    <row r="514">
      <c r="P514" s="161"/>
    </row>
    <row r="515">
      <c r="P515" s="161"/>
    </row>
    <row r="516">
      <c r="P516" s="161"/>
    </row>
    <row r="517">
      <c r="P517" s="161"/>
    </row>
    <row r="518">
      <c r="P518" s="161"/>
    </row>
    <row r="519">
      <c r="P519" s="161"/>
    </row>
    <row r="520">
      <c r="P520" s="161"/>
    </row>
    <row r="521">
      <c r="P521" s="161"/>
    </row>
    <row r="522">
      <c r="P522" s="161"/>
    </row>
    <row r="523">
      <c r="P523" s="161"/>
    </row>
    <row r="524">
      <c r="P524" s="161"/>
    </row>
    <row r="525">
      <c r="P525" s="161"/>
    </row>
    <row r="526">
      <c r="P526" s="161"/>
    </row>
    <row r="527">
      <c r="P527" s="161"/>
    </row>
    <row r="528">
      <c r="P528" s="161"/>
    </row>
    <row r="529">
      <c r="P529" s="161"/>
    </row>
    <row r="530">
      <c r="P530" s="161"/>
    </row>
    <row r="531">
      <c r="P531" s="161"/>
    </row>
    <row r="532">
      <c r="P532" s="161"/>
    </row>
    <row r="533">
      <c r="P533" s="161"/>
    </row>
    <row r="534">
      <c r="P534" s="161"/>
    </row>
    <row r="535">
      <c r="P535" s="161"/>
    </row>
    <row r="536">
      <c r="P536" s="161"/>
    </row>
    <row r="537">
      <c r="P537" s="161"/>
    </row>
    <row r="538">
      <c r="P538" s="161"/>
    </row>
    <row r="539">
      <c r="P539" s="161"/>
    </row>
    <row r="540">
      <c r="P540" s="161"/>
    </row>
    <row r="541">
      <c r="P541" s="161"/>
    </row>
    <row r="542">
      <c r="P542" s="161"/>
    </row>
    <row r="543">
      <c r="P543" s="161"/>
    </row>
    <row r="544">
      <c r="P544" s="161"/>
    </row>
    <row r="545">
      <c r="P545" s="161"/>
    </row>
    <row r="546">
      <c r="P546" s="161"/>
    </row>
    <row r="547">
      <c r="P547" s="161"/>
    </row>
    <row r="548">
      <c r="P548" s="161"/>
    </row>
    <row r="549">
      <c r="P549" s="161"/>
    </row>
    <row r="550">
      <c r="P550" s="161"/>
    </row>
    <row r="551">
      <c r="P551" s="161"/>
    </row>
    <row r="552">
      <c r="P552" s="161"/>
    </row>
    <row r="553">
      <c r="P553" s="161"/>
    </row>
    <row r="554">
      <c r="P554" s="161"/>
    </row>
    <row r="555">
      <c r="P555" s="161"/>
    </row>
    <row r="556">
      <c r="P556" s="161"/>
    </row>
    <row r="557">
      <c r="P557" s="161"/>
    </row>
    <row r="558">
      <c r="P558" s="161"/>
    </row>
    <row r="559">
      <c r="P559" s="161"/>
    </row>
    <row r="560">
      <c r="P560" s="161"/>
    </row>
    <row r="561">
      <c r="P561" s="161"/>
    </row>
    <row r="562">
      <c r="P562" s="161"/>
    </row>
    <row r="563">
      <c r="P563" s="161"/>
    </row>
    <row r="564">
      <c r="P564" s="161"/>
    </row>
    <row r="565">
      <c r="P565" s="161"/>
    </row>
    <row r="566">
      <c r="P566" s="161"/>
    </row>
    <row r="567">
      <c r="P567" s="161"/>
    </row>
    <row r="568">
      <c r="P568" s="161"/>
    </row>
    <row r="569">
      <c r="P569" s="161"/>
    </row>
    <row r="570">
      <c r="P570" s="161"/>
    </row>
    <row r="571">
      <c r="P571" s="161"/>
    </row>
    <row r="572">
      <c r="P572" s="161"/>
    </row>
    <row r="573">
      <c r="P573" s="161"/>
    </row>
    <row r="574">
      <c r="P574" s="161"/>
    </row>
    <row r="575">
      <c r="P575" s="161"/>
    </row>
    <row r="576">
      <c r="P576" s="161"/>
    </row>
    <row r="577">
      <c r="P577" s="161"/>
    </row>
    <row r="578">
      <c r="P578" s="161"/>
    </row>
    <row r="579">
      <c r="P579" s="161"/>
    </row>
    <row r="580">
      <c r="P580" s="161"/>
    </row>
    <row r="581">
      <c r="P581" s="161"/>
    </row>
    <row r="582">
      <c r="P582" s="161"/>
    </row>
    <row r="583">
      <c r="P583" s="161"/>
    </row>
    <row r="584">
      <c r="P584" s="161"/>
    </row>
    <row r="585">
      <c r="P585" s="161"/>
    </row>
    <row r="586">
      <c r="P586" s="161"/>
    </row>
    <row r="587">
      <c r="P587" s="161"/>
    </row>
    <row r="588">
      <c r="P588" s="161"/>
    </row>
    <row r="589">
      <c r="P589" s="161"/>
    </row>
    <row r="590">
      <c r="P590" s="161"/>
    </row>
    <row r="591">
      <c r="P591" s="161"/>
    </row>
    <row r="592">
      <c r="P592" s="161"/>
    </row>
    <row r="593">
      <c r="P593" s="161"/>
    </row>
    <row r="594">
      <c r="P594" s="161"/>
    </row>
    <row r="595">
      <c r="P595" s="161"/>
    </row>
    <row r="596">
      <c r="P596" s="161"/>
    </row>
    <row r="597">
      <c r="P597" s="161"/>
    </row>
    <row r="598">
      <c r="P598" s="161"/>
    </row>
    <row r="599">
      <c r="P599" s="161"/>
    </row>
    <row r="600">
      <c r="P600" s="161"/>
    </row>
    <row r="601">
      <c r="P601" s="161"/>
    </row>
    <row r="602">
      <c r="P602" s="161"/>
    </row>
    <row r="603">
      <c r="P603" s="161"/>
    </row>
    <row r="604">
      <c r="P604" s="161"/>
    </row>
    <row r="605">
      <c r="P605" s="161"/>
    </row>
    <row r="606">
      <c r="P606" s="161"/>
    </row>
    <row r="607">
      <c r="P607" s="161"/>
    </row>
    <row r="608">
      <c r="P608" s="161"/>
    </row>
    <row r="609">
      <c r="P609" s="161"/>
    </row>
    <row r="610">
      <c r="P610" s="161"/>
    </row>
    <row r="611">
      <c r="P611" s="161"/>
    </row>
    <row r="612">
      <c r="P612" s="161"/>
    </row>
    <row r="613">
      <c r="P613" s="161"/>
    </row>
    <row r="614">
      <c r="P614" s="161"/>
    </row>
    <row r="615">
      <c r="P615" s="161"/>
    </row>
    <row r="616">
      <c r="P616" s="161"/>
    </row>
    <row r="617">
      <c r="P617" s="161"/>
    </row>
    <row r="618">
      <c r="P618" s="161"/>
    </row>
    <row r="619">
      <c r="P619" s="161"/>
    </row>
    <row r="620">
      <c r="P620" s="161"/>
    </row>
    <row r="621">
      <c r="P621" s="161"/>
    </row>
    <row r="622">
      <c r="P622" s="161"/>
    </row>
    <row r="623">
      <c r="P623" s="161"/>
    </row>
    <row r="624">
      <c r="P624" s="161"/>
    </row>
    <row r="625">
      <c r="P625" s="161"/>
    </row>
    <row r="626">
      <c r="P626" s="161"/>
    </row>
    <row r="627">
      <c r="P627" s="161"/>
    </row>
    <row r="628">
      <c r="P628" s="161"/>
    </row>
    <row r="629">
      <c r="P629" s="161"/>
    </row>
    <row r="630">
      <c r="P630" s="161"/>
    </row>
    <row r="631">
      <c r="P631" s="161"/>
    </row>
    <row r="632">
      <c r="P632" s="161"/>
    </row>
    <row r="633">
      <c r="P633" s="161"/>
    </row>
    <row r="634">
      <c r="P634" s="161"/>
    </row>
    <row r="635">
      <c r="P635" s="161"/>
    </row>
    <row r="636">
      <c r="P636" s="161"/>
    </row>
    <row r="637">
      <c r="P637" s="161"/>
    </row>
    <row r="638">
      <c r="P638" s="161"/>
    </row>
    <row r="639">
      <c r="P639" s="161"/>
    </row>
    <row r="640">
      <c r="P640" s="161"/>
    </row>
    <row r="641">
      <c r="P641" s="161"/>
    </row>
    <row r="642">
      <c r="P642" s="161"/>
    </row>
    <row r="643">
      <c r="P643" s="161"/>
    </row>
    <row r="644">
      <c r="P644" s="161"/>
    </row>
    <row r="645">
      <c r="P645" s="161"/>
    </row>
    <row r="646">
      <c r="P646" s="161"/>
    </row>
    <row r="647">
      <c r="P647" s="161"/>
    </row>
    <row r="648">
      <c r="P648" s="161"/>
    </row>
    <row r="649">
      <c r="P649" s="161"/>
    </row>
    <row r="650">
      <c r="P650" s="161"/>
    </row>
    <row r="651">
      <c r="P651" s="161"/>
    </row>
    <row r="652">
      <c r="P652" s="161"/>
    </row>
    <row r="653">
      <c r="P653" s="161"/>
    </row>
    <row r="654">
      <c r="P654" s="161"/>
    </row>
    <row r="655">
      <c r="P655" s="161"/>
    </row>
    <row r="656">
      <c r="P656" s="161"/>
    </row>
    <row r="657">
      <c r="P657" s="161"/>
    </row>
    <row r="658">
      <c r="P658" s="161"/>
    </row>
    <row r="659">
      <c r="P659" s="161"/>
    </row>
    <row r="660">
      <c r="P660" s="161"/>
    </row>
    <row r="661">
      <c r="P661" s="161"/>
    </row>
    <row r="662">
      <c r="P662" s="161"/>
    </row>
    <row r="663">
      <c r="P663" s="161"/>
    </row>
    <row r="664">
      <c r="P664" s="161"/>
    </row>
    <row r="665">
      <c r="P665" s="161"/>
    </row>
    <row r="666">
      <c r="P666" s="161"/>
    </row>
    <row r="667">
      <c r="P667" s="161"/>
    </row>
    <row r="668">
      <c r="P668" s="161"/>
    </row>
    <row r="669">
      <c r="P669" s="161"/>
    </row>
    <row r="670">
      <c r="P670" s="161"/>
    </row>
    <row r="671">
      <c r="P671" s="161"/>
    </row>
    <row r="672">
      <c r="P672" s="161"/>
    </row>
    <row r="673">
      <c r="P673" s="161"/>
    </row>
    <row r="674">
      <c r="P674" s="161"/>
    </row>
    <row r="675">
      <c r="P675" s="161"/>
    </row>
    <row r="676">
      <c r="P676" s="161"/>
    </row>
    <row r="677">
      <c r="P677" s="161"/>
    </row>
    <row r="678">
      <c r="P678" s="161"/>
    </row>
    <row r="679">
      <c r="P679" s="161"/>
    </row>
    <row r="680">
      <c r="P680" s="161"/>
    </row>
    <row r="681">
      <c r="P681" s="161"/>
    </row>
    <row r="682">
      <c r="P682" s="161"/>
    </row>
    <row r="683">
      <c r="P683" s="161"/>
    </row>
    <row r="684">
      <c r="P684" s="161"/>
    </row>
    <row r="685">
      <c r="P685" s="161"/>
    </row>
    <row r="686">
      <c r="P686" s="161"/>
    </row>
    <row r="687">
      <c r="P687" s="161"/>
    </row>
    <row r="688">
      <c r="P688" s="161"/>
    </row>
    <row r="689">
      <c r="P689" s="161"/>
    </row>
    <row r="690">
      <c r="P690" s="161"/>
    </row>
    <row r="691">
      <c r="P691" s="161"/>
    </row>
    <row r="692">
      <c r="P692" s="161"/>
    </row>
    <row r="693">
      <c r="P693" s="161"/>
    </row>
    <row r="694">
      <c r="P694" s="161"/>
    </row>
    <row r="695">
      <c r="P695" s="161"/>
    </row>
    <row r="696">
      <c r="P696" s="161"/>
    </row>
    <row r="697">
      <c r="P697" s="161"/>
    </row>
    <row r="698">
      <c r="P698" s="161"/>
    </row>
    <row r="699">
      <c r="P699" s="161"/>
    </row>
    <row r="700">
      <c r="P700" s="161"/>
    </row>
    <row r="701">
      <c r="P701" s="161"/>
    </row>
    <row r="702">
      <c r="P702" s="161"/>
    </row>
    <row r="703">
      <c r="P703" s="161"/>
    </row>
    <row r="704">
      <c r="P704" s="161"/>
    </row>
    <row r="705">
      <c r="P705" s="161"/>
    </row>
    <row r="706">
      <c r="P706" s="161"/>
    </row>
    <row r="707">
      <c r="P707" s="161"/>
    </row>
    <row r="708">
      <c r="P708" s="161"/>
    </row>
    <row r="709">
      <c r="P709" s="161"/>
    </row>
    <row r="710">
      <c r="P710" s="161"/>
    </row>
    <row r="711">
      <c r="P711" s="161"/>
    </row>
    <row r="712">
      <c r="P712" s="161"/>
    </row>
    <row r="713">
      <c r="P713" s="161"/>
    </row>
    <row r="714">
      <c r="P714" s="161"/>
    </row>
    <row r="715">
      <c r="P715" s="161"/>
    </row>
    <row r="716">
      <c r="P716" s="161"/>
    </row>
    <row r="717">
      <c r="P717" s="161"/>
    </row>
    <row r="718">
      <c r="P718" s="161"/>
    </row>
    <row r="719">
      <c r="P719" s="161"/>
    </row>
    <row r="720">
      <c r="P720" s="161"/>
    </row>
    <row r="721">
      <c r="P721" s="161"/>
    </row>
    <row r="722">
      <c r="P722" s="161"/>
    </row>
    <row r="723">
      <c r="P723" s="161"/>
    </row>
    <row r="724">
      <c r="P724" s="161"/>
    </row>
    <row r="725">
      <c r="P725" s="161"/>
    </row>
    <row r="726">
      <c r="P726" s="161"/>
    </row>
    <row r="727">
      <c r="P727" s="161"/>
    </row>
    <row r="728">
      <c r="P728" s="161"/>
    </row>
    <row r="729">
      <c r="P729" s="161"/>
    </row>
    <row r="730">
      <c r="P730" s="161"/>
    </row>
    <row r="731">
      <c r="P731" s="161"/>
    </row>
    <row r="732">
      <c r="P732" s="161"/>
    </row>
    <row r="733">
      <c r="P733" s="161"/>
    </row>
    <row r="734">
      <c r="P734" s="161"/>
    </row>
    <row r="735">
      <c r="P735" s="161"/>
    </row>
    <row r="736">
      <c r="P736" s="161"/>
    </row>
    <row r="737">
      <c r="P737" s="161"/>
    </row>
    <row r="738">
      <c r="P738" s="161"/>
    </row>
    <row r="739">
      <c r="P739" s="161"/>
    </row>
    <row r="740">
      <c r="P740" s="161"/>
    </row>
    <row r="741">
      <c r="P741" s="161"/>
    </row>
    <row r="742">
      <c r="P742" s="161"/>
    </row>
    <row r="743">
      <c r="P743" s="161"/>
    </row>
    <row r="744">
      <c r="P744" s="161"/>
    </row>
    <row r="745">
      <c r="P745" s="161"/>
    </row>
    <row r="746">
      <c r="P746" s="161"/>
    </row>
    <row r="747">
      <c r="P747" s="161"/>
    </row>
    <row r="748">
      <c r="P748" s="161"/>
    </row>
    <row r="749">
      <c r="P749" s="161"/>
    </row>
    <row r="750">
      <c r="P750" s="161"/>
    </row>
    <row r="751">
      <c r="P751" s="161"/>
    </row>
    <row r="752">
      <c r="P752" s="161"/>
    </row>
    <row r="753">
      <c r="P753" s="161"/>
    </row>
    <row r="754">
      <c r="P754" s="161"/>
    </row>
    <row r="755">
      <c r="P755" s="161"/>
    </row>
    <row r="756">
      <c r="P756" s="161"/>
    </row>
    <row r="757">
      <c r="P757" s="161"/>
    </row>
    <row r="758">
      <c r="P758" s="161"/>
    </row>
    <row r="759">
      <c r="P759" s="161"/>
    </row>
    <row r="760">
      <c r="P760" s="161"/>
    </row>
    <row r="761">
      <c r="P761" s="161"/>
    </row>
    <row r="762">
      <c r="P762" s="161"/>
    </row>
    <row r="763">
      <c r="P763" s="161"/>
    </row>
    <row r="764">
      <c r="P764" s="161"/>
    </row>
    <row r="765">
      <c r="P765" s="161"/>
    </row>
    <row r="766">
      <c r="P766" s="161"/>
    </row>
    <row r="767">
      <c r="P767" s="161"/>
    </row>
    <row r="768">
      <c r="P768" s="161"/>
    </row>
    <row r="769">
      <c r="P769" s="161"/>
    </row>
    <row r="770">
      <c r="P770" s="161"/>
    </row>
    <row r="771">
      <c r="P771" s="161"/>
    </row>
    <row r="772">
      <c r="P772" s="161"/>
    </row>
    <row r="773">
      <c r="P773" s="161"/>
    </row>
    <row r="774">
      <c r="P774" s="161"/>
    </row>
    <row r="775">
      <c r="P775" s="161"/>
    </row>
    <row r="776">
      <c r="P776" s="161"/>
    </row>
    <row r="777">
      <c r="P777" s="161"/>
    </row>
    <row r="778">
      <c r="P778" s="161"/>
    </row>
    <row r="779">
      <c r="P779" s="161"/>
    </row>
    <row r="780">
      <c r="P780" s="161"/>
    </row>
    <row r="781">
      <c r="P781" s="161"/>
    </row>
    <row r="782">
      <c r="P782" s="161"/>
    </row>
    <row r="783">
      <c r="P783" s="161"/>
    </row>
    <row r="784">
      <c r="P784" s="161"/>
    </row>
    <row r="785">
      <c r="P785" s="161"/>
    </row>
    <row r="786">
      <c r="P786" s="161"/>
    </row>
    <row r="787">
      <c r="P787" s="161"/>
    </row>
    <row r="788">
      <c r="P788" s="161"/>
    </row>
    <row r="789">
      <c r="P789" s="161"/>
    </row>
    <row r="790">
      <c r="P790" s="161"/>
    </row>
    <row r="791">
      <c r="P791" s="161"/>
    </row>
    <row r="792">
      <c r="P792" s="161"/>
    </row>
    <row r="793">
      <c r="P793" s="161"/>
    </row>
    <row r="794">
      <c r="P794" s="161"/>
    </row>
    <row r="795">
      <c r="P795" s="161"/>
    </row>
    <row r="796">
      <c r="P796" s="161"/>
    </row>
    <row r="797">
      <c r="P797" s="161"/>
    </row>
    <row r="798">
      <c r="P798" s="161"/>
    </row>
    <row r="799">
      <c r="P799" s="161"/>
    </row>
    <row r="800">
      <c r="P800" s="161"/>
    </row>
    <row r="801">
      <c r="P801" s="161"/>
    </row>
    <row r="802">
      <c r="P802" s="161"/>
    </row>
    <row r="803">
      <c r="P803" s="161"/>
    </row>
    <row r="804">
      <c r="P804" s="161"/>
    </row>
    <row r="805">
      <c r="P805" s="161"/>
    </row>
    <row r="806">
      <c r="P806" s="161"/>
    </row>
    <row r="807">
      <c r="P807" s="161"/>
    </row>
    <row r="808">
      <c r="P808" s="161"/>
    </row>
    <row r="809">
      <c r="P809" s="161"/>
    </row>
    <row r="810">
      <c r="P810" s="161"/>
    </row>
    <row r="811">
      <c r="P811" s="161"/>
    </row>
    <row r="812">
      <c r="P812" s="161"/>
    </row>
    <row r="813">
      <c r="P813" s="161"/>
    </row>
    <row r="814">
      <c r="P814" s="161"/>
    </row>
    <row r="815">
      <c r="P815" s="161"/>
    </row>
    <row r="816">
      <c r="P816" s="161"/>
    </row>
    <row r="817">
      <c r="P817" s="161"/>
    </row>
    <row r="818">
      <c r="P818" s="161"/>
    </row>
    <row r="819">
      <c r="P819" s="161"/>
    </row>
    <row r="820">
      <c r="P820" s="161"/>
    </row>
    <row r="821">
      <c r="P821" s="161"/>
    </row>
    <row r="822">
      <c r="P822" s="161"/>
    </row>
    <row r="823">
      <c r="P823" s="161"/>
    </row>
    <row r="824">
      <c r="P824" s="161"/>
    </row>
    <row r="825">
      <c r="P825" s="161"/>
    </row>
    <row r="826">
      <c r="P826" s="161"/>
    </row>
    <row r="827">
      <c r="P827" s="161"/>
    </row>
    <row r="828">
      <c r="P828" s="161"/>
    </row>
    <row r="829">
      <c r="P829" s="161"/>
    </row>
    <row r="830">
      <c r="P830" s="161"/>
    </row>
    <row r="831">
      <c r="P831" s="161"/>
    </row>
    <row r="832">
      <c r="P832" s="161"/>
    </row>
    <row r="833">
      <c r="P833" s="161"/>
    </row>
    <row r="834">
      <c r="P834" s="161"/>
    </row>
    <row r="835">
      <c r="P835" s="161"/>
    </row>
    <row r="836">
      <c r="P836" s="161"/>
    </row>
    <row r="837">
      <c r="P837" s="161"/>
    </row>
    <row r="838">
      <c r="P838" s="161"/>
    </row>
    <row r="839">
      <c r="P839" s="161"/>
    </row>
    <row r="840">
      <c r="P840" s="161"/>
    </row>
    <row r="841">
      <c r="P841" s="161"/>
    </row>
    <row r="842">
      <c r="P842" s="161"/>
    </row>
    <row r="843">
      <c r="P843" s="161"/>
    </row>
    <row r="844">
      <c r="P844" s="161"/>
    </row>
    <row r="845">
      <c r="P845" s="161"/>
    </row>
    <row r="846">
      <c r="P846" s="161"/>
    </row>
    <row r="847">
      <c r="P847" s="161"/>
    </row>
    <row r="848">
      <c r="P848" s="161"/>
    </row>
    <row r="849">
      <c r="P849" s="161"/>
    </row>
    <row r="850">
      <c r="P850" s="161"/>
    </row>
    <row r="851">
      <c r="P851" s="161"/>
    </row>
    <row r="852">
      <c r="P852" s="161"/>
    </row>
    <row r="853">
      <c r="P853" s="161"/>
    </row>
    <row r="854">
      <c r="P854" s="161"/>
    </row>
    <row r="855">
      <c r="P855" s="161"/>
    </row>
    <row r="856">
      <c r="P856" s="161"/>
    </row>
    <row r="857">
      <c r="P857" s="161"/>
    </row>
    <row r="858">
      <c r="P858" s="161"/>
    </row>
    <row r="859">
      <c r="P859" s="161"/>
    </row>
    <row r="860">
      <c r="P860" s="161"/>
    </row>
    <row r="861">
      <c r="P861" s="161"/>
    </row>
    <row r="862">
      <c r="P862" s="161"/>
    </row>
    <row r="863">
      <c r="P863" s="161"/>
    </row>
    <row r="864">
      <c r="P864" s="161"/>
    </row>
    <row r="865">
      <c r="P865" s="161"/>
    </row>
    <row r="866">
      <c r="P866" s="161"/>
    </row>
    <row r="867">
      <c r="P867" s="161"/>
    </row>
    <row r="868">
      <c r="P868" s="161"/>
    </row>
    <row r="869">
      <c r="P869" s="161"/>
    </row>
    <row r="870">
      <c r="P870" s="161"/>
    </row>
    <row r="871">
      <c r="P871" s="161"/>
    </row>
    <row r="872">
      <c r="P872" s="161"/>
    </row>
    <row r="873">
      <c r="P873" s="161"/>
    </row>
    <row r="874">
      <c r="P874" s="161"/>
    </row>
    <row r="875">
      <c r="P875" s="161"/>
    </row>
    <row r="876">
      <c r="P876" s="161"/>
    </row>
    <row r="877">
      <c r="P877" s="161"/>
    </row>
    <row r="878">
      <c r="P878" s="161"/>
    </row>
    <row r="879">
      <c r="P879" s="161"/>
    </row>
    <row r="880">
      <c r="P880" s="161"/>
    </row>
    <row r="881">
      <c r="P881" s="161"/>
    </row>
    <row r="882">
      <c r="P882" s="161"/>
    </row>
    <row r="883">
      <c r="P883" s="161"/>
    </row>
    <row r="884">
      <c r="P884" s="161"/>
    </row>
    <row r="885">
      <c r="P885" s="161"/>
    </row>
    <row r="886">
      <c r="P886" s="161"/>
    </row>
    <row r="887">
      <c r="P887" s="161"/>
    </row>
    <row r="888">
      <c r="P888" s="161"/>
    </row>
    <row r="889">
      <c r="P889" s="161"/>
    </row>
    <row r="890">
      <c r="P890" s="161"/>
    </row>
    <row r="891">
      <c r="P891" s="161"/>
    </row>
    <row r="892">
      <c r="P892" s="161"/>
    </row>
    <row r="893">
      <c r="P893" s="161"/>
    </row>
    <row r="894">
      <c r="P894" s="161"/>
    </row>
    <row r="895">
      <c r="P895" s="161"/>
    </row>
    <row r="896">
      <c r="P896" s="161"/>
    </row>
    <row r="897">
      <c r="P897" s="161"/>
    </row>
    <row r="898">
      <c r="P898" s="161"/>
    </row>
    <row r="899">
      <c r="P899" s="161"/>
    </row>
    <row r="900">
      <c r="P900" s="161"/>
    </row>
    <row r="901">
      <c r="P901" s="161"/>
    </row>
    <row r="902">
      <c r="P902" s="161"/>
    </row>
    <row r="903">
      <c r="P903" s="161"/>
    </row>
    <row r="904">
      <c r="P904" s="161"/>
    </row>
    <row r="905">
      <c r="P905" s="161"/>
    </row>
    <row r="906">
      <c r="P906" s="161"/>
    </row>
    <row r="907">
      <c r="P907" s="161"/>
    </row>
    <row r="908">
      <c r="P908" s="161"/>
    </row>
    <row r="909">
      <c r="P909" s="161"/>
    </row>
    <row r="910">
      <c r="P910" s="161"/>
    </row>
    <row r="911">
      <c r="P911" s="161"/>
    </row>
    <row r="912">
      <c r="P912" s="161"/>
    </row>
    <row r="913">
      <c r="P913" s="161"/>
    </row>
    <row r="914">
      <c r="P914" s="161"/>
    </row>
    <row r="915">
      <c r="P915" s="161"/>
    </row>
    <row r="916">
      <c r="P916" s="161"/>
    </row>
    <row r="917">
      <c r="P917" s="161"/>
    </row>
    <row r="918">
      <c r="P918" s="161"/>
    </row>
    <row r="919">
      <c r="P919" s="161"/>
    </row>
    <row r="920">
      <c r="P920" s="161"/>
    </row>
    <row r="921">
      <c r="P921" s="161"/>
    </row>
    <row r="922">
      <c r="P922" s="161"/>
    </row>
    <row r="923">
      <c r="P923" s="161"/>
    </row>
    <row r="924">
      <c r="P924" s="161"/>
    </row>
    <row r="925">
      <c r="P925" s="161"/>
    </row>
    <row r="926">
      <c r="P926" s="161"/>
    </row>
    <row r="927">
      <c r="P927" s="161"/>
    </row>
    <row r="928">
      <c r="P928" s="161"/>
    </row>
    <row r="929">
      <c r="P929" s="161"/>
    </row>
    <row r="930">
      <c r="P930" s="161"/>
    </row>
    <row r="931">
      <c r="P931" s="161"/>
    </row>
    <row r="932">
      <c r="P932" s="161"/>
    </row>
    <row r="933">
      <c r="P933" s="161"/>
    </row>
    <row r="934">
      <c r="P934" s="161"/>
    </row>
    <row r="935">
      <c r="P935" s="161"/>
    </row>
    <row r="936">
      <c r="P936" s="161"/>
    </row>
    <row r="937">
      <c r="P937" s="161"/>
    </row>
    <row r="938">
      <c r="P938" s="161"/>
    </row>
    <row r="939">
      <c r="P939" s="161"/>
    </row>
    <row r="940">
      <c r="P940" s="161"/>
    </row>
    <row r="941">
      <c r="P941" s="161"/>
    </row>
    <row r="942">
      <c r="P942" s="161"/>
    </row>
    <row r="943">
      <c r="P943" s="161"/>
    </row>
    <row r="944">
      <c r="P944" s="161"/>
    </row>
    <row r="945">
      <c r="P945" s="161"/>
    </row>
    <row r="946">
      <c r="P946" s="161"/>
    </row>
    <row r="947">
      <c r="P947" s="161"/>
    </row>
    <row r="948">
      <c r="P948" s="161"/>
    </row>
    <row r="949">
      <c r="P949" s="161"/>
    </row>
    <row r="950">
      <c r="P950" s="161"/>
    </row>
    <row r="951">
      <c r="P951" s="161"/>
    </row>
    <row r="952">
      <c r="P952" s="161"/>
    </row>
    <row r="953">
      <c r="P953" s="161"/>
    </row>
    <row r="954">
      <c r="P954" s="161"/>
    </row>
    <row r="955">
      <c r="P955" s="161"/>
    </row>
    <row r="956">
      <c r="P956" s="161"/>
    </row>
    <row r="957">
      <c r="P957" s="161"/>
    </row>
    <row r="958">
      <c r="P958" s="161"/>
    </row>
    <row r="959">
      <c r="P959" s="161"/>
    </row>
    <row r="960">
      <c r="P960" s="161"/>
    </row>
    <row r="961">
      <c r="P961" s="161"/>
    </row>
    <row r="962">
      <c r="P962" s="161"/>
    </row>
    <row r="963">
      <c r="P963" s="161"/>
    </row>
    <row r="964">
      <c r="P964" s="161"/>
    </row>
    <row r="965">
      <c r="P965" s="161"/>
    </row>
    <row r="966">
      <c r="P966" s="161"/>
    </row>
    <row r="967">
      <c r="P967" s="161"/>
    </row>
    <row r="968">
      <c r="P968" s="161"/>
    </row>
    <row r="969">
      <c r="P969" s="161"/>
    </row>
    <row r="970">
      <c r="P970" s="161"/>
    </row>
    <row r="971">
      <c r="P971" s="161"/>
    </row>
    <row r="972">
      <c r="P972" s="161"/>
    </row>
    <row r="973">
      <c r="P973" s="161"/>
    </row>
    <row r="974">
      <c r="P974" s="161"/>
    </row>
    <row r="975">
      <c r="P975" s="161"/>
    </row>
    <row r="976">
      <c r="P976" s="161"/>
    </row>
    <row r="977">
      <c r="P977" s="161"/>
    </row>
    <row r="978">
      <c r="P978" s="161"/>
    </row>
    <row r="979">
      <c r="P979" s="161"/>
    </row>
    <row r="980">
      <c r="P980" s="161"/>
    </row>
    <row r="981">
      <c r="P981" s="161"/>
    </row>
    <row r="982">
      <c r="P982" s="161"/>
    </row>
    <row r="983">
      <c r="P983" s="161"/>
    </row>
    <row r="984">
      <c r="P984" s="161"/>
    </row>
    <row r="985">
      <c r="P985" s="161"/>
    </row>
    <row r="986">
      <c r="P986" s="161"/>
    </row>
    <row r="987">
      <c r="P987" s="161"/>
    </row>
    <row r="988">
      <c r="P988" s="161"/>
    </row>
    <row r="989">
      <c r="P989" s="161"/>
    </row>
    <row r="990">
      <c r="P990" s="161"/>
    </row>
    <row r="991">
      <c r="P991" s="161"/>
    </row>
    <row r="992">
      <c r="P992" s="161"/>
    </row>
    <row r="993">
      <c r="P993" s="161"/>
    </row>
    <row r="994">
      <c r="P994" s="161"/>
    </row>
    <row r="995">
      <c r="P995" s="161"/>
    </row>
    <row r="996">
      <c r="P996" s="161"/>
    </row>
    <row r="997">
      <c r="P997" s="161"/>
    </row>
    <row r="998">
      <c r="P998" s="161"/>
    </row>
  </sheetData>
  <mergeCells count="4">
    <mergeCell ref="D6:M6"/>
    <mergeCell ref="D7:F7"/>
    <mergeCell ref="D9:D12"/>
    <mergeCell ref="F10:O11"/>
  </mergeCells>
  <conditionalFormatting sqref="G15:M97">
    <cfRule type="cellIs" dxfId="1" priority="1" operator="equal">
      <formula>"False"</formula>
    </cfRule>
  </conditionalFormatting>
  <conditionalFormatting sqref="G15:M97">
    <cfRule type="cellIs" dxfId="0" priority="2" operator="equal">
      <formula>"TRUE"</formula>
    </cfRule>
  </conditionalFormatting>
  <dataValidations>
    <dataValidation type="list" allowBlank="1" showErrorMessage="1" sqref="E15:E99">
      <formula1>Data!$A$2:$A$100</formula1>
    </dataValidation>
    <dataValidation type="list" allowBlank="1" showErrorMessage="1" sqref="F15:F99">
      <formula1>Data!$C$2:$C$8</formula1>
    </dataValidation>
  </dataValidations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3" width="2.63"/>
    <col customWidth="1" min="4" max="4" width="20.38"/>
    <col customWidth="1" min="5" max="5" width="11.38"/>
    <col customWidth="1" min="6" max="6" width="16.63"/>
    <col customWidth="1" min="7" max="13" width="8.63"/>
    <col customWidth="1" min="14" max="14" width="12.63"/>
    <col customWidth="1" min="15" max="15" width="15.13"/>
    <col customWidth="1" min="16" max="16" width="15.88"/>
    <col customWidth="1" min="17" max="17" width="2.63"/>
  </cols>
  <sheetData>
    <row r="1" ht="7.5" customHeight="1">
      <c r="A1" s="165" t="s">
        <v>347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5"/>
      <c r="O1" s="86"/>
      <c r="P1" s="155"/>
      <c r="Q1" s="86"/>
    </row>
    <row r="2" ht="15.0" customHeight="1">
      <c r="A2" s="87"/>
      <c r="B2" s="87"/>
      <c r="C2" s="87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7"/>
      <c r="P2" s="87"/>
      <c r="Q2" s="87"/>
    </row>
    <row r="3" ht="3.75" customHeight="1">
      <c r="A3" s="87"/>
      <c r="B3" s="87"/>
      <c r="C3" s="87"/>
      <c r="D3" s="89"/>
      <c r="E3" s="90"/>
      <c r="F3" s="90"/>
      <c r="G3" s="90"/>
      <c r="H3" s="90"/>
      <c r="I3" s="90"/>
      <c r="J3" s="90"/>
      <c r="K3" s="90"/>
      <c r="L3" s="90"/>
      <c r="M3" s="90"/>
      <c r="N3" s="90"/>
      <c r="O3" s="87"/>
      <c r="P3" s="87"/>
      <c r="Q3" s="87"/>
    </row>
    <row r="4" ht="15.0" customHeight="1">
      <c r="A4" s="87"/>
      <c r="B4" s="87"/>
      <c r="C4" s="87"/>
      <c r="D4" s="88"/>
      <c r="E4" s="88"/>
      <c r="F4" s="88"/>
      <c r="G4" s="91"/>
      <c r="H4" s="91"/>
      <c r="I4" s="91"/>
      <c r="J4" s="91"/>
      <c r="K4" s="91"/>
      <c r="L4" s="91"/>
      <c r="M4" s="91"/>
      <c r="N4" s="91"/>
      <c r="O4" s="87"/>
      <c r="P4" s="87"/>
      <c r="Q4" s="87"/>
    </row>
    <row r="5" ht="15.0" customHeight="1">
      <c r="A5" s="92"/>
      <c r="B5" s="92"/>
      <c r="C5" s="92"/>
      <c r="D5" s="88"/>
      <c r="E5" s="88"/>
      <c r="F5" s="88"/>
      <c r="G5" s="93"/>
      <c r="H5" s="93"/>
      <c r="I5" s="93"/>
      <c r="J5" s="93"/>
      <c r="K5" s="93"/>
      <c r="L5" s="93"/>
      <c r="M5" s="93"/>
      <c r="N5" s="94"/>
      <c r="O5" s="88"/>
      <c r="P5" s="92"/>
      <c r="Q5" s="92"/>
    </row>
    <row r="6" ht="15.0" customHeight="1">
      <c r="A6" s="92"/>
      <c r="B6" s="92"/>
      <c r="C6" s="92"/>
      <c r="D6" s="95" t="s">
        <v>370</v>
      </c>
      <c r="N6" s="94"/>
      <c r="O6" s="88"/>
      <c r="P6" s="92"/>
      <c r="Q6" s="92"/>
    </row>
    <row r="7" ht="15.0" customHeight="1">
      <c r="A7" s="92"/>
      <c r="B7" s="92"/>
      <c r="C7" s="92"/>
      <c r="D7" s="96"/>
      <c r="G7" s="97"/>
      <c r="H7" s="97"/>
      <c r="I7" s="97"/>
      <c r="J7" s="97"/>
      <c r="K7" s="97"/>
      <c r="L7" s="97"/>
      <c r="M7" s="97"/>
      <c r="N7" s="92"/>
      <c r="O7" s="92"/>
      <c r="P7" s="92"/>
      <c r="Q7" s="92"/>
    </row>
    <row r="8" ht="15.0" customHeight="1">
      <c r="A8" s="92"/>
      <c r="B8" s="92"/>
      <c r="C8" s="92"/>
      <c r="D8" s="97"/>
      <c r="E8" s="97"/>
      <c r="F8" s="97"/>
      <c r="G8" s="97"/>
      <c r="H8" s="97"/>
      <c r="I8" s="97"/>
      <c r="J8" s="97"/>
      <c r="K8" s="97"/>
      <c r="L8" s="97"/>
      <c r="M8" s="97"/>
      <c r="N8" s="92"/>
      <c r="O8" s="92"/>
      <c r="P8" s="92"/>
      <c r="Q8" s="92"/>
    </row>
    <row r="9" ht="15.0" customHeight="1">
      <c r="A9" s="92"/>
      <c r="B9" s="92"/>
      <c r="C9" s="98"/>
      <c r="D9" s="99" t="s">
        <v>35</v>
      </c>
      <c r="E9" s="100"/>
      <c r="F9" s="101"/>
      <c r="G9" s="101"/>
      <c r="H9" s="101"/>
      <c r="I9" s="101"/>
      <c r="J9" s="101"/>
      <c r="K9" s="101"/>
      <c r="L9" s="101"/>
      <c r="M9" s="101"/>
      <c r="N9" s="101"/>
      <c r="O9" s="100"/>
      <c r="P9" s="102"/>
      <c r="Q9" s="102"/>
    </row>
    <row r="10" ht="15.0" customHeight="1">
      <c r="A10" s="92"/>
      <c r="B10" s="92"/>
      <c r="C10" s="98"/>
      <c r="E10" s="100"/>
      <c r="F10" s="103" t="s">
        <v>36</v>
      </c>
      <c r="P10" s="102"/>
      <c r="Q10" s="102"/>
    </row>
    <row r="11" ht="15.0" customHeight="1">
      <c r="A11" s="92"/>
      <c r="B11" s="92"/>
      <c r="C11" s="98"/>
      <c r="E11" s="100"/>
      <c r="P11" s="102"/>
      <c r="Q11" s="102"/>
    </row>
    <row r="12" ht="15.0" customHeight="1">
      <c r="A12" s="88"/>
      <c r="B12" s="92"/>
      <c r="C12" s="92"/>
      <c r="E12" s="100"/>
      <c r="F12" s="100"/>
      <c r="G12" s="100"/>
      <c r="H12" s="100"/>
      <c r="I12" s="100"/>
      <c r="J12" s="100"/>
      <c r="K12" s="100"/>
      <c r="L12" s="100"/>
      <c r="M12" s="100"/>
      <c r="N12" s="100"/>
      <c r="O12" s="100"/>
      <c r="P12" s="102"/>
      <c r="Q12" s="102"/>
    </row>
    <row r="13" ht="15.0" customHeight="1">
      <c r="A13" s="88"/>
      <c r="B13" s="104"/>
      <c r="C13" s="104"/>
      <c r="D13" s="104"/>
      <c r="E13" s="104"/>
      <c r="F13" s="105"/>
      <c r="G13" s="105"/>
      <c r="H13" s="105"/>
      <c r="I13" s="105"/>
      <c r="J13" s="105"/>
      <c r="K13" s="105"/>
      <c r="L13" s="105"/>
      <c r="M13" s="105"/>
      <c r="N13" s="104"/>
      <c r="O13" s="104"/>
      <c r="P13" s="104"/>
      <c r="Q13" s="104"/>
    </row>
    <row r="14" ht="15.0" customHeight="1">
      <c r="A14" s="106"/>
      <c r="B14" s="106"/>
      <c r="C14" s="106"/>
      <c r="D14" s="107" t="s">
        <v>37</v>
      </c>
      <c r="E14" s="108" t="s">
        <v>38</v>
      </c>
      <c r="F14" s="109" t="s">
        <v>39</v>
      </c>
      <c r="G14" s="110">
        <v>44690.0</v>
      </c>
      <c r="H14" s="110">
        <v>44691.0</v>
      </c>
      <c r="I14" s="110">
        <v>44692.0</v>
      </c>
      <c r="J14" s="110">
        <v>44693.0</v>
      </c>
      <c r="K14" s="110">
        <v>44694.0</v>
      </c>
      <c r="L14" s="110">
        <v>44695.0</v>
      </c>
      <c r="M14" s="110">
        <v>44696.0</v>
      </c>
      <c r="N14" s="111" t="s">
        <v>40</v>
      </c>
      <c r="O14" s="111" t="s">
        <v>41</v>
      </c>
      <c r="P14" s="156" t="s">
        <v>281</v>
      </c>
      <c r="Q14" s="88"/>
    </row>
    <row r="15" ht="15.0" customHeight="1">
      <c r="A15" s="112"/>
      <c r="B15" s="112"/>
      <c r="C15" s="112"/>
      <c r="D15" s="129" t="s">
        <v>371</v>
      </c>
      <c r="E15" s="114" t="s">
        <v>372</v>
      </c>
      <c r="F15" s="115" t="s">
        <v>61</v>
      </c>
      <c r="G15" s="116" t="b">
        <v>0</v>
      </c>
      <c r="H15" s="116" t="b">
        <v>0</v>
      </c>
      <c r="I15" s="116" t="b">
        <v>0</v>
      </c>
      <c r="J15" s="116" t="b">
        <v>0</v>
      </c>
      <c r="K15" s="116" t="b">
        <v>0</v>
      </c>
      <c r="L15" s="116" t="b">
        <v>0</v>
      </c>
      <c r="M15" s="116" t="b">
        <v>0</v>
      </c>
      <c r="N15" s="117">
        <f t="shared" ref="N15:N23" si="1">COUNTIF(G15:M15,"TRUE")</f>
        <v>0</v>
      </c>
      <c r="O15" s="117">
        <f t="shared" ref="O15:O23" si="2">N15*4</f>
        <v>0</v>
      </c>
      <c r="P15" s="157" t="s">
        <v>314</v>
      </c>
      <c r="Q15" s="112"/>
    </row>
    <row r="16" ht="15.0" customHeight="1">
      <c r="A16" s="112"/>
      <c r="B16" s="112"/>
      <c r="C16" s="112"/>
      <c r="D16" s="129" t="s">
        <v>271</v>
      </c>
      <c r="E16" s="114" t="str">
        <f>VLOOKUP(D16,Data!H:I,2,0)</f>
        <v>Adıyaman</v>
      </c>
      <c r="F16" s="115" t="str">
        <f>VLOOKUP(D16,Data!H:J,3,0)</f>
        <v>Nazım Öztel</v>
      </c>
      <c r="G16" s="116" t="b">
        <v>0</v>
      </c>
      <c r="H16" s="116" t="b">
        <v>0</v>
      </c>
      <c r="I16" s="116" t="b">
        <v>0</v>
      </c>
      <c r="J16" s="116" t="b">
        <v>0</v>
      </c>
      <c r="K16" s="116" t="b">
        <v>0</v>
      </c>
      <c r="L16" s="116" t="b">
        <v>0</v>
      </c>
      <c r="M16" s="116" t="b">
        <v>0</v>
      </c>
      <c r="N16" s="117">
        <f t="shared" si="1"/>
        <v>0</v>
      </c>
      <c r="O16" s="117">
        <f t="shared" si="2"/>
        <v>0</v>
      </c>
      <c r="P16" s="157" t="s">
        <v>314</v>
      </c>
      <c r="Q16" s="88"/>
    </row>
    <row r="17" ht="15.0" customHeight="1">
      <c r="A17" s="112"/>
      <c r="B17" s="112"/>
      <c r="C17" s="112"/>
      <c r="D17" s="129" t="s">
        <v>279</v>
      </c>
      <c r="E17" s="114" t="str">
        <f>VLOOKUP(D17,Data!H:I,2,0)</f>
        <v>Amasya</v>
      </c>
      <c r="F17" s="115" t="str">
        <f>VLOOKUP(D17,Data!H:J,3,0)</f>
        <v>Nazım Öztel</v>
      </c>
      <c r="G17" s="116" t="b">
        <v>0</v>
      </c>
      <c r="H17" s="116" t="b">
        <v>0</v>
      </c>
      <c r="I17" s="116" t="b">
        <v>0</v>
      </c>
      <c r="J17" s="116" t="b">
        <v>0</v>
      </c>
      <c r="K17" s="116" t="b">
        <v>0</v>
      </c>
      <c r="L17" s="116" t="b">
        <v>0</v>
      </c>
      <c r="M17" s="116" t="b">
        <v>0</v>
      </c>
      <c r="N17" s="117">
        <f t="shared" si="1"/>
        <v>0</v>
      </c>
      <c r="O17" s="117">
        <f t="shared" si="2"/>
        <v>0</v>
      </c>
      <c r="P17" s="157" t="s">
        <v>314</v>
      </c>
      <c r="Q17" s="88"/>
    </row>
    <row r="18" ht="15.0" customHeight="1">
      <c r="A18" s="112"/>
      <c r="B18" s="112"/>
      <c r="C18" s="112"/>
      <c r="D18" s="129" t="s">
        <v>287</v>
      </c>
      <c r="E18" s="114" t="str">
        <f>VLOOKUP(D18,Data!H:I,2,0)</f>
        <v>Ankara</v>
      </c>
      <c r="F18" s="115" t="str">
        <f>VLOOKUP(D18,Data!H:J,3,0)</f>
        <v>Nazım Öztel</v>
      </c>
      <c r="G18" s="116" t="b">
        <v>1</v>
      </c>
      <c r="H18" s="116" t="b">
        <v>1</v>
      </c>
      <c r="I18" s="116" t="b">
        <v>0</v>
      </c>
      <c r="J18" s="116" t="b">
        <v>0</v>
      </c>
      <c r="K18" s="116" t="b">
        <v>0</v>
      </c>
      <c r="L18" s="116" t="b">
        <v>0</v>
      </c>
      <c r="M18" s="116" t="b">
        <v>0</v>
      </c>
      <c r="N18" s="117">
        <f t="shared" si="1"/>
        <v>2</v>
      </c>
      <c r="O18" s="117">
        <f t="shared" si="2"/>
        <v>8</v>
      </c>
      <c r="P18" s="157"/>
      <c r="Q18" s="88"/>
    </row>
    <row r="19" ht="15.0" customHeight="1">
      <c r="A19" s="112"/>
      <c r="B19" s="112"/>
      <c r="C19" s="112"/>
      <c r="D19" s="129" t="s">
        <v>261</v>
      </c>
      <c r="E19" s="114" t="str">
        <f>VLOOKUP(D19,Data!H:I,2,0)</f>
        <v>Ankara</v>
      </c>
      <c r="F19" s="115" t="str">
        <f>VLOOKUP(D19,Data!H:J,3,0)</f>
        <v>Nazım Öztel</v>
      </c>
      <c r="G19" s="116" t="b">
        <v>0</v>
      </c>
      <c r="H19" s="116" t="b">
        <v>0</v>
      </c>
      <c r="I19" s="116" t="b">
        <v>0</v>
      </c>
      <c r="J19" s="116" t="b">
        <v>0</v>
      </c>
      <c r="K19" s="116" t="b">
        <v>0</v>
      </c>
      <c r="L19" s="116" t="b">
        <v>0</v>
      </c>
      <c r="M19" s="116" t="b">
        <v>0</v>
      </c>
      <c r="N19" s="117">
        <f t="shared" si="1"/>
        <v>0</v>
      </c>
      <c r="O19" s="117">
        <f t="shared" si="2"/>
        <v>0</v>
      </c>
      <c r="P19" s="157" t="s">
        <v>329</v>
      </c>
      <c r="Q19" s="88"/>
    </row>
    <row r="20" ht="15.0" customHeight="1">
      <c r="A20" s="106"/>
      <c r="B20" s="106"/>
      <c r="C20" s="106"/>
      <c r="D20" s="129" t="s">
        <v>164</v>
      </c>
      <c r="E20" s="114" t="str">
        <f>VLOOKUP(D20,Data!H:I,2,0)</f>
        <v>Antalya</v>
      </c>
      <c r="F20" s="115" t="str">
        <f>VLOOKUP(D20,Data!H:J,3,0)</f>
        <v>Nazım Öztel</v>
      </c>
      <c r="G20" s="116" t="b">
        <v>1</v>
      </c>
      <c r="H20" s="116" t="b">
        <v>0</v>
      </c>
      <c r="I20" s="116" t="b">
        <v>0</v>
      </c>
      <c r="J20" s="116" t="b">
        <v>1</v>
      </c>
      <c r="K20" s="116" t="b">
        <v>1</v>
      </c>
      <c r="L20" s="116" t="b">
        <v>0</v>
      </c>
      <c r="M20" s="116" t="b">
        <v>0</v>
      </c>
      <c r="N20" s="117">
        <f t="shared" si="1"/>
        <v>3</v>
      </c>
      <c r="O20" s="117">
        <f t="shared" si="2"/>
        <v>12</v>
      </c>
      <c r="P20" s="157"/>
      <c r="Q20" s="106"/>
    </row>
    <row r="21" ht="15.0" customHeight="1">
      <c r="A21" s="106"/>
      <c r="B21" s="106"/>
      <c r="C21" s="106"/>
      <c r="D21" s="163" t="s">
        <v>373</v>
      </c>
      <c r="E21" s="114" t="s">
        <v>262</v>
      </c>
      <c r="F21" s="115" t="s">
        <v>61</v>
      </c>
      <c r="G21" s="116" t="b">
        <v>0</v>
      </c>
      <c r="H21" s="116" t="b">
        <v>0</v>
      </c>
      <c r="I21" s="116" t="b">
        <v>0</v>
      </c>
      <c r="J21" s="116" t="b">
        <v>0</v>
      </c>
      <c r="K21" s="116" t="b">
        <v>0</v>
      </c>
      <c r="L21" s="116" t="b">
        <v>0</v>
      </c>
      <c r="M21" s="116" t="b">
        <v>0</v>
      </c>
      <c r="N21" s="117">
        <f t="shared" si="1"/>
        <v>0</v>
      </c>
      <c r="O21" s="117">
        <f t="shared" si="2"/>
        <v>0</v>
      </c>
      <c r="P21" s="157" t="s">
        <v>361</v>
      </c>
      <c r="Q21" s="106"/>
    </row>
    <row r="22" ht="15.0" customHeight="1">
      <c r="A22" s="112"/>
      <c r="B22" s="112"/>
      <c r="C22" s="112"/>
      <c r="D22" s="129" t="s">
        <v>241</v>
      </c>
      <c r="E22" s="114" t="s">
        <v>184</v>
      </c>
      <c r="F22" s="115" t="s">
        <v>61</v>
      </c>
      <c r="G22" s="116" t="b">
        <v>0</v>
      </c>
      <c r="H22" s="116" t="b">
        <v>0</v>
      </c>
      <c r="I22" s="116" t="b">
        <v>0</v>
      </c>
      <c r="J22" s="116" t="b">
        <v>0</v>
      </c>
      <c r="K22" s="116" t="b">
        <v>0</v>
      </c>
      <c r="L22" s="116" t="b">
        <v>0</v>
      </c>
      <c r="M22" s="116" t="b">
        <v>0</v>
      </c>
      <c r="N22" s="117">
        <f t="shared" si="1"/>
        <v>0</v>
      </c>
      <c r="O22" s="117">
        <f t="shared" si="2"/>
        <v>0</v>
      </c>
      <c r="P22" s="158" t="s">
        <v>359</v>
      </c>
      <c r="Q22" s="112"/>
    </row>
    <row r="23" ht="15.0" customHeight="1">
      <c r="A23" s="112"/>
      <c r="B23" s="112"/>
      <c r="C23" s="112"/>
      <c r="D23" s="129" t="s">
        <v>333</v>
      </c>
      <c r="E23" s="114" t="s">
        <v>357</v>
      </c>
      <c r="F23" s="115" t="s">
        <v>61</v>
      </c>
      <c r="G23" s="116" t="b">
        <v>0</v>
      </c>
      <c r="H23" s="116" t="b">
        <v>0</v>
      </c>
      <c r="I23" s="116" t="b">
        <v>0</v>
      </c>
      <c r="J23" s="116" t="b">
        <v>0</v>
      </c>
      <c r="K23" s="116" t="b">
        <v>0</v>
      </c>
      <c r="L23" s="116" t="b">
        <v>0</v>
      </c>
      <c r="M23" s="116" t="b">
        <v>0</v>
      </c>
      <c r="N23" s="117">
        <f t="shared" si="1"/>
        <v>0</v>
      </c>
      <c r="O23" s="117">
        <f t="shared" si="2"/>
        <v>0</v>
      </c>
      <c r="P23" s="157" t="s">
        <v>360</v>
      </c>
      <c r="Q23" s="112"/>
    </row>
    <row r="24" ht="15.0" customHeight="1">
      <c r="A24" s="112"/>
      <c r="B24" s="112"/>
      <c r="C24" s="112"/>
      <c r="D24" s="129" t="s">
        <v>374</v>
      </c>
      <c r="E24" s="114" t="s">
        <v>375</v>
      </c>
      <c r="F24" s="115"/>
      <c r="G24" s="116" t="b">
        <v>0</v>
      </c>
      <c r="H24" s="116" t="b">
        <v>0</v>
      </c>
      <c r="I24" s="116" t="b">
        <v>0</v>
      </c>
      <c r="J24" s="116" t="b">
        <v>0</v>
      </c>
      <c r="K24" s="116" t="b">
        <v>1</v>
      </c>
      <c r="L24" s="116" t="b">
        <v>0</v>
      </c>
      <c r="M24" s="116" t="b">
        <v>0</v>
      </c>
      <c r="N24" s="117"/>
      <c r="O24" s="117"/>
      <c r="P24" s="157"/>
      <c r="Q24" s="112"/>
    </row>
    <row r="25" ht="15.0" customHeight="1">
      <c r="A25" s="112"/>
      <c r="B25" s="112"/>
      <c r="C25" s="112"/>
      <c r="D25" s="129" t="s">
        <v>247</v>
      </c>
      <c r="E25" s="114" t="str">
        <f>VLOOKUP(D25,Data!H:I,2,0)</f>
        <v>Çanakkale</v>
      </c>
      <c r="F25" s="115" t="str">
        <f>VLOOKUP(D25,Data!H:J,3,0)</f>
        <v>Nazım Öztel</v>
      </c>
      <c r="G25" s="116" t="b">
        <v>0</v>
      </c>
      <c r="H25" s="116" t="b">
        <v>0</v>
      </c>
      <c r="I25" s="116" t="b">
        <v>0</v>
      </c>
      <c r="J25" s="116" t="b">
        <v>0</v>
      </c>
      <c r="K25" s="116" t="b">
        <v>0</v>
      </c>
      <c r="L25" s="116" t="b">
        <v>0</v>
      </c>
      <c r="M25" s="116" t="b">
        <v>0</v>
      </c>
      <c r="N25" s="117">
        <f t="shared" ref="N25:N36" si="3">COUNTIF(G25:M25,"TRUE")</f>
        <v>0</v>
      </c>
      <c r="O25" s="117">
        <f t="shared" ref="O25:O36" si="4">N25*4</f>
        <v>0</v>
      </c>
      <c r="P25" s="157" t="s">
        <v>309</v>
      </c>
      <c r="Q25" s="112"/>
    </row>
    <row r="26" ht="15.0" customHeight="1">
      <c r="A26" s="112"/>
      <c r="B26" s="112"/>
      <c r="C26" s="112"/>
      <c r="D26" s="129" t="s">
        <v>221</v>
      </c>
      <c r="E26" s="114" t="str">
        <f>VLOOKUP(D26,Data!H:I,2,0)</f>
        <v>Çorum</v>
      </c>
      <c r="F26" s="115" t="str">
        <f>VLOOKUP(D26,Data!H:J,3,0)</f>
        <v>Nazım Öztel</v>
      </c>
      <c r="G26" s="116" t="b">
        <v>0</v>
      </c>
      <c r="H26" s="116" t="b">
        <v>0</v>
      </c>
      <c r="I26" s="116" t="b">
        <v>0</v>
      </c>
      <c r="J26" s="116" t="b">
        <v>0</v>
      </c>
      <c r="K26" s="116" t="b">
        <v>0</v>
      </c>
      <c r="L26" s="116" t="b">
        <v>0</v>
      </c>
      <c r="M26" s="116" t="b">
        <v>0</v>
      </c>
      <c r="N26" s="117">
        <f t="shared" si="3"/>
        <v>0</v>
      </c>
      <c r="O26" s="117">
        <f t="shared" si="4"/>
        <v>0</v>
      </c>
      <c r="P26" s="157" t="s">
        <v>314</v>
      </c>
      <c r="Q26" s="112"/>
    </row>
    <row r="27" ht="15.0" customHeight="1">
      <c r="A27" s="112"/>
      <c r="B27" s="112"/>
      <c r="C27" s="112"/>
      <c r="D27" s="129" t="s">
        <v>264</v>
      </c>
      <c r="E27" s="114" t="str">
        <f>VLOOKUP(D27,Data!H:I,2,0)</f>
        <v>Denizli</v>
      </c>
      <c r="F27" s="115" t="str">
        <f>VLOOKUP(D27,Data!H:J,3,0)</f>
        <v>Nazım Öztel</v>
      </c>
      <c r="G27" s="116" t="b">
        <v>0</v>
      </c>
      <c r="H27" s="116" t="b">
        <v>0</v>
      </c>
      <c r="I27" s="116" t="b">
        <v>0</v>
      </c>
      <c r="J27" s="116" t="b">
        <v>0</v>
      </c>
      <c r="K27" s="116" t="b">
        <v>0</v>
      </c>
      <c r="L27" s="116" t="b">
        <v>0</v>
      </c>
      <c r="M27" s="116" t="b">
        <v>0</v>
      </c>
      <c r="N27" s="117">
        <f t="shared" si="3"/>
        <v>0</v>
      </c>
      <c r="O27" s="117">
        <f t="shared" si="4"/>
        <v>0</v>
      </c>
      <c r="P27" s="157" t="s">
        <v>361</v>
      </c>
      <c r="Q27" s="112"/>
    </row>
    <row r="28" ht="15.0" customHeight="1">
      <c r="A28" s="112"/>
      <c r="B28" s="112"/>
      <c r="C28" s="112"/>
      <c r="D28" s="132" t="s">
        <v>54</v>
      </c>
      <c r="E28" s="114" t="str">
        <f>VLOOKUP(D28,Data!H:I,2,0)</f>
        <v>Diyarbakır</v>
      </c>
      <c r="F28" s="115" t="str">
        <f>VLOOKUP(D28,Data!H:J,3,0)</f>
        <v>Nazım Öztel</v>
      </c>
      <c r="G28" s="116" t="b">
        <v>0</v>
      </c>
      <c r="H28" s="116" t="b">
        <v>0</v>
      </c>
      <c r="I28" s="116" t="b">
        <v>0</v>
      </c>
      <c r="J28" s="116" t="b">
        <v>0</v>
      </c>
      <c r="K28" s="116" t="b">
        <v>0</v>
      </c>
      <c r="L28" s="116" t="b">
        <v>0</v>
      </c>
      <c r="M28" s="116" t="b">
        <v>0</v>
      </c>
      <c r="N28" s="117">
        <f t="shared" si="3"/>
        <v>0</v>
      </c>
      <c r="O28" s="117">
        <f t="shared" si="4"/>
        <v>0</v>
      </c>
      <c r="P28" s="157" t="s">
        <v>299</v>
      </c>
      <c r="Q28" s="112"/>
    </row>
    <row r="29" ht="15.0" customHeight="1">
      <c r="A29" s="112"/>
      <c r="B29" s="112"/>
      <c r="C29" s="112"/>
      <c r="D29" s="129" t="s">
        <v>173</v>
      </c>
      <c r="E29" s="114" t="str">
        <f>VLOOKUP(D29,Data!H:I,2,0)</f>
        <v>Düzce</v>
      </c>
      <c r="F29" s="115" t="str">
        <f>VLOOKUP(D29,Data!H:J,3,0)</f>
        <v>Nazım Öztel</v>
      </c>
      <c r="G29" s="116" t="b">
        <v>0</v>
      </c>
      <c r="H29" s="116" t="b">
        <v>0</v>
      </c>
      <c r="I29" s="116" t="b">
        <v>0</v>
      </c>
      <c r="J29" s="116" t="b">
        <v>0</v>
      </c>
      <c r="K29" s="116" t="b">
        <v>0</v>
      </c>
      <c r="L29" s="116" t="b">
        <v>0</v>
      </c>
      <c r="M29" s="116" t="b">
        <v>0</v>
      </c>
      <c r="N29" s="117">
        <f t="shared" si="3"/>
        <v>0</v>
      </c>
      <c r="O29" s="117">
        <f t="shared" si="4"/>
        <v>0</v>
      </c>
      <c r="P29" s="157" t="s">
        <v>314</v>
      </c>
      <c r="Q29" s="112"/>
    </row>
    <row r="30" ht="15.0" customHeight="1">
      <c r="A30" s="112"/>
      <c r="B30" s="112"/>
      <c r="C30" s="112"/>
      <c r="D30" s="129" t="s">
        <v>199</v>
      </c>
      <c r="E30" s="114" t="str">
        <f>VLOOKUP(D30,Data!H:I,2,0)</f>
        <v>Elazığ</v>
      </c>
      <c r="F30" s="115" t="str">
        <f>VLOOKUP(D30,Data!H:J,3,0)</f>
        <v>Nazım Öztel</v>
      </c>
      <c r="G30" s="116" t="b">
        <v>0</v>
      </c>
      <c r="H30" s="116" t="b">
        <v>0</v>
      </c>
      <c r="I30" s="116" t="b">
        <v>0</v>
      </c>
      <c r="J30" s="116" t="b">
        <v>0</v>
      </c>
      <c r="K30" s="116" t="b">
        <v>0</v>
      </c>
      <c r="L30" s="116" t="b">
        <v>0</v>
      </c>
      <c r="M30" s="116" t="b">
        <v>0</v>
      </c>
      <c r="N30" s="117">
        <f t="shared" si="3"/>
        <v>0</v>
      </c>
      <c r="O30" s="117">
        <f t="shared" si="4"/>
        <v>0</v>
      </c>
      <c r="P30" s="157" t="s">
        <v>314</v>
      </c>
      <c r="Q30" s="112"/>
    </row>
    <row r="31" ht="15.0" customHeight="1">
      <c r="A31" s="112"/>
      <c r="B31" s="112"/>
      <c r="C31" s="112"/>
      <c r="D31" s="132" t="s">
        <v>55</v>
      </c>
      <c r="E31" s="114" t="str">
        <f>VLOOKUP(D31,Data!H:I,2,0)</f>
        <v>Erzurum</v>
      </c>
      <c r="F31" s="115" t="str">
        <f>VLOOKUP(D31,Data!H:J,3,0)</f>
        <v>Nazım Öztel</v>
      </c>
      <c r="G31" s="116" t="b">
        <v>0</v>
      </c>
      <c r="H31" s="116" t="b">
        <v>0</v>
      </c>
      <c r="I31" s="116" t="b">
        <v>0</v>
      </c>
      <c r="J31" s="116" t="b">
        <v>0</v>
      </c>
      <c r="K31" s="116" t="b">
        <v>0</v>
      </c>
      <c r="L31" s="116" t="b">
        <v>0</v>
      </c>
      <c r="M31" s="116" t="b">
        <v>0</v>
      </c>
      <c r="N31" s="117">
        <f t="shared" si="3"/>
        <v>0</v>
      </c>
      <c r="O31" s="117">
        <f t="shared" si="4"/>
        <v>0</v>
      </c>
      <c r="P31" s="157" t="s">
        <v>314</v>
      </c>
      <c r="Q31" s="112"/>
    </row>
    <row r="32" ht="15.0" customHeight="1">
      <c r="A32" s="112"/>
      <c r="B32" s="112"/>
      <c r="C32" s="112"/>
      <c r="D32" s="129" t="s">
        <v>165</v>
      </c>
      <c r="E32" s="114" t="str">
        <f>VLOOKUP(D32,Data!H:I,2,0)</f>
        <v>Eskişehir</v>
      </c>
      <c r="F32" s="115" t="str">
        <f>VLOOKUP(D32,Data!H:J,3,0)</f>
        <v>Nazım Öztel</v>
      </c>
      <c r="G32" s="116" t="b">
        <v>0</v>
      </c>
      <c r="H32" s="116" t="b">
        <v>0</v>
      </c>
      <c r="I32" s="116" t="b">
        <v>0</v>
      </c>
      <c r="J32" s="116" t="b">
        <v>0</v>
      </c>
      <c r="K32" s="116" t="b">
        <v>0</v>
      </c>
      <c r="L32" s="116" t="b">
        <v>0</v>
      </c>
      <c r="M32" s="116" t="b">
        <v>0</v>
      </c>
      <c r="N32" s="117">
        <f t="shared" si="3"/>
        <v>0</v>
      </c>
      <c r="O32" s="117">
        <f t="shared" si="4"/>
        <v>0</v>
      </c>
      <c r="P32" s="157" t="s">
        <v>361</v>
      </c>
      <c r="Q32" s="112"/>
    </row>
    <row r="33" ht="15.0" customHeight="1">
      <c r="A33" s="112"/>
      <c r="B33" s="112"/>
      <c r="C33" s="112"/>
      <c r="D33" s="129" t="s">
        <v>273</v>
      </c>
      <c r="E33" s="114" t="str">
        <f>VLOOKUP(D33,Data!H:I,2,0)</f>
        <v>Gaziantep</v>
      </c>
      <c r="F33" s="115" t="str">
        <f>VLOOKUP(D33,Data!H:J,3,0)</f>
        <v>Nazım Öztel</v>
      </c>
      <c r="G33" s="116" t="b">
        <v>0</v>
      </c>
      <c r="H33" s="116" t="b">
        <v>0</v>
      </c>
      <c r="I33" s="116" t="b">
        <v>0</v>
      </c>
      <c r="J33" s="116" t="b">
        <v>0</v>
      </c>
      <c r="K33" s="116" t="b">
        <v>0</v>
      </c>
      <c r="L33" s="116" t="b">
        <v>0</v>
      </c>
      <c r="M33" s="116" t="b">
        <v>0</v>
      </c>
      <c r="N33" s="117">
        <f t="shared" si="3"/>
        <v>0</v>
      </c>
      <c r="O33" s="117">
        <f t="shared" si="4"/>
        <v>0</v>
      </c>
      <c r="P33" s="157" t="s">
        <v>314</v>
      </c>
      <c r="Q33" s="112"/>
    </row>
    <row r="34" ht="15.0" customHeight="1">
      <c r="A34" s="112"/>
      <c r="B34" s="112"/>
      <c r="C34" s="112"/>
      <c r="D34" s="129" t="s">
        <v>248</v>
      </c>
      <c r="E34" s="114" t="str">
        <f>VLOOKUP(D34,Data!H:I,2,0)</f>
        <v>Hatay</v>
      </c>
      <c r="F34" s="115" t="str">
        <f>VLOOKUP(D34,Data!H:J,3,0)</f>
        <v>Nazım Öztel</v>
      </c>
      <c r="G34" s="116" t="b">
        <v>0</v>
      </c>
      <c r="H34" s="116" t="b">
        <v>0</v>
      </c>
      <c r="I34" s="116" t="b">
        <v>0</v>
      </c>
      <c r="J34" s="116" t="b">
        <v>0</v>
      </c>
      <c r="K34" s="116" t="b">
        <v>0</v>
      </c>
      <c r="L34" s="116" t="b">
        <v>0</v>
      </c>
      <c r="M34" s="116" t="b">
        <v>0</v>
      </c>
      <c r="N34" s="117">
        <f t="shared" si="3"/>
        <v>0</v>
      </c>
      <c r="O34" s="117">
        <f t="shared" si="4"/>
        <v>0</v>
      </c>
      <c r="P34" s="157" t="s">
        <v>314</v>
      </c>
      <c r="Q34" s="112"/>
    </row>
    <row r="35" ht="15.0" customHeight="1">
      <c r="A35" s="112"/>
      <c r="B35" s="112"/>
      <c r="C35" s="112"/>
      <c r="D35" s="129" t="s">
        <v>58</v>
      </c>
      <c r="E35" s="114" t="str">
        <f>VLOOKUP(D35,Data!H:I,2,0)</f>
        <v>İstanbul</v>
      </c>
      <c r="F35" s="115" t="str">
        <f>VLOOKUP(D35,Data!H:J,3,0)</f>
        <v>Freelance</v>
      </c>
      <c r="G35" s="116" t="b">
        <v>1</v>
      </c>
      <c r="H35" s="116" t="b">
        <v>1</v>
      </c>
      <c r="I35" s="116" t="b">
        <v>1</v>
      </c>
      <c r="J35" s="116" t="b">
        <v>1</v>
      </c>
      <c r="K35" s="116" t="b">
        <v>1</v>
      </c>
      <c r="L35" s="116" t="b">
        <v>0</v>
      </c>
      <c r="M35" s="116" t="b">
        <v>0</v>
      </c>
      <c r="N35" s="117">
        <f t="shared" si="3"/>
        <v>5</v>
      </c>
      <c r="O35" s="117">
        <f t="shared" si="4"/>
        <v>20</v>
      </c>
      <c r="P35" s="157"/>
      <c r="Q35" s="112"/>
    </row>
    <row r="36" ht="15.0" customHeight="1">
      <c r="A36" s="121"/>
      <c r="B36" s="121"/>
      <c r="C36" s="121"/>
      <c r="D36" s="129" t="s">
        <v>335</v>
      </c>
      <c r="E36" s="114" t="s">
        <v>237</v>
      </c>
      <c r="F36" s="115" t="s">
        <v>64</v>
      </c>
      <c r="G36" s="116" t="b">
        <v>0</v>
      </c>
      <c r="H36" s="116" t="b">
        <v>0</v>
      </c>
      <c r="I36" s="116" t="b">
        <v>0</v>
      </c>
      <c r="J36" s="116" t="b">
        <v>0</v>
      </c>
      <c r="K36" s="116" t="b">
        <v>0</v>
      </c>
      <c r="L36" s="116" t="b">
        <v>0</v>
      </c>
      <c r="M36" s="116" t="b">
        <v>0</v>
      </c>
      <c r="N36" s="117">
        <f t="shared" si="3"/>
        <v>0</v>
      </c>
      <c r="O36" s="117">
        <f t="shared" si="4"/>
        <v>0</v>
      </c>
      <c r="P36" s="157"/>
      <c r="Q36" s="121"/>
    </row>
    <row r="37" ht="15.0" customHeight="1">
      <c r="A37" s="112"/>
      <c r="B37" s="112"/>
      <c r="C37" s="112"/>
      <c r="D37" s="129" t="s">
        <v>376</v>
      </c>
      <c r="E37" s="114" t="s">
        <v>237</v>
      </c>
      <c r="F37" s="115" t="s">
        <v>59</v>
      </c>
      <c r="G37" s="116" t="b">
        <v>0</v>
      </c>
      <c r="H37" s="116" t="b">
        <v>0</v>
      </c>
      <c r="I37" s="116" t="b">
        <v>0</v>
      </c>
      <c r="J37" s="116" t="b">
        <v>1</v>
      </c>
      <c r="K37" s="116" t="b">
        <v>0</v>
      </c>
      <c r="L37" s="116" t="b">
        <v>0</v>
      </c>
      <c r="M37" s="116" t="b">
        <v>0</v>
      </c>
      <c r="N37" s="117">
        <v>1.0</v>
      </c>
      <c r="O37" s="117">
        <v>4.0</v>
      </c>
      <c r="P37" s="157"/>
      <c r="Q37" s="112"/>
    </row>
    <row r="38" ht="15.0" customHeight="1">
      <c r="A38" s="112"/>
      <c r="B38" s="112"/>
      <c r="C38" s="112"/>
      <c r="D38" s="129" t="s">
        <v>302</v>
      </c>
      <c r="E38" s="114" t="s">
        <v>237</v>
      </c>
      <c r="F38" s="115" t="s">
        <v>64</v>
      </c>
      <c r="G38" s="116" t="b">
        <v>0</v>
      </c>
      <c r="H38" s="116" t="b">
        <v>0</v>
      </c>
      <c r="I38" s="116" t="b">
        <v>0</v>
      </c>
      <c r="J38" s="116" t="b">
        <v>0</v>
      </c>
      <c r="K38" s="116" t="b">
        <v>0</v>
      </c>
      <c r="L38" s="116" t="b">
        <v>0</v>
      </c>
      <c r="M38" s="116" t="b">
        <v>0</v>
      </c>
      <c r="N38" s="117">
        <f t="shared" ref="N38:N76" si="5">COUNTIF(G38:M38,"TRUE")</f>
        <v>0</v>
      </c>
      <c r="O38" s="117">
        <f t="shared" ref="O38:O76" si="6">N38*4</f>
        <v>0</v>
      </c>
      <c r="P38" s="157" t="s">
        <v>362</v>
      </c>
      <c r="Q38" s="112"/>
    </row>
    <row r="39" ht="15.0" customHeight="1">
      <c r="A39" s="112"/>
      <c r="B39" s="112"/>
      <c r="C39" s="112"/>
      <c r="D39" s="129" t="s">
        <v>351</v>
      </c>
      <c r="E39" s="114" t="s">
        <v>237</v>
      </c>
      <c r="F39" s="115" t="s">
        <v>64</v>
      </c>
      <c r="G39" s="116" t="b">
        <v>0</v>
      </c>
      <c r="H39" s="116" t="b">
        <v>0</v>
      </c>
      <c r="I39" s="116" t="b">
        <v>0</v>
      </c>
      <c r="J39" s="116" t="b">
        <v>0</v>
      </c>
      <c r="K39" s="116" t="b">
        <v>0</v>
      </c>
      <c r="L39" s="116" t="b">
        <v>0</v>
      </c>
      <c r="M39" s="116" t="b">
        <v>0</v>
      </c>
      <c r="N39" s="117">
        <f t="shared" si="5"/>
        <v>0</v>
      </c>
      <c r="O39" s="117">
        <f t="shared" si="6"/>
        <v>0</v>
      </c>
      <c r="P39" s="157" t="s">
        <v>309</v>
      </c>
      <c r="Q39" s="112"/>
    </row>
    <row r="40" ht="15.0" customHeight="1">
      <c r="A40" s="112"/>
      <c r="B40" s="112"/>
      <c r="C40" s="112"/>
      <c r="D40" s="129" t="s">
        <v>78</v>
      </c>
      <c r="E40" s="114" t="str">
        <f>VLOOKUP(D40,Data!H:I,2,0)</f>
        <v>İstanbul</v>
      </c>
      <c r="F40" s="115" t="str">
        <f>VLOOKUP(D40,Data!H:J,3,0)</f>
        <v>Freelance</v>
      </c>
      <c r="G40" s="116" t="b">
        <v>1</v>
      </c>
      <c r="H40" s="116" t="b">
        <v>1</v>
      </c>
      <c r="I40" s="116" t="b">
        <v>1</v>
      </c>
      <c r="J40" s="116" t="b">
        <v>1</v>
      </c>
      <c r="K40" s="116" t="b">
        <v>1</v>
      </c>
      <c r="L40" s="116" t="b">
        <v>0</v>
      </c>
      <c r="M40" s="116" t="b">
        <v>0</v>
      </c>
      <c r="N40" s="117">
        <f t="shared" si="5"/>
        <v>5</v>
      </c>
      <c r="O40" s="117">
        <f t="shared" si="6"/>
        <v>20</v>
      </c>
      <c r="P40" s="157"/>
      <c r="Q40" s="112"/>
    </row>
    <row r="41" ht="15.0" customHeight="1">
      <c r="A41" s="112"/>
      <c r="B41" s="112"/>
      <c r="C41" s="112"/>
      <c r="D41" s="129" t="s">
        <v>377</v>
      </c>
      <c r="E41" s="114" t="s">
        <v>237</v>
      </c>
      <c r="F41" s="115" t="s">
        <v>59</v>
      </c>
      <c r="G41" s="116" t="b">
        <v>1</v>
      </c>
      <c r="H41" s="116" t="b">
        <v>1</v>
      </c>
      <c r="I41" s="116" t="b">
        <v>0</v>
      </c>
      <c r="J41" s="116" t="b">
        <v>0</v>
      </c>
      <c r="K41" s="116" t="b">
        <v>0</v>
      </c>
      <c r="L41" s="116" t="b">
        <v>0</v>
      </c>
      <c r="M41" s="116" t="b">
        <v>0</v>
      </c>
      <c r="N41" s="117">
        <f t="shared" si="5"/>
        <v>2</v>
      </c>
      <c r="O41" s="117">
        <f t="shared" si="6"/>
        <v>8</v>
      </c>
      <c r="P41" s="157" t="s">
        <v>338</v>
      </c>
      <c r="Q41" s="112"/>
    </row>
    <row r="42" ht="15.0" customHeight="1">
      <c r="A42" s="122"/>
      <c r="B42" s="122"/>
      <c r="C42" s="122"/>
      <c r="D42" s="129" t="s">
        <v>80</v>
      </c>
      <c r="E42" s="114" t="str">
        <f>VLOOKUP(D42,Data!H:I,2,0)</f>
        <v>İstanbul</v>
      </c>
      <c r="F42" s="115" t="str">
        <f>VLOOKUP(D42,Data!H:J,3,0)</f>
        <v>Freelance</v>
      </c>
      <c r="G42" s="116" t="b">
        <v>0</v>
      </c>
      <c r="H42" s="116" t="b">
        <v>1</v>
      </c>
      <c r="I42" s="116" t="b">
        <v>1</v>
      </c>
      <c r="J42" s="116" t="b">
        <v>1</v>
      </c>
      <c r="K42" s="116" t="b">
        <v>1</v>
      </c>
      <c r="L42" s="116" t="b">
        <v>0</v>
      </c>
      <c r="M42" s="116" t="b">
        <v>0</v>
      </c>
      <c r="N42" s="117">
        <f t="shared" si="5"/>
        <v>4</v>
      </c>
      <c r="O42" s="117">
        <f t="shared" si="6"/>
        <v>16</v>
      </c>
      <c r="P42" s="157"/>
      <c r="Q42" s="122"/>
    </row>
    <row r="43" ht="15.0" customHeight="1">
      <c r="A43" s="112"/>
      <c r="B43" s="112"/>
      <c r="C43" s="112"/>
      <c r="D43" s="132" t="s">
        <v>119</v>
      </c>
      <c r="E43" s="114" t="str">
        <f>VLOOKUP(D43,Data!H:I,2,0)</f>
        <v>İstanbul</v>
      </c>
      <c r="F43" s="115" t="str">
        <f>VLOOKUP(D43,Data!H:J,3,0)</f>
        <v>Filamingo</v>
      </c>
      <c r="G43" s="116" t="b">
        <v>0</v>
      </c>
      <c r="H43" s="116" t="b">
        <v>0</v>
      </c>
      <c r="I43" s="116" t="b">
        <v>0</v>
      </c>
      <c r="J43" s="116" t="b">
        <v>0</v>
      </c>
      <c r="K43" s="116" t="b">
        <v>0</v>
      </c>
      <c r="L43" s="116" t="b">
        <v>0</v>
      </c>
      <c r="M43" s="116" t="b">
        <v>0</v>
      </c>
      <c r="N43" s="117">
        <f t="shared" si="5"/>
        <v>0</v>
      </c>
      <c r="O43" s="117">
        <f t="shared" si="6"/>
        <v>0</v>
      </c>
      <c r="P43" s="157" t="s">
        <v>309</v>
      </c>
      <c r="Q43" s="112"/>
    </row>
    <row r="44" ht="15.0" customHeight="1">
      <c r="A44" s="112"/>
      <c r="B44" s="112"/>
      <c r="C44" s="112"/>
      <c r="D44" s="129" t="s">
        <v>217</v>
      </c>
      <c r="E44" s="114" t="str">
        <f>VLOOKUP(D44,Data!H:I,2,0)</f>
        <v>İstanbul</v>
      </c>
      <c r="F44" s="115" t="str">
        <f>VLOOKUP(D44,Data!H:J,3,0)</f>
        <v>Freelance</v>
      </c>
      <c r="G44" s="116" t="b">
        <v>0</v>
      </c>
      <c r="H44" s="116" t="b">
        <v>0</v>
      </c>
      <c r="I44" s="116" t="b">
        <v>0</v>
      </c>
      <c r="J44" s="116" t="b">
        <v>0</v>
      </c>
      <c r="K44" s="116" t="b">
        <v>0</v>
      </c>
      <c r="L44" s="116" t="b">
        <v>0</v>
      </c>
      <c r="M44" s="116" t="b">
        <v>0</v>
      </c>
      <c r="N44" s="117">
        <f t="shared" si="5"/>
        <v>0</v>
      </c>
      <c r="O44" s="117">
        <f t="shared" si="6"/>
        <v>0</v>
      </c>
      <c r="P44" s="157" t="s">
        <v>309</v>
      </c>
      <c r="Q44" s="112"/>
    </row>
    <row r="45" ht="15.0" customHeight="1">
      <c r="A45" s="112"/>
      <c r="B45" s="112"/>
      <c r="C45" s="112"/>
      <c r="D45" s="129" t="s">
        <v>81</v>
      </c>
      <c r="E45" s="114" t="str">
        <f>VLOOKUP(D45,Data!H:I,2,0)</f>
        <v>İstanbul</v>
      </c>
      <c r="F45" s="115" t="str">
        <f>VLOOKUP(D45,Data!H:J,3,0)</f>
        <v>Freelance</v>
      </c>
      <c r="G45" s="116" t="b">
        <v>0</v>
      </c>
      <c r="H45" s="116" t="b">
        <v>0</v>
      </c>
      <c r="I45" s="116" t="b">
        <v>0</v>
      </c>
      <c r="J45" s="116" t="b">
        <v>0</v>
      </c>
      <c r="K45" s="116" t="b">
        <v>0</v>
      </c>
      <c r="L45" s="116" t="b">
        <v>0</v>
      </c>
      <c r="M45" s="116" t="b">
        <v>0</v>
      </c>
      <c r="N45" s="117">
        <f t="shared" si="5"/>
        <v>0</v>
      </c>
      <c r="O45" s="117">
        <f t="shared" si="6"/>
        <v>0</v>
      </c>
      <c r="P45" s="157" t="s">
        <v>314</v>
      </c>
      <c r="Q45" s="112"/>
    </row>
    <row r="46" ht="15.0" customHeight="1">
      <c r="A46" s="112"/>
      <c r="B46" s="112"/>
      <c r="C46" s="112"/>
      <c r="D46" s="129" t="s">
        <v>201</v>
      </c>
      <c r="E46" s="114" t="str">
        <f>VLOOKUP(D46,Data!H:I,2,0)</f>
        <v>İstanbul</v>
      </c>
      <c r="F46" s="114" t="str">
        <f>VLOOKUP(D46,Data!H:J,3,0)</f>
        <v>Freelance</v>
      </c>
      <c r="G46" s="116" t="b">
        <v>0</v>
      </c>
      <c r="H46" s="116" t="b">
        <v>0</v>
      </c>
      <c r="I46" s="116" t="b">
        <v>0</v>
      </c>
      <c r="J46" s="116" t="b">
        <v>0</v>
      </c>
      <c r="K46" s="116" t="b">
        <v>0</v>
      </c>
      <c r="L46" s="116" t="b">
        <v>0</v>
      </c>
      <c r="M46" s="116" t="b">
        <v>0</v>
      </c>
      <c r="N46" s="117">
        <f t="shared" si="5"/>
        <v>0</v>
      </c>
      <c r="O46" s="117">
        <f t="shared" si="6"/>
        <v>0</v>
      </c>
      <c r="P46" s="157" t="s">
        <v>309</v>
      </c>
      <c r="Q46" s="112"/>
    </row>
    <row r="47" ht="15.0" customHeight="1">
      <c r="A47" s="112"/>
      <c r="B47" s="112"/>
      <c r="C47" s="112"/>
      <c r="D47" s="132" t="s">
        <v>83</v>
      </c>
      <c r="E47" s="114" t="str">
        <f>VLOOKUP(D47,Data!H:I,2,0)</f>
        <v>İstanbul</v>
      </c>
      <c r="F47" s="115" t="str">
        <f>VLOOKUP(D47,Data!H:J,3,0)</f>
        <v>Nazım Öztel</v>
      </c>
      <c r="G47" s="116" t="b">
        <v>0</v>
      </c>
      <c r="H47" s="116" t="b">
        <v>0</v>
      </c>
      <c r="I47" s="116" t="b">
        <v>0</v>
      </c>
      <c r="J47" s="116" t="b">
        <v>0</v>
      </c>
      <c r="K47" s="116" t="b">
        <v>0</v>
      </c>
      <c r="L47" s="116" t="b">
        <v>0</v>
      </c>
      <c r="M47" s="116" t="b">
        <v>0</v>
      </c>
      <c r="N47" s="117">
        <f t="shared" si="5"/>
        <v>0</v>
      </c>
      <c r="O47" s="117">
        <f t="shared" si="6"/>
        <v>0</v>
      </c>
      <c r="P47" s="157" t="s">
        <v>309</v>
      </c>
      <c r="Q47" s="112"/>
    </row>
    <row r="48" ht="15.0" customHeight="1">
      <c r="A48" s="112"/>
      <c r="B48" s="112"/>
      <c r="C48" s="112"/>
      <c r="D48" s="129" t="s">
        <v>363</v>
      </c>
      <c r="E48" s="166" t="s">
        <v>237</v>
      </c>
      <c r="F48" s="167" t="s">
        <v>64</v>
      </c>
      <c r="G48" s="116" t="b">
        <v>1</v>
      </c>
      <c r="H48" s="116" t="b">
        <v>1</v>
      </c>
      <c r="I48" s="116" t="b">
        <v>1</v>
      </c>
      <c r="J48" s="116" t="b">
        <v>0</v>
      </c>
      <c r="K48" s="116" t="b">
        <v>0</v>
      </c>
      <c r="L48" s="116" t="b">
        <v>0</v>
      </c>
      <c r="M48" s="116" t="b">
        <v>0</v>
      </c>
      <c r="N48" s="146">
        <f t="shared" si="5"/>
        <v>3</v>
      </c>
      <c r="O48" s="146">
        <f t="shared" si="6"/>
        <v>12</v>
      </c>
      <c r="P48" s="159"/>
      <c r="Q48" s="112"/>
    </row>
    <row r="49" ht="15.0" customHeight="1">
      <c r="A49" s="125"/>
      <c r="B49" s="125"/>
      <c r="C49" s="125"/>
      <c r="D49" s="129" t="s">
        <v>225</v>
      </c>
      <c r="E49" s="114" t="str">
        <f>VLOOKUP(D49,Data!H:I,2,0)</f>
        <v>İstanbul</v>
      </c>
      <c r="F49" s="115" t="str">
        <f>VLOOKUP(D49,Data!H:J,3,0)</f>
        <v>Filamingo</v>
      </c>
      <c r="G49" s="116" t="b">
        <v>0</v>
      </c>
      <c r="H49" s="116" t="b">
        <v>0</v>
      </c>
      <c r="I49" s="116" t="b">
        <v>0</v>
      </c>
      <c r="J49" s="116" t="b">
        <v>0</v>
      </c>
      <c r="K49" s="116" t="b">
        <v>0</v>
      </c>
      <c r="L49" s="116" t="b">
        <v>0</v>
      </c>
      <c r="M49" s="116" t="b">
        <v>0</v>
      </c>
      <c r="N49" s="117">
        <f t="shared" si="5"/>
        <v>0</v>
      </c>
      <c r="O49" s="117">
        <f t="shared" si="6"/>
        <v>0</v>
      </c>
      <c r="P49" s="157" t="s">
        <v>309</v>
      </c>
      <c r="Q49" s="125"/>
    </row>
    <row r="50" ht="15.0" customHeight="1">
      <c r="A50" s="125"/>
      <c r="B50" s="125"/>
      <c r="C50" s="125"/>
      <c r="D50" s="129" t="s">
        <v>145</v>
      </c>
      <c r="E50" s="114" t="str">
        <f>VLOOKUP(D50,Data!H:I,2,0)</f>
        <v>İstanbul</v>
      </c>
      <c r="F50" s="115" t="str">
        <f>VLOOKUP(D50,Data!H:J,3,0)</f>
        <v>Filamingo</v>
      </c>
      <c r="G50" s="116" t="b">
        <v>1</v>
      </c>
      <c r="H50" s="116" t="b">
        <v>0</v>
      </c>
      <c r="I50" s="116" t="b">
        <v>0</v>
      </c>
      <c r="J50" s="116" t="b">
        <v>0</v>
      </c>
      <c r="K50" s="116" t="b">
        <v>0</v>
      </c>
      <c r="L50" s="116" t="b">
        <v>0</v>
      </c>
      <c r="M50" s="116" t="b">
        <v>0</v>
      </c>
      <c r="N50" s="117">
        <f t="shared" si="5"/>
        <v>1</v>
      </c>
      <c r="O50" s="117">
        <f t="shared" si="6"/>
        <v>4</v>
      </c>
      <c r="P50" s="157" t="s">
        <v>365</v>
      </c>
      <c r="Q50" s="125"/>
    </row>
    <row r="51" ht="15.0" customHeight="1">
      <c r="A51" s="125"/>
      <c r="B51" s="125"/>
      <c r="C51" s="125"/>
      <c r="D51" s="129" t="s">
        <v>274</v>
      </c>
      <c r="E51" s="114" t="str">
        <f>VLOOKUP(D51,Data!H:I,2,0)</f>
        <v>İstanbul</v>
      </c>
      <c r="F51" s="115" t="str">
        <f>VLOOKUP(D51,Data!H:J,3,0)</f>
        <v>Filamingo</v>
      </c>
      <c r="G51" s="116" t="b">
        <v>0</v>
      </c>
      <c r="H51" s="116" t="b">
        <v>0</v>
      </c>
      <c r="I51" s="116" t="b">
        <v>0</v>
      </c>
      <c r="J51" s="116" t="b">
        <v>0</v>
      </c>
      <c r="K51" s="116" t="b">
        <v>0</v>
      </c>
      <c r="L51" s="116" t="b">
        <v>0</v>
      </c>
      <c r="M51" s="116" t="b">
        <v>0</v>
      </c>
      <c r="N51" s="117">
        <f t="shared" si="5"/>
        <v>0</v>
      </c>
      <c r="O51" s="117">
        <f t="shared" si="6"/>
        <v>0</v>
      </c>
      <c r="P51" s="157"/>
      <c r="Q51" s="125"/>
    </row>
    <row r="52" ht="15.0" customHeight="1">
      <c r="A52" s="125"/>
      <c r="B52" s="125"/>
      <c r="C52" s="125"/>
      <c r="D52" s="129" t="s">
        <v>87</v>
      </c>
      <c r="E52" s="114" t="str">
        <f>VLOOKUP(D52,Data!H:I,2,0)</f>
        <v>İstanbul</v>
      </c>
      <c r="F52" s="115" t="str">
        <f>VLOOKUP(D52,Data!H:J,3,0)</f>
        <v>Freelance</v>
      </c>
      <c r="G52" s="116" t="b">
        <v>0</v>
      </c>
      <c r="H52" s="116" t="b">
        <v>0</v>
      </c>
      <c r="I52" s="116" t="b">
        <v>0</v>
      </c>
      <c r="J52" s="116" t="b">
        <v>0</v>
      </c>
      <c r="K52" s="116" t="b">
        <v>0</v>
      </c>
      <c r="L52" s="116" t="b">
        <v>0</v>
      </c>
      <c r="M52" s="116" t="b">
        <v>0</v>
      </c>
      <c r="N52" s="117">
        <f t="shared" si="5"/>
        <v>0</v>
      </c>
      <c r="O52" s="117">
        <f t="shared" si="6"/>
        <v>0</v>
      </c>
      <c r="P52" s="157" t="s">
        <v>324</v>
      </c>
      <c r="Q52" s="125"/>
    </row>
    <row r="53" ht="15.0" customHeight="1">
      <c r="A53" s="125"/>
      <c r="B53" s="125"/>
      <c r="C53" s="125"/>
      <c r="D53" s="129" t="s">
        <v>337</v>
      </c>
      <c r="E53" s="114" t="s">
        <v>237</v>
      </c>
      <c r="F53" s="115" t="s">
        <v>64</v>
      </c>
      <c r="G53" s="116" t="b">
        <v>0</v>
      </c>
      <c r="H53" s="116" t="b">
        <v>0</v>
      </c>
      <c r="I53" s="116" t="b">
        <v>0</v>
      </c>
      <c r="J53" s="116" t="b">
        <v>0</v>
      </c>
      <c r="K53" s="116" t="b">
        <v>0</v>
      </c>
      <c r="L53" s="116" t="b">
        <v>0</v>
      </c>
      <c r="M53" s="116" t="b">
        <v>0</v>
      </c>
      <c r="N53" s="117">
        <f t="shared" si="5"/>
        <v>0</v>
      </c>
      <c r="O53" s="117">
        <f t="shared" si="6"/>
        <v>0</v>
      </c>
      <c r="P53" s="157" t="s">
        <v>309</v>
      </c>
      <c r="Q53" s="125"/>
    </row>
    <row r="54" ht="15.0" customHeight="1">
      <c r="A54" s="112"/>
      <c r="B54" s="112"/>
      <c r="C54" s="112"/>
      <c r="D54" s="129" t="s">
        <v>249</v>
      </c>
      <c r="E54" s="114" t="str">
        <f>VLOOKUP(D54,Data!H:I,2,0)</f>
        <v>İstanbul</v>
      </c>
      <c r="F54" s="115" t="str">
        <f>VLOOKUP(D54,Data!H:J,3,0)</f>
        <v>Nazım Öztel</v>
      </c>
      <c r="G54" s="116" t="b">
        <v>0</v>
      </c>
      <c r="H54" s="116" t="b">
        <v>1</v>
      </c>
      <c r="I54" s="116" t="b">
        <v>1</v>
      </c>
      <c r="J54" s="116" t="b">
        <v>1</v>
      </c>
      <c r="K54" s="116" t="b">
        <v>1</v>
      </c>
      <c r="L54" s="116" t="b">
        <v>0</v>
      </c>
      <c r="M54" s="116" t="b">
        <v>0</v>
      </c>
      <c r="N54" s="117">
        <f t="shared" si="5"/>
        <v>4</v>
      </c>
      <c r="O54" s="117">
        <f t="shared" si="6"/>
        <v>16</v>
      </c>
      <c r="P54" s="157"/>
      <c r="Q54" s="112"/>
    </row>
    <row r="55" ht="15.0" customHeight="1">
      <c r="A55" s="112"/>
      <c r="B55" s="112"/>
      <c r="C55" s="112"/>
      <c r="D55" s="129" t="s">
        <v>250</v>
      </c>
      <c r="E55" s="114" t="str">
        <f>VLOOKUP(D55,Data!H:I,2,0)</f>
        <v>İstanbul</v>
      </c>
      <c r="F55" s="115" t="str">
        <f>VLOOKUP(D55,Data!H:J,3,0)</f>
        <v>Filamingo</v>
      </c>
      <c r="G55" s="116" t="b">
        <v>0</v>
      </c>
      <c r="H55" s="116" t="b">
        <v>0</v>
      </c>
      <c r="I55" s="116" t="b">
        <v>0</v>
      </c>
      <c r="J55" s="116" t="b">
        <v>0</v>
      </c>
      <c r="K55" s="116" t="b">
        <v>0</v>
      </c>
      <c r="L55" s="116" t="b">
        <v>0</v>
      </c>
      <c r="M55" s="116" t="b">
        <v>0</v>
      </c>
      <c r="N55" s="117">
        <f t="shared" si="5"/>
        <v>0</v>
      </c>
      <c r="O55" s="117">
        <f t="shared" si="6"/>
        <v>0</v>
      </c>
      <c r="P55" s="157" t="s">
        <v>309</v>
      </c>
      <c r="Q55" s="112"/>
    </row>
    <row r="56" ht="15.0" customHeight="1">
      <c r="A56" s="112"/>
      <c r="B56" s="112"/>
      <c r="C56" s="112"/>
      <c r="D56" s="129" t="s">
        <v>251</v>
      </c>
      <c r="E56" s="114" t="str">
        <f>VLOOKUP(D56,Data!H:I,2,0)</f>
        <v>İstanbul</v>
      </c>
      <c r="F56" s="115" t="str">
        <f>VLOOKUP(D56,Data!H:J,3,0)</f>
        <v>Filamingo</v>
      </c>
      <c r="G56" s="116" t="b">
        <v>0</v>
      </c>
      <c r="H56" s="116" t="b">
        <v>0</v>
      </c>
      <c r="I56" s="116" t="b">
        <v>0</v>
      </c>
      <c r="J56" s="116" t="b">
        <v>0</v>
      </c>
      <c r="K56" s="116" t="b">
        <v>0</v>
      </c>
      <c r="L56" s="116" t="b">
        <v>0</v>
      </c>
      <c r="M56" s="116" t="b">
        <v>0</v>
      </c>
      <c r="N56" s="117">
        <f t="shared" si="5"/>
        <v>0</v>
      </c>
      <c r="O56" s="117">
        <f t="shared" si="6"/>
        <v>0</v>
      </c>
      <c r="P56" s="157"/>
      <c r="Q56" s="112"/>
    </row>
    <row r="57" ht="15.0" customHeight="1">
      <c r="A57" s="112"/>
      <c r="B57" s="112"/>
      <c r="C57" s="112"/>
      <c r="D57" s="129" t="s">
        <v>252</v>
      </c>
      <c r="E57" s="114" t="str">
        <f>VLOOKUP(D57,Data!H:I,2,0)</f>
        <v>İzmir</v>
      </c>
      <c r="F57" s="115" t="str">
        <f>VLOOKUP(D57,Data!H:J,3,0)</f>
        <v>Nazım Öztel</v>
      </c>
      <c r="G57" s="116" t="b">
        <v>0</v>
      </c>
      <c r="H57" s="116" t="b">
        <v>0</v>
      </c>
      <c r="I57" s="116" t="b">
        <v>0</v>
      </c>
      <c r="J57" s="116" t="b">
        <v>0</v>
      </c>
      <c r="K57" s="116" t="b">
        <v>0</v>
      </c>
      <c r="L57" s="116" t="b">
        <v>0</v>
      </c>
      <c r="M57" s="116" t="b">
        <v>0</v>
      </c>
      <c r="N57" s="117">
        <f t="shared" si="5"/>
        <v>0</v>
      </c>
      <c r="O57" s="117">
        <f t="shared" si="6"/>
        <v>0</v>
      </c>
      <c r="P57" s="157" t="s">
        <v>378</v>
      </c>
      <c r="Q57" s="112"/>
    </row>
    <row r="58" ht="15.0" customHeight="1">
      <c r="A58" s="112"/>
      <c r="B58" s="112"/>
      <c r="C58" s="112"/>
      <c r="D58" s="132" t="s">
        <v>92</v>
      </c>
      <c r="E58" s="114" t="str">
        <f>VLOOKUP(D58,Data!H:I,2,0)</f>
        <v>İzmir</v>
      </c>
      <c r="F58" s="115" t="str">
        <f>VLOOKUP(D58,Data!H:J,3,0)</f>
        <v>Nazım Öztel</v>
      </c>
      <c r="G58" s="116" t="b">
        <v>0</v>
      </c>
      <c r="H58" s="116" t="b">
        <v>0</v>
      </c>
      <c r="I58" s="116" t="b">
        <v>0</v>
      </c>
      <c r="J58" s="116" t="b">
        <v>0</v>
      </c>
      <c r="K58" s="116" t="b">
        <v>0</v>
      </c>
      <c r="L58" s="116" t="b">
        <v>0</v>
      </c>
      <c r="M58" s="116" t="b">
        <v>0</v>
      </c>
      <c r="N58" s="117">
        <f t="shared" si="5"/>
        <v>0</v>
      </c>
      <c r="O58" s="117">
        <f t="shared" si="6"/>
        <v>0</v>
      </c>
      <c r="P58" s="157" t="s">
        <v>324</v>
      </c>
      <c r="Q58" s="112"/>
    </row>
    <row r="59" ht="15.0" customHeight="1">
      <c r="A59" s="112"/>
      <c r="B59" s="112"/>
      <c r="C59" s="112"/>
      <c r="D59" s="129" t="s">
        <v>93</v>
      </c>
      <c r="E59" s="114" t="str">
        <f>VLOOKUP(D59,Data!H:I,2,0)</f>
        <v>İzmir</v>
      </c>
      <c r="F59" s="115" t="str">
        <f>VLOOKUP(D59,Data!H:J,3,0)</f>
        <v>Freelance</v>
      </c>
      <c r="G59" s="116" t="b">
        <v>1</v>
      </c>
      <c r="H59" s="116" t="b">
        <v>1</v>
      </c>
      <c r="I59" s="116" t="b">
        <v>1</v>
      </c>
      <c r="J59" s="116" t="b">
        <v>1</v>
      </c>
      <c r="K59" s="116" t="b">
        <v>1</v>
      </c>
      <c r="L59" s="116" t="b">
        <v>0</v>
      </c>
      <c r="M59" s="116" t="b">
        <v>0</v>
      </c>
      <c r="N59" s="117">
        <f t="shared" si="5"/>
        <v>5</v>
      </c>
      <c r="O59" s="117">
        <f t="shared" si="6"/>
        <v>20</v>
      </c>
      <c r="P59" s="157"/>
      <c r="Q59" s="112"/>
    </row>
    <row r="60" ht="15.0" customHeight="1">
      <c r="A60" s="112"/>
      <c r="B60" s="112"/>
      <c r="C60" s="112"/>
      <c r="D60" s="129" t="s">
        <v>161</v>
      </c>
      <c r="E60" s="143" t="str">
        <f>VLOOKUP(D60,Data!H:I,2,0)</f>
        <v>Kahramanmaraş</v>
      </c>
      <c r="F60" s="115" t="str">
        <f>VLOOKUP(D60,Data!H:J,3,0)</f>
        <v>Nazım Öztel</v>
      </c>
      <c r="G60" s="116" t="b">
        <v>0</v>
      </c>
      <c r="H60" s="116" t="b">
        <v>0</v>
      </c>
      <c r="I60" s="116" t="b">
        <v>0</v>
      </c>
      <c r="J60" s="116" t="b">
        <v>0</v>
      </c>
      <c r="K60" s="116" t="b">
        <v>0</v>
      </c>
      <c r="L60" s="116" t="b">
        <v>0</v>
      </c>
      <c r="M60" s="116" t="b">
        <v>0</v>
      </c>
      <c r="N60" s="117">
        <f t="shared" si="5"/>
        <v>0</v>
      </c>
      <c r="O60" s="117">
        <f t="shared" si="6"/>
        <v>0</v>
      </c>
      <c r="P60" s="157" t="s">
        <v>314</v>
      </c>
      <c r="Q60" s="112"/>
    </row>
    <row r="61" ht="15.0" customHeight="1">
      <c r="A61" s="112"/>
      <c r="B61" s="112"/>
      <c r="C61" s="112"/>
      <c r="D61" s="129" t="s">
        <v>243</v>
      </c>
      <c r="E61" s="114" t="str">
        <f>VLOOKUP(D61,Data!H:I,2,0)</f>
        <v>Kayseri</v>
      </c>
      <c r="F61" s="115" t="str">
        <f>VLOOKUP(D61,Data!H:J,3,0)</f>
        <v>Nazım Öztel</v>
      </c>
      <c r="G61" s="116" t="b">
        <v>0</v>
      </c>
      <c r="H61" s="116" t="b">
        <v>0</v>
      </c>
      <c r="I61" s="116" t="b">
        <v>0</v>
      </c>
      <c r="J61" s="116" t="b">
        <v>0</v>
      </c>
      <c r="K61" s="116" t="b">
        <v>0</v>
      </c>
      <c r="L61" s="116" t="b">
        <v>0</v>
      </c>
      <c r="M61" s="116" t="b">
        <v>0</v>
      </c>
      <c r="N61" s="117">
        <f t="shared" si="5"/>
        <v>0</v>
      </c>
      <c r="O61" s="117">
        <f t="shared" si="6"/>
        <v>0</v>
      </c>
      <c r="P61" s="157" t="s">
        <v>379</v>
      </c>
      <c r="Q61" s="112"/>
    </row>
    <row r="62" ht="15.0" customHeight="1">
      <c r="A62" s="112"/>
      <c r="B62" s="112"/>
      <c r="C62" s="112"/>
      <c r="D62" s="129" t="s">
        <v>253</v>
      </c>
      <c r="E62" s="114" t="str">
        <f>VLOOKUP(D62,Data!H:I,2,0)</f>
        <v>Kırklareli</v>
      </c>
      <c r="F62" s="115" t="str">
        <f>VLOOKUP(D62,Data!H:J,3,0)</f>
        <v>Nazım Öztel</v>
      </c>
      <c r="G62" s="116" t="b">
        <v>0</v>
      </c>
      <c r="H62" s="116" t="b">
        <v>0</v>
      </c>
      <c r="I62" s="116" t="b">
        <v>0</v>
      </c>
      <c r="J62" s="116" t="b">
        <v>0</v>
      </c>
      <c r="K62" s="116" t="b">
        <v>0</v>
      </c>
      <c r="L62" s="116" t="b">
        <v>0</v>
      </c>
      <c r="M62" s="116" t="b">
        <v>0</v>
      </c>
      <c r="N62" s="117">
        <f t="shared" si="5"/>
        <v>0</v>
      </c>
      <c r="O62" s="117">
        <f t="shared" si="6"/>
        <v>0</v>
      </c>
      <c r="P62" s="157" t="s">
        <v>314</v>
      </c>
      <c r="Q62" s="112"/>
    </row>
    <row r="63" ht="15.0" customHeight="1">
      <c r="A63" s="112"/>
      <c r="B63" s="112"/>
      <c r="C63" s="112"/>
      <c r="D63" s="132" t="s">
        <v>96</v>
      </c>
      <c r="E63" s="114" t="str">
        <f>VLOOKUP(D63,Data!H:I,2,0)</f>
        <v>Kocaeli</v>
      </c>
      <c r="F63" s="115" t="str">
        <f>VLOOKUP(D63,Data!H:J,3,0)</f>
        <v>Nazım Öztel</v>
      </c>
      <c r="G63" s="116" t="b">
        <v>0</v>
      </c>
      <c r="H63" s="116" t="b">
        <v>0</v>
      </c>
      <c r="I63" s="116" t="b">
        <v>0</v>
      </c>
      <c r="J63" s="116" t="b">
        <v>0</v>
      </c>
      <c r="K63" s="116" t="b">
        <v>0</v>
      </c>
      <c r="L63" s="116" t="b">
        <v>0</v>
      </c>
      <c r="M63" s="116" t="b">
        <v>0</v>
      </c>
      <c r="N63" s="117">
        <f t="shared" si="5"/>
        <v>0</v>
      </c>
      <c r="O63" s="117">
        <f t="shared" si="6"/>
        <v>0</v>
      </c>
      <c r="P63" s="157" t="s">
        <v>380</v>
      </c>
      <c r="Q63" s="112"/>
    </row>
    <row r="64" ht="15.0" customHeight="1">
      <c r="A64" s="112"/>
      <c r="B64" s="112"/>
      <c r="C64" s="112"/>
      <c r="D64" s="129" t="s">
        <v>367</v>
      </c>
      <c r="E64" s="114" t="s">
        <v>237</v>
      </c>
      <c r="F64" s="115" t="s">
        <v>59</v>
      </c>
      <c r="G64" s="116" t="b">
        <v>1</v>
      </c>
      <c r="H64" s="116" t="b">
        <v>0</v>
      </c>
      <c r="I64" s="116" t="b">
        <v>1</v>
      </c>
      <c r="J64" s="116" t="b">
        <v>0</v>
      </c>
      <c r="K64" s="116" t="b">
        <v>1</v>
      </c>
      <c r="L64" s="116" t="b">
        <v>0</v>
      </c>
      <c r="M64" s="116" t="b">
        <v>0</v>
      </c>
      <c r="N64" s="117">
        <f t="shared" si="5"/>
        <v>3</v>
      </c>
      <c r="O64" s="117">
        <f t="shared" si="6"/>
        <v>12</v>
      </c>
      <c r="P64" s="157"/>
      <c r="Q64" s="112"/>
    </row>
    <row r="65" ht="15.0" customHeight="1">
      <c r="A65" s="112"/>
      <c r="B65" s="112"/>
      <c r="C65" s="112"/>
      <c r="D65" s="129" t="s">
        <v>227</v>
      </c>
      <c r="E65" s="114" t="str">
        <f>VLOOKUP(D65,Data!H:I,2,0)</f>
        <v>Konya</v>
      </c>
      <c r="F65" s="115" t="str">
        <f>VLOOKUP(D65,Data!H:J,3,0)</f>
        <v>Nazım Öztel</v>
      </c>
      <c r="G65" s="116" t="b">
        <v>0</v>
      </c>
      <c r="H65" s="116" t="b">
        <v>0</v>
      </c>
      <c r="I65" s="116" t="b">
        <v>0</v>
      </c>
      <c r="J65" s="116" t="b">
        <v>0</v>
      </c>
      <c r="K65" s="116" t="b">
        <v>0</v>
      </c>
      <c r="L65" s="116" t="b">
        <v>0</v>
      </c>
      <c r="M65" s="116" t="b">
        <v>0</v>
      </c>
      <c r="N65" s="117">
        <f t="shared" si="5"/>
        <v>0</v>
      </c>
      <c r="O65" s="117">
        <f t="shared" si="6"/>
        <v>0</v>
      </c>
      <c r="P65" s="157" t="s">
        <v>368</v>
      </c>
      <c r="Q65" s="112"/>
    </row>
    <row r="66" ht="15.0" customHeight="1">
      <c r="A66" s="112"/>
      <c r="B66" s="112"/>
      <c r="C66" s="112"/>
      <c r="D66" s="129" t="s">
        <v>265</v>
      </c>
      <c r="E66" s="114" t="str">
        <f>VLOOKUP(D66,Data!H:I,2,0)</f>
        <v>Konya</v>
      </c>
      <c r="F66" s="115" t="str">
        <f>VLOOKUP(D66,Data!H:J,3,0)</f>
        <v>Nazım Öztel</v>
      </c>
      <c r="G66" s="116" t="b">
        <v>0</v>
      </c>
      <c r="H66" s="116" t="b">
        <v>0</v>
      </c>
      <c r="I66" s="116" t="b">
        <v>0</v>
      </c>
      <c r="J66" s="116" t="b">
        <v>0</v>
      </c>
      <c r="K66" s="116" t="b">
        <v>0</v>
      </c>
      <c r="L66" s="116" t="b">
        <v>0</v>
      </c>
      <c r="M66" s="116" t="b">
        <v>0</v>
      </c>
      <c r="N66" s="117">
        <f t="shared" si="5"/>
        <v>0</v>
      </c>
      <c r="O66" s="117">
        <f t="shared" si="6"/>
        <v>0</v>
      </c>
      <c r="P66" s="157" t="s">
        <v>369</v>
      </c>
      <c r="Q66" s="112"/>
    </row>
    <row r="67" ht="15.0" customHeight="1">
      <c r="A67" s="112"/>
      <c r="B67" s="112"/>
      <c r="C67" s="112"/>
      <c r="D67" s="129" t="s">
        <v>203</v>
      </c>
      <c r="E67" s="114" t="str">
        <f>VLOOKUP(D67,Data!H:I,2,0)</f>
        <v>Malatya</v>
      </c>
      <c r="F67" s="115" t="str">
        <f>VLOOKUP(D67,Data!H:J,3,0)</f>
        <v>Nazım Öztel</v>
      </c>
      <c r="G67" s="116" t="b">
        <v>0</v>
      </c>
      <c r="H67" s="116" t="b">
        <v>0</v>
      </c>
      <c r="I67" s="116" t="b">
        <v>0</v>
      </c>
      <c r="J67" s="116" t="b">
        <v>0</v>
      </c>
      <c r="K67" s="116" t="b">
        <v>0</v>
      </c>
      <c r="L67" s="116" t="b">
        <v>0</v>
      </c>
      <c r="M67" s="116" t="b">
        <v>0</v>
      </c>
      <c r="N67" s="117">
        <f t="shared" si="5"/>
        <v>0</v>
      </c>
      <c r="O67" s="117">
        <f t="shared" si="6"/>
        <v>0</v>
      </c>
      <c r="P67" s="157" t="s">
        <v>324</v>
      </c>
      <c r="Q67" s="112"/>
    </row>
    <row r="68" ht="15.0" customHeight="1">
      <c r="A68" s="112"/>
      <c r="B68" s="112"/>
      <c r="C68" s="112"/>
      <c r="D68" s="129" t="s">
        <v>254</v>
      </c>
      <c r="E68" s="114" t="str">
        <f>VLOOKUP(D68,Data!H:I,2,0)</f>
        <v>Manisa</v>
      </c>
      <c r="F68" s="115" t="str">
        <f>VLOOKUP(D68,Data!H:J,3,0)</f>
        <v>Nazım Öztel</v>
      </c>
      <c r="G68" s="116" t="b">
        <v>0</v>
      </c>
      <c r="H68" s="116" t="b">
        <v>0</v>
      </c>
      <c r="I68" s="116" t="b">
        <v>0</v>
      </c>
      <c r="J68" s="116" t="b">
        <v>0</v>
      </c>
      <c r="K68" s="116" t="b">
        <v>0</v>
      </c>
      <c r="L68" s="116" t="b">
        <v>0</v>
      </c>
      <c r="M68" s="116" t="b">
        <v>0</v>
      </c>
      <c r="N68" s="117">
        <f t="shared" si="5"/>
        <v>0</v>
      </c>
      <c r="O68" s="117">
        <f t="shared" si="6"/>
        <v>0</v>
      </c>
      <c r="P68" s="157" t="s">
        <v>381</v>
      </c>
      <c r="Q68" s="112"/>
    </row>
    <row r="69" ht="15.0" customHeight="1">
      <c r="A69" s="112"/>
      <c r="B69" s="112"/>
      <c r="C69" s="112"/>
      <c r="D69" s="129" t="s">
        <v>255</v>
      </c>
      <c r="E69" s="114" t="str">
        <f>VLOOKUP(D69,Data!H:I,2,0)</f>
        <v>Mardin</v>
      </c>
      <c r="F69" s="115" t="str">
        <f>VLOOKUP(D69,Data!H:J,3,0)</f>
        <v>Nazım Öztel</v>
      </c>
      <c r="G69" s="116" t="b">
        <v>0</v>
      </c>
      <c r="H69" s="116" t="b">
        <v>0</v>
      </c>
      <c r="I69" s="116" t="b">
        <v>0</v>
      </c>
      <c r="J69" s="116" t="b">
        <v>0</v>
      </c>
      <c r="K69" s="116" t="b">
        <v>0</v>
      </c>
      <c r="L69" s="116" t="b">
        <v>0</v>
      </c>
      <c r="M69" s="116" t="b">
        <v>0</v>
      </c>
      <c r="N69" s="117">
        <f t="shared" si="5"/>
        <v>0</v>
      </c>
      <c r="O69" s="117">
        <f t="shared" si="6"/>
        <v>0</v>
      </c>
      <c r="P69" s="157" t="s">
        <v>314</v>
      </c>
      <c r="Q69" s="112"/>
    </row>
    <row r="70" ht="15.0" customHeight="1">
      <c r="A70" s="112"/>
      <c r="B70" s="112"/>
      <c r="C70" s="112"/>
      <c r="D70" s="129" t="s">
        <v>294</v>
      </c>
      <c r="E70" s="114" t="str">
        <f>VLOOKUP(D70,Data!H:I,2,0)</f>
        <v>Mersin</v>
      </c>
      <c r="F70" s="115" t="str">
        <f>VLOOKUP(D70,Data!H:J,3,0)</f>
        <v>Nazım Öztel</v>
      </c>
      <c r="G70" s="116" t="b">
        <v>0</v>
      </c>
      <c r="H70" s="116" t="b">
        <v>0</v>
      </c>
      <c r="I70" s="116" t="b">
        <v>0</v>
      </c>
      <c r="J70" s="116" t="b">
        <v>0</v>
      </c>
      <c r="K70" s="116" t="b">
        <v>0</v>
      </c>
      <c r="L70" s="116" t="b">
        <v>0</v>
      </c>
      <c r="M70" s="116" t="b">
        <v>0</v>
      </c>
      <c r="N70" s="117">
        <f t="shared" si="5"/>
        <v>0</v>
      </c>
      <c r="O70" s="117">
        <f t="shared" si="6"/>
        <v>0</v>
      </c>
      <c r="P70" s="157"/>
      <c r="Q70" s="112"/>
    </row>
    <row r="71" ht="15.0" customHeight="1">
      <c r="A71" s="112"/>
      <c r="B71" s="112"/>
      <c r="C71" s="112"/>
      <c r="D71" s="129" t="s">
        <v>169</v>
      </c>
      <c r="E71" s="114" t="str">
        <f>VLOOKUP(D71,Data!H:I,2,0)</f>
        <v>Mersin</v>
      </c>
      <c r="F71" s="115" t="str">
        <f>VLOOKUP(D71,Data!H:J,3,0)</f>
        <v>Nazım Öztel</v>
      </c>
      <c r="G71" s="116" t="b">
        <v>0</v>
      </c>
      <c r="H71" s="116" t="b">
        <v>0</v>
      </c>
      <c r="I71" s="116" t="b">
        <v>0</v>
      </c>
      <c r="J71" s="116" t="b">
        <v>0</v>
      </c>
      <c r="K71" s="116" t="b">
        <v>0</v>
      </c>
      <c r="L71" s="116" t="b">
        <v>0</v>
      </c>
      <c r="M71" s="116" t="b">
        <v>0</v>
      </c>
      <c r="N71" s="117">
        <f t="shared" si="5"/>
        <v>0</v>
      </c>
      <c r="O71" s="117">
        <f t="shared" si="6"/>
        <v>0</v>
      </c>
      <c r="P71" s="157" t="s">
        <v>314</v>
      </c>
      <c r="Q71" s="112"/>
    </row>
    <row r="72" ht="15.0" customHeight="1">
      <c r="A72" s="112"/>
      <c r="B72" s="112"/>
      <c r="C72" s="112"/>
      <c r="D72" s="129" t="s">
        <v>148</v>
      </c>
      <c r="E72" s="114" t="str">
        <f>VLOOKUP(D72,Data!H:I,2,0)</f>
        <v>Muğla</v>
      </c>
      <c r="F72" s="115" t="str">
        <f>VLOOKUP(D72,Data!H:J,3,0)</f>
        <v>Nazım Öztel</v>
      </c>
      <c r="G72" s="116" t="b">
        <v>0</v>
      </c>
      <c r="H72" s="116" t="b">
        <v>0</v>
      </c>
      <c r="I72" s="116" t="b">
        <v>0</v>
      </c>
      <c r="J72" s="116" t="b">
        <v>0</v>
      </c>
      <c r="K72" s="116" t="b">
        <v>0</v>
      </c>
      <c r="L72" s="116" t="b">
        <v>0</v>
      </c>
      <c r="M72" s="116" t="b">
        <v>0</v>
      </c>
      <c r="N72" s="117">
        <f t="shared" si="5"/>
        <v>0</v>
      </c>
      <c r="O72" s="117">
        <f t="shared" si="6"/>
        <v>0</v>
      </c>
      <c r="P72" s="157" t="s">
        <v>314</v>
      </c>
      <c r="Q72" s="112"/>
    </row>
    <row r="73" ht="15.0" customHeight="1">
      <c r="A73" s="112"/>
      <c r="B73" s="112"/>
      <c r="C73" s="112"/>
      <c r="D73" s="129" t="s">
        <v>266</v>
      </c>
      <c r="E73" s="114" t="str">
        <f>VLOOKUP(D73,Data!H:I,2,0)</f>
        <v>Ordu</v>
      </c>
      <c r="F73" s="115" t="str">
        <f>VLOOKUP(D73,Data!H:J,3,0)</f>
        <v>Nazım Öztel</v>
      </c>
      <c r="G73" s="116" t="b">
        <v>0</v>
      </c>
      <c r="H73" s="116" t="b">
        <v>0</v>
      </c>
      <c r="I73" s="116" t="b">
        <v>0</v>
      </c>
      <c r="J73" s="116" t="b">
        <v>0</v>
      </c>
      <c r="K73" s="116" t="b">
        <v>0</v>
      </c>
      <c r="L73" s="116" t="b">
        <v>0</v>
      </c>
      <c r="M73" s="116" t="b">
        <v>0</v>
      </c>
      <c r="N73" s="117">
        <f t="shared" si="5"/>
        <v>0</v>
      </c>
      <c r="O73" s="117">
        <f t="shared" si="6"/>
        <v>0</v>
      </c>
      <c r="P73" s="157" t="s">
        <v>314</v>
      </c>
      <c r="Q73" s="112"/>
    </row>
    <row r="74" ht="15.0" customHeight="1">
      <c r="A74" s="112"/>
      <c r="B74" s="112"/>
      <c r="C74" s="112"/>
      <c r="D74" s="129" t="s">
        <v>256</v>
      </c>
      <c r="E74" s="114" t="s">
        <v>211</v>
      </c>
      <c r="F74" s="115" t="s">
        <v>61</v>
      </c>
      <c r="G74" s="116" t="b">
        <v>0</v>
      </c>
      <c r="H74" s="116" t="b">
        <v>0</v>
      </c>
      <c r="I74" s="116" t="b">
        <v>0</v>
      </c>
      <c r="J74" s="116" t="b">
        <v>0</v>
      </c>
      <c r="K74" s="116" t="b">
        <v>0</v>
      </c>
      <c r="L74" s="116" t="b">
        <v>0</v>
      </c>
      <c r="M74" s="116" t="b">
        <v>0</v>
      </c>
      <c r="N74" s="117">
        <f t="shared" si="5"/>
        <v>0</v>
      </c>
      <c r="O74" s="117">
        <f t="shared" si="6"/>
        <v>0</v>
      </c>
      <c r="P74" s="157" t="s">
        <v>309</v>
      </c>
      <c r="Q74" s="112"/>
    </row>
    <row r="75" ht="15.0" customHeight="1">
      <c r="A75" s="112"/>
      <c r="B75" s="112"/>
      <c r="C75" s="112"/>
      <c r="D75" s="129" t="s">
        <v>275</v>
      </c>
      <c r="E75" s="114" t="str">
        <f>VLOOKUP(D75,Data!H:I,2,0)</f>
        <v>Sakarya</v>
      </c>
      <c r="F75" s="115" t="str">
        <f>VLOOKUP(D75,Data!H:J,3,0)</f>
        <v>Nazım Öztel</v>
      </c>
      <c r="G75" s="116" t="b">
        <v>0</v>
      </c>
      <c r="H75" s="116" t="b">
        <v>0</v>
      </c>
      <c r="I75" s="116" t="b">
        <v>0</v>
      </c>
      <c r="J75" s="116" t="b">
        <v>0</v>
      </c>
      <c r="K75" s="116" t="b">
        <v>0</v>
      </c>
      <c r="L75" s="116" t="b">
        <v>0</v>
      </c>
      <c r="M75" s="116" t="b">
        <v>0</v>
      </c>
      <c r="N75" s="117">
        <f t="shared" si="5"/>
        <v>0</v>
      </c>
      <c r="O75" s="117">
        <f t="shared" si="6"/>
        <v>0</v>
      </c>
      <c r="P75" s="157" t="s">
        <v>324</v>
      </c>
      <c r="Q75" s="112"/>
    </row>
    <row r="76" ht="15.0" customHeight="1">
      <c r="A76" s="112"/>
      <c r="B76" s="112"/>
      <c r="C76" s="112"/>
      <c r="D76" s="129" t="s">
        <v>382</v>
      </c>
      <c r="E76" s="114" t="s">
        <v>383</v>
      </c>
      <c r="F76" s="115"/>
      <c r="G76" s="116" t="b">
        <v>0</v>
      </c>
      <c r="H76" s="116" t="b">
        <v>0</v>
      </c>
      <c r="I76" s="116" t="b">
        <v>0</v>
      </c>
      <c r="J76" s="116" t="b">
        <v>0</v>
      </c>
      <c r="K76" s="116" t="b">
        <v>1</v>
      </c>
      <c r="L76" s="116" t="b">
        <v>0</v>
      </c>
      <c r="M76" s="116" t="b">
        <v>0</v>
      </c>
      <c r="N76" s="117">
        <f t="shared" si="5"/>
        <v>1</v>
      </c>
      <c r="O76" s="117">
        <f t="shared" si="6"/>
        <v>4</v>
      </c>
      <c r="P76" s="157"/>
      <c r="Q76" s="112"/>
    </row>
    <row r="77" ht="15.0" customHeight="1">
      <c r="A77" s="112"/>
      <c r="B77" s="112"/>
      <c r="C77" s="112"/>
      <c r="D77" s="129" t="s">
        <v>384</v>
      </c>
      <c r="E77" s="114" t="s">
        <v>383</v>
      </c>
      <c r="F77" s="115"/>
      <c r="G77" s="116" t="b">
        <v>0</v>
      </c>
      <c r="H77" s="116" t="b">
        <v>0</v>
      </c>
      <c r="I77" s="116" t="b">
        <v>0</v>
      </c>
      <c r="J77" s="116" t="b">
        <v>0</v>
      </c>
      <c r="K77" s="116" t="b">
        <v>0</v>
      </c>
      <c r="L77" s="116" t="b">
        <v>1</v>
      </c>
      <c r="M77" s="116" t="b">
        <v>1</v>
      </c>
      <c r="N77" s="117">
        <v>2.0</v>
      </c>
      <c r="O77" s="117">
        <v>8.0</v>
      </c>
      <c r="P77" s="157"/>
      <c r="Q77" s="112"/>
    </row>
    <row r="78" ht="15.0" customHeight="1">
      <c r="A78" s="112"/>
      <c r="B78" s="112"/>
      <c r="C78" s="112"/>
      <c r="D78" s="129" t="s">
        <v>267</v>
      </c>
      <c r="E78" s="114" t="str">
        <f>VLOOKUP(D78,Data!H:I,2,0)</f>
        <v>Sinop</v>
      </c>
      <c r="F78" s="115" t="str">
        <f>VLOOKUP(D78,Data!H:J,3,0)</f>
        <v>Nazım Öztel</v>
      </c>
      <c r="G78" s="116" t="b">
        <v>0</v>
      </c>
      <c r="H78" s="116" t="b">
        <v>0</v>
      </c>
      <c r="I78" s="116" t="b">
        <v>0</v>
      </c>
      <c r="J78" s="116" t="b">
        <v>0</v>
      </c>
      <c r="K78" s="116" t="b">
        <v>0</v>
      </c>
      <c r="L78" s="116" t="b">
        <v>0</v>
      </c>
      <c r="M78" s="116" t="b">
        <v>0</v>
      </c>
      <c r="N78" s="117">
        <f t="shared" ref="N78:N94" si="7">COUNTIF(G78:M78,"TRUE")</f>
        <v>0</v>
      </c>
      <c r="O78" s="117">
        <f t="shared" ref="O78:O94" si="8">N78*4</f>
        <v>0</v>
      </c>
      <c r="P78" s="157" t="s">
        <v>314</v>
      </c>
      <c r="Q78" s="112"/>
    </row>
    <row r="79" ht="15.0" customHeight="1">
      <c r="A79" s="112"/>
      <c r="B79" s="112"/>
      <c r="C79" s="112"/>
      <c r="D79" s="129" t="s">
        <v>268</v>
      </c>
      <c r="E79" s="114" t="str">
        <f>VLOOKUP(D79,Data!H:I,2,0)</f>
        <v>Sivas</v>
      </c>
      <c r="F79" s="115" t="str">
        <f>VLOOKUP(D79,Data!H:J,3,0)</f>
        <v>Nazım Öztel</v>
      </c>
      <c r="G79" s="116" t="b">
        <v>0</v>
      </c>
      <c r="H79" s="116" t="b">
        <v>0</v>
      </c>
      <c r="I79" s="116" t="b">
        <v>0</v>
      </c>
      <c r="J79" s="116" t="b">
        <v>0</v>
      </c>
      <c r="K79" s="116" t="b">
        <v>0</v>
      </c>
      <c r="L79" s="116" t="b">
        <v>0</v>
      </c>
      <c r="M79" s="116" t="b">
        <v>0</v>
      </c>
      <c r="N79" s="117">
        <f t="shared" si="7"/>
        <v>0</v>
      </c>
      <c r="O79" s="117">
        <f t="shared" si="8"/>
        <v>0</v>
      </c>
      <c r="P79" s="157" t="s">
        <v>309</v>
      </c>
      <c r="Q79" s="112"/>
    </row>
    <row r="80" ht="15.0" customHeight="1">
      <c r="A80" s="112"/>
      <c r="B80" s="112"/>
      <c r="C80" s="112"/>
      <c r="D80" s="129" t="s">
        <v>104</v>
      </c>
      <c r="E80" s="114" t="str">
        <f>VLOOKUP(D80,Data!H:I,2,0)</f>
        <v>Tekirdağ</v>
      </c>
      <c r="F80" s="115" t="str">
        <f>VLOOKUP(D80,Data!H:J,3,0)</f>
        <v>Freelance</v>
      </c>
      <c r="G80" s="116" t="b">
        <v>0</v>
      </c>
      <c r="H80" s="116" t="b">
        <v>0</v>
      </c>
      <c r="I80" s="116" t="b">
        <v>0</v>
      </c>
      <c r="J80" s="116" t="b">
        <v>1</v>
      </c>
      <c r="K80" s="116" t="b">
        <v>1</v>
      </c>
      <c r="L80" s="116" t="b">
        <v>0</v>
      </c>
      <c r="M80" s="116" t="b">
        <v>0</v>
      </c>
      <c r="N80" s="117">
        <f t="shared" si="7"/>
        <v>2</v>
      </c>
      <c r="O80" s="117">
        <f t="shared" si="8"/>
        <v>8</v>
      </c>
      <c r="P80" s="157"/>
      <c r="Q80" s="112"/>
    </row>
    <row r="81" ht="15.0" customHeight="1">
      <c r="A81" s="112"/>
      <c r="B81" s="112"/>
      <c r="C81" s="112"/>
      <c r="D81" s="129" t="s">
        <v>258</v>
      </c>
      <c r="E81" s="114" t="str">
        <f>VLOOKUP(D81,Data!H:I,2,0)</f>
        <v>Tokat</v>
      </c>
      <c r="F81" s="115" t="str">
        <f>VLOOKUP(D81,Data!H:J,3,0)</f>
        <v>Nazım Öztel</v>
      </c>
      <c r="G81" s="116" t="b">
        <v>0</v>
      </c>
      <c r="H81" s="116" t="b">
        <v>0</v>
      </c>
      <c r="I81" s="116" t="b">
        <v>0</v>
      </c>
      <c r="J81" s="116" t="b">
        <v>0</v>
      </c>
      <c r="K81" s="116" t="b">
        <v>0</v>
      </c>
      <c r="L81" s="116" t="b">
        <v>0</v>
      </c>
      <c r="M81" s="116" t="b">
        <v>0</v>
      </c>
      <c r="N81" s="117">
        <f t="shared" si="7"/>
        <v>0</v>
      </c>
      <c r="O81" s="117">
        <f t="shared" si="8"/>
        <v>0</v>
      </c>
      <c r="P81" s="157" t="s">
        <v>369</v>
      </c>
      <c r="Q81" s="112"/>
    </row>
    <row r="82" ht="15.0" customHeight="1">
      <c r="A82" s="112"/>
      <c r="B82" s="112"/>
      <c r="C82" s="112"/>
      <c r="D82" s="129" t="s">
        <v>154</v>
      </c>
      <c r="E82" s="114" t="str">
        <f>VLOOKUP(D82,Data!H:I,2,0)</f>
        <v>Uşak</v>
      </c>
      <c r="F82" s="115" t="str">
        <f>VLOOKUP(D82,Data!H:J,3,0)</f>
        <v>Nazım Öztel</v>
      </c>
      <c r="G82" s="116" t="b">
        <v>0</v>
      </c>
      <c r="H82" s="116" t="b">
        <v>0</v>
      </c>
      <c r="I82" s="116" t="b">
        <v>0</v>
      </c>
      <c r="J82" s="116" t="b">
        <v>0</v>
      </c>
      <c r="K82" s="116" t="b">
        <v>0</v>
      </c>
      <c r="L82" s="116" t="b">
        <v>0</v>
      </c>
      <c r="M82" s="116" t="b">
        <v>0</v>
      </c>
      <c r="N82" s="117">
        <f t="shared" si="7"/>
        <v>0</v>
      </c>
      <c r="O82" s="117">
        <f t="shared" si="8"/>
        <v>0</v>
      </c>
      <c r="P82" s="157"/>
      <c r="Q82" s="112"/>
    </row>
    <row r="83" ht="15.0" customHeight="1">
      <c r="A83" s="112"/>
      <c r="B83" s="112"/>
      <c r="C83" s="112"/>
      <c r="D83" s="129" t="s">
        <v>276</v>
      </c>
      <c r="E83" s="114" t="str">
        <f>VLOOKUP(D83,Data!H:I,2,0)</f>
        <v>Zonguldak</v>
      </c>
      <c r="F83" s="115" t="str">
        <f>VLOOKUP(D83,Data!H:J,3,0)</f>
        <v>Nazım Öztel</v>
      </c>
      <c r="G83" s="116" t="b">
        <v>0</v>
      </c>
      <c r="H83" s="116" t="b">
        <v>0</v>
      </c>
      <c r="I83" s="116" t="b">
        <v>0</v>
      </c>
      <c r="J83" s="116" t="b">
        <v>0</v>
      </c>
      <c r="K83" s="116" t="b">
        <v>0</v>
      </c>
      <c r="L83" s="116" t="b">
        <v>0</v>
      </c>
      <c r="M83" s="116" t="b">
        <v>0</v>
      </c>
      <c r="N83" s="117">
        <f t="shared" si="7"/>
        <v>0</v>
      </c>
      <c r="O83" s="117">
        <f t="shared" si="8"/>
        <v>0</v>
      </c>
      <c r="P83" s="157" t="s">
        <v>369</v>
      </c>
      <c r="Q83" s="112"/>
    </row>
    <row r="84" ht="15.0" customHeight="1">
      <c r="A84" s="112"/>
      <c r="B84" s="112"/>
      <c r="C84" s="112"/>
      <c r="D84" s="113" t="s">
        <v>282</v>
      </c>
      <c r="E84" s="114" t="str">
        <f>VLOOKUP(D84,Data!H:I,2,0)</f>
        <v>Antalya</v>
      </c>
      <c r="F84" s="115" t="str">
        <f>VLOOKUP(D84,Data!H:J,3,0)</f>
        <v>Nazım Öztel</v>
      </c>
      <c r="G84" s="116" t="b">
        <v>0</v>
      </c>
      <c r="H84" s="116" t="b">
        <v>0</v>
      </c>
      <c r="I84" s="116" t="b">
        <v>0</v>
      </c>
      <c r="J84" s="116" t="b">
        <v>0</v>
      </c>
      <c r="K84" s="116" t="b">
        <v>0</v>
      </c>
      <c r="L84" s="116" t="b">
        <v>0</v>
      </c>
      <c r="M84" s="116" t="b">
        <v>0</v>
      </c>
      <c r="N84" s="117">
        <f t="shared" si="7"/>
        <v>0</v>
      </c>
      <c r="O84" s="117">
        <f t="shared" si="8"/>
        <v>0</v>
      </c>
      <c r="P84" s="157" t="s">
        <v>369</v>
      </c>
      <c r="Q84" s="112"/>
    </row>
    <row r="85" ht="15.0" customHeight="1">
      <c r="A85" s="112"/>
      <c r="B85" s="112"/>
      <c r="C85" s="112"/>
      <c r="D85" s="163" t="s">
        <v>284</v>
      </c>
      <c r="E85" s="114" t="str">
        <f>VLOOKUP(D85,Data!H:I,2,0)</f>
        <v>Iğdır</v>
      </c>
      <c r="F85" s="115" t="str">
        <f>VLOOKUP(D85,Data!H:J,3,0)</f>
        <v>Nazım Öztel</v>
      </c>
      <c r="G85" s="116" t="b">
        <v>0</v>
      </c>
      <c r="H85" s="116" t="b">
        <v>0</v>
      </c>
      <c r="I85" s="116" t="b">
        <v>0</v>
      </c>
      <c r="J85" s="116" t="b">
        <v>0</v>
      </c>
      <c r="K85" s="116" t="b">
        <v>0</v>
      </c>
      <c r="L85" s="116" t="b">
        <v>0</v>
      </c>
      <c r="M85" s="116" t="b">
        <v>0</v>
      </c>
      <c r="N85" s="117">
        <f t="shared" si="7"/>
        <v>0</v>
      </c>
      <c r="O85" s="117">
        <f t="shared" si="8"/>
        <v>0</v>
      </c>
      <c r="P85" s="157" t="s">
        <v>309</v>
      </c>
      <c r="Q85" s="112"/>
    </row>
    <row r="86" ht="15.0" customHeight="1">
      <c r="A86" s="112"/>
      <c r="B86" s="112"/>
      <c r="C86" s="112"/>
      <c r="D86" s="163" t="s">
        <v>285</v>
      </c>
      <c r="E86" s="114" t="str">
        <f>VLOOKUP(D86,Data!H:I,2,0)</f>
        <v>Bitlis</v>
      </c>
      <c r="F86" s="115" t="str">
        <f>VLOOKUP(D86,Data!H:J,3,0)</f>
        <v>Nazım Öztel</v>
      </c>
      <c r="G86" s="116" t="b">
        <v>0</v>
      </c>
      <c r="H86" s="116" t="b">
        <v>0</v>
      </c>
      <c r="I86" s="116" t="b">
        <v>0</v>
      </c>
      <c r="J86" s="116" t="b">
        <v>0</v>
      </c>
      <c r="K86" s="116" t="b">
        <v>0</v>
      </c>
      <c r="L86" s="116" t="b">
        <v>0</v>
      </c>
      <c r="M86" s="116" t="b">
        <v>0</v>
      </c>
      <c r="N86" s="117">
        <f t="shared" si="7"/>
        <v>0</v>
      </c>
      <c r="O86" s="117">
        <f t="shared" si="8"/>
        <v>0</v>
      </c>
      <c r="P86" s="157" t="s">
        <v>309</v>
      </c>
      <c r="Q86" s="112"/>
    </row>
    <row r="87" ht="15.0" customHeight="1">
      <c r="A87" s="112"/>
      <c r="B87" s="112"/>
      <c r="C87" s="112"/>
      <c r="D87" s="98" t="s">
        <v>286</v>
      </c>
      <c r="E87" s="114" t="str">
        <f>VLOOKUP(D87,Data!H:I,2,0)</f>
        <v>Trabzon</v>
      </c>
      <c r="F87" s="115" t="str">
        <f>VLOOKUP(D87,Data!H:J,3,0)</f>
        <v>Nazım Öztel</v>
      </c>
      <c r="G87" s="116" t="b">
        <v>0</v>
      </c>
      <c r="H87" s="116" t="b">
        <v>0</v>
      </c>
      <c r="I87" s="116" t="b">
        <v>0</v>
      </c>
      <c r="J87" s="116" t="b">
        <v>0</v>
      </c>
      <c r="K87" s="116" t="b">
        <v>0</v>
      </c>
      <c r="L87" s="116" t="b">
        <v>0</v>
      </c>
      <c r="M87" s="116" t="b">
        <v>0</v>
      </c>
      <c r="N87" s="117">
        <f t="shared" si="7"/>
        <v>0</v>
      </c>
      <c r="O87" s="117">
        <f t="shared" si="8"/>
        <v>0</v>
      </c>
      <c r="P87" s="157" t="s">
        <v>344</v>
      </c>
      <c r="Q87" s="112"/>
    </row>
    <row r="88" ht="15.0" customHeight="1">
      <c r="A88" s="112"/>
      <c r="B88" s="112"/>
      <c r="C88" s="112"/>
      <c r="D88" s="163" t="s">
        <v>354</v>
      </c>
      <c r="E88" s="114" t="s">
        <v>355</v>
      </c>
      <c r="F88" s="115" t="s">
        <v>61</v>
      </c>
      <c r="G88" s="116" t="b">
        <v>0</v>
      </c>
      <c r="H88" s="116" t="b">
        <v>0</v>
      </c>
      <c r="I88" s="116" t="b">
        <v>0</v>
      </c>
      <c r="J88" s="116" t="b">
        <v>0</v>
      </c>
      <c r="K88" s="116" t="b">
        <v>0</v>
      </c>
      <c r="L88" s="116" t="b">
        <v>1</v>
      </c>
      <c r="M88" s="116" t="b">
        <v>0</v>
      </c>
      <c r="N88" s="117">
        <f t="shared" si="7"/>
        <v>1</v>
      </c>
      <c r="O88" s="117">
        <f t="shared" si="8"/>
        <v>4</v>
      </c>
      <c r="P88" s="157"/>
      <c r="Q88" s="112"/>
    </row>
    <row r="89" ht="15.0" customHeight="1">
      <c r="A89" s="112"/>
      <c r="B89" s="112"/>
      <c r="C89" s="112"/>
      <c r="D89" s="98" t="s">
        <v>289</v>
      </c>
      <c r="E89" s="114" t="str">
        <f>VLOOKUP(D89,Data!H:I,2,0)</f>
        <v>Elazığ</v>
      </c>
      <c r="F89" s="115" t="str">
        <f>VLOOKUP(D89,Data!H:J,3,0)</f>
        <v>Nazım Öztel</v>
      </c>
      <c r="G89" s="116" t="b">
        <v>0</v>
      </c>
      <c r="H89" s="116" t="b">
        <v>0</v>
      </c>
      <c r="I89" s="116" t="b">
        <v>0</v>
      </c>
      <c r="J89" s="116" t="b">
        <v>0</v>
      </c>
      <c r="K89" s="116" t="b">
        <v>0</v>
      </c>
      <c r="L89" s="116" t="b">
        <v>0</v>
      </c>
      <c r="M89" s="116" t="b">
        <v>0</v>
      </c>
      <c r="N89" s="117">
        <f t="shared" si="7"/>
        <v>0</v>
      </c>
      <c r="O89" s="117">
        <f t="shared" si="8"/>
        <v>0</v>
      </c>
      <c r="P89" s="157" t="s">
        <v>369</v>
      </c>
      <c r="Q89" s="112"/>
    </row>
    <row r="90" ht="15.0" customHeight="1">
      <c r="A90" s="112"/>
      <c r="B90" s="112"/>
      <c r="C90" s="112"/>
      <c r="D90" s="98" t="s">
        <v>290</v>
      </c>
      <c r="E90" s="114" t="str">
        <f>VLOOKUP(D90,Data!H:I,2,0)</f>
        <v>Bayburt</v>
      </c>
      <c r="F90" s="115" t="str">
        <f>VLOOKUP(D90,Data!H:J,3,0)</f>
        <v>Nazım Öztel</v>
      </c>
      <c r="G90" s="116" t="b">
        <v>0</v>
      </c>
      <c r="H90" s="116" t="b">
        <v>0</v>
      </c>
      <c r="I90" s="116" t="b">
        <v>0</v>
      </c>
      <c r="J90" s="116" t="b">
        <v>0</v>
      </c>
      <c r="K90" s="116" t="b">
        <v>0</v>
      </c>
      <c r="L90" s="116" t="b">
        <v>0</v>
      </c>
      <c r="M90" s="116" t="b">
        <v>0</v>
      </c>
      <c r="N90" s="117">
        <f t="shared" si="7"/>
        <v>0</v>
      </c>
      <c r="O90" s="117">
        <f t="shared" si="8"/>
        <v>0</v>
      </c>
      <c r="P90" s="157" t="s">
        <v>369</v>
      </c>
      <c r="Q90" s="112"/>
    </row>
    <row r="91" ht="15.0" customHeight="1">
      <c r="A91" s="112"/>
      <c r="B91" s="112"/>
      <c r="C91" s="112"/>
      <c r="D91" s="98" t="s">
        <v>291</v>
      </c>
      <c r="E91" s="114" t="str">
        <f>VLOOKUP(D91,Data!H:I,2,0)</f>
        <v>Bingöl</v>
      </c>
      <c r="F91" s="115" t="str">
        <f>VLOOKUP(D91,Data!H:J,3,0)</f>
        <v>Nazım Öztel</v>
      </c>
      <c r="G91" s="116" t="b">
        <v>0</v>
      </c>
      <c r="H91" s="116" t="b">
        <v>0</v>
      </c>
      <c r="I91" s="116" t="b">
        <v>0</v>
      </c>
      <c r="J91" s="116" t="b">
        <v>0</v>
      </c>
      <c r="K91" s="116" t="b">
        <v>0</v>
      </c>
      <c r="L91" s="116" t="b">
        <v>0</v>
      </c>
      <c r="M91" s="116" t="b">
        <v>0</v>
      </c>
      <c r="N91" s="117">
        <f t="shared" si="7"/>
        <v>0</v>
      </c>
      <c r="O91" s="117">
        <f t="shared" si="8"/>
        <v>0</v>
      </c>
      <c r="P91" s="157" t="s">
        <v>369</v>
      </c>
      <c r="Q91" s="112"/>
    </row>
    <row r="92" ht="15.0" customHeight="1">
      <c r="A92" s="112"/>
      <c r="B92" s="112"/>
      <c r="C92" s="112"/>
      <c r="D92" s="98" t="s">
        <v>292</v>
      </c>
      <c r="E92" s="114" t="str">
        <f>VLOOKUP(D92,Data!H:I,2,0)</f>
        <v>Diyarbakır</v>
      </c>
      <c r="F92" s="115" t="str">
        <f>VLOOKUP(D92,Data!H:J,3,0)</f>
        <v>Nazım Öztel</v>
      </c>
      <c r="G92" s="116" t="b">
        <v>0</v>
      </c>
      <c r="H92" s="116" t="b">
        <v>0</v>
      </c>
      <c r="I92" s="116" t="b">
        <v>0</v>
      </c>
      <c r="J92" s="116" t="b">
        <v>0</v>
      </c>
      <c r="K92" s="116" t="b">
        <v>0</v>
      </c>
      <c r="L92" s="116" t="b">
        <v>0</v>
      </c>
      <c r="M92" s="116" t="b">
        <v>0</v>
      </c>
      <c r="N92" s="117">
        <f t="shared" si="7"/>
        <v>0</v>
      </c>
      <c r="O92" s="117">
        <f t="shared" si="8"/>
        <v>0</v>
      </c>
      <c r="P92" s="157" t="s">
        <v>369</v>
      </c>
      <c r="Q92" s="112"/>
    </row>
    <row r="93" ht="15.0" customHeight="1">
      <c r="A93" s="112"/>
      <c r="B93" s="112"/>
      <c r="C93" s="112"/>
      <c r="D93" s="164" t="s">
        <v>293</v>
      </c>
      <c r="E93" s="114" t="str">
        <f>VLOOKUP(D93,Data!H:I,2,0)</f>
        <v>Çanakkale</v>
      </c>
      <c r="F93" s="115" t="str">
        <f>VLOOKUP(D93,Data!H:J,3,0)</f>
        <v>Nazım Öztel</v>
      </c>
      <c r="G93" s="116" t="b">
        <v>0</v>
      </c>
      <c r="H93" s="116" t="b">
        <v>0</v>
      </c>
      <c r="I93" s="116" t="b">
        <v>0</v>
      </c>
      <c r="J93" s="116" t="b">
        <v>0</v>
      </c>
      <c r="K93" s="116" t="b">
        <v>0</v>
      </c>
      <c r="L93" s="116" t="b">
        <v>0</v>
      </c>
      <c r="M93" s="116" t="b">
        <v>0</v>
      </c>
      <c r="N93" s="117">
        <f t="shared" si="7"/>
        <v>0</v>
      </c>
      <c r="O93" s="117">
        <f t="shared" si="8"/>
        <v>0</v>
      </c>
      <c r="P93" s="157" t="s">
        <v>343</v>
      </c>
      <c r="Q93" s="112"/>
    </row>
    <row r="94" ht="15.0" customHeight="1">
      <c r="A94" s="112"/>
      <c r="B94" s="112"/>
      <c r="C94" s="112"/>
      <c r="D94" s="163" t="s">
        <v>325</v>
      </c>
      <c r="E94" s="114" t="s">
        <v>326</v>
      </c>
      <c r="F94" s="115" t="s">
        <v>61</v>
      </c>
      <c r="G94" s="139" t="b">
        <v>0</v>
      </c>
      <c r="H94" s="139" t="b">
        <v>0</v>
      </c>
      <c r="I94" s="139" t="b">
        <v>0</v>
      </c>
      <c r="J94" s="139" t="b">
        <v>0</v>
      </c>
      <c r="K94" s="139" t="b">
        <v>0</v>
      </c>
      <c r="L94" s="139" t="b">
        <v>0</v>
      </c>
      <c r="M94" s="139" t="b">
        <v>0</v>
      </c>
      <c r="N94" s="117">
        <f t="shared" si="7"/>
        <v>0</v>
      </c>
      <c r="O94" s="117">
        <f t="shared" si="8"/>
        <v>0</v>
      </c>
      <c r="P94" s="157" t="s">
        <v>343</v>
      </c>
      <c r="Q94" s="112"/>
    </row>
    <row r="95" ht="15.0" customHeight="1">
      <c r="A95" s="112"/>
      <c r="B95" s="112"/>
      <c r="C95" s="112"/>
      <c r="D95" s="98" t="s">
        <v>296</v>
      </c>
      <c r="E95" s="114" t="str">
        <f>VLOOKUP(D95,Data!H:I,2,0)</f>
        <v>Bilecik</v>
      </c>
      <c r="F95" s="115" t="str">
        <f>VLOOKUP(D95,Data!H:J,3,0)</f>
        <v>Nazım Öztel</v>
      </c>
      <c r="G95" s="116" t="b">
        <v>0</v>
      </c>
      <c r="H95" s="116" t="b">
        <v>0</v>
      </c>
      <c r="I95" s="116" t="b">
        <v>0</v>
      </c>
      <c r="J95" s="139" t="b">
        <v>0</v>
      </c>
      <c r="K95" s="139" t="b">
        <v>0</v>
      </c>
      <c r="L95" s="139" t="b">
        <v>0</v>
      </c>
      <c r="M95" s="139" t="b">
        <v>0</v>
      </c>
      <c r="N95" s="117">
        <v>0.0</v>
      </c>
      <c r="O95" s="117">
        <v>0.0</v>
      </c>
      <c r="P95" s="157" t="s">
        <v>369</v>
      </c>
      <c r="Q95" s="112"/>
    </row>
    <row r="96" ht="15.0" customHeight="1">
      <c r="A96" s="112"/>
      <c r="B96" s="112"/>
      <c r="C96" s="112"/>
      <c r="D96" s="163" t="s">
        <v>345</v>
      </c>
      <c r="E96" s="144" t="s">
        <v>346</v>
      </c>
      <c r="F96" s="115" t="s">
        <v>61</v>
      </c>
      <c r="G96" s="116" t="b">
        <v>0</v>
      </c>
      <c r="H96" s="116" t="b">
        <v>0</v>
      </c>
      <c r="I96" s="116" t="b">
        <v>0</v>
      </c>
      <c r="J96" s="116" t="b">
        <v>0</v>
      </c>
      <c r="K96" s="116" t="b">
        <v>0</v>
      </c>
      <c r="L96" s="116" t="b">
        <v>0</v>
      </c>
      <c r="M96" s="116" t="b">
        <v>0</v>
      </c>
      <c r="N96" s="117">
        <f t="shared" ref="N96:N97" si="9">COUNTIF(G96:M96,"TRUE")</f>
        <v>0</v>
      </c>
      <c r="O96" s="117">
        <f t="shared" ref="O96:O97" si="10">N96*4</f>
        <v>0</v>
      </c>
      <c r="P96" s="157" t="s">
        <v>369</v>
      </c>
      <c r="Q96" s="112"/>
    </row>
    <row r="97" ht="15.0" customHeight="1">
      <c r="A97" s="112"/>
      <c r="B97" s="112"/>
      <c r="C97" s="112"/>
      <c r="D97" s="129" t="s">
        <v>153</v>
      </c>
      <c r="E97" s="114" t="str">
        <f>VLOOKUP(D97,Data!H:I,2,0)</f>
        <v>Edirne</v>
      </c>
      <c r="F97" s="115" t="str">
        <f>VLOOKUP(D97,Data!H:J,3,0)</f>
        <v>Nazım Öztel</v>
      </c>
      <c r="G97" s="116" t="b">
        <v>0</v>
      </c>
      <c r="H97" s="116" t="b">
        <v>0</v>
      </c>
      <c r="I97" s="116" t="b">
        <v>0</v>
      </c>
      <c r="J97" s="116" t="b">
        <v>0</v>
      </c>
      <c r="K97" s="116" t="b">
        <v>0</v>
      </c>
      <c r="L97" s="116" t="b">
        <v>0</v>
      </c>
      <c r="M97" s="116" t="b">
        <v>0</v>
      </c>
      <c r="N97" s="117">
        <f t="shared" si="9"/>
        <v>0</v>
      </c>
      <c r="O97" s="117">
        <f t="shared" si="10"/>
        <v>0</v>
      </c>
      <c r="P97" s="157" t="s">
        <v>314</v>
      </c>
      <c r="Q97" s="112"/>
    </row>
    <row r="98" ht="15.0" customHeight="1">
      <c r="A98" s="112"/>
      <c r="B98" s="112"/>
      <c r="C98" s="112"/>
      <c r="D98" s="149"/>
      <c r="E98" s="144"/>
      <c r="F98" s="144"/>
      <c r="G98" s="135"/>
      <c r="H98" s="135"/>
      <c r="I98" s="135"/>
      <c r="J98" s="135"/>
      <c r="K98" s="135"/>
      <c r="L98" s="135"/>
      <c r="M98" s="135"/>
      <c r="N98" s="135"/>
      <c r="O98" s="135"/>
      <c r="P98" s="160"/>
      <c r="Q98" s="112"/>
    </row>
    <row r="99" ht="15.0" customHeight="1">
      <c r="A99" s="112"/>
      <c r="B99" s="112"/>
      <c r="C99" s="112"/>
      <c r="D99" s="149"/>
      <c r="E99" s="144"/>
      <c r="F99" s="144"/>
      <c r="G99" s="135"/>
      <c r="H99" s="135"/>
      <c r="I99" s="135"/>
      <c r="J99" s="135"/>
      <c r="K99" s="135"/>
      <c r="L99" s="135"/>
      <c r="M99" s="135"/>
      <c r="N99" s="135"/>
      <c r="O99" s="135"/>
      <c r="P99" s="160"/>
      <c r="Q99" s="112"/>
    </row>
    <row r="100">
      <c r="P100" s="161"/>
    </row>
    <row r="101">
      <c r="P101" s="161"/>
    </row>
    <row r="102">
      <c r="P102" s="161"/>
    </row>
    <row r="103">
      <c r="P103" s="161"/>
    </row>
    <row r="104">
      <c r="P104" s="161"/>
    </row>
    <row r="105">
      <c r="P105" s="161"/>
    </row>
    <row r="106">
      <c r="P106" s="161"/>
    </row>
    <row r="107">
      <c r="P107" s="161"/>
    </row>
    <row r="108">
      <c r="P108" s="161"/>
    </row>
    <row r="109">
      <c r="P109" s="161"/>
    </row>
    <row r="110">
      <c r="P110" s="161"/>
    </row>
    <row r="111">
      <c r="P111" s="161"/>
    </row>
    <row r="112">
      <c r="P112" s="161"/>
    </row>
    <row r="113">
      <c r="P113" s="161"/>
    </row>
    <row r="114">
      <c r="P114" s="161"/>
    </row>
    <row r="115">
      <c r="P115" s="161"/>
    </row>
    <row r="116">
      <c r="P116" s="161"/>
    </row>
    <row r="117">
      <c r="P117" s="161"/>
    </row>
    <row r="118">
      <c r="P118" s="161"/>
    </row>
    <row r="119">
      <c r="P119" s="161"/>
    </row>
    <row r="120">
      <c r="P120" s="161"/>
    </row>
    <row r="121">
      <c r="P121" s="161"/>
    </row>
    <row r="122">
      <c r="P122" s="161"/>
    </row>
    <row r="123">
      <c r="P123" s="161"/>
    </row>
    <row r="124">
      <c r="P124" s="161"/>
    </row>
    <row r="125">
      <c r="P125" s="161"/>
    </row>
    <row r="126">
      <c r="P126" s="161"/>
    </row>
    <row r="127">
      <c r="P127" s="161"/>
    </row>
    <row r="128">
      <c r="P128" s="161"/>
    </row>
    <row r="129">
      <c r="P129" s="161"/>
    </row>
    <row r="130">
      <c r="P130" s="161"/>
    </row>
    <row r="131">
      <c r="P131" s="161"/>
    </row>
    <row r="132">
      <c r="P132" s="161"/>
    </row>
    <row r="133">
      <c r="P133" s="161"/>
    </row>
    <row r="134">
      <c r="P134" s="161"/>
    </row>
    <row r="135">
      <c r="P135" s="161"/>
    </row>
    <row r="136">
      <c r="P136" s="161"/>
    </row>
    <row r="137">
      <c r="P137" s="161"/>
    </row>
    <row r="138">
      <c r="P138" s="161"/>
    </row>
    <row r="139">
      <c r="P139" s="161"/>
    </row>
    <row r="140">
      <c r="P140" s="161"/>
    </row>
    <row r="141">
      <c r="P141" s="161"/>
    </row>
    <row r="142">
      <c r="P142" s="161"/>
    </row>
    <row r="143">
      <c r="P143" s="161"/>
    </row>
    <row r="144">
      <c r="P144" s="161"/>
    </row>
    <row r="145">
      <c r="P145" s="161"/>
    </row>
    <row r="146">
      <c r="P146" s="161"/>
    </row>
    <row r="147">
      <c r="P147" s="161"/>
    </row>
    <row r="148">
      <c r="P148" s="161"/>
    </row>
    <row r="149">
      <c r="P149" s="161"/>
    </row>
    <row r="150">
      <c r="P150" s="161"/>
    </row>
    <row r="151">
      <c r="P151" s="161"/>
    </row>
    <row r="152">
      <c r="P152" s="161"/>
    </row>
    <row r="153">
      <c r="P153" s="161"/>
    </row>
    <row r="154">
      <c r="P154" s="161"/>
    </row>
    <row r="155">
      <c r="P155" s="161"/>
    </row>
    <row r="156">
      <c r="P156" s="161"/>
    </row>
    <row r="157">
      <c r="P157" s="161"/>
    </row>
    <row r="158">
      <c r="P158" s="161"/>
    </row>
    <row r="159">
      <c r="P159" s="161"/>
    </row>
    <row r="160">
      <c r="P160" s="161"/>
    </row>
    <row r="161">
      <c r="P161" s="161"/>
    </row>
    <row r="162">
      <c r="P162" s="161"/>
    </row>
    <row r="163">
      <c r="P163" s="161"/>
    </row>
    <row r="164">
      <c r="P164" s="161"/>
    </row>
    <row r="165">
      <c r="P165" s="161"/>
    </row>
    <row r="166">
      <c r="P166" s="161"/>
    </row>
    <row r="167">
      <c r="P167" s="161"/>
    </row>
    <row r="168">
      <c r="P168" s="161"/>
    </row>
    <row r="169">
      <c r="P169" s="161"/>
    </row>
    <row r="170">
      <c r="P170" s="161"/>
    </row>
    <row r="171">
      <c r="P171" s="161"/>
    </row>
    <row r="172">
      <c r="P172" s="161"/>
    </row>
    <row r="173">
      <c r="P173" s="161"/>
    </row>
    <row r="174">
      <c r="P174" s="161"/>
    </row>
    <row r="175">
      <c r="P175" s="161"/>
    </row>
    <row r="176">
      <c r="P176" s="161"/>
    </row>
    <row r="177">
      <c r="P177" s="161"/>
    </row>
    <row r="178">
      <c r="P178" s="161"/>
    </row>
    <row r="179">
      <c r="P179" s="161"/>
    </row>
    <row r="180">
      <c r="P180" s="161"/>
    </row>
    <row r="181">
      <c r="P181" s="161"/>
    </row>
    <row r="182">
      <c r="P182" s="161"/>
    </row>
    <row r="183">
      <c r="P183" s="161"/>
    </row>
    <row r="184">
      <c r="P184" s="161"/>
    </row>
    <row r="185">
      <c r="P185" s="161"/>
    </row>
    <row r="186">
      <c r="P186" s="161"/>
    </row>
    <row r="187">
      <c r="P187" s="161"/>
    </row>
    <row r="188">
      <c r="P188" s="161"/>
    </row>
    <row r="189">
      <c r="P189" s="161"/>
    </row>
    <row r="190">
      <c r="P190" s="161"/>
    </row>
    <row r="191">
      <c r="P191" s="161"/>
    </row>
    <row r="192">
      <c r="P192" s="161"/>
    </row>
    <row r="193">
      <c r="P193" s="161"/>
    </row>
    <row r="194">
      <c r="P194" s="161"/>
    </row>
    <row r="195">
      <c r="P195" s="161"/>
    </row>
    <row r="196">
      <c r="P196" s="161"/>
    </row>
    <row r="197">
      <c r="P197" s="161"/>
    </row>
    <row r="198">
      <c r="P198" s="161"/>
    </row>
    <row r="199">
      <c r="P199" s="161"/>
    </row>
    <row r="200">
      <c r="P200" s="161"/>
    </row>
    <row r="201">
      <c r="P201" s="161"/>
    </row>
    <row r="202">
      <c r="P202" s="161"/>
    </row>
    <row r="203">
      <c r="P203" s="161"/>
    </row>
    <row r="204">
      <c r="P204" s="161"/>
    </row>
    <row r="205">
      <c r="P205" s="161"/>
    </row>
    <row r="206">
      <c r="P206" s="161"/>
    </row>
    <row r="207">
      <c r="P207" s="161"/>
    </row>
    <row r="208">
      <c r="P208" s="161"/>
    </row>
    <row r="209">
      <c r="P209" s="161"/>
    </row>
    <row r="210">
      <c r="P210" s="161"/>
    </row>
    <row r="211">
      <c r="P211" s="161"/>
    </row>
    <row r="212">
      <c r="P212" s="161"/>
    </row>
    <row r="213">
      <c r="P213" s="161"/>
    </row>
    <row r="214">
      <c r="P214" s="161"/>
    </row>
    <row r="215">
      <c r="P215" s="161"/>
    </row>
    <row r="216">
      <c r="P216" s="161"/>
    </row>
    <row r="217">
      <c r="P217" s="161"/>
    </row>
    <row r="218">
      <c r="P218" s="161"/>
    </row>
    <row r="219">
      <c r="P219" s="161"/>
    </row>
    <row r="220">
      <c r="P220" s="161"/>
    </row>
    <row r="221">
      <c r="P221" s="161"/>
    </row>
    <row r="222">
      <c r="P222" s="161"/>
    </row>
    <row r="223">
      <c r="P223" s="161"/>
    </row>
    <row r="224">
      <c r="P224" s="161"/>
    </row>
    <row r="225">
      <c r="P225" s="161"/>
    </row>
    <row r="226">
      <c r="P226" s="161"/>
    </row>
    <row r="227">
      <c r="P227" s="161"/>
    </row>
    <row r="228">
      <c r="P228" s="161"/>
    </row>
    <row r="229">
      <c r="P229" s="161"/>
    </row>
    <row r="230">
      <c r="P230" s="161"/>
    </row>
    <row r="231">
      <c r="P231" s="161"/>
    </row>
    <row r="232">
      <c r="P232" s="161"/>
    </row>
    <row r="233">
      <c r="P233" s="161"/>
    </row>
    <row r="234">
      <c r="P234" s="161"/>
    </row>
    <row r="235">
      <c r="P235" s="161"/>
    </row>
    <row r="236">
      <c r="P236" s="161"/>
    </row>
    <row r="237">
      <c r="P237" s="161"/>
    </row>
    <row r="238">
      <c r="P238" s="161"/>
    </row>
    <row r="239">
      <c r="P239" s="161"/>
    </row>
    <row r="240">
      <c r="P240" s="161"/>
    </row>
    <row r="241">
      <c r="P241" s="161"/>
    </row>
    <row r="242">
      <c r="P242" s="161"/>
    </row>
    <row r="243">
      <c r="P243" s="161"/>
    </row>
    <row r="244">
      <c r="P244" s="161"/>
    </row>
    <row r="245">
      <c r="P245" s="161"/>
    </row>
    <row r="246">
      <c r="P246" s="161"/>
    </row>
    <row r="247">
      <c r="P247" s="161"/>
    </row>
    <row r="248">
      <c r="P248" s="161"/>
    </row>
    <row r="249">
      <c r="P249" s="161"/>
    </row>
    <row r="250">
      <c r="P250" s="161"/>
    </row>
    <row r="251">
      <c r="P251" s="161"/>
    </row>
    <row r="252">
      <c r="P252" s="161"/>
    </row>
    <row r="253">
      <c r="P253" s="161"/>
    </row>
    <row r="254">
      <c r="P254" s="161"/>
    </row>
    <row r="255">
      <c r="P255" s="161"/>
    </row>
    <row r="256">
      <c r="P256" s="161"/>
    </row>
    <row r="257">
      <c r="P257" s="161"/>
    </row>
    <row r="258">
      <c r="P258" s="161"/>
    </row>
    <row r="259">
      <c r="P259" s="161"/>
    </row>
    <row r="260">
      <c r="P260" s="161"/>
    </row>
    <row r="261">
      <c r="P261" s="161"/>
    </row>
    <row r="262">
      <c r="P262" s="161"/>
    </row>
    <row r="263">
      <c r="P263" s="161"/>
    </row>
    <row r="264">
      <c r="P264" s="161"/>
    </row>
    <row r="265">
      <c r="P265" s="161"/>
    </row>
    <row r="266">
      <c r="P266" s="161"/>
    </row>
    <row r="267">
      <c r="P267" s="161"/>
    </row>
    <row r="268">
      <c r="P268" s="161"/>
    </row>
    <row r="269">
      <c r="P269" s="161"/>
    </row>
    <row r="270">
      <c r="P270" s="161"/>
    </row>
    <row r="271">
      <c r="P271" s="161"/>
    </row>
    <row r="272">
      <c r="P272" s="161"/>
    </row>
    <row r="273">
      <c r="P273" s="161"/>
    </row>
    <row r="274">
      <c r="P274" s="161"/>
    </row>
    <row r="275">
      <c r="P275" s="161"/>
    </row>
    <row r="276">
      <c r="P276" s="161"/>
    </row>
    <row r="277">
      <c r="P277" s="161"/>
    </row>
    <row r="278">
      <c r="P278" s="161"/>
    </row>
    <row r="279">
      <c r="P279" s="161"/>
    </row>
    <row r="280">
      <c r="P280" s="161"/>
    </row>
    <row r="281">
      <c r="P281" s="161"/>
    </row>
    <row r="282">
      <c r="P282" s="161"/>
    </row>
    <row r="283">
      <c r="P283" s="161"/>
    </row>
    <row r="284">
      <c r="P284" s="161"/>
    </row>
    <row r="285">
      <c r="P285" s="161"/>
    </row>
    <row r="286">
      <c r="P286" s="161"/>
    </row>
    <row r="287">
      <c r="P287" s="161"/>
    </row>
    <row r="288">
      <c r="P288" s="161"/>
    </row>
    <row r="289">
      <c r="P289" s="161"/>
    </row>
    <row r="290">
      <c r="P290" s="161"/>
    </row>
    <row r="291">
      <c r="P291" s="161"/>
    </row>
    <row r="292">
      <c r="P292" s="161"/>
    </row>
    <row r="293">
      <c r="P293" s="161"/>
    </row>
    <row r="294">
      <c r="P294" s="161"/>
    </row>
    <row r="295">
      <c r="P295" s="161"/>
    </row>
    <row r="296">
      <c r="P296" s="161"/>
    </row>
    <row r="297">
      <c r="P297" s="161"/>
    </row>
    <row r="298">
      <c r="P298" s="161"/>
    </row>
    <row r="299">
      <c r="P299" s="161"/>
    </row>
    <row r="300">
      <c r="P300" s="161"/>
    </row>
    <row r="301">
      <c r="P301" s="161"/>
    </row>
    <row r="302">
      <c r="P302" s="161"/>
    </row>
    <row r="303">
      <c r="P303" s="161"/>
    </row>
    <row r="304">
      <c r="P304" s="161"/>
    </row>
    <row r="305">
      <c r="P305" s="161"/>
    </row>
    <row r="306">
      <c r="P306" s="161"/>
    </row>
    <row r="307">
      <c r="P307" s="161"/>
    </row>
    <row r="308">
      <c r="P308" s="161"/>
    </row>
    <row r="309">
      <c r="P309" s="161"/>
    </row>
    <row r="310">
      <c r="P310" s="161"/>
    </row>
    <row r="311">
      <c r="P311" s="161"/>
    </row>
    <row r="312">
      <c r="P312" s="161"/>
    </row>
    <row r="313">
      <c r="P313" s="161"/>
    </row>
    <row r="314">
      <c r="P314" s="161"/>
    </row>
    <row r="315">
      <c r="P315" s="161"/>
    </row>
    <row r="316">
      <c r="P316" s="161"/>
    </row>
    <row r="317">
      <c r="P317" s="161"/>
    </row>
    <row r="318">
      <c r="P318" s="161"/>
    </row>
    <row r="319">
      <c r="P319" s="161"/>
    </row>
    <row r="320">
      <c r="P320" s="161"/>
    </row>
    <row r="321">
      <c r="P321" s="161"/>
    </row>
    <row r="322">
      <c r="P322" s="161"/>
    </row>
    <row r="323">
      <c r="P323" s="161"/>
    </row>
    <row r="324">
      <c r="P324" s="161"/>
    </row>
    <row r="325">
      <c r="P325" s="161"/>
    </row>
    <row r="326">
      <c r="P326" s="161"/>
    </row>
    <row r="327">
      <c r="P327" s="161"/>
    </row>
    <row r="328">
      <c r="P328" s="161"/>
    </row>
    <row r="329">
      <c r="P329" s="161"/>
    </row>
    <row r="330">
      <c r="P330" s="161"/>
    </row>
    <row r="331">
      <c r="P331" s="161"/>
    </row>
    <row r="332">
      <c r="P332" s="161"/>
    </row>
    <row r="333">
      <c r="P333" s="161"/>
    </row>
    <row r="334">
      <c r="P334" s="161"/>
    </row>
    <row r="335">
      <c r="P335" s="161"/>
    </row>
    <row r="336">
      <c r="P336" s="161"/>
    </row>
    <row r="337">
      <c r="P337" s="161"/>
    </row>
    <row r="338">
      <c r="P338" s="161"/>
    </row>
    <row r="339">
      <c r="P339" s="161"/>
    </row>
    <row r="340">
      <c r="P340" s="161"/>
    </row>
    <row r="341">
      <c r="P341" s="161"/>
    </row>
    <row r="342">
      <c r="P342" s="161"/>
    </row>
    <row r="343">
      <c r="P343" s="161"/>
    </row>
    <row r="344">
      <c r="P344" s="161"/>
    </row>
    <row r="345">
      <c r="P345" s="161"/>
    </row>
    <row r="346">
      <c r="P346" s="161"/>
    </row>
    <row r="347">
      <c r="P347" s="161"/>
    </row>
    <row r="348">
      <c r="P348" s="161"/>
    </row>
    <row r="349">
      <c r="P349" s="161"/>
    </row>
    <row r="350">
      <c r="P350" s="161"/>
    </row>
    <row r="351">
      <c r="P351" s="161"/>
    </row>
    <row r="352">
      <c r="P352" s="161"/>
    </row>
    <row r="353">
      <c r="P353" s="161"/>
    </row>
    <row r="354">
      <c r="P354" s="161"/>
    </row>
    <row r="355">
      <c r="P355" s="161"/>
    </row>
    <row r="356">
      <c r="P356" s="161"/>
    </row>
    <row r="357">
      <c r="P357" s="161"/>
    </row>
    <row r="358">
      <c r="P358" s="161"/>
    </row>
    <row r="359">
      <c r="P359" s="161"/>
    </row>
    <row r="360">
      <c r="P360" s="161"/>
    </row>
    <row r="361">
      <c r="P361" s="161"/>
    </row>
    <row r="362">
      <c r="P362" s="161"/>
    </row>
    <row r="363">
      <c r="P363" s="161"/>
    </row>
    <row r="364">
      <c r="P364" s="161"/>
    </row>
    <row r="365">
      <c r="P365" s="161"/>
    </row>
    <row r="366">
      <c r="P366" s="161"/>
    </row>
    <row r="367">
      <c r="P367" s="161"/>
    </row>
    <row r="368">
      <c r="P368" s="161"/>
    </row>
    <row r="369">
      <c r="P369" s="161"/>
    </row>
    <row r="370">
      <c r="P370" s="161"/>
    </row>
    <row r="371">
      <c r="P371" s="161"/>
    </row>
    <row r="372">
      <c r="P372" s="161"/>
    </row>
    <row r="373">
      <c r="P373" s="161"/>
    </row>
    <row r="374">
      <c r="P374" s="161"/>
    </row>
    <row r="375">
      <c r="P375" s="161"/>
    </row>
    <row r="376">
      <c r="P376" s="161"/>
    </row>
    <row r="377">
      <c r="P377" s="161"/>
    </row>
    <row r="378">
      <c r="P378" s="161"/>
    </row>
    <row r="379">
      <c r="P379" s="161"/>
    </row>
    <row r="380">
      <c r="P380" s="161"/>
    </row>
    <row r="381">
      <c r="P381" s="161"/>
    </row>
    <row r="382">
      <c r="P382" s="161"/>
    </row>
    <row r="383">
      <c r="P383" s="161"/>
    </row>
    <row r="384">
      <c r="P384" s="161"/>
    </row>
    <row r="385">
      <c r="P385" s="161"/>
    </row>
    <row r="386">
      <c r="P386" s="161"/>
    </row>
    <row r="387">
      <c r="P387" s="161"/>
    </row>
    <row r="388">
      <c r="P388" s="161"/>
    </row>
    <row r="389">
      <c r="P389" s="161"/>
    </row>
    <row r="390">
      <c r="P390" s="161"/>
    </row>
    <row r="391">
      <c r="P391" s="161"/>
    </row>
    <row r="392">
      <c r="P392" s="161"/>
    </row>
    <row r="393">
      <c r="P393" s="161"/>
    </row>
    <row r="394">
      <c r="P394" s="161"/>
    </row>
    <row r="395">
      <c r="P395" s="161"/>
    </row>
    <row r="396">
      <c r="P396" s="161"/>
    </row>
    <row r="397">
      <c r="P397" s="161"/>
    </row>
    <row r="398">
      <c r="P398" s="161"/>
    </row>
    <row r="399">
      <c r="P399" s="161"/>
    </row>
    <row r="400">
      <c r="P400" s="161"/>
    </row>
    <row r="401">
      <c r="P401" s="161"/>
    </row>
    <row r="402">
      <c r="P402" s="161"/>
    </row>
    <row r="403">
      <c r="P403" s="161"/>
    </row>
    <row r="404">
      <c r="P404" s="161"/>
    </row>
    <row r="405">
      <c r="P405" s="161"/>
    </row>
    <row r="406">
      <c r="P406" s="161"/>
    </row>
    <row r="407">
      <c r="P407" s="161"/>
    </row>
    <row r="408">
      <c r="P408" s="161"/>
    </row>
    <row r="409">
      <c r="P409" s="161"/>
    </row>
    <row r="410">
      <c r="P410" s="161"/>
    </row>
    <row r="411">
      <c r="P411" s="161"/>
    </row>
    <row r="412">
      <c r="P412" s="161"/>
    </row>
    <row r="413">
      <c r="P413" s="161"/>
    </row>
    <row r="414">
      <c r="P414" s="161"/>
    </row>
    <row r="415">
      <c r="P415" s="161"/>
    </row>
    <row r="416">
      <c r="P416" s="161"/>
    </row>
    <row r="417">
      <c r="P417" s="161"/>
    </row>
    <row r="418">
      <c r="P418" s="161"/>
    </row>
    <row r="419">
      <c r="P419" s="161"/>
    </row>
    <row r="420">
      <c r="P420" s="161"/>
    </row>
    <row r="421">
      <c r="P421" s="161"/>
    </row>
    <row r="422">
      <c r="P422" s="161"/>
    </row>
    <row r="423">
      <c r="P423" s="161"/>
    </row>
    <row r="424">
      <c r="P424" s="161"/>
    </row>
    <row r="425">
      <c r="P425" s="161"/>
    </row>
    <row r="426">
      <c r="P426" s="161"/>
    </row>
    <row r="427">
      <c r="P427" s="161"/>
    </row>
    <row r="428">
      <c r="P428" s="161"/>
    </row>
    <row r="429">
      <c r="P429" s="161"/>
    </row>
    <row r="430">
      <c r="P430" s="161"/>
    </row>
    <row r="431">
      <c r="P431" s="161"/>
    </row>
    <row r="432">
      <c r="P432" s="161"/>
    </row>
    <row r="433">
      <c r="P433" s="161"/>
    </row>
    <row r="434">
      <c r="P434" s="161"/>
    </row>
    <row r="435">
      <c r="P435" s="161"/>
    </row>
    <row r="436">
      <c r="P436" s="161"/>
    </row>
    <row r="437">
      <c r="P437" s="161"/>
    </row>
    <row r="438">
      <c r="P438" s="161"/>
    </row>
    <row r="439">
      <c r="P439" s="161"/>
    </row>
    <row r="440">
      <c r="P440" s="161"/>
    </row>
    <row r="441">
      <c r="P441" s="161"/>
    </row>
    <row r="442">
      <c r="P442" s="161"/>
    </row>
    <row r="443">
      <c r="P443" s="161"/>
    </row>
    <row r="444">
      <c r="P444" s="161"/>
    </row>
    <row r="445">
      <c r="P445" s="161"/>
    </row>
    <row r="446">
      <c r="P446" s="161"/>
    </row>
    <row r="447">
      <c r="P447" s="161"/>
    </row>
    <row r="448">
      <c r="P448" s="161"/>
    </row>
    <row r="449">
      <c r="P449" s="161"/>
    </row>
    <row r="450">
      <c r="P450" s="161"/>
    </row>
    <row r="451">
      <c r="P451" s="161"/>
    </row>
    <row r="452">
      <c r="P452" s="161"/>
    </row>
    <row r="453">
      <c r="P453" s="161"/>
    </row>
    <row r="454">
      <c r="P454" s="161"/>
    </row>
    <row r="455">
      <c r="P455" s="161"/>
    </row>
    <row r="456">
      <c r="P456" s="161"/>
    </row>
    <row r="457">
      <c r="P457" s="161"/>
    </row>
    <row r="458">
      <c r="P458" s="161"/>
    </row>
    <row r="459">
      <c r="P459" s="161"/>
    </row>
    <row r="460">
      <c r="P460" s="161"/>
    </row>
    <row r="461">
      <c r="P461" s="161"/>
    </row>
    <row r="462">
      <c r="P462" s="161"/>
    </row>
    <row r="463">
      <c r="P463" s="161"/>
    </row>
    <row r="464">
      <c r="P464" s="161"/>
    </row>
    <row r="465">
      <c r="P465" s="161"/>
    </row>
    <row r="466">
      <c r="P466" s="161"/>
    </row>
    <row r="467">
      <c r="P467" s="161"/>
    </row>
    <row r="468">
      <c r="P468" s="161"/>
    </row>
    <row r="469">
      <c r="P469" s="161"/>
    </row>
    <row r="470">
      <c r="P470" s="161"/>
    </row>
    <row r="471">
      <c r="P471" s="161"/>
    </row>
    <row r="472">
      <c r="P472" s="161"/>
    </row>
    <row r="473">
      <c r="P473" s="161"/>
    </row>
    <row r="474">
      <c r="P474" s="161"/>
    </row>
    <row r="475">
      <c r="P475" s="161"/>
    </row>
    <row r="476">
      <c r="P476" s="161"/>
    </row>
    <row r="477">
      <c r="P477" s="161"/>
    </row>
    <row r="478">
      <c r="P478" s="161"/>
    </row>
    <row r="479">
      <c r="P479" s="161"/>
    </row>
    <row r="480">
      <c r="P480" s="161"/>
    </row>
    <row r="481">
      <c r="P481" s="161"/>
    </row>
    <row r="482">
      <c r="P482" s="161"/>
    </row>
    <row r="483">
      <c r="P483" s="161"/>
    </row>
    <row r="484">
      <c r="P484" s="161"/>
    </row>
    <row r="485">
      <c r="P485" s="161"/>
    </row>
    <row r="486">
      <c r="P486" s="161"/>
    </row>
    <row r="487">
      <c r="P487" s="161"/>
    </row>
    <row r="488">
      <c r="P488" s="161"/>
    </row>
    <row r="489">
      <c r="P489" s="161"/>
    </row>
    <row r="490">
      <c r="P490" s="161"/>
    </row>
    <row r="491">
      <c r="P491" s="161"/>
    </row>
    <row r="492">
      <c r="P492" s="161"/>
    </row>
    <row r="493">
      <c r="P493" s="161"/>
    </row>
    <row r="494">
      <c r="P494" s="161"/>
    </row>
    <row r="495">
      <c r="P495" s="161"/>
    </row>
    <row r="496">
      <c r="P496" s="161"/>
    </row>
    <row r="497">
      <c r="P497" s="161"/>
    </row>
    <row r="498">
      <c r="P498" s="161"/>
    </row>
    <row r="499">
      <c r="P499" s="161"/>
    </row>
    <row r="500">
      <c r="P500" s="161"/>
    </row>
    <row r="501">
      <c r="P501" s="161"/>
    </row>
    <row r="502">
      <c r="P502" s="161"/>
    </row>
    <row r="503">
      <c r="P503" s="161"/>
    </row>
    <row r="504">
      <c r="P504" s="161"/>
    </row>
    <row r="505">
      <c r="P505" s="161"/>
    </row>
    <row r="506">
      <c r="P506" s="161"/>
    </row>
    <row r="507">
      <c r="P507" s="161"/>
    </row>
    <row r="508">
      <c r="P508" s="161"/>
    </row>
    <row r="509">
      <c r="P509" s="161"/>
    </row>
    <row r="510">
      <c r="P510" s="161"/>
    </row>
    <row r="511">
      <c r="P511" s="161"/>
    </row>
    <row r="512">
      <c r="P512" s="161"/>
    </row>
    <row r="513">
      <c r="P513" s="161"/>
    </row>
    <row r="514">
      <c r="P514" s="161"/>
    </row>
    <row r="515">
      <c r="P515" s="161"/>
    </row>
    <row r="516">
      <c r="P516" s="161"/>
    </row>
    <row r="517">
      <c r="P517" s="161"/>
    </row>
    <row r="518">
      <c r="P518" s="161"/>
    </row>
    <row r="519">
      <c r="P519" s="161"/>
    </row>
    <row r="520">
      <c r="P520" s="161"/>
    </row>
    <row r="521">
      <c r="P521" s="161"/>
    </row>
    <row r="522">
      <c r="P522" s="161"/>
    </row>
    <row r="523">
      <c r="P523" s="161"/>
    </row>
    <row r="524">
      <c r="P524" s="161"/>
    </row>
    <row r="525">
      <c r="P525" s="161"/>
    </row>
    <row r="526">
      <c r="P526" s="161"/>
    </row>
    <row r="527">
      <c r="P527" s="161"/>
    </row>
    <row r="528">
      <c r="P528" s="161"/>
    </row>
    <row r="529">
      <c r="P529" s="161"/>
    </row>
    <row r="530">
      <c r="P530" s="161"/>
    </row>
    <row r="531">
      <c r="P531" s="161"/>
    </row>
    <row r="532">
      <c r="P532" s="161"/>
    </row>
    <row r="533">
      <c r="P533" s="161"/>
    </row>
    <row r="534">
      <c r="P534" s="161"/>
    </row>
    <row r="535">
      <c r="P535" s="161"/>
    </row>
    <row r="536">
      <c r="P536" s="161"/>
    </row>
    <row r="537">
      <c r="P537" s="161"/>
    </row>
    <row r="538">
      <c r="P538" s="161"/>
    </row>
    <row r="539">
      <c r="P539" s="161"/>
    </row>
    <row r="540">
      <c r="P540" s="161"/>
    </row>
    <row r="541">
      <c r="P541" s="161"/>
    </row>
    <row r="542">
      <c r="P542" s="161"/>
    </row>
    <row r="543">
      <c r="P543" s="161"/>
    </row>
    <row r="544">
      <c r="P544" s="161"/>
    </row>
    <row r="545">
      <c r="P545" s="161"/>
    </row>
    <row r="546">
      <c r="P546" s="161"/>
    </row>
    <row r="547">
      <c r="P547" s="161"/>
    </row>
    <row r="548">
      <c r="P548" s="161"/>
    </row>
    <row r="549">
      <c r="P549" s="161"/>
    </row>
    <row r="550">
      <c r="P550" s="161"/>
    </row>
    <row r="551">
      <c r="P551" s="161"/>
    </row>
    <row r="552">
      <c r="P552" s="161"/>
    </row>
    <row r="553">
      <c r="P553" s="161"/>
    </row>
    <row r="554">
      <c r="P554" s="161"/>
    </row>
    <row r="555">
      <c r="P555" s="161"/>
    </row>
    <row r="556">
      <c r="P556" s="161"/>
    </row>
    <row r="557">
      <c r="P557" s="161"/>
    </row>
    <row r="558">
      <c r="P558" s="161"/>
    </row>
    <row r="559">
      <c r="P559" s="161"/>
    </row>
    <row r="560">
      <c r="P560" s="161"/>
    </row>
    <row r="561">
      <c r="P561" s="161"/>
    </row>
    <row r="562">
      <c r="P562" s="161"/>
    </row>
    <row r="563">
      <c r="P563" s="161"/>
    </row>
    <row r="564">
      <c r="P564" s="161"/>
    </row>
    <row r="565">
      <c r="P565" s="161"/>
    </row>
    <row r="566">
      <c r="P566" s="161"/>
    </row>
    <row r="567">
      <c r="P567" s="161"/>
    </row>
    <row r="568">
      <c r="P568" s="161"/>
    </row>
    <row r="569">
      <c r="P569" s="161"/>
    </row>
    <row r="570">
      <c r="P570" s="161"/>
    </row>
    <row r="571">
      <c r="P571" s="161"/>
    </row>
    <row r="572">
      <c r="P572" s="161"/>
    </row>
    <row r="573">
      <c r="P573" s="161"/>
    </row>
    <row r="574">
      <c r="P574" s="161"/>
    </row>
    <row r="575">
      <c r="P575" s="161"/>
    </row>
    <row r="576">
      <c r="P576" s="161"/>
    </row>
    <row r="577">
      <c r="P577" s="161"/>
    </row>
    <row r="578">
      <c r="P578" s="161"/>
    </row>
    <row r="579">
      <c r="P579" s="161"/>
    </row>
    <row r="580">
      <c r="P580" s="161"/>
    </row>
    <row r="581">
      <c r="P581" s="161"/>
    </row>
    <row r="582">
      <c r="P582" s="161"/>
    </row>
    <row r="583">
      <c r="P583" s="161"/>
    </row>
    <row r="584">
      <c r="P584" s="161"/>
    </row>
    <row r="585">
      <c r="P585" s="161"/>
    </row>
    <row r="586">
      <c r="P586" s="161"/>
    </row>
    <row r="587">
      <c r="P587" s="161"/>
    </row>
    <row r="588">
      <c r="P588" s="161"/>
    </row>
    <row r="589">
      <c r="P589" s="161"/>
    </row>
    <row r="590">
      <c r="P590" s="161"/>
    </row>
    <row r="591">
      <c r="P591" s="161"/>
    </row>
    <row r="592">
      <c r="P592" s="161"/>
    </row>
    <row r="593">
      <c r="P593" s="161"/>
    </row>
    <row r="594">
      <c r="P594" s="161"/>
    </row>
    <row r="595">
      <c r="P595" s="161"/>
    </row>
    <row r="596">
      <c r="P596" s="161"/>
    </row>
    <row r="597">
      <c r="P597" s="161"/>
    </row>
    <row r="598">
      <c r="P598" s="161"/>
    </row>
    <row r="599">
      <c r="P599" s="161"/>
    </row>
    <row r="600">
      <c r="P600" s="161"/>
    </row>
    <row r="601">
      <c r="P601" s="161"/>
    </row>
    <row r="602">
      <c r="P602" s="161"/>
    </row>
    <row r="603">
      <c r="P603" s="161"/>
    </row>
    <row r="604">
      <c r="P604" s="161"/>
    </row>
    <row r="605">
      <c r="P605" s="161"/>
    </row>
    <row r="606">
      <c r="P606" s="161"/>
    </row>
    <row r="607">
      <c r="P607" s="161"/>
    </row>
    <row r="608">
      <c r="P608" s="161"/>
    </row>
    <row r="609">
      <c r="P609" s="161"/>
    </row>
    <row r="610">
      <c r="P610" s="161"/>
    </row>
    <row r="611">
      <c r="P611" s="161"/>
    </row>
    <row r="612">
      <c r="P612" s="161"/>
    </row>
    <row r="613">
      <c r="P613" s="161"/>
    </row>
    <row r="614">
      <c r="P614" s="161"/>
    </row>
    <row r="615">
      <c r="P615" s="161"/>
    </row>
    <row r="616">
      <c r="P616" s="161"/>
    </row>
    <row r="617">
      <c r="P617" s="161"/>
    </row>
    <row r="618">
      <c r="P618" s="161"/>
    </row>
    <row r="619">
      <c r="P619" s="161"/>
    </row>
    <row r="620">
      <c r="P620" s="161"/>
    </row>
    <row r="621">
      <c r="P621" s="161"/>
    </row>
    <row r="622">
      <c r="P622" s="161"/>
    </row>
    <row r="623">
      <c r="P623" s="161"/>
    </row>
    <row r="624">
      <c r="P624" s="161"/>
    </row>
    <row r="625">
      <c r="P625" s="161"/>
    </row>
    <row r="626">
      <c r="P626" s="161"/>
    </row>
    <row r="627">
      <c r="P627" s="161"/>
    </row>
    <row r="628">
      <c r="P628" s="161"/>
    </row>
    <row r="629">
      <c r="P629" s="161"/>
    </row>
    <row r="630">
      <c r="P630" s="161"/>
    </row>
    <row r="631">
      <c r="P631" s="161"/>
    </row>
    <row r="632">
      <c r="P632" s="161"/>
    </row>
    <row r="633">
      <c r="P633" s="161"/>
    </row>
    <row r="634">
      <c r="P634" s="161"/>
    </row>
    <row r="635">
      <c r="P635" s="161"/>
    </row>
    <row r="636">
      <c r="P636" s="161"/>
    </row>
    <row r="637">
      <c r="P637" s="161"/>
    </row>
    <row r="638">
      <c r="P638" s="161"/>
    </row>
    <row r="639">
      <c r="P639" s="161"/>
    </row>
    <row r="640">
      <c r="P640" s="161"/>
    </row>
    <row r="641">
      <c r="P641" s="161"/>
    </row>
    <row r="642">
      <c r="P642" s="161"/>
    </row>
    <row r="643">
      <c r="P643" s="161"/>
    </row>
    <row r="644">
      <c r="P644" s="161"/>
    </row>
    <row r="645">
      <c r="P645" s="161"/>
    </row>
    <row r="646">
      <c r="P646" s="161"/>
    </row>
    <row r="647">
      <c r="P647" s="161"/>
    </row>
    <row r="648">
      <c r="P648" s="161"/>
    </row>
    <row r="649">
      <c r="P649" s="161"/>
    </row>
    <row r="650">
      <c r="P650" s="161"/>
    </row>
    <row r="651">
      <c r="P651" s="161"/>
    </row>
    <row r="652">
      <c r="P652" s="161"/>
    </row>
    <row r="653">
      <c r="P653" s="161"/>
    </row>
    <row r="654">
      <c r="P654" s="161"/>
    </row>
    <row r="655">
      <c r="P655" s="161"/>
    </row>
    <row r="656">
      <c r="P656" s="161"/>
    </row>
    <row r="657">
      <c r="P657" s="161"/>
    </row>
    <row r="658">
      <c r="P658" s="161"/>
    </row>
    <row r="659">
      <c r="P659" s="161"/>
    </row>
    <row r="660">
      <c r="P660" s="161"/>
    </row>
    <row r="661">
      <c r="P661" s="161"/>
    </row>
    <row r="662">
      <c r="P662" s="161"/>
    </row>
    <row r="663">
      <c r="P663" s="161"/>
    </row>
    <row r="664">
      <c r="P664" s="161"/>
    </row>
    <row r="665">
      <c r="P665" s="161"/>
    </row>
    <row r="666">
      <c r="P666" s="161"/>
    </row>
    <row r="667">
      <c r="P667" s="161"/>
    </row>
    <row r="668">
      <c r="P668" s="161"/>
    </row>
    <row r="669">
      <c r="P669" s="161"/>
    </row>
    <row r="670">
      <c r="P670" s="161"/>
    </row>
    <row r="671">
      <c r="P671" s="161"/>
    </row>
    <row r="672">
      <c r="P672" s="161"/>
    </row>
    <row r="673">
      <c r="P673" s="161"/>
    </row>
    <row r="674">
      <c r="P674" s="161"/>
    </row>
    <row r="675">
      <c r="P675" s="161"/>
    </row>
    <row r="676">
      <c r="P676" s="161"/>
    </row>
    <row r="677">
      <c r="P677" s="161"/>
    </row>
    <row r="678">
      <c r="P678" s="161"/>
    </row>
    <row r="679">
      <c r="P679" s="161"/>
    </row>
    <row r="680">
      <c r="P680" s="161"/>
    </row>
    <row r="681">
      <c r="P681" s="161"/>
    </row>
    <row r="682">
      <c r="P682" s="161"/>
    </row>
    <row r="683">
      <c r="P683" s="161"/>
    </row>
    <row r="684">
      <c r="P684" s="161"/>
    </row>
    <row r="685">
      <c r="P685" s="161"/>
    </row>
    <row r="686">
      <c r="P686" s="161"/>
    </row>
    <row r="687">
      <c r="P687" s="161"/>
    </row>
    <row r="688">
      <c r="P688" s="161"/>
    </row>
    <row r="689">
      <c r="P689" s="161"/>
    </row>
    <row r="690">
      <c r="P690" s="161"/>
    </row>
    <row r="691">
      <c r="P691" s="161"/>
    </row>
    <row r="692">
      <c r="P692" s="161"/>
    </row>
    <row r="693">
      <c r="P693" s="161"/>
    </row>
    <row r="694">
      <c r="P694" s="161"/>
    </row>
    <row r="695">
      <c r="P695" s="161"/>
    </row>
    <row r="696">
      <c r="P696" s="161"/>
    </row>
    <row r="697">
      <c r="P697" s="161"/>
    </row>
    <row r="698">
      <c r="P698" s="161"/>
    </row>
    <row r="699">
      <c r="P699" s="161"/>
    </row>
    <row r="700">
      <c r="P700" s="161"/>
    </row>
    <row r="701">
      <c r="P701" s="161"/>
    </row>
    <row r="702">
      <c r="P702" s="161"/>
    </row>
    <row r="703">
      <c r="P703" s="161"/>
    </row>
    <row r="704">
      <c r="P704" s="161"/>
    </row>
    <row r="705">
      <c r="P705" s="161"/>
    </row>
    <row r="706">
      <c r="P706" s="161"/>
    </row>
    <row r="707">
      <c r="P707" s="161"/>
    </row>
    <row r="708">
      <c r="P708" s="161"/>
    </row>
    <row r="709">
      <c r="P709" s="161"/>
    </row>
    <row r="710">
      <c r="P710" s="161"/>
    </row>
    <row r="711">
      <c r="P711" s="161"/>
    </row>
    <row r="712">
      <c r="P712" s="161"/>
    </row>
    <row r="713">
      <c r="P713" s="161"/>
    </row>
    <row r="714">
      <c r="P714" s="161"/>
    </row>
    <row r="715">
      <c r="P715" s="161"/>
    </row>
    <row r="716">
      <c r="P716" s="161"/>
    </row>
    <row r="717">
      <c r="P717" s="161"/>
    </row>
    <row r="718">
      <c r="P718" s="161"/>
    </row>
    <row r="719">
      <c r="P719" s="161"/>
    </row>
    <row r="720">
      <c r="P720" s="161"/>
    </row>
    <row r="721">
      <c r="P721" s="161"/>
    </row>
    <row r="722">
      <c r="P722" s="161"/>
    </row>
    <row r="723">
      <c r="P723" s="161"/>
    </row>
    <row r="724">
      <c r="P724" s="161"/>
    </row>
    <row r="725">
      <c r="P725" s="161"/>
    </row>
    <row r="726">
      <c r="P726" s="161"/>
    </row>
    <row r="727">
      <c r="P727" s="161"/>
    </row>
    <row r="728">
      <c r="P728" s="161"/>
    </row>
    <row r="729">
      <c r="P729" s="161"/>
    </row>
    <row r="730">
      <c r="P730" s="161"/>
    </row>
    <row r="731">
      <c r="P731" s="161"/>
    </row>
    <row r="732">
      <c r="P732" s="161"/>
    </row>
    <row r="733">
      <c r="P733" s="161"/>
    </row>
    <row r="734">
      <c r="P734" s="161"/>
    </row>
    <row r="735">
      <c r="P735" s="161"/>
    </row>
    <row r="736">
      <c r="P736" s="161"/>
    </row>
    <row r="737">
      <c r="P737" s="161"/>
    </row>
    <row r="738">
      <c r="P738" s="161"/>
    </row>
    <row r="739">
      <c r="P739" s="161"/>
    </row>
    <row r="740">
      <c r="P740" s="161"/>
    </row>
    <row r="741">
      <c r="P741" s="161"/>
    </row>
    <row r="742">
      <c r="P742" s="161"/>
    </row>
    <row r="743">
      <c r="P743" s="161"/>
    </row>
    <row r="744">
      <c r="P744" s="161"/>
    </row>
    <row r="745">
      <c r="P745" s="161"/>
    </row>
    <row r="746">
      <c r="P746" s="161"/>
    </row>
    <row r="747">
      <c r="P747" s="161"/>
    </row>
    <row r="748">
      <c r="P748" s="161"/>
    </row>
    <row r="749">
      <c r="P749" s="161"/>
    </row>
    <row r="750">
      <c r="P750" s="161"/>
    </row>
    <row r="751">
      <c r="P751" s="161"/>
    </row>
    <row r="752">
      <c r="P752" s="161"/>
    </row>
    <row r="753">
      <c r="P753" s="161"/>
    </row>
    <row r="754">
      <c r="P754" s="161"/>
    </row>
    <row r="755">
      <c r="P755" s="161"/>
    </row>
    <row r="756">
      <c r="P756" s="161"/>
    </row>
    <row r="757">
      <c r="P757" s="161"/>
    </row>
    <row r="758">
      <c r="P758" s="161"/>
    </row>
    <row r="759">
      <c r="P759" s="161"/>
    </row>
    <row r="760">
      <c r="P760" s="161"/>
    </row>
    <row r="761">
      <c r="P761" s="161"/>
    </row>
    <row r="762">
      <c r="P762" s="161"/>
    </row>
    <row r="763">
      <c r="P763" s="161"/>
    </row>
    <row r="764">
      <c r="P764" s="161"/>
    </row>
    <row r="765">
      <c r="P765" s="161"/>
    </row>
    <row r="766">
      <c r="P766" s="161"/>
    </row>
    <row r="767">
      <c r="P767" s="161"/>
    </row>
    <row r="768">
      <c r="P768" s="161"/>
    </row>
    <row r="769">
      <c r="P769" s="161"/>
    </row>
    <row r="770">
      <c r="P770" s="161"/>
    </row>
    <row r="771">
      <c r="P771" s="161"/>
    </row>
    <row r="772">
      <c r="P772" s="161"/>
    </row>
    <row r="773">
      <c r="P773" s="161"/>
    </row>
    <row r="774">
      <c r="P774" s="161"/>
    </row>
    <row r="775">
      <c r="P775" s="161"/>
    </row>
    <row r="776">
      <c r="P776" s="161"/>
    </row>
    <row r="777">
      <c r="P777" s="161"/>
    </row>
    <row r="778">
      <c r="P778" s="161"/>
    </row>
    <row r="779">
      <c r="P779" s="161"/>
    </row>
    <row r="780">
      <c r="P780" s="161"/>
    </row>
    <row r="781">
      <c r="P781" s="161"/>
    </row>
    <row r="782">
      <c r="P782" s="161"/>
    </row>
    <row r="783">
      <c r="P783" s="161"/>
    </row>
    <row r="784">
      <c r="P784" s="161"/>
    </row>
    <row r="785">
      <c r="P785" s="161"/>
    </row>
    <row r="786">
      <c r="P786" s="161"/>
    </row>
    <row r="787">
      <c r="P787" s="161"/>
    </row>
    <row r="788">
      <c r="P788" s="161"/>
    </row>
    <row r="789">
      <c r="P789" s="161"/>
    </row>
    <row r="790">
      <c r="P790" s="161"/>
    </row>
    <row r="791">
      <c r="P791" s="161"/>
    </row>
    <row r="792">
      <c r="P792" s="161"/>
    </row>
    <row r="793">
      <c r="P793" s="161"/>
    </row>
    <row r="794">
      <c r="P794" s="161"/>
    </row>
    <row r="795">
      <c r="P795" s="161"/>
    </row>
    <row r="796">
      <c r="P796" s="161"/>
    </row>
    <row r="797">
      <c r="P797" s="161"/>
    </row>
    <row r="798">
      <c r="P798" s="161"/>
    </row>
    <row r="799">
      <c r="P799" s="161"/>
    </row>
    <row r="800">
      <c r="P800" s="161"/>
    </row>
    <row r="801">
      <c r="P801" s="161"/>
    </row>
    <row r="802">
      <c r="P802" s="161"/>
    </row>
    <row r="803">
      <c r="P803" s="161"/>
    </row>
    <row r="804">
      <c r="P804" s="161"/>
    </row>
    <row r="805">
      <c r="P805" s="161"/>
    </row>
    <row r="806">
      <c r="P806" s="161"/>
    </row>
    <row r="807">
      <c r="P807" s="161"/>
    </row>
    <row r="808">
      <c r="P808" s="161"/>
    </row>
    <row r="809">
      <c r="P809" s="161"/>
    </row>
    <row r="810">
      <c r="P810" s="161"/>
    </row>
    <row r="811">
      <c r="P811" s="161"/>
    </row>
    <row r="812">
      <c r="P812" s="161"/>
    </row>
    <row r="813">
      <c r="P813" s="161"/>
    </row>
    <row r="814">
      <c r="P814" s="161"/>
    </row>
    <row r="815">
      <c r="P815" s="161"/>
    </row>
    <row r="816">
      <c r="P816" s="161"/>
    </row>
    <row r="817">
      <c r="P817" s="161"/>
    </row>
    <row r="818">
      <c r="P818" s="161"/>
    </row>
    <row r="819">
      <c r="P819" s="161"/>
    </row>
    <row r="820">
      <c r="P820" s="161"/>
    </row>
    <row r="821">
      <c r="P821" s="161"/>
    </row>
    <row r="822">
      <c r="P822" s="161"/>
    </row>
    <row r="823">
      <c r="P823" s="161"/>
    </row>
    <row r="824">
      <c r="P824" s="161"/>
    </row>
    <row r="825">
      <c r="P825" s="161"/>
    </row>
    <row r="826">
      <c r="P826" s="161"/>
    </row>
    <row r="827">
      <c r="P827" s="161"/>
    </row>
    <row r="828">
      <c r="P828" s="161"/>
    </row>
    <row r="829">
      <c r="P829" s="161"/>
    </row>
    <row r="830">
      <c r="P830" s="161"/>
    </row>
    <row r="831">
      <c r="P831" s="161"/>
    </row>
    <row r="832">
      <c r="P832" s="161"/>
    </row>
    <row r="833">
      <c r="P833" s="161"/>
    </row>
    <row r="834">
      <c r="P834" s="161"/>
    </row>
    <row r="835">
      <c r="P835" s="161"/>
    </row>
    <row r="836">
      <c r="P836" s="161"/>
    </row>
    <row r="837">
      <c r="P837" s="161"/>
    </row>
    <row r="838">
      <c r="P838" s="161"/>
    </row>
    <row r="839">
      <c r="P839" s="161"/>
    </row>
    <row r="840">
      <c r="P840" s="161"/>
    </row>
    <row r="841">
      <c r="P841" s="161"/>
    </row>
    <row r="842">
      <c r="P842" s="161"/>
    </row>
    <row r="843">
      <c r="P843" s="161"/>
    </row>
    <row r="844">
      <c r="P844" s="161"/>
    </row>
    <row r="845">
      <c r="P845" s="161"/>
    </row>
    <row r="846">
      <c r="P846" s="161"/>
    </row>
    <row r="847">
      <c r="P847" s="161"/>
    </row>
    <row r="848">
      <c r="P848" s="161"/>
    </row>
    <row r="849">
      <c r="P849" s="161"/>
    </row>
    <row r="850">
      <c r="P850" s="161"/>
    </row>
    <row r="851">
      <c r="P851" s="161"/>
    </row>
    <row r="852">
      <c r="P852" s="161"/>
    </row>
    <row r="853">
      <c r="P853" s="161"/>
    </row>
    <row r="854">
      <c r="P854" s="161"/>
    </row>
    <row r="855">
      <c r="P855" s="161"/>
    </row>
    <row r="856">
      <c r="P856" s="161"/>
    </row>
    <row r="857">
      <c r="P857" s="161"/>
    </row>
    <row r="858">
      <c r="P858" s="161"/>
    </row>
    <row r="859">
      <c r="P859" s="161"/>
    </row>
    <row r="860">
      <c r="P860" s="161"/>
    </row>
    <row r="861">
      <c r="P861" s="161"/>
    </row>
    <row r="862">
      <c r="P862" s="161"/>
    </row>
    <row r="863">
      <c r="P863" s="161"/>
    </row>
    <row r="864">
      <c r="P864" s="161"/>
    </row>
    <row r="865">
      <c r="P865" s="161"/>
    </row>
    <row r="866">
      <c r="P866" s="161"/>
    </row>
    <row r="867">
      <c r="P867" s="161"/>
    </row>
    <row r="868">
      <c r="P868" s="161"/>
    </row>
    <row r="869">
      <c r="P869" s="161"/>
    </row>
    <row r="870">
      <c r="P870" s="161"/>
    </row>
    <row r="871">
      <c r="P871" s="161"/>
    </row>
    <row r="872">
      <c r="P872" s="161"/>
    </row>
    <row r="873">
      <c r="P873" s="161"/>
    </row>
    <row r="874">
      <c r="P874" s="161"/>
    </row>
    <row r="875">
      <c r="P875" s="161"/>
    </row>
    <row r="876">
      <c r="P876" s="161"/>
    </row>
    <row r="877">
      <c r="P877" s="161"/>
    </row>
    <row r="878">
      <c r="P878" s="161"/>
    </row>
    <row r="879">
      <c r="P879" s="161"/>
    </row>
    <row r="880">
      <c r="P880" s="161"/>
    </row>
    <row r="881">
      <c r="P881" s="161"/>
    </row>
    <row r="882">
      <c r="P882" s="161"/>
    </row>
    <row r="883">
      <c r="P883" s="161"/>
    </row>
    <row r="884">
      <c r="P884" s="161"/>
    </row>
    <row r="885">
      <c r="P885" s="161"/>
    </row>
    <row r="886">
      <c r="P886" s="161"/>
    </row>
    <row r="887">
      <c r="P887" s="161"/>
    </row>
    <row r="888">
      <c r="P888" s="161"/>
    </row>
    <row r="889">
      <c r="P889" s="161"/>
    </row>
    <row r="890">
      <c r="P890" s="161"/>
    </row>
    <row r="891">
      <c r="P891" s="161"/>
    </row>
    <row r="892">
      <c r="P892" s="161"/>
    </row>
    <row r="893">
      <c r="P893" s="161"/>
    </row>
    <row r="894">
      <c r="P894" s="161"/>
    </row>
    <row r="895">
      <c r="P895" s="161"/>
    </row>
    <row r="896">
      <c r="P896" s="161"/>
    </row>
    <row r="897">
      <c r="P897" s="161"/>
    </row>
    <row r="898">
      <c r="P898" s="161"/>
    </row>
    <row r="899">
      <c r="P899" s="161"/>
    </row>
    <row r="900">
      <c r="P900" s="161"/>
    </row>
    <row r="901">
      <c r="P901" s="161"/>
    </row>
    <row r="902">
      <c r="P902" s="161"/>
    </row>
    <row r="903">
      <c r="P903" s="161"/>
    </row>
    <row r="904">
      <c r="P904" s="161"/>
    </row>
    <row r="905">
      <c r="P905" s="161"/>
    </row>
    <row r="906">
      <c r="P906" s="161"/>
    </row>
    <row r="907">
      <c r="P907" s="161"/>
    </row>
    <row r="908">
      <c r="P908" s="161"/>
    </row>
    <row r="909">
      <c r="P909" s="161"/>
    </row>
    <row r="910">
      <c r="P910" s="161"/>
    </row>
    <row r="911">
      <c r="P911" s="161"/>
    </row>
    <row r="912">
      <c r="P912" s="161"/>
    </row>
    <row r="913">
      <c r="P913" s="161"/>
    </row>
    <row r="914">
      <c r="P914" s="161"/>
    </row>
    <row r="915">
      <c r="P915" s="161"/>
    </row>
    <row r="916">
      <c r="P916" s="161"/>
    </row>
    <row r="917">
      <c r="P917" s="161"/>
    </row>
    <row r="918">
      <c r="P918" s="161"/>
    </row>
    <row r="919">
      <c r="P919" s="161"/>
    </row>
    <row r="920">
      <c r="P920" s="161"/>
    </row>
    <row r="921">
      <c r="P921" s="161"/>
    </row>
    <row r="922">
      <c r="P922" s="161"/>
    </row>
    <row r="923">
      <c r="P923" s="161"/>
    </row>
    <row r="924">
      <c r="P924" s="161"/>
    </row>
    <row r="925">
      <c r="P925" s="161"/>
    </row>
    <row r="926">
      <c r="P926" s="161"/>
    </row>
    <row r="927">
      <c r="P927" s="161"/>
    </row>
    <row r="928">
      <c r="P928" s="161"/>
    </row>
    <row r="929">
      <c r="P929" s="161"/>
    </row>
    <row r="930">
      <c r="P930" s="161"/>
    </row>
    <row r="931">
      <c r="P931" s="161"/>
    </row>
    <row r="932">
      <c r="P932" s="161"/>
    </row>
    <row r="933">
      <c r="P933" s="161"/>
    </row>
    <row r="934">
      <c r="P934" s="161"/>
    </row>
    <row r="935">
      <c r="P935" s="161"/>
    </row>
    <row r="936">
      <c r="P936" s="161"/>
    </row>
    <row r="937">
      <c r="P937" s="161"/>
    </row>
    <row r="938">
      <c r="P938" s="161"/>
    </row>
    <row r="939">
      <c r="P939" s="161"/>
    </row>
    <row r="940">
      <c r="P940" s="161"/>
    </row>
    <row r="941">
      <c r="P941" s="161"/>
    </row>
    <row r="942">
      <c r="P942" s="161"/>
    </row>
    <row r="943">
      <c r="P943" s="161"/>
    </row>
    <row r="944">
      <c r="P944" s="161"/>
    </row>
    <row r="945">
      <c r="P945" s="161"/>
    </row>
    <row r="946">
      <c r="P946" s="161"/>
    </row>
    <row r="947">
      <c r="P947" s="161"/>
    </row>
    <row r="948">
      <c r="P948" s="161"/>
    </row>
    <row r="949">
      <c r="P949" s="161"/>
    </row>
    <row r="950">
      <c r="P950" s="161"/>
    </row>
    <row r="951">
      <c r="P951" s="161"/>
    </row>
    <row r="952">
      <c r="P952" s="161"/>
    </row>
    <row r="953">
      <c r="P953" s="161"/>
    </row>
    <row r="954">
      <c r="P954" s="161"/>
    </row>
    <row r="955">
      <c r="P955" s="161"/>
    </row>
    <row r="956">
      <c r="P956" s="161"/>
    </row>
    <row r="957">
      <c r="P957" s="161"/>
    </row>
    <row r="958">
      <c r="P958" s="161"/>
    </row>
    <row r="959">
      <c r="P959" s="161"/>
    </row>
    <row r="960">
      <c r="P960" s="161"/>
    </row>
    <row r="961">
      <c r="P961" s="161"/>
    </row>
    <row r="962">
      <c r="P962" s="161"/>
    </row>
    <row r="963">
      <c r="P963" s="161"/>
    </row>
    <row r="964">
      <c r="P964" s="161"/>
    </row>
    <row r="965">
      <c r="P965" s="161"/>
    </row>
    <row r="966">
      <c r="P966" s="161"/>
    </row>
    <row r="967">
      <c r="P967" s="161"/>
    </row>
    <row r="968">
      <c r="P968" s="161"/>
    </row>
    <row r="969">
      <c r="P969" s="161"/>
    </row>
    <row r="970">
      <c r="P970" s="161"/>
    </row>
    <row r="971">
      <c r="P971" s="161"/>
    </row>
    <row r="972">
      <c r="P972" s="161"/>
    </row>
    <row r="973">
      <c r="P973" s="161"/>
    </row>
    <row r="974">
      <c r="P974" s="161"/>
    </row>
    <row r="975">
      <c r="P975" s="161"/>
    </row>
    <row r="976">
      <c r="P976" s="161"/>
    </row>
    <row r="977">
      <c r="P977" s="161"/>
    </row>
    <row r="978">
      <c r="P978" s="161"/>
    </row>
    <row r="979">
      <c r="P979" s="161"/>
    </row>
    <row r="980">
      <c r="P980" s="161"/>
    </row>
    <row r="981">
      <c r="P981" s="161"/>
    </row>
    <row r="982">
      <c r="P982" s="161"/>
    </row>
    <row r="983">
      <c r="P983" s="161"/>
    </row>
    <row r="984">
      <c r="P984" s="161"/>
    </row>
    <row r="985">
      <c r="P985" s="161"/>
    </row>
    <row r="986">
      <c r="P986" s="161"/>
    </row>
    <row r="987">
      <c r="P987" s="161"/>
    </row>
    <row r="988">
      <c r="P988" s="161"/>
    </row>
    <row r="989">
      <c r="P989" s="161"/>
    </row>
    <row r="990">
      <c r="P990" s="161"/>
    </row>
    <row r="991">
      <c r="P991" s="161"/>
    </row>
    <row r="992">
      <c r="P992" s="161"/>
    </row>
    <row r="993">
      <c r="P993" s="161"/>
    </row>
    <row r="994">
      <c r="P994" s="161"/>
    </row>
    <row r="995">
      <c r="P995" s="161"/>
    </row>
    <row r="996">
      <c r="P996" s="161"/>
    </row>
    <row r="997">
      <c r="P997" s="161"/>
    </row>
    <row r="998">
      <c r="P998" s="161"/>
    </row>
  </sheetData>
  <customSheetViews>
    <customSheetView guid="{90E1DF85-7252-44D2-BA7D-CC3767CD0E8B}" filter="1" showAutoFilter="1">
      <autoFilter ref="$D$14:$P$97">
        <sortState ref="D14:P97">
          <sortCondition ref="E14:E97"/>
        </sortState>
      </autoFilter>
    </customSheetView>
  </customSheetViews>
  <mergeCells count="4">
    <mergeCell ref="D6:M6"/>
    <mergeCell ref="D7:F7"/>
    <mergeCell ref="D9:D12"/>
    <mergeCell ref="F10:O11"/>
  </mergeCells>
  <conditionalFormatting sqref="G15:M97">
    <cfRule type="cellIs" dxfId="1" priority="1" operator="equal">
      <formula>"False"</formula>
    </cfRule>
  </conditionalFormatting>
  <conditionalFormatting sqref="G15:M97">
    <cfRule type="cellIs" dxfId="0" priority="2" operator="equal">
      <formula>"TRUE"</formula>
    </cfRule>
  </conditionalFormatting>
  <conditionalFormatting sqref="E15:E97">
    <cfRule type="notContainsBlanks" dxfId="0" priority="3">
      <formula>LEN(TRIM(E15))&gt;0</formula>
    </cfRule>
  </conditionalFormatting>
  <dataValidations>
    <dataValidation type="list" allowBlank="1" showErrorMessage="1" sqref="E15:E99">
      <formula1>Data!$A$2:$A$100</formula1>
    </dataValidation>
    <dataValidation type="list" allowBlank="1" showErrorMessage="1" sqref="F15:F99">
      <formula1>Data!$C$2:$C$8</formula1>
    </dataValidation>
  </dataValidations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3" width="2.63"/>
    <col customWidth="1" min="4" max="4" width="20.38"/>
    <col customWidth="1" min="5" max="5" width="11.38"/>
    <col customWidth="1" min="6" max="6" width="16.63"/>
    <col customWidth="1" min="7" max="13" width="8.63"/>
    <col customWidth="1" min="14" max="14" width="12.63"/>
    <col customWidth="1" min="15" max="15" width="15.13"/>
    <col customWidth="1" min="16" max="16" width="15.88"/>
    <col customWidth="1" min="17" max="17" width="2.63"/>
  </cols>
  <sheetData>
    <row r="1" ht="7.5" customHeight="1">
      <c r="A1" s="165" t="s">
        <v>347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5"/>
      <c r="O1" s="86"/>
      <c r="P1" s="155"/>
      <c r="Q1" s="86"/>
    </row>
    <row r="2" ht="15.0" customHeight="1">
      <c r="A2" s="87"/>
      <c r="B2" s="87"/>
      <c r="C2" s="87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7"/>
      <c r="P2" s="87"/>
      <c r="Q2" s="87"/>
    </row>
    <row r="3" ht="3.75" customHeight="1">
      <c r="A3" s="87"/>
      <c r="B3" s="87"/>
      <c r="C3" s="87"/>
      <c r="D3" s="89"/>
      <c r="E3" s="90"/>
      <c r="F3" s="90"/>
      <c r="G3" s="90"/>
      <c r="H3" s="90"/>
      <c r="I3" s="90"/>
      <c r="J3" s="90"/>
      <c r="K3" s="90"/>
      <c r="L3" s="90"/>
      <c r="M3" s="90"/>
      <c r="N3" s="90"/>
      <c r="O3" s="87"/>
      <c r="P3" s="87"/>
      <c r="Q3" s="87"/>
    </row>
    <row r="4" ht="15.0" customHeight="1">
      <c r="A4" s="87"/>
      <c r="B4" s="87"/>
      <c r="C4" s="87"/>
      <c r="D4" s="88"/>
      <c r="E4" s="88"/>
      <c r="F4" s="88"/>
      <c r="G4" s="91"/>
      <c r="H4" s="91"/>
      <c r="I4" s="91"/>
      <c r="J4" s="91"/>
      <c r="K4" s="91"/>
      <c r="L4" s="91"/>
      <c r="M4" s="91"/>
      <c r="N4" s="91"/>
      <c r="O4" s="87"/>
      <c r="P4" s="87"/>
      <c r="Q4" s="87"/>
    </row>
    <row r="5" ht="15.0" customHeight="1">
      <c r="A5" s="92"/>
      <c r="B5" s="92"/>
      <c r="C5" s="92"/>
      <c r="D5" s="88"/>
      <c r="E5" s="88"/>
      <c r="F5" s="88"/>
      <c r="G5" s="93"/>
      <c r="H5" s="93"/>
      <c r="I5" s="93"/>
      <c r="J5" s="93"/>
      <c r="K5" s="93"/>
      <c r="L5" s="93"/>
      <c r="M5" s="93"/>
      <c r="N5" s="94"/>
      <c r="O5" s="88"/>
      <c r="P5" s="92"/>
      <c r="Q5" s="92"/>
    </row>
    <row r="6" ht="15.0" customHeight="1">
      <c r="A6" s="92"/>
      <c r="B6" s="92"/>
      <c r="C6" s="92"/>
      <c r="D6" s="95" t="s">
        <v>385</v>
      </c>
      <c r="N6" s="94"/>
      <c r="O6" s="88"/>
      <c r="P6" s="92"/>
      <c r="Q6" s="92"/>
    </row>
    <row r="7" ht="15.0" customHeight="1">
      <c r="A7" s="92"/>
      <c r="B7" s="92"/>
      <c r="C7" s="92"/>
      <c r="D7" s="96"/>
      <c r="G7" s="97"/>
      <c r="H7" s="97"/>
      <c r="I7" s="97"/>
      <c r="J7" s="97"/>
      <c r="K7" s="97"/>
      <c r="L7" s="97"/>
      <c r="M7" s="97"/>
      <c r="N7" s="92"/>
      <c r="O7" s="92"/>
      <c r="P7" s="92"/>
      <c r="Q7" s="92"/>
    </row>
    <row r="8" ht="15.0" customHeight="1">
      <c r="A8" s="92"/>
      <c r="B8" s="92"/>
      <c r="C8" s="92"/>
      <c r="D8" s="97"/>
      <c r="E8" s="97"/>
      <c r="F8" s="97"/>
      <c r="G8" s="97"/>
      <c r="H8" s="97"/>
      <c r="I8" s="97"/>
      <c r="J8" s="97"/>
      <c r="K8" s="97"/>
      <c r="L8" s="97"/>
      <c r="M8" s="97"/>
      <c r="N8" s="92"/>
      <c r="O8" s="92"/>
      <c r="P8" s="92"/>
      <c r="Q8" s="92"/>
    </row>
    <row r="9" ht="15.0" customHeight="1">
      <c r="A9" s="92"/>
      <c r="B9" s="92"/>
      <c r="C9" s="98"/>
      <c r="D9" s="99" t="s">
        <v>35</v>
      </c>
      <c r="E9" s="100"/>
      <c r="F9" s="101"/>
      <c r="G9" s="101"/>
      <c r="H9" s="101"/>
      <c r="I9" s="101"/>
      <c r="J9" s="101"/>
      <c r="K9" s="101"/>
      <c r="L9" s="101"/>
      <c r="M9" s="101"/>
      <c r="N9" s="101"/>
      <c r="O9" s="100"/>
      <c r="P9" s="102"/>
      <c r="Q9" s="102"/>
    </row>
    <row r="10" ht="15.0" customHeight="1">
      <c r="A10" s="92"/>
      <c r="B10" s="92"/>
      <c r="C10" s="98"/>
      <c r="E10" s="100"/>
      <c r="F10" s="103" t="s">
        <v>36</v>
      </c>
      <c r="P10" s="102"/>
      <c r="Q10" s="102"/>
    </row>
    <row r="11" ht="15.0" customHeight="1">
      <c r="A11" s="92"/>
      <c r="B11" s="92"/>
      <c r="C11" s="98"/>
      <c r="E11" s="100"/>
      <c r="P11" s="102"/>
      <c r="Q11" s="102"/>
    </row>
    <row r="12" ht="15.0" customHeight="1">
      <c r="A12" s="88"/>
      <c r="B12" s="92"/>
      <c r="C12" s="92"/>
      <c r="E12" s="100"/>
      <c r="F12" s="100"/>
      <c r="G12" s="100"/>
      <c r="H12" s="100"/>
      <c r="I12" s="100"/>
      <c r="J12" s="100"/>
      <c r="K12" s="100"/>
      <c r="L12" s="100"/>
      <c r="M12" s="100"/>
      <c r="N12" s="100"/>
      <c r="O12" s="100"/>
      <c r="P12" s="102"/>
      <c r="Q12" s="102"/>
    </row>
    <row r="13" ht="15.0" customHeight="1">
      <c r="A13" s="88"/>
      <c r="B13" s="104"/>
      <c r="C13" s="104"/>
      <c r="D13" s="104"/>
      <c r="E13" s="104"/>
      <c r="F13" s="105"/>
      <c r="G13" s="105"/>
      <c r="H13" s="105"/>
      <c r="I13" s="105"/>
      <c r="J13" s="105"/>
      <c r="K13" s="105"/>
      <c r="L13" s="105"/>
      <c r="M13" s="105"/>
      <c r="N13" s="104"/>
      <c r="O13" s="104"/>
      <c r="P13" s="104"/>
      <c r="Q13" s="104"/>
    </row>
    <row r="14" ht="15.0" customHeight="1">
      <c r="A14" s="106"/>
      <c r="B14" s="106"/>
      <c r="C14" s="106"/>
      <c r="D14" s="107" t="s">
        <v>37</v>
      </c>
      <c r="E14" s="108" t="s">
        <v>38</v>
      </c>
      <c r="F14" s="109" t="s">
        <v>39</v>
      </c>
      <c r="G14" s="110">
        <v>44697.0</v>
      </c>
      <c r="H14" s="110">
        <v>44698.0</v>
      </c>
      <c r="I14" s="110">
        <v>44699.0</v>
      </c>
      <c r="J14" s="110">
        <v>44700.0</v>
      </c>
      <c r="K14" s="110">
        <v>44701.0</v>
      </c>
      <c r="L14" s="110">
        <v>44702.0</v>
      </c>
      <c r="M14" s="110">
        <v>44703.0</v>
      </c>
      <c r="N14" s="111" t="s">
        <v>40</v>
      </c>
      <c r="O14" s="111" t="s">
        <v>41</v>
      </c>
      <c r="P14" s="156" t="s">
        <v>281</v>
      </c>
      <c r="Q14" s="88"/>
    </row>
    <row r="15" ht="15.0" customHeight="1">
      <c r="A15" s="112"/>
      <c r="B15" s="112"/>
      <c r="C15" s="112"/>
      <c r="D15" s="129" t="s">
        <v>371</v>
      </c>
      <c r="E15" s="114" t="s">
        <v>372</v>
      </c>
      <c r="F15" s="115" t="s">
        <v>61</v>
      </c>
      <c r="G15" s="116" t="b">
        <v>0</v>
      </c>
      <c r="H15" s="116" t="b">
        <v>0</v>
      </c>
      <c r="I15" s="116" t="b">
        <v>0</v>
      </c>
      <c r="J15" s="116" t="b">
        <v>0</v>
      </c>
      <c r="K15" s="116" t="b">
        <v>0</v>
      </c>
      <c r="L15" s="116" t="b">
        <v>0</v>
      </c>
      <c r="M15" s="116" t="b">
        <v>0</v>
      </c>
      <c r="N15" s="117">
        <f t="shared" ref="N15:N23" si="1">COUNTIF(G15:M15,"TRUE")</f>
        <v>0</v>
      </c>
      <c r="O15" s="117">
        <f t="shared" ref="O15:O23" si="2">N15*4</f>
        <v>0</v>
      </c>
      <c r="P15" s="157" t="s">
        <v>314</v>
      </c>
      <c r="Q15" s="112"/>
    </row>
    <row r="16" ht="15.0" customHeight="1">
      <c r="A16" s="112"/>
      <c r="B16" s="112"/>
      <c r="C16" s="112"/>
      <c r="D16" s="129" t="s">
        <v>271</v>
      </c>
      <c r="E16" s="114" t="str">
        <f>VLOOKUP(D16,Data!H:I,2,0)</f>
        <v>Adıyaman</v>
      </c>
      <c r="F16" s="115" t="str">
        <f>VLOOKUP(D16,Data!H:J,3,0)</f>
        <v>Nazım Öztel</v>
      </c>
      <c r="G16" s="116" t="b">
        <v>0</v>
      </c>
      <c r="H16" s="116" t="b">
        <v>0</v>
      </c>
      <c r="I16" s="116" t="b">
        <v>0</v>
      </c>
      <c r="J16" s="116" t="b">
        <v>0</v>
      </c>
      <c r="K16" s="116" t="b">
        <v>0</v>
      </c>
      <c r="L16" s="116" t="b">
        <v>0</v>
      </c>
      <c r="M16" s="116" t="b">
        <v>0</v>
      </c>
      <c r="N16" s="117">
        <f t="shared" si="1"/>
        <v>0</v>
      </c>
      <c r="O16" s="117">
        <f t="shared" si="2"/>
        <v>0</v>
      </c>
      <c r="P16" s="157" t="s">
        <v>314</v>
      </c>
      <c r="Q16" s="88"/>
    </row>
    <row r="17" ht="15.0" customHeight="1">
      <c r="A17" s="112"/>
      <c r="B17" s="112"/>
      <c r="C17" s="112"/>
      <c r="D17" s="129" t="s">
        <v>279</v>
      </c>
      <c r="E17" s="114" t="str">
        <f>VLOOKUP(D17,Data!H:I,2,0)</f>
        <v>Amasya</v>
      </c>
      <c r="F17" s="115" t="str">
        <f>VLOOKUP(D17,Data!H:J,3,0)</f>
        <v>Nazım Öztel</v>
      </c>
      <c r="G17" s="116" t="b">
        <v>0</v>
      </c>
      <c r="H17" s="116" t="b">
        <v>0</v>
      </c>
      <c r="I17" s="116" t="b">
        <v>0</v>
      </c>
      <c r="J17" s="116" t="b">
        <v>0</v>
      </c>
      <c r="K17" s="116" t="b">
        <v>0</v>
      </c>
      <c r="L17" s="116" t="b">
        <v>0</v>
      </c>
      <c r="M17" s="116" t="b">
        <v>0</v>
      </c>
      <c r="N17" s="117">
        <f t="shared" si="1"/>
        <v>0</v>
      </c>
      <c r="O17" s="117">
        <f t="shared" si="2"/>
        <v>0</v>
      </c>
      <c r="P17" s="157" t="s">
        <v>314</v>
      </c>
      <c r="Q17" s="88"/>
    </row>
    <row r="18" ht="15.0" customHeight="1">
      <c r="A18" s="112"/>
      <c r="B18" s="112"/>
      <c r="C18" s="112"/>
      <c r="D18" s="129" t="s">
        <v>287</v>
      </c>
      <c r="E18" s="114" t="str">
        <f>VLOOKUP(D18,Data!H:I,2,0)</f>
        <v>Ankara</v>
      </c>
      <c r="F18" s="115" t="str">
        <f>VLOOKUP(D18,Data!H:J,3,0)</f>
        <v>Nazım Öztel</v>
      </c>
      <c r="G18" s="116" t="b">
        <v>0</v>
      </c>
      <c r="H18" s="116" t="b">
        <v>0</v>
      </c>
      <c r="I18" s="116" t="b">
        <v>0</v>
      </c>
      <c r="J18" s="116" t="b">
        <v>0</v>
      </c>
      <c r="K18" s="116" t="b">
        <v>0</v>
      </c>
      <c r="L18" s="116" t="b">
        <v>0</v>
      </c>
      <c r="M18" s="116" t="b">
        <v>0</v>
      </c>
      <c r="N18" s="117">
        <f t="shared" si="1"/>
        <v>0</v>
      </c>
      <c r="O18" s="117">
        <f t="shared" si="2"/>
        <v>0</v>
      </c>
      <c r="P18" s="157" t="s">
        <v>386</v>
      </c>
      <c r="Q18" s="88"/>
    </row>
    <row r="19" ht="15.0" customHeight="1">
      <c r="A19" s="112"/>
      <c r="B19" s="112"/>
      <c r="C19" s="112"/>
      <c r="D19" s="129" t="s">
        <v>261</v>
      </c>
      <c r="E19" s="114" t="str">
        <f>VLOOKUP(D19,Data!H:I,2,0)</f>
        <v>Ankara</v>
      </c>
      <c r="F19" s="115" t="str">
        <f>VLOOKUP(D19,Data!H:J,3,0)</f>
        <v>Nazım Öztel</v>
      </c>
      <c r="G19" s="116" t="b">
        <v>0</v>
      </c>
      <c r="H19" s="116" t="b">
        <v>0</v>
      </c>
      <c r="I19" s="116" t="b">
        <v>0</v>
      </c>
      <c r="J19" s="116" t="b">
        <v>0</v>
      </c>
      <c r="K19" s="116" t="b">
        <v>0</v>
      </c>
      <c r="L19" s="116" t="b">
        <v>0</v>
      </c>
      <c r="M19" s="116" t="b">
        <v>0</v>
      </c>
      <c r="N19" s="117">
        <f t="shared" si="1"/>
        <v>0</v>
      </c>
      <c r="O19" s="117">
        <f t="shared" si="2"/>
        <v>0</v>
      </c>
      <c r="P19" s="157" t="s">
        <v>329</v>
      </c>
      <c r="Q19" s="88"/>
    </row>
    <row r="20" ht="15.0" customHeight="1">
      <c r="A20" s="106"/>
      <c r="B20" s="106"/>
      <c r="C20" s="106"/>
      <c r="D20" s="129" t="s">
        <v>164</v>
      </c>
      <c r="E20" s="114" t="str">
        <f>VLOOKUP(D20,Data!H:I,2,0)</f>
        <v>Antalya</v>
      </c>
      <c r="F20" s="115" t="str">
        <f>VLOOKUP(D20,Data!H:J,3,0)</f>
        <v>Nazım Öztel</v>
      </c>
      <c r="G20" s="116" t="b">
        <v>0</v>
      </c>
      <c r="H20" s="116" t="b">
        <v>0</v>
      </c>
      <c r="I20" s="116" t="b">
        <v>0</v>
      </c>
      <c r="J20" s="116" t="b">
        <v>1</v>
      </c>
      <c r="K20" s="116" t="b">
        <v>1</v>
      </c>
      <c r="L20" s="116" t="b">
        <v>0</v>
      </c>
      <c r="M20" s="116" t="b">
        <v>0</v>
      </c>
      <c r="N20" s="117">
        <f t="shared" si="1"/>
        <v>2</v>
      </c>
      <c r="O20" s="117">
        <f t="shared" si="2"/>
        <v>8</v>
      </c>
      <c r="P20" s="157"/>
      <c r="Q20" s="106"/>
    </row>
    <row r="21" ht="15.0" customHeight="1">
      <c r="A21" s="106"/>
      <c r="B21" s="106"/>
      <c r="C21" s="106"/>
      <c r="D21" s="163" t="s">
        <v>373</v>
      </c>
      <c r="E21" s="114" t="s">
        <v>262</v>
      </c>
      <c r="F21" s="115"/>
      <c r="G21" s="116" t="b">
        <v>1</v>
      </c>
      <c r="H21" s="116" t="b">
        <v>1</v>
      </c>
      <c r="I21" s="116" t="b">
        <v>1</v>
      </c>
      <c r="J21" s="116" t="b">
        <v>1</v>
      </c>
      <c r="K21" s="116" t="b">
        <v>0</v>
      </c>
      <c r="L21" s="116" t="b">
        <v>0</v>
      </c>
      <c r="M21" s="116" t="b">
        <v>0</v>
      </c>
      <c r="N21" s="117">
        <f t="shared" si="1"/>
        <v>4</v>
      </c>
      <c r="O21" s="117">
        <f t="shared" si="2"/>
        <v>16</v>
      </c>
      <c r="P21" s="157"/>
      <c r="Q21" s="106"/>
    </row>
    <row r="22" ht="15.0" customHeight="1">
      <c r="A22" s="112"/>
      <c r="B22" s="112"/>
      <c r="C22" s="112"/>
      <c r="D22" s="129" t="s">
        <v>241</v>
      </c>
      <c r="E22" s="114" t="s">
        <v>184</v>
      </c>
      <c r="F22" s="115" t="s">
        <v>61</v>
      </c>
      <c r="G22" s="116" t="b">
        <v>0</v>
      </c>
      <c r="H22" s="116" t="b">
        <v>0</v>
      </c>
      <c r="I22" s="116" t="b">
        <v>0</v>
      </c>
      <c r="J22" s="116" t="b">
        <v>0</v>
      </c>
      <c r="K22" s="116" t="b">
        <v>0</v>
      </c>
      <c r="L22" s="116" t="b">
        <v>0</v>
      </c>
      <c r="M22" s="116" t="b">
        <v>0</v>
      </c>
      <c r="N22" s="117">
        <f t="shared" si="1"/>
        <v>0</v>
      </c>
      <c r="O22" s="117">
        <f t="shared" si="2"/>
        <v>0</v>
      </c>
      <c r="P22" s="158" t="s">
        <v>359</v>
      </c>
      <c r="Q22" s="112"/>
    </row>
    <row r="23" ht="15.0" customHeight="1">
      <c r="A23" s="112"/>
      <c r="B23" s="112"/>
      <c r="C23" s="112"/>
      <c r="D23" s="129" t="s">
        <v>333</v>
      </c>
      <c r="E23" s="114" t="s">
        <v>357</v>
      </c>
      <c r="F23" s="115" t="s">
        <v>61</v>
      </c>
      <c r="G23" s="116" t="b">
        <v>0</v>
      </c>
      <c r="H23" s="116" t="b">
        <v>0</v>
      </c>
      <c r="I23" s="116" t="b">
        <v>0</v>
      </c>
      <c r="J23" s="116" t="b">
        <v>0</v>
      </c>
      <c r="K23" s="116" t="b">
        <v>0</v>
      </c>
      <c r="L23" s="116" t="b">
        <v>0</v>
      </c>
      <c r="M23" s="116" t="b">
        <v>0</v>
      </c>
      <c r="N23" s="117">
        <f t="shared" si="1"/>
        <v>0</v>
      </c>
      <c r="O23" s="117">
        <f t="shared" si="2"/>
        <v>0</v>
      </c>
      <c r="P23" s="157" t="s">
        <v>360</v>
      </c>
      <c r="Q23" s="112"/>
    </row>
    <row r="24" ht="15.0" customHeight="1">
      <c r="A24" s="112"/>
      <c r="B24" s="112"/>
      <c r="C24" s="112"/>
      <c r="D24" s="169" t="s">
        <v>387</v>
      </c>
      <c r="E24" s="114" t="s">
        <v>375</v>
      </c>
      <c r="F24" s="115"/>
      <c r="G24" s="116" t="b">
        <v>0</v>
      </c>
      <c r="H24" s="116" t="b">
        <v>0</v>
      </c>
      <c r="I24" s="116" t="b">
        <v>0</v>
      </c>
      <c r="J24" s="116" t="b">
        <v>0</v>
      </c>
      <c r="K24" s="116" t="b">
        <v>0</v>
      </c>
      <c r="L24" s="116" t="b">
        <v>1</v>
      </c>
      <c r="M24" s="116" t="b">
        <v>0</v>
      </c>
      <c r="N24" s="117"/>
      <c r="O24" s="117"/>
      <c r="P24" s="157"/>
      <c r="Q24" s="112"/>
    </row>
    <row r="25" ht="15.0" customHeight="1">
      <c r="A25" s="112"/>
      <c r="B25" s="112"/>
      <c r="C25" s="112"/>
      <c r="D25" s="129" t="s">
        <v>247</v>
      </c>
      <c r="E25" s="114" t="str">
        <f>VLOOKUP(D25,Data!H:I,2,0)</f>
        <v>Çanakkale</v>
      </c>
      <c r="F25" s="115" t="str">
        <f>VLOOKUP(D25,Data!H:J,3,0)</f>
        <v>Nazım Öztel</v>
      </c>
      <c r="G25" s="116" t="b">
        <v>0</v>
      </c>
      <c r="H25" s="116" t="b">
        <v>0</v>
      </c>
      <c r="I25" s="116" t="b">
        <v>0</v>
      </c>
      <c r="J25" s="116" t="b">
        <v>0</v>
      </c>
      <c r="K25" s="116" t="b">
        <v>0</v>
      </c>
      <c r="L25" s="116" t="b">
        <v>0</v>
      </c>
      <c r="M25" s="116" t="b">
        <v>0</v>
      </c>
      <c r="N25" s="117">
        <f t="shared" ref="N25:N36" si="3">COUNTIF(G25:M25,"TRUE")</f>
        <v>0</v>
      </c>
      <c r="O25" s="117">
        <f t="shared" ref="O25:O36" si="4">N25*4</f>
        <v>0</v>
      </c>
      <c r="P25" s="157" t="s">
        <v>309</v>
      </c>
      <c r="Q25" s="112"/>
    </row>
    <row r="26" ht="15.0" customHeight="1">
      <c r="A26" s="112"/>
      <c r="B26" s="112"/>
      <c r="C26" s="112"/>
      <c r="D26" s="129" t="s">
        <v>221</v>
      </c>
      <c r="E26" s="114" t="str">
        <f>VLOOKUP(D26,Data!H:I,2,0)</f>
        <v>Çorum</v>
      </c>
      <c r="F26" s="115" t="str">
        <f>VLOOKUP(D26,Data!H:J,3,0)</f>
        <v>Nazım Öztel</v>
      </c>
      <c r="G26" s="116" t="b">
        <v>0</v>
      </c>
      <c r="H26" s="116" t="b">
        <v>0</v>
      </c>
      <c r="I26" s="116" t="b">
        <v>0</v>
      </c>
      <c r="J26" s="116" t="b">
        <v>0</v>
      </c>
      <c r="K26" s="116" t="b">
        <v>0</v>
      </c>
      <c r="L26" s="116" t="b">
        <v>0</v>
      </c>
      <c r="M26" s="116" t="b">
        <v>0</v>
      </c>
      <c r="N26" s="117">
        <f t="shared" si="3"/>
        <v>0</v>
      </c>
      <c r="O26" s="117">
        <f t="shared" si="4"/>
        <v>0</v>
      </c>
      <c r="P26" s="157" t="s">
        <v>314</v>
      </c>
      <c r="Q26" s="112"/>
    </row>
    <row r="27" ht="15.0" customHeight="1">
      <c r="A27" s="112"/>
      <c r="B27" s="112"/>
      <c r="C27" s="112"/>
      <c r="D27" s="129" t="s">
        <v>264</v>
      </c>
      <c r="E27" s="114" t="str">
        <f>VLOOKUP(D27,Data!H:I,2,0)</f>
        <v>Denizli</v>
      </c>
      <c r="F27" s="115" t="str">
        <f>VLOOKUP(D27,Data!H:J,3,0)</f>
        <v>Nazım Öztel</v>
      </c>
      <c r="G27" s="116" t="b">
        <v>0</v>
      </c>
      <c r="H27" s="116" t="b">
        <v>0</v>
      </c>
      <c r="I27" s="116" t="b">
        <v>0</v>
      </c>
      <c r="J27" s="116" t="b">
        <v>0</v>
      </c>
      <c r="K27" s="116" t="b">
        <v>0</v>
      </c>
      <c r="L27" s="116" t="b">
        <v>0</v>
      </c>
      <c r="M27" s="116" t="b">
        <v>0</v>
      </c>
      <c r="N27" s="117">
        <f t="shared" si="3"/>
        <v>0</v>
      </c>
      <c r="O27" s="117">
        <f t="shared" si="4"/>
        <v>0</v>
      </c>
      <c r="P27" s="157" t="s">
        <v>361</v>
      </c>
      <c r="Q27" s="112"/>
    </row>
    <row r="28" ht="15.0" customHeight="1">
      <c r="A28" s="112"/>
      <c r="B28" s="112"/>
      <c r="C28" s="112"/>
      <c r="D28" s="132" t="s">
        <v>54</v>
      </c>
      <c r="E28" s="114" t="str">
        <f>VLOOKUP(D28,Data!H:I,2,0)</f>
        <v>Diyarbakır</v>
      </c>
      <c r="F28" s="115" t="str">
        <f>VLOOKUP(D28,Data!H:J,3,0)</f>
        <v>Nazım Öztel</v>
      </c>
      <c r="G28" s="116" t="b">
        <v>0</v>
      </c>
      <c r="H28" s="116" t="b">
        <v>0</v>
      </c>
      <c r="I28" s="116" t="b">
        <v>0</v>
      </c>
      <c r="J28" s="116" t="b">
        <v>0</v>
      </c>
      <c r="K28" s="116" t="b">
        <v>0</v>
      </c>
      <c r="L28" s="116" t="b">
        <v>0</v>
      </c>
      <c r="M28" s="116" t="b">
        <v>0</v>
      </c>
      <c r="N28" s="117">
        <f t="shared" si="3"/>
        <v>0</v>
      </c>
      <c r="O28" s="117">
        <f t="shared" si="4"/>
        <v>0</v>
      </c>
      <c r="P28" s="157" t="s">
        <v>299</v>
      </c>
      <c r="Q28" s="112"/>
    </row>
    <row r="29" ht="15.0" customHeight="1">
      <c r="A29" s="112"/>
      <c r="B29" s="112"/>
      <c r="C29" s="112"/>
      <c r="D29" s="129" t="s">
        <v>173</v>
      </c>
      <c r="E29" s="114" t="str">
        <f>VLOOKUP(D29,Data!H:I,2,0)</f>
        <v>Düzce</v>
      </c>
      <c r="F29" s="115" t="str">
        <f>VLOOKUP(D29,Data!H:J,3,0)</f>
        <v>Nazım Öztel</v>
      </c>
      <c r="G29" s="116" t="b">
        <v>0</v>
      </c>
      <c r="H29" s="116" t="b">
        <v>0</v>
      </c>
      <c r="I29" s="116" t="b">
        <v>0</v>
      </c>
      <c r="J29" s="116" t="b">
        <v>0</v>
      </c>
      <c r="K29" s="116" t="b">
        <v>0</v>
      </c>
      <c r="L29" s="116" t="b">
        <v>0</v>
      </c>
      <c r="M29" s="116" t="b">
        <v>0</v>
      </c>
      <c r="N29" s="117">
        <f t="shared" si="3"/>
        <v>0</v>
      </c>
      <c r="O29" s="117">
        <f t="shared" si="4"/>
        <v>0</v>
      </c>
      <c r="P29" s="157" t="s">
        <v>314</v>
      </c>
      <c r="Q29" s="112"/>
    </row>
    <row r="30" ht="15.0" customHeight="1">
      <c r="A30" s="112"/>
      <c r="B30" s="112"/>
      <c r="C30" s="112"/>
      <c r="D30" s="129" t="s">
        <v>199</v>
      </c>
      <c r="E30" s="114" t="str">
        <f>VLOOKUP(D30,Data!H:I,2,0)</f>
        <v>Elazığ</v>
      </c>
      <c r="F30" s="115" t="str">
        <f>VLOOKUP(D30,Data!H:J,3,0)</f>
        <v>Nazım Öztel</v>
      </c>
      <c r="G30" s="116" t="b">
        <v>0</v>
      </c>
      <c r="H30" s="116" t="b">
        <v>0</v>
      </c>
      <c r="I30" s="116" t="b">
        <v>0</v>
      </c>
      <c r="J30" s="116" t="b">
        <v>0</v>
      </c>
      <c r="K30" s="116" t="b">
        <v>0</v>
      </c>
      <c r="L30" s="116" t="b">
        <v>0</v>
      </c>
      <c r="M30" s="116" t="b">
        <v>0</v>
      </c>
      <c r="N30" s="117">
        <f t="shared" si="3"/>
        <v>0</v>
      </c>
      <c r="O30" s="117">
        <f t="shared" si="4"/>
        <v>0</v>
      </c>
      <c r="P30" s="157" t="s">
        <v>314</v>
      </c>
      <c r="Q30" s="112"/>
    </row>
    <row r="31" ht="15.0" customHeight="1">
      <c r="A31" s="112"/>
      <c r="B31" s="112"/>
      <c r="C31" s="112"/>
      <c r="D31" s="132" t="s">
        <v>55</v>
      </c>
      <c r="E31" s="114" t="str">
        <f>VLOOKUP(D31,Data!H:I,2,0)</f>
        <v>Erzurum</v>
      </c>
      <c r="F31" s="115" t="str">
        <f>VLOOKUP(D31,Data!H:J,3,0)</f>
        <v>Nazım Öztel</v>
      </c>
      <c r="G31" s="116" t="b">
        <v>0</v>
      </c>
      <c r="H31" s="116" t="b">
        <v>0</v>
      </c>
      <c r="I31" s="116" t="b">
        <v>0</v>
      </c>
      <c r="J31" s="116" t="b">
        <v>0</v>
      </c>
      <c r="K31" s="116" t="b">
        <v>0</v>
      </c>
      <c r="L31" s="116" t="b">
        <v>0</v>
      </c>
      <c r="M31" s="116" t="b">
        <v>0</v>
      </c>
      <c r="N31" s="117">
        <f t="shared" si="3"/>
        <v>0</v>
      </c>
      <c r="O31" s="117">
        <f t="shared" si="4"/>
        <v>0</v>
      </c>
      <c r="P31" s="157" t="s">
        <v>314</v>
      </c>
      <c r="Q31" s="112"/>
    </row>
    <row r="32" ht="15.0" customHeight="1">
      <c r="A32" s="112"/>
      <c r="B32" s="112"/>
      <c r="C32" s="112"/>
      <c r="D32" s="129" t="s">
        <v>165</v>
      </c>
      <c r="E32" s="114" t="str">
        <f>VLOOKUP(D32,Data!H:I,2,0)</f>
        <v>Eskişehir</v>
      </c>
      <c r="F32" s="115" t="str">
        <f>VLOOKUP(D32,Data!H:J,3,0)</f>
        <v>Nazım Öztel</v>
      </c>
      <c r="G32" s="116" t="b">
        <v>0</v>
      </c>
      <c r="H32" s="116" t="b">
        <v>0</v>
      </c>
      <c r="I32" s="116" t="b">
        <v>0</v>
      </c>
      <c r="J32" s="116" t="b">
        <v>0</v>
      </c>
      <c r="K32" s="116" t="b">
        <v>0</v>
      </c>
      <c r="L32" s="116" t="b">
        <v>0</v>
      </c>
      <c r="M32" s="116" t="b">
        <v>0</v>
      </c>
      <c r="N32" s="117">
        <f t="shared" si="3"/>
        <v>0</v>
      </c>
      <c r="O32" s="117">
        <f t="shared" si="4"/>
        <v>0</v>
      </c>
      <c r="P32" s="157" t="s">
        <v>361</v>
      </c>
      <c r="Q32" s="112"/>
    </row>
    <row r="33" ht="15.0" customHeight="1">
      <c r="A33" s="112"/>
      <c r="B33" s="112"/>
      <c r="C33" s="112"/>
      <c r="D33" s="129" t="s">
        <v>273</v>
      </c>
      <c r="E33" s="114" t="str">
        <f>VLOOKUP(D33,Data!H:I,2,0)</f>
        <v>Gaziantep</v>
      </c>
      <c r="F33" s="115" t="str">
        <f>VLOOKUP(D33,Data!H:J,3,0)</f>
        <v>Nazım Öztel</v>
      </c>
      <c r="G33" s="116" t="b">
        <v>0</v>
      </c>
      <c r="H33" s="116" t="b">
        <v>0</v>
      </c>
      <c r="I33" s="116" t="b">
        <v>0</v>
      </c>
      <c r="J33" s="116" t="b">
        <v>0</v>
      </c>
      <c r="K33" s="116" t="b">
        <v>0</v>
      </c>
      <c r="L33" s="116" t="b">
        <v>0</v>
      </c>
      <c r="M33" s="116" t="b">
        <v>0</v>
      </c>
      <c r="N33" s="117">
        <f t="shared" si="3"/>
        <v>0</v>
      </c>
      <c r="O33" s="117">
        <f t="shared" si="4"/>
        <v>0</v>
      </c>
      <c r="P33" s="157" t="s">
        <v>314</v>
      </c>
      <c r="Q33" s="112"/>
    </row>
    <row r="34" ht="15.0" customHeight="1">
      <c r="A34" s="112"/>
      <c r="B34" s="112"/>
      <c r="C34" s="112"/>
      <c r="D34" s="129" t="s">
        <v>248</v>
      </c>
      <c r="E34" s="114" t="str">
        <f>VLOOKUP(D34,Data!H:I,2,0)</f>
        <v>Hatay</v>
      </c>
      <c r="F34" s="115" t="str">
        <f>VLOOKUP(D34,Data!H:J,3,0)</f>
        <v>Nazım Öztel</v>
      </c>
      <c r="G34" s="116" t="b">
        <v>0</v>
      </c>
      <c r="H34" s="116" t="b">
        <v>0</v>
      </c>
      <c r="I34" s="116" t="b">
        <v>0</v>
      </c>
      <c r="J34" s="116" t="b">
        <v>0</v>
      </c>
      <c r="K34" s="116" t="b">
        <v>0</v>
      </c>
      <c r="L34" s="116" t="b">
        <v>0</v>
      </c>
      <c r="M34" s="116" t="b">
        <v>0</v>
      </c>
      <c r="N34" s="117">
        <f t="shared" si="3"/>
        <v>0</v>
      </c>
      <c r="O34" s="117">
        <f t="shared" si="4"/>
        <v>0</v>
      </c>
      <c r="P34" s="157" t="s">
        <v>314</v>
      </c>
      <c r="Q34" s="112"/>
    </row>
    <row r="35" ht="15.0" customHeight="1">
      <c r="A35" s="112"/>
      <c r="B35" s="112"/>
      <c r="C35" s="112"/>
      <c r="D35" s="129" t="s">
        <v>58</v>
      </c>
      <c r="E35" s="114" t="str">
        <f>VLOOKUP(D35,Data!H:I,2,0)</f>
        <v>İstanbul</v>
      </c>
      <c r="F35" s="115" t="str">
        <f>VLOOKUP(D35,Data!H:J,3,0)</f>
        <v>Freelance</v>
      </c>
      <c r="G35" s="116" t="b">
        <v>0</v>
      </c>
      <c r="H35" s="116" t="b">
        <v>0</v>
      </c>
      <c r="I35" s="116" t="b">
        <v>0</v>
      </c>
      <c r="J35" s="116" t="b">
        <v>0</v>
      </c>
      <c r="K35" s="116" t="b">
        <v>0</v>
      </c>
      <c r="L35" s="116" t="b">
        <v>0</v>
      </c>
      <c r="M35" s="116" t="b">
        <v>0</v>
      </c>
      <c r="N35" s="117">
        <f t="shared" si="3"/>
        <v>0</v>
      </c>
      <c r="O35" s="117">
        <f t="shared" si="4"/>
        <v>0</v>
      </c>
      <c r="P35" s="157"/>
      <c r="Q35" s="112"/>
    </row>
    <row r="36" ht="15.0" customHeight="1">
      <c r="A36" s="121"/>
      <c r="B36" s="121"/>
      <c r="C36" s="121"/>
      <c r="D36" s="129" t="s">
        <v>335</v>
      </c>
      <c r="E36" s="114" t="s">
        <v>237</v>
      </c>
      <c r="F36" s="115" t="s">
        <v>64</v>
      </c>
      <c r="G36" s="116" t="b">
        <v>0</v>
      </c>
      <c r="H36" s="116" t="b">
        <v>0</v>
      </c>
      <c r="I36" s="116" t="b">
        <v>0</v>
      </c>
      <c r="J36" s="116" t="b">
        <v>0</v>
      </c>
      <c r="K36" s="116" t="b">
        <v>0</v>
      </c>
      <c r="L36" s="116" t="b">
        <v>0</v>
      </c>
      <c r="M36" s="116" t="b">
        <v>0</v>
      </c>
      <c r="N36" s="117">
        <f t="shared" si="3"/>
        <v>0</v>
      </c>
      <c r="O36" s="117">
        <f t="shared" si="4"/>
        <v>0</v>
      </c>
      <c r="P36" s="157"/>
      <c r="Q36" s="121"/>
    </row>
    <row r="37" ht="15.0" customHeight="1">
      <c r="A37" s="112"/>
      <c r="B37" s="112"/>
      <c r="C37" s="112"/>
      <c r="D37" s="129" t="s">
        <v>376</v>
      </c>
      <c r="E37" s="114" t="s">
        <v>237</v>
      </c>
      <c r="F37" s="115" t="s">
        <v>59</v>
      </c>
      <c r="G37" s="116" t="b">
        <v>0</v>
      </c>
      <c r="H37" s="116" t="b">
        <v>0</v>
      </c>
      <c r="I37" s="116" t="b">
        <v>0</v>
      </c>
      <c r="J37" s="116" t="b">
        <v>0</v>
      </c>
      <c r="K37" s="116" t="b">
        <v>0</v>
      </c>
      <c r="L37" s="116" t="b">
        <v>0</v>
      </c>
      <c r="M37" s="116" t="b">
        <v>0</v>
      </c>
      <c r="N37" s="117">
        <v>0.0</v>
      </c>
      <c r="O37" s="117">
        <v>0.0</v>
      </c>
      <c r="P37" s="157"/>
      <c r="Q37" s="112"/>
    </row>
    <row r="38" ht="15.0" customHeight="1">
      <c r="A38" s="112"/>
      <c r="B38" s="112"/>
      <c r="C38" s="112"/>
      <c r="D38" s="129" t="s">
        <v>302</v>
      </c>
      <c r="E38" s="114" t="s">
        <v>237</v>
      </c>
      <c r="F38" s="115" t="s">
        <v>64</v>
      </c>
      <c r="G38" s="116" t="b">
        <v>1</v>
      </c>
      <c r="H38" s="116" t="b">
        <v>1</v>
      </c>
      <c r="I38" s="116" t="b">
        <v>1</v>
      </c>
      <c r="J38" s="116" t="b">
        <v>1</v>
      </c>
      <c r="K38" s="116" t="b">
        <v>1</v>
      </c>
      <c r="L38" s="116" t="b">
        <v>0</v>
      </c>
      <c r="M38" s="116" t="b">
        <v>0</v>
      </c>
      <c r="N38" s="117">
        <f t="shared" ref="N38:N76" si="5">COUNTIF(G38:M38,"TRUE")</f>
        <v>5</v>
      </c>
      <c r="O38" s="117">
        <f t="shared" ref="O38:O76" si="6">N38*4</f>
        <v>20</v>
      </c>
      <c r="P38" s="157" t="s">
        <v>362</v>
      </c>
      <c r="Q38" s="112"/>
    </row>
    <row r="39" ht="15.0" customHeight="1">
      <c r="A39" s="112"/>
      <c r="B39" s="112"/>
      <c r="C39" s="112"/>
      <c r="D39" s="129" t="s">
        <v>351</v>
      </c>
      <c r="E39" s="114" t="s">
        <v>237</v>
      </c>
      <c r="F39" s="115" t="s">
        <v>64</v>
      </c>
      <c r="G39" s="116" t="b">
        <v>0</v>
      </c>
      <c r="H39" s="116" t="b">
        <v>0</v>
      </c>
      <c r="I39" s="116" t="b">
        <v>0</v>
      </c>
      <c r="J39" s="116" t="b">
        <v>0</v>
      </c>
      <c r="K39" s="116" t="b">
        <v>0</v>
      </c>
      <c r="L39" s="116" t="b">
        <v>0</v>
      </c>
      <c r="M39" s="116" t="b">
        <v>0</v>
      </c>
      <c r="N39" s="117">
        <f t="shared" si="5"/>
        <v>0</v>
      </c>
      <c r="O39" s="117">
        <f t="shared" si="6"/>
        <v>0</v>
      </c>
      <c r="P39" s="157" t="s">
        <v>309</v>
      </c>
      <c r="Q39" s="112"/>
    </row>
    <row r="40" ht="15.0" customHeight="1">
      <c r="A40" s="112"/>
      <c r="B40" s="112"/>
      <c r="C40" s="112"/>
      <c r="D40" s="129" t="s">
        <v>78</v>
      </c>
      <c r="E40" s="114" t="str">
        <f>VLOOKUP(D40,Data!H:I,2,0)</f>
        <v>İstanbul</v>
      </c>
      <c r="F40" s="115" t="str">
        <f>VLOOKUP(D40,Data!H:J,3,0)</f>
        <v>Freelance</v>
      </c>
      <c r="G40" s="116" t="b">
        <v>1</v>
      </c>
      <c r="H40" s="116" t="b">
        <v>1</v>
      </c>
      <c r="I40" s="116" t="b">
        <v>1</v>
      </c>
      <c r="J40" s="116" t="b">
        <v>1</v>
      </c>
      <c r="K40" s="116" t="b">
        <v>1</v>
      </c>
      <c r="L40" s="116" t="b">
        <v>0</v>
      </c>
      <c r="M40" s="116" t="b">
        <v>0</v>
      </c>
      <c r="N40" s="117">
        <f t="shared" si="5"/>
        <v>5</v>
      </c>
      <c r="O40" s="117">
        <f t="shared" si="6"/>
        <v>20</v>
      </c>
      <c r="P40" s="157"/>
      <c r="Q40" s="112"/>
    </row>
    <row r="41" ht="15.0" customHeight="1">
      <c r="A41" s="112"/>
      <c r="B41" s="112"/>
      <c r="C41" s="112"/>
      <c r="D41" s="129" t="s">
        <v>377</v>
      </c>
      <c r="E41" s="114" t="s">
        <v>237</v>
      </c>
      <c r="F41" s="115" t="s">
        <v>59</v>
      </c>
      <c r="G41" s="116" t="b">
        <v>1</v>
      </c>
      <c r="H41" s="116" t="b">
        <v>1</v>
      </c>
      <c r="I41" s="116" t="b">
        <v>0</v>
      </c>
      <c r="J41" s="116" t="b">
        <v>0</v>
      </c>
      <c r="K41" s="116" t="b">
        <v>1</v>
      </c>
      <c r="L41" s="116" t="b">
        <v>0</v>
      </c>
      <c r="M41" s="116" t="b">
        <v>0</v>
      </c>
      <c r="N41" s="117">
        <f t="shared" si="5"/>
        <v>3</v>
      </c>
      <c r="O41" s="117">
        <f t="shared" si="6"/>
        <v>12</v>
      </c>
      <c r="P41" s="157" t="s">
        <v>388</v>
      </c>
      <c r="Q41" s="112"/>
    </row>
    <row r="42" ht="15.0" customHeight="1">
      <c r="A42" s="122"/>
      <c r="B42" s="122"/>
      <c r="C42" s="122"/>
      <c r="D42" s="129" t="s">
        <v>80</v>
      </c>
      <c r="E42" s="114" t="str">
        <f>VLOOKUP(D42,Data!H:I,2,0)</f>
        <v>İstanbul</v>
      </c>
      <c r="F42" s="115" t="str">
        <f>VLOOKUP(D42,Data!H:J,3,0)</f>
        <v>Freelance</v>
      </c>
      <c r="G42" s="116" t="b">
        <v>1</v>
      </c>
      <c r="H42" s="116" t="b">
        <v>1</v>
      </c>
      <c r="I42" s="116" t="b">
        <v>1</v>
      </c>
      <c r="J42" s="116" t="b">
        <v>1</v>
      </c>
      <c r="K42" s="116" t="b">
        <v>0</v>
      </c>
      <c r="L42" s="116" t="b">
        <v>0</v>
      </c>
      <c r="M42" s="116" t="b">
        <v>0</v>
      </c>
      <c r="N42" s="117">
        <f t="shared" si="5"/>
        <v>4</v>
      </c>
      <c r="O42" s="117">
        <f t="shared" si="6"/>
        <v>16</v>
      </c>
      <c r="P42" s="157"/>
      <c r="Q42" s="122"/>
    </row>
    <row r="43" ht="15.0" customHeight="1">
      <c r="A43" s="112"/>
      <c r="B43" s="112"/>
      <c r="C43" s="112"/>
      <c r="D43" s="132" t="s">
        <v>119</v>
      </c>
      <c r="E43" s="114" t="str">
        <f>VLOOKUP(D43,Data!H:I,2,0)</f>
        <v>İstanbul</v>
      </c>
      <c r="F43" s="115" t="str">
        <f>VLOOKUP(D43,Data!H:J,3,0)</f>
        <v>Filamingo</v>
      </c>
      <c r="G43" s="116" t="b">
        <v>0</v>
      </c>
      <c r="H43" s="116" t="b">
        <v>0</v>
      </c>
      <c r="I43" s="116" t="b">
        <v>0</v>
      </c>
      <c r="J43" s="116" t="b">
        <v>0</v>
      </c>
      <c r="K43" s="116" t="b">
        <v>0</v>
      </c>
      <c r="L43" s="116" t="b">
        <v>0</v>
      </c>
      <c r="M43" s="116" t="b">
        <v>0</v>
      </c>
      <c r="N43" s="117">
        <f t="shared" si="5"/>
        <v>0</v>
      </c>
      <c r="O43" s="117">
        <f t="shared" si="6"/>
        <v>0</v>
      </c>
      <c r="P43" s="157" t="s">
        <v>309</v>
      </c>
      <c r="Q43" s="112"/>
    </row>
    <row r="44" ht="15.0" customHeight="1">
      <c r="A44" s="112"/>
      <c r="B44" s="112"/>
      <c r="C44" s="112"/>
      <c r="D44" s="129" t="s">
        <v>217</v>
      </c>
      <c r="E44" s="114" t="str">
        <f>VLOOKUP(D44,Data!H:I,2,0)</f>
        <v>İstanbul</v>
      </c>
      <c r="F44" s="115" t="str">
        <f>VLOOKUP(D44,Data!H:J,3,0)</f>
        <v>Freelance</v>
      </c>
      <c r="G44" s="116" t="b">
        <v>0</v>
      </c>
      <c r="H44" s="116" t="b">
        <v>0</v>
      </c>
      <c r="I44" s="116" t="b">
        <v>0</v>
      </c>
      <c r="J44" s="116" t="b">
        <v>0</v>
      </c>
      <c r="K44" s="116" t="b">
        <v>0</v>
      </c>
      <c r="L44" s="116" t="b">
        <v>0</v>
      </c>
      <c r="M44" s="116" t="b">
        <v>0</v>
      </c>
      <c r="N44" s="117">
        <f t="shared" si="5"/>
        <v>0</v>
      </c>
      <c r="O44" s="117">
        <f t="shared" si="6"/>
        <v>0</v>
      </c>
      <c r="P44" s="157" t="s">
        <v>309</v>
      </c>
      <c r="Q44" s="112"/>
    </row>
    <row r="45" ht="15.0" customHeight="1">
      <c r="A45" s="112"/>
      <c r="B45" s="112"/>
      <c r="C45" s="112"/>
      <c r="D45" s="129" t="s">
        <v>81</v>
      </c>
      <c r="E45" s="114" t="str">
        <f>VLOOKUP(D45,Data!H:I,2,0)</f>
        <v>İstanbul</v>
      </c>
      <c r="F45" s="115" t="str">
        <f>VLOOKUP(D45,Data!H:J,3,0)</f>
        <v>Freelance</v>
      </c>
      <c r="G45" s="116" t="b">
        <v>0</v>
      </c>
      <c r="H45" s="116" t="b">
        <v>0</v>
      </c>
      <c r="I45" s="116" t="b">
        <v>0</v>
      </c>
      <c r="J45" s="116" t="b">
        <v>0</v>
      </c>
      <c r="K45" s="116" t="b">
        <v>0</v>
      </c>
      <c r="L45" s="116" t="b">
        <v>0</v>
      </c>
      <c r="M45" s="116" t="b">
        <v>0</v>
      </c>
      <c r="N45" s="117">
        <f t="shared" si="5"/>
        <v>0</v>
      </c>
      <c r="O45" s="117">
        <f t="shared" si="6"/>
        <v>0</v>
      </c>
      <c r="P45" s="157" t="s">
        <v>314</v>
      </c>
      <c r="Q45" s="112"/>
    </row>
    <row r="46" ht="15.0" customHeight="1">
      <c r="A46" s="112"/>
      <c r="B46" s="112"/>
      <c r="C46" s="112"/>
      <c r="D46" s="129" t="s">
        <v>201</v>
      </c>
      <c r="E46" s="114" t="str">
        <f>VLOOKUP(D46,Data!H:I,2,0)</f>
        <v>İstanbul</v>
      </c>
      <c r="F46" s="114" t="str">
        <f>VLOOKUP(D46,Data!H:J,3,0)</f>
        <v>Freelance</v>
      </c>
      <c r="G46" s="116" t="b">
        <v>0</v>
      </c>
      <c r="H46" s="116" t="b">
        <v>0</v>
      </c>
      <c r="I46" s="116" t="b">
        <v>0</v>
      </c>
      <c r="J46" s="116" t="b">
        <v>0</v>
      </c>
      <c r="K46" s="116" t="b">
        <v>0</v>
      </c>
      <c r="L46" s="116" t="b">
        <v>0</v>
      </c>
      <c r="M46" s="116" t="b">
        <v>0</v>
      </c>
      <c r="N46" s="117">
        <f t="shared" si="5"/>
        <v>0</v>
      </c>
      <c r="O46" s="117">
        <f t="shared" si="6"/>
        <v>0</v>
      </c>
      <c r="P46" s="157" t="s">
        <v>309</v>
      </c>
      <c r="Q46" s="112"/>
    </row>
    <row r="47" ht="15.0" customHeight="1">
      <c r="A47" s="112"/>
      <c r="B47" s="112"/>
      <c r="C47" s="112"/>
      <c r="D47" s="132" t="s">
        <v>83</v>
      </c>
      <c r="E47" s="114" t="str">
        <f>VLOOKUP(D47,Data!H:I,2,0)</f>
        <v>İstanbul</v>
      </c>
      <c r="F47" s="115" t="str">
        <f>VLOOKUP(D47,Data!H:J,3,0)</f>
        <v>Nazım Öztel</v>
      </c>
      <c r="G47" s="116" t="b">
        <v>0</v>
      </c>
      <c r="H47" s="116" t="b">
        <v>0</v>
      </c>
      <c r="I47" s="116" t="b">
        <v>0</v>
      </c>
      <c r="J47" s="116" t="b">
        <v>0</v>
      </c>
      <c r="K47" s="116" t="b">
        <v>0</v>
      </c>
      <c r="L47" s="116" t="b">
        <v>0</v>
      </c>
      <c r="M47" s="116" t="b">
        <v>0</v>
      </c>
      <c r="N47" s="117">
        <f t="shared" si="5"/>
        <v>0</v>
      </c>
      <c r="O47" s="117">
        <f t="shared" si="6"/>
        <v>0</v>
      </c>
      <c r="P47" s="157" t="s">
        <v>309</v>
      </c>
      <c r="Q47" s="112"/>
    </row>
    <row r="48" ht="15.0" customHeight="1">
      <c r="A48" s="112"/>
      <c r="B48" s="112"/>
      <c r="C48" s="112"/>
      <c r="D48" s="129" t="s">
        <v>363</v>
      </c>
      <c r="E48" s="166" t="s">
        <v>237</v>
      </c>
      <c r="F48" s="167" t="s">
        <v>64</v>
      </c>
      <c r="G48" s="116" t="b">
        <v>1</v>
      </c>
      <c r="H48" s="116" t="b">
        <v>0</v>
      </c>
      <c r="I48" s="116" t="b">
        <v>1</v>
      </c>
      <c r="J48" s="116" t="b">
        <v>0</v>
      </c>
      <c r="K48" s="116" t="b">
        <v>1</v>
      </c>
      <c r="L48" s="116" t="b">
        <v>0</v>
      </c>
      <c r="M48" s="116" t="b">
        <v>0</v>
      </c>
      <c r="N48" s="146">
        <f t="shared" si="5"/>
        <v>3</v>
      </c>
      <c r="O48" s="146">
        <f t="shared" si="6"/>
        <v>12</v>
      </c>
      <c r="P48" s="159" t="s">
        <v>389</v>
      </c>
      <c r="Q48" s="112"/>
    </row>
    <row r="49" ht="15.0" customHeight="1">
      <c r="A49" s="125"/>
      <c r="B49" s="125"/>
      <c r="C49" s="125"/>
      <c r="D49" s="129" t="s">
        <v>225</v>
      </c>
      <c r="E49" s="114" t="str">
        <f>VLOOKUP(D49,Data!H:I,2,0)</f>
        <v>İstanbul</v>
      </c>
      <c r="F49" s="115" t="str">
        <f>VLOOKUP(D49,Data!H:J,3,0)</f>
        <v>Filamingo</v>
      </c>
      <c r="G49" s="116" t="b">
        <v>0</v>
      </c>
      <c r="H49" s="116" t="b">
        <v>0</v>
      </c>
      <c r="I49" s="116" t="b">
        <v>0</v>
      </c>
      <c r="J49" s="116" t="b">
        <v>0</v>
      </c>
      <c r="K49" s="116" t="b">
        <v>0</v>
      </c>
      <c r="L49" s="116" t="b">
        <v>0</v>
      </c>
      <c r="M49" s="116" t="b">
        <v>0</v>
      </c>
      <c r="N49" s="117">
        <f t="shared" si="5"/>
        <v>0</v>
      </c>
      <c r="O49" s="117">
        <f t="shared" si="6"/>
        <v>0</v>
      </c>
      <c r="P49" s="157" t="s">
        <v>309</v>
      </c>
      <c r="Q49" s="125"/>
    </row>
    <row r="50" ht="15.0" customHeight="1">
      <c r="A50" s="125"/>
      <c r="B50" s="125"/>
      <c r="C50" s="125"/>
      <c r="D50" s="129" t="s">
        <v>145</v>
      </c>
      <c r="E50" s="114" t="str">
        <f>VLOOKUP(D50,Data!H:I,2,0)</f>
        <v>İstanbul</v>
      </c>
      <c r="F50" s="115" t="str">
        <f>VLOOKUP(D50,Data!H:J,3,0)</f>
        <v>Filamingo</v>
      </c>
      <c r="G50" s="116" t="b">
        <v>1</v>
      </c>
      <c r="H50" s="116" t="b">
        <v>1</v>
      </c>
      <c r="I50" s="116" t="b">
        <v>0</v>
      </c>
      <c r="J50" s="116" t="b">
        <v>0</v>
      </c>
      <c r="K50" s="116" t="b">
        <v>1</v>
      </c>
      <c r="L50" s="116" t="b">
        <v>0</v>
      </c>
      <c r="M50" s="116" t="b">
        <v>0</v>
      </c>
      <c r="N50" s="117">
        <f t="shared" si="5"/>
        <v>3</v>
      </c>
      <c r="O50" s="117">
        <f t="shared" si="6"/>
        <v>12</v>
      </c>
      <c r="P50" s="157" t="s">
        <v>365</v>
      </c>
      <c r="Q50" s="125"/>
    </row>
    <row r="51" ht="15.0" customHeight="1">
      <c r="A51" s="125"/>
      <c r="B51" s="125"/>
      <c r="C51" s="125"/>
      <c r="D51" s="129" t="s">
        <v>274</v>
      </c>
      <c r="E51" s="114" t="str">
        <f>VLOOKUP(D51,Data!H:I,2,0)</f>
        <v>İstanbul</v>
      </c>
      <c r="F51" s="115" t="str">
        <f>VLOOKUP(D51,Data!H:J,3,0)</f>
        <v>Filamingo</v>
      </c>
      <c r="G51" s="116" t="b">
        <v>0</v>
      </c>
      <c r="H51" s="116" t="b">
        <v>0</v>
      </c>
      <c r="I51" s="116" t="b">
        <v>0</v>
      </c>
      <c r="J51" s="116" t="b">
        <v>0</v>
      </c>
      <c r="K51" s="116" t="b">
        <v>0</v>
      </c>
      <c r="L51" s="116" t="b">
        <v>0</v>
      </c>
      <c r="M51" s="116" t="b">
        <v>0</v>
      </c>
      <c r="N51" s="117">
        <f t="shared" si="5"/>
        <v>0</v>
      </c>
      <c r="O51" s="117">
        <f t="shared" si="6"/>
        <v>0</v>
      </c>
      <c r="P51" s="157"/>
      <c r="Q51" s="125"/>
    </row>
    <row r="52" ht="15.0" customHeight="1">
      <c r="A52" s="125"/>
      <c r="B52" s="125"/>
      <c r="C52" s="125"/>
      <c r="D52" s="129" t="s">
        <v>87</v>
      </c>
      <c r="E52" s="114" t="str">
        <f>VLOOKUP(D52,Data!H:I,2,0)</f>
        <v>İstanbul</v>
      </c>
      <c r="F52" s="115" t="str">
        <f>VLOOKUP(D52,Data!H:J,3,0)</f>
        <v>Freelance</v>
      </c>
      <c r="G52" s="116" t="b">
        <v>0</v>
      </c>
      <c r="H52" s="116" t="b">
        <v>0</v>
      </c>
      <c r="I52" s="116" t="b">
        <v>1</v>
      </c>
      <c r="J52" s="116" t="b">
        <v>0</v>
      </c>
      <c r="K52" s="116" t="b">
        <v>1</v>
      </c>
      <c r="L52" s="116" t="b">
        <v>0</v>
      </c>
      <c r="M52" s="116" t="b">
        <v>0</v>
      </c>
      <c r="N52" s="117">
        <f t="shared" si="5"/>
        <v>2</v>
      </c>
      <c r="O52" s="117">
        <f t="shared" si="6"/>
        <v>8</v>
      </c>
      <c r="P52" s="157"/>
      <c r="Q52" s="125"/>
    </row>
    <row r="53" ht="15.0" customHeight="1">
      <c r="A53" s="125"/>
      <c r="B53" s="125"/>
      <c r="C53" s="125"/>
      <c r="D53" s="129" t="s">
        <v>337</v>
      </c>
      <c r="E53" s="114" t="s">
        <v>237</v>
      </c>
      <c r="F53" s="115" t="s">
        <v>64</v>
      </c>
      <c r="G53" s="116" t="b">
        <v>0</v>
      </c>
      <c r="H53" s="116" t="b">
        <v>0</v>
      </c>
      <c r="I53" s="116" t="b">
        <v>0</v>
      </c>
      <c r="J53" s="116" t="b">
        <v>0</v>
      </c>
      <c r="K53" s="116" t="b">
        <v>0</v>
      </c>
      <c r="L53" s="116" t="b">
        <v>0</v>
      </c>
      <c r="M53" s="116" t="b">
        <v>0</v>
      </c>
      <c r="N53" s="117">
        <f t="shared" si="5"/>
        <v>0</v>
      </c>
      <c r="O53" s="117">
        <f t="shared" si="6"/>
        <v>0</v>
      </c>
      <c r="P53" s="157" t="s">
        <v>309</v>
      </c>
      <c r="Q53" s="125"/>
    </row>
    <row r="54" ht="15.0" customHeight="1">
      <c r="A54" s="112"/>
      <c r="B54" s="112"/>
      <c r="C54" s="112"/>
      <c r="D54" s="129" t="s">
        <v>249</v>
      </c>
      <c r="E54" s="114" t="str">
        <f>VLOOKUP(D54,Data!H:I,2,0)</f>
        <v>İstanbul</v>
      </c>
      <c r="F54" s="115" t="str">
        <f>VLOOKUP(D54,Data!H:J,3,0)</f>
        <v>Nazım Öztel</v>
      </c>
      <c r="G54" s="116" t="b">
        <v>0</v>
      </c>
      <c r="H54" s="116" t="b">
        <v>0</v>
      </c>
      <c r="I54" s="116" t="b">
        <v>0</v>
      </c>
      <c r="J54" s="116" t="b">
        <v>0</v>
      </c>
      <c r="K54" s="116" t="b">
        <v>0</v>
      </c>
      <c r="L54" s="116" t="b">
        <v>0</v>
      </c>
      <c r="M54" s="116" t="b">
        <v>0</v>
      </c>
      <c r="N54" s="117">
        <f t="shared" si="5"/>
        <v>0</v>
      </c>
      <c r="O54" s="117">
        <f t="shared" si="6"/>
        <v>0</v>
      </c>
      <c r="P54" s="157"/>
      <c r="Q54" s="112"/>
    </row>
    <row r="55" ht="15.0" customHeight="1">
      <c r="A55" s="112"/>
      <c r="B55" s="112"/>
      <c r="C55" s="112"/>
      <c r="D55" s="129" t="s">
        <v>390</v>
      </c>
      <c r="E55" s="114" t="s">
        <v>237</v>
      </c>
      <c r="F55" s="115" t="s">
        <v>59</v>
      </c>
      <c r="G55" s="116" t="b">
        <v>1</v>
      </c>
      <c r="H55" s="116" t="b">
        <v>1</v>
      </c>
      <c r="I55" s="116" t="b">
        <v>1</v>
      </c>
      <c r="J55" s="116" t="b">
        <v>0</v>
      </c>
      <c r="K55" s="116" t="b">
        <v>0</v>
      </c>
      <c r="L55" s="116" t="b">
        <v>0</v>
      </c>
      <c r="M55" s="116" t="b">
        <v>0</v>
      </c>
      <c r="N55" s="117">
        <f t="shared" si="5"/>
        <v>3</v>
      </c>
      <c r="O55" s="117">
        <f t="shared" si="6"/>
        <v>12</v>
      </c>
      <c r="P55" s="157"/>
      <c r="Q55" s="112"/>
    </row>
    <row r="56" ht="15.0" customHeight="1">
      <c r="A56" s="112"/>
      <c r="B56" s="112"/>
      <c r="C56" s="112"/>
      <c r="D56" s="129" t="s">
        <v>251</v>
      </c>
      <c r="E56" s="114" t="str">
        <f>VLOOKUP(D56,Data!H:I,2,0)</f>
        <v>İstanbul</v>
      </c>
      <c r="F56" s="115" t="str">
        <f>VLOOKUP(D56,Data!H:J,3,0)</f>
        <v>Filamingo</v>
      </c>
      <c r="G56" s="116" t="b">
        <v>0</v>
      </c>
      <c r="H56" s="116" t="b">
        <v>0</v>
      </c>
      <c r="I56" s="116" t="b">
        <v>0</v>
      </c>
      <c r="J56" s="116" t="b">
        <v>0</v>
      </c>
      <c r="K56" s="116" t="b">
        <v>0</v>
      </c>
      <c r="L56" s="116" t="b">
        <v>0</v>
      </c>
      <c r="M56" s="116" t="b">
        <v>0</v>
      </c>
      <c r="N56" s="117">
        <f t="shared" si="5"/>
        <v>0</v>
      </c>
      <c r="O56" s="117">
        <f t="shared" si="6"/>
        <v>0</v>
      </c>
      <c r="P56" s="157"/>
      <c r="Q56" s="112"/>
    </row>
    <row r="57" ht="15.0" customHeight="1">
      <c r="A57" s="112"/>
      <c r="B57" s="112"/>
      <c r="C57" s="112"/>
      <c r="D57" s="129" t="s">
        <v>252</v>
      </c>
      <c r="E57" s="114" t="str">
        <f>VLOOKUP(D57,Data!H:I,2,0)</f>
        <v>İzmir</v>
      </c>
      <c r="F57" s="115" t="str">
        <f>VLOOKUP(D57,Data!H:J,3,0)</f>
        <v>Nazım Öztel</v>
      </c>
      <c r="G57" s="116" t="b">
        <v>0</v>
      </c>
      <c r="H57" s="116" t="b">
        <v>0</v>
      </c>
      <c r="I57" s="116" t="b">
        <v>0</v>
      </c>
      <c r="J57" s="116" t="b">
        <v>0</v>
      </c>
      <c r="K57" s="116" t="b">
        <v>0</v>
      </c>
      <c r="L57" s="116" t="b">
        <v>0</v>
      </c>
      <c r="M57" s="116" t="b">
        <v>0</v>
      </c>
      <c r="N57" s="117">
        <f t="shared" si="5"/>
        <v>0</v>
      </c>
      <c r="O57" s="117">
        <f t="shared" si="6"/>
        <v>0</v>
      </c>
      <c r="P57" s="157" t="s">
        <v>378</v>
      </c>
      <c r="Q57" s="112"/>
    </row>
    <row r="58" ht="15.0" customHeight="1">
      <c r="A58" s="112"/>
      <c r="B58" s="112"/>
      <c r="C58" s="112"/>
      <c r="D58" s="132" t="s">
        <v>92</v>
      </c>
      <c r="E58" s="114" t="str">
        <f>VLOOKUP(D58,Data!H:I,2,0)</f>
        <v>İzmir</v>
      </c>
      <c r="F58" s="115" t="str">
        <f>VLOOKUP(D58,Data!H:J,3,0)</f>
        <v>Nazım Öztel</v>
      </c>
      <c r="G58" s="116" t="b">
        <v>0</v>
      </c>
      <c r="H58" s="116" t="b">
        <v>0</v>
      </c>
      <c r="I58" s="116" t="b">
        <v>0</v>
      </c>
      <c r="J58" s="116" t="b">
        <v>0</v>
      </c>
      <c r="K58" s="116" t="b">
        <v>0</v>
      </c>
      <c r="L58" s="116" t="b">
        <v>0</v>
      </c>
      <c r="M58" s="116" t="b">
        <v>0</v>
      </c>
      <c r="N58" s="117">
        <f t="shared" si="5"/>
        <v>0</v>
      </c>
      <c r="O58" s="117">
        <f t="shared" si="6"/>
        <v>0</v>
      </c>
      <c r="P58" s="157" t="s">
        <v>324</v>
      </c>
      <c r="Q58" s="112"/>
    </row>
    <row r="59" ht="15.0" customHeight="1">
      <c r="A59" s="112"/>
      <c r="B59" s="112"/>
      <c r="C59" s="112"/>
      <c r="D59" s="129" t="s">
        <v>93</v>
      </c>
      <c r="E59" s="114" t="str">
        <f>VLOOKUP(D59,Data!H:I,2,0)</f>
        <v>İzmir</v>
      </c>
      <c r="F59" s="115" t="str">
        <f>VLOOKUP(D59,Data!H:J,3,0)</f>
        <v>Freelance</v>
      </c>
      <c r="G59" s="116" t="b">
        <v>0</v>
      </c>
      <c r="H59" s="116" t="b">
        <v>1</v>
      </c>
      <c r="I59" s="116" t="b">
        <v>1</v>
      </c>
      <c r="J59" s="116" t="b">
        <v>1</v>
      </c>
      <c r="K59" s="116" t="b">
        <v>1</v>
      </c>
      <c r="L59" s="116" t="b">
        <v>0</v>
      </c>
      <c r="M59" s="116" t="b">
        <v>0</v>
      </c>
      <c r="N59" s="117">
        <f t="shared" si="5"/>
        <v>4</v>
      </c>
      <c r="O59" s="117">
        <f t="shared" si="6"/>
        <v>16</v>
      </c>
      <c r="P59" s="157"/>
      <c r="Q59" s="112"/>
    </row>
    <row r="60" ht="15.0" customHeight="1">
      <c r="A60" s="112"/>
      <c r="B60" s="112"/>
      <c r="C60" s="112"/>
      <c r="D60" s="129" t="s">
        <v>161</v>
      </c>
      <c r="E60" s="143" t="str">
        <f>VLOOKUP(D60,Data!H:I,2,0)</f>
        <v>Kahramanmaraş</v>
      </c>
      <c r="F60" s="115" t="str">
        <f>VLOOKUP(D60,Data!H:J,3,0)</f>
        <v>Nazım Öztel</v>
      </c>
      <c r="G60" s="116" t="b">
        <v>0</v>
      </c>
      <c r="H60" s="116" t="b">
        <v>0</v>
      </c>
      <c r="I60" s="116" t="b">
        <v>0</v>
      </c>
      <c r="J60" s="116" t="b">
        <v>0</v>
      </c>
      <c r="K60" s="116" t="b">
        <v>0</v>
      </c>
      <c r="L60" s="116" t="b">
        <v>0</v>
      </c>
      <c r="M60" s="116" t="b">
        <v>0</v>
      </c>
      <c r="N60" s="117">
        <f t="shared" si="5"/>
        <v>0</v>
      </c>
      <c r="O60" s="117">
        <f t="shared" si="6"/>
        <v>0</v>
      </c>
      <c r="P60" s="157" t="s">
        <v>314</v>
      </c>
      <c r="Q60" s="112"/>
    </row>
    <row r="61" ht="15.0" customHeight="1">
      <c r="A61" s="112"/>
      <c r="B61" s="112"/>
      <c r="C61" s="112"/>
      <c r="D61" s="129" t="s">
        <v>243</v>
      </c>
      <c r="E61" s="114" t="str">
        <f>VLOOKUP(D61,Data!H:I,2,0)</f>
        <v>Kayseri</v>
      </c>
      <c r="F61" s="115" t="str">
        <f>VLOOKUP(D61,Data!H:J,3,0)</f>
        <v>Nazım Öztel</v>
      </c>
      <c r="G61" s="116" t="b">
        <v>0</v>
      </c>
      <c r="H61" s="116" t="b">
        <v>0</v>
      </c>
      <c r="I61" s="116" t="b">
        <v>0</v>
      </c>
      <c r="J61" s="116" t="b">
        <v>0</v>
      </c>
      <c r="K61" s="116" t="b">
        <v>0</v>
      </c>
      <c r="L61" s="116" t="b">
        <v>0</v>
      </c>
      <c r="M61" s="116" t="b">
        <v>0</v>
      </c>
      <c r="N61" s="117">
        <f t="shared" si="5"/>
        <v>0</v>
      </c>
      <c r="O61" s="117">
        <f t="shared" si="6"/>
        <v>0</v>
      </c>
      <c r="P61" s="157" t="s">
        <v>379</v>
      </c>
      <c r="Q61" s="112"/>
    </row>
    <row r="62" ht="15.0" customHeight="1">
      <c r="A62" s="112"/>
      <c r="B62" s="112"/>
      <c r="C62" s="112"/>
      <c r="D62" s="129" t="s">
        <v>253</v>
      </c>
      <c r="E62" s="114" t="str">
        <f>VLOOKUP(D62,Data!H:I,2,0)</f>
        <v>Kırklareli</v>
      </c>
      <c r="F62" s="115" t="str">
        <f>VLOOKUP(D62,Data!H:J,3,0)</f>
        <v>Nazım Öztel</v>
      </c>
      <c r="G62" s="116" t="b">
        <v>0</v>
      </c>
      <c r="H62" s="116" t="b">
        <v>0</v>
      </c>
      <c r="I62" s="116" t="b">
        <v>0</v>
      </c>
      <c r="J62" s="116" t="b">
        <v>0</v>
      </c>
      <c r="K62" s="116" t="b">
        <v>0</v>
      </c>
      <c r="L62" s="116" t="b">
        <v>0</v>
      </c>
      <c r="M62" s="116" t="b">
        <v>0</v>
      </c>
      <c r="N62" s="117">
        <f t="shared" si="5"/>
        <v>0</v>
      </c>
      <c r="O62" s="117">
        <f t="shared" si="6"/>
        <v>0</v>
      </c>
      <c r="P62" s="157" t="s">
        <v>314</v>
      </c>
      <c r="Q62" s="112"/>
    </row>
    <row r="63" ht="15.0" customHeight="1">
      <c r="A63" s="112"/>
      <c r="B63" s="112"/>
      <c r="C63" s="112"/>
      <c r="D63" s="132" t="s">
        <v>96</v>
      </c>
      <c r="E63" s="114" t="str">
        <f>VLOOKUP(D63,Data!H:I,2,0)</f>
        <v>Kocaeli</v>
      </c>
      <c r="F63" s="115" t="str">
        <f>VLOOKUP(D63,Data!H:J,3,0)</f>
        <v>Nazım Öztel</v>
      </c>
      <c r="G63" s="116" t="b">
        <v>0</v>
      </c>
      <c r="H63" s="116" t="b">
        <v>0</v>
      </c>
      <c r="I63" s="116" t="b">
        <v>0</v>
      </c>
      <c r="J63" s="116" t="b">
        <v>0</v>
      </c>
      <c r="K63" s="116" t="b">
        <v>0</v>
      </c>
      <c r="L63" s="116" t="b">
        <v>0</v>
      </c>
      <c r="M63" s="116" t="b">
        <v>0</v>
      </c>
      <c r="N63" s="117">
        <f t="shared" si="5"/>
        <v>0</v>
      </c>
      <c r="O63" s="117">
        <f t="shared" si="6"/>
        <v>0</v>
      </c>
      <c r="P63" s="157" t="s">
        <v>380</v>
      </c>
      <c r="Q63" s="112"/>
    </row>
    <row r="64" ht="15.0" customHeight="1">
      <c r="A64" s="112"/>
      <c r="B64" s="112"/>
      <c r="C64" s="112"/>
      <c r="D64" s="129" t="s">
        <v>367</v>
      </c>
      <c r="E64" s="114" t="s">
        <v>237</v>
      </c>
      <c r="F64" s="115" t="s">
        <v>59</v>
      </c>
      <c r="G64" s="116" t="b">
        <v>0</v>
      </c>
      <c r="H64" s="116" t="b">
        <v>0</v>
      </c>
      <c r="I64" s="116" t="b">
        <v>0</v>
      </c>
      <c r="J64" s="116" t="b">
        <v>0</v>
      </c>
      <c r="K64" s="116" t="b">
        <v>0</v>
      </c>
      <c r="L64" s="116" t="b">
        <v>0</v>
      </c>
      <c r="M64" s="116" t="b">
        <v>0</v>
      </c>
      <c r="N64" s="117">
        <f t="shared" si="5"/>
        <v>0</v>
      </c>
      <c r="O64" s="117">
        <f t="shared" si="6"/>
        <v>0</v>
      </c>
      <c r="P64" s="157"/>
      <c r="Q64" s="112"/>
    </row>
    <row r="65" ht="15.0" customHeight="1">
      <c r="A65" s="112"/>
      <c r="B65" s="112"/>
      <c r="C65" s="112"/>
      <c r="D65" s="129" t="s">
        <v>227</v>
      </c>
      <c r="E65" s="114" t="str">
        <f>VLOOKUP(D65,Data!H:I,2,0)</f>
        <v>Konya</v>
      </c>
      <c r="F65" s="115" t="str">
        <f>VLOOKUP(D65,Data!H:J,3,0)</f>
        <v>Nazım Öztel</v>
      </c>
      <c r="G65" s="116" t="b">
        <v>0</v>
      </c>
      <c r="H65" s="116" t="b">
        <v>0</v>
      </c>
      <c r="I65" s="116" t="b">
        <v>0</v>
      </c>
      <c r="J65" s="116" t="b">
        <v>0</v>
      </c>
      <c r="K65" s="116" t="b">
        <v>0</v>
      </c>
      <c r="L65" s="116" t="b">
        <v>0</v>
      </c>
      <c r="M65" s="116" t="b">
        <v>0</v>
      </c>
      <c r="N65" s="117">
        <f t="shared" si="5"/>
        <v>0</v>
      </c>
      <c r="O65" s="117">
        <f t="shared" si="6"/>
        <v>0</v>
      </c>
      <c r="P65" s="157" t="s">
        <v>368</v>
      </c>
      <c r="Q65" s="112"/>
    </row>
    <row r="66" ht="15.0" customHeight="1">
      <c r="A66" s="112"/>
      <c r="B66" s="112"/>
      <c r="C66" s="112"/>
      <c r="D66" s="129" t="s">
        <v>265</v>
      </c>
      <c r="E66" s="114" t="str">
        <f>VLOOKUP(D66,Data!H:I,2,0)</f>
        <v>Konya</v>
      </c>
      <c r="F66" s="115" t="str">
        <f>VLOOKUP(D66,Data!H:J,3,0)</f>
        <v>Nazım Öztel</v>
      </c>
      <c r="G66" s="116" t="b">
        <v>0</v>
      </c>
      <c r="H66" s="116" t="b">
        <v>0</v>
      </c>
      <c r="I66" s="116" t="b">
        <v>0</v>
      </c>
      <c r="J66" s="116" t="b">
        <v>0</v>
      </c>
      <c r="K66" s="116" t="b">
        <v>0</v>
      </c>
      <c r="L66" s="116" t="b">
        <v>0</v>
      </c>
      <c r="M66" s="116" t="b">
        <v>0</v>
      </c>
      <c r="N66" s="117">
        <f t="shared" si="5"/>
        <v>0</v>
      </c>
      <c r="O66" s="117">
        <f t="shared" si="6"/>
        <v>0</v>
      </c>
      <c r="P66" s="157" t="s">
        <v>369</v>
      </c>
      <c r="Q66" s="112"/>
    </row>
    <row r="67" ht="15.0" customHeight="1">
      <c r="A67" s="112"/>
      <c r="B67" s="112"/>
      <c r="C67" s="112"/>
      <c r="D67" s="129" t="s">
        <v>203</v>
      </c>
      <c r="E67" s="114" t="str">
        <f>VLOOKUP(D67,Data!H:I,2,0)</f>
        <v>Malatya</v>
      </c>
      <c r="F67" s="115" t="str">
        <f>VLOOKUP(D67,Data!H:J,3,0)</f>
        <v>Nazım Öztel</v>
      </c>
      <c r="G67" s="116" t="b">
        <v>0</v>
      </c>
      <c r="H67" s="116" t="b">
        <v>0</v>
      </c>
      <c r="I67" s="116" t="b">
        <v>0</v>
      </c>
      <c r="J67" s="116" t="b">
        <v>0</v>
      </c>
      <c r="K67" s="116" t="b">
        <v>0</v>
      </c>
      <c r="L67" s="116" t="b">
        <v>0</v>
      </c>
      <c r="M67" s="116" t="b">
        <v>0</v>
      </c>
      <c r="N67" s="117">
        <f t="shared" si="5"/>
        <v>0</v>
      </c>
      <c r="O67" s="117">
        <f t="shared" si="6"/>
        <v>0</v>
      </c>
      <c r="P67" s="157" t="s">
        <v>324</v>
      </c>
      <c r="Q67" s="112"/>
    </row>
    <row r="68" ht="15.0" customHeight="1">
      <c r="A68" s="112"/>
      <c r="B68" s="112"/>
      <c r="C68" s="112"/>
      <c r="D68" s="129" t="s">
        <v>254</v>
      </c>
      <c r="E68" s="114" t="str">
        <f>VLOOKUP(D68,Data!H:I,2,0)</f>
        <v>Manisa</v>
      </c>
      <c r="F68" s="115" t="str">
        <f>VLOOKUP(D68,Data!H:J,3,0)</f>
        <v>Nazım Öztel</v>
      </c>
      <c r="G68" s="116" t="b">
        <v>0</v>
      </c>
      <c r="H68" s="116" t="b">
        <v>0</v>
      </c>
      <c r="I68" s="116" t="b">
        <v>0</v>
      </c>
      <c r="J68" s="116" t="b">
        <v>0</v>
      </c>
      <c r="K68" s="116" t="b">
        <v>0</v>
      </c>
      <c r="L68" s="116" t="b">
        <v>0</v>
      </c>
      <c r="M68" s="116" t="b">
        <v>0</v>
      </c>
      <c r="N68" s="117">
        <f t="shared" si="5"/>
        <v>0</v>
      </c>
      <c r="O68" s="117">
        <f t="shared" si="6"/>
        <v>0</v>
      </c>
      <c r="P68" s="157" t="s">
        <v>381</v>
      </c>
      <c r="Q68" s="112"/>
    </row>
    <row r="69" ht="15.0" customHeight="1">
      <c r="A69" s="112"/>
      <c r="B69" s="112"/>
      <c r="C69" s="112"/>
      <c r="D69" s="129" t="s">
        <v>255</v>
      </c>
      <c r="E69" s="114" t="str">
        <f>VLOOKUP(D69,Data!H:I,2,0)</f>
        <v>Mardin</v>
      </c>
      <c r="F69" s="115" t="str">
        <f>VLOOKUP(D69,Data!H:J,3,0)</f>
        <v>Nazım Öztel</v>
      </c>
      <c r="G69" s="116" t="b">
        <v>0</v>
      </c>
      <c r="H69" s="116" t="b">
        <v>0</v>
      </c>
      <c r="I69" s="116" t="b">
        <v>0</v>
      </c>
      <c r="J69" s="116" t="b">
        <v>0</v>
      </c>
      <c r="K69" s="116" t="b">
        <v>0</v>
      </c>
      <c r="L69" s="116" t="b">
        <v>0</v>
      </c>
      <c r="M69" s="116" t="b">
        <v>0</v>
      </c>
      <c r="N69" s="117">
        <f t="shared" si="5"/>
        <v>0</v>
      </c>
      <c r="O69" s="117">
        <f t="shared" si="6"/>
        <v>0</v>
      </c>
      <c r="P69" s="157" t="s">
        <v>314</v>
      </c>
      <c r="Q69" s="112"/>
    </row>
    <row r="70" ht="15.0" customHeight="1">
      <c r="A70" s="112"/>
      <c r="B70" s="112"/>
      <c r="C70" s="112"/>
      <c r="D70" s="129" t="s">
        <v>294</v>
      </c>
      <c r="E70" s="114" t="str">
        <f>VLOOKUP(D70,Data!H:I,2,0)</f>
        <v>Mersin</v>
      </c>
      <c r="F70" s="115" t="str">
        <f>VLOOKUP(D70,Data!H:J,3,0)</f>
        <v>Nazım Öztel</v>
      </c>
      <c r="G70" s="116" t="b">
        <v>0</v>
      </c>
      <c r="H70" s="116" t="b">
        <v>0</v>
      </c>
      <c r="I70" s="116" t="b">
        <v>0</v>
      </c>
      <c r="J70" s="116" t="b">
        <v>0</v>
      </c>
      <c r="K70" s="116" t="b">
        <v>0</v>
      </c>
      <c r="L70" s="116" t="b">
        <v>0</v>
      </c>
      <c r="M70" s="116" t="b">
        <v>0</v>
      </c>
      <c r="N70" s="117">
        <f t="shared" si="5"/>
        <v>0</v>
      </c>
      <c r="O70" s="117">
        <f t="shared" si="6"/>
        <v>0</v>
      </c>
      <c r="P70" s="157"/>
      <c r="Q70" s="112"/>
    </row>
    <row r="71" ht="15.0" customHeight="1">
      <c r="A71" s="112"/>
      <c r="B71" s="112"/>
      <c r="C71" s="112"/>
      <c r="D71" s="129" t="s">
        <v>169</v>
      </c>
      <c r="E71" s="114" t="str">
        <f>VLOOKUP(D71,Data!H:I,2,0)</f>
        <v>Mersin</v>
      </c>
      <c r="F71" s="115" t="str">
        <f>VLOOKUP(D71,Data!H:J,3,0)</f>
        <v>Nazım Öztel</v>
      </c>
      <c r="G71" s="116" t="b">
        <v>0</v>
      </c>
      <c r="H71" s="116" t="b">
        <v>0</v>
      </c>
      <c r="I71" s="116" t="b">
        <v>0</v>
      </c>
      <c r="J71" s="116" t="b">
        <v>0</v>
      </c>
      <c r="K71" s="116" t="b">
        <v>0</v>
      </c>
      <c r="L71" s="116" t="b">
        <v>0</v>
      </c>
      <c r="M71" s="116" t="b">
        <v>0</v>
      </c>
      <c r="N71" s="117">
        <f t="shared" si="5"/>
        <v>0</v>
      </c>
      <c r="O71" s="117">
        <f t="shared" si="6"/>
        <v>0</v>
      </c>
      <c r="P71" s="157" t="s">
        <v>314</v>
      </c>
      <c r="Q71" s="112"/>
    </row>
    <row r="72" ht="15.0" customHeight="1">
      <c r="A72" s="112"/>
      <c r="B72" s="112"/>
      <c r="C72" s="112"/>
      <c r="D72" s="129" t="s">
        <v>148</v>
      </c>
      <c r="E72" s="114" t="str">
        <f>VLOOKUP(D72,Data!H:I,2,0)</f>
        <v>Muğla</v>
      </c>
      <c r="F72" s="115" t="str">
        <f>VLOOKUP(D72,Data!H:J,3,0)</f>
        <v>Nazım Öztel</v>
      </c>
      <c r="G72" s="116" t="b">
        <v>0</v>
      </c>
      <c r="H72" s="116" t="b">
        <v>0</v>
      </c>
      <c r="I72" s="116" t="b">
        <v>0</v>
      </c>
      <c r="J72" s="116" t="b">
        <v>0</v>
      </c>
      <c r="K72" s="116" t="b">
        <v>0</v>
      </c>
      <c r="L72" s="116" t="b">
        <v>0</v>
      </c>
      <c r="M72" s="116" t="b">
        <v>0</v>
      </c>
      <c r="N72" s="117">
        <f t="shared" si="5"/>
        <v>0</v>
      </c>
      <c r="O72" s="117">
        <f t="shared" si="6"/>
        <v>0</v>
      </c>
      <c r="P72" s="157" t="s">
        <v>314</v>
      </c>
      <c r="Q72" s="112"/>
    </row>
    <row r="73" ht="15.0" customHeight="1">
      <c r="A73" s="112"/>
      <c r="B73" s="112"/>
      <c r="C73" s="112"/>
      <c r="D73" s="129" t="s">
        <v>266</v>
      </c>
      <c r="E73" s="114" t="str">
        <f>VLOOKUP(D73,Data!H:I,2,0)</f>
        <v>Ordu</v>
      </c>
      <c r="F73" s="115" t="str">
        <f>VLOOKUP(D73,Data!H:J,3,0)</f>
        <v>Nazım Öztel</v>
      </c>
      <c r="G73" s="116" t="b">
        <v>0</v>
      </c>
      <c r="H73" s="116" t="b">
        <v>0</v>
      </c>
      <c r="I73" s="116" t="b">
        <v>0</v>
      </c>
      <c r="J73" s="116" t="b">
        <v>0</v>
      </c>
      <c r="K73" s="116" t="b">
        <v>0</v>
      </c>
      <c r="L73" s="116" t="b">
        <v>0</v>
      </c>
      <c r="M73" s="116" t="b">
        <v>0</v>
      </c>
      <c r="N73" s="117">
        <f t="shared" si="5"/>
        <v>0</v>
      </c>
      <c r="O73" s="117">
        <f t="shared" si="6"/>
        <v>0</v>
      </c>
      <c r="P73" s="157" t="s">
        <v>314</v>
      </c>
      <c r="Q73" s="112"/>
    </row>
    <row r="74" ht="15.0" customHeight="1">
      <c r="A74" s="112"/>
      <c r="B74" s="112"/>
      <c r="C74" s="112"/>
      <c r="D74" s="129" t="s">
        <v>256</v>
      </c>
      <c r="E74" s="114" t="s">
        <v>211</v>
      </c>
      <c r="F74" s="115" t="s">
        <v>61</v>
      </c>
      <c r="G74" s="116" t="b">
        <v>0</v>
      </c>
      <c r="H74" s="116" t="b">
        <v>0</v>
      </c>
      <c r="I74" s="116" t="b">
        <v>0</v>
      </c>
      <c r="J74" s="116" t="b">
        <v>0</v>
      </c>
      <c r="K74" s="116" t="b">
        <v>0</v>
      </c>
      <c r="L74" s="116" t="b">
        <v>0</v>
      </c>
      <c r="M74" s="116" t="b">
        <v>0</v>
      </c>
      <c r="N74" s="117">
        <f t="shared" si="5"/>
        <v>0</v>
      </c>
      <c r="O74" s="117">
        <f t="shared" si="6"/>
        <v>0</v>
      </c>
      <c r="P74" s="157" t="s">
        <v>309</v>
      </c>
      <c r="Q74" s="112"/>
    </row>
    <row r="75" ht="15.0" customHeight="1">
      <c r="A75" s="112"/>
      <c r="B75" s="112"/>
      <c r="C75" s="112"/>
      <c r="D75" s="129" t="s">
        <v>275</v>
      </c>
      <c r="E75" s="114" t="str">
        <f>VLOOKUP(D75,Data!H:I,2,0)</f>
        <v>Sakarya</v>
      </c>
      <c r="F75" s="115" t="str">
        <f>VLOOKUP(D75,Data!H:J,3,0)</f>
        <v>Nazım Öztel</v>
      </c>
      <c r="G75" s="116" t="b">
        <v>0</v>
      </c>
      <c r="H75" s="116" t="b">
        <v>0</v>
      </c>
      <c r="I75" s="116" t="b">
        <v>0</v>
      </c>
      <c r="J75" s="116" t="b">
        <v>0</v>
      </c>
      <c r="K75" s="116" t="b">
        <v>0</v>
      </c>
      <c r="L75" s="116" t="b">
        <v>0</v>
      </c>
      <c r="M75" s="116" t="b">
        <v>0</v>
      </c>
      <c r="N75" s="117">
        <f t="shared" si="5"/>
        <v>0</v>
      </c>
      <c r="O75" s="117">
        <f t="shared" si="6"/>
        <v>0</v>
      </c>
      <c r="P75" s="157" t="s">
        <v>324</v>
      </c>
      <c r="Q75" s="112"/>
    </row>
    <row r="76" ht="15.0" customHeight="1">
      <c r="A76" s="112"/>
      <c r="B76" s="112"/>
      <c r="C76" s="112"/>
      <c r="D76" s="129" t="s">
        <v>382</v>
      </c>
      <c r="E76" s="114" t="s">
        <v>383</v>
      </c>
      <c r="F76" s="115"/>
      <c r="G76" s="116" t="b">
        <v>1</v>
      </c>
      <c r="H76" s="116" t="b">
        <v>0</v>
      </c>
      <c r="I76" s="116" t="b">
        <v>1</v>
      </c>
      <c r="J76" s="116" t="b">
        <v>0</v>
      </c>
      <c r="K76" s="116" t="b">
        <v>1</v>
      </c>
      <c r="L76" s="116" t="b">
        <v>0</v>
      </c>
      <c r="M76" s="116" t="b">
        <v>0</v>
      </c>
      <c r="N76" s="117">
        <f t="shared" si="5"/>
        <v>3</v>
      </c>
      <c r="O76" s="117">
        <f t="shared" si="6"/>
        <v>12</v>
      </c>
      <c r="P76" s="157"/>
      <c r="Q76" s="112"/>
    </row>
    <row r="77" ht="15.0" customHeight="1">
      <c r="A77" s="112"/>
      <c r="B77" s="112"/>
      <c r="C77" s="112"/>
      <c r="D77" s="129" t="s">
        <v>384</v>
      </c>
      <c r="E77" s="114" t="s">
        <v>383</v>
      </c>
      <c r="F77" s="115"/>
      <c r="G77" s="116" t="b">
        <v>0</v>
      </c>
      <c r="H77" s="116" t="b">
        <v>0</v>
      </c>
      <c r="I77" s="116" t="b">
        <v>1</v>
      </c>
      <c r="J77" s="116" t="b">
        <v>0</v>
      </c>
      <c r="K77" s="116" t="b">
        <v>1</v>
      </c>
      <c r="L77" s="116" t="b">
        <v>0</v>
      </c>
      <c r="M77" s="116" t="b">
        <v>0</v>
      </c>
      <c r="N77" s="117">
        <v>2.0</v>
      </c>
      <c r="O77" s="117">
        <v>8.0</v>
      </c>
      <c r="P77" s="157"/>
      <c r="Q77" s="112"/>
    </row>
    <row r="78" ht="15.0" customHeight="1">
      <c r="A78" s="112"/>
      <c r="B78" s="112"/>
      <c r="C78" s="112"/>
      <c r="D78" s="129" t="s">
        <v>267</v>
      </c>
      <c r="E78" s="114" t="str">
        <f>VLOOKUP(D78,Data!H:I,2,0)</f>
        <v>Sinop</v>
      </c>
      <c r="F78" s="115" t="str">
        <f>VLOOKUP(D78,Data!H:J,3,0)</f>
        <v>Nazım Öztel</v>
      </c>
      <c r="G78" s="116" t="b">
        <v>0</v>
      </c>
      <c r="H78" s="116" t="b">
        <v>0</v>
      </c>
      <c r="I78" s="116" t="b">
        <v>0</v>
      </c>
      <c r="J78" s="116" t="b">
        <v>0</v>
      </c>
      <c r="K78" s="116" t="b">
        <v>0</v>
      </c>
      <c r="L78" s="116" t="b">
        <v>0</v>
      </c>
      <c r="M78" s="116" t="b">
        <v>0</v>
      </c>
      <c r="N78" s="117">
        <f t="shared" ref="N78:N94" si="7">COUNTIF(G78:M78,"TRUE")</f>
        <v>0</v>
      </c>
      <c r="O78" s="117">
        <f t="shared" ref="O78:O94" si="8">N78*4</f>
        <v>0</v>
      </c>
      <c r="P78" s="157" t="s">
        <v>314</v>
      </c>
      <c r="Q78" s="112"/>
    </row>
    <row r="79" ht="15.0" customHeight="1">
      <c r="A79" s="112"/>
      <c r="B79" s="112"/>
      <c r="C79" s="112"/>
      <c r="D79" s="129" t="s">
        <v>268</v>
      </c>
      <c r="E79" s="114" t="str">
        <f>VLOOKUP(D79,Data!H:I,2,0)</f>
        <v>Sivas</v>
      </c>
      <c r="F79" s="115" t="str">
        <f>VLOOKUP(D79,Data!H:J,3,0)</f>
        <v>Nazım Öztel</v>
      </c>
      <c r="G79" s="116" t="b">
        <v>0</v>
      </c>
      <c r="H79" s="116" t="b">
        <v>0</v>
      </c>
      <c r="I79" s="116" t="b">
        <v>0</v>
      </c>
      <c r="J79" s="116" t="b">
        <v>0</v>
      </c>
      <c r="K79" s="116" t="b">
        <v>0</v>
      </c>
      <c r="L79" s="116" t="b">
        <v>0</v>
      </c>
      <c r="M79" s="116" t="b">
        <v>0</v>
      </c>
      <c r="N79" s="117">
        <f t="shared" si="7"/>
        <v>0</v>
      </c>
      <c r="O79" s="117">
        <f t="shared" si="8"/>
        <v>0</v>
      </c>
      <c r="P79" s="157" t="s">
        <v>309</v>
      </c>
      <c r="Q79" s="112"/>
    </row>
    <row r="80" ht="15.0" customHeight="1">
      <c r="A80" s="112"/>
      <c r="B80" s="112"/>
      <c r="C80" s="112"/>
      <c r="D80" s="129" t="s">
        <v>104</v>
      </c>
      <c r="E80" s="114" t="str">
        <f>VLOOKUP(D80,Data!H:I,2,0)</f>
        <v>Tekirdağ</v>
      </c>
      <c r="F80" s="115" t="str">
        <f>VLOOKUP(D80,Data!H:J,3,0)</f>
        <v>Freelance</v>
      </c>
      <c r="G80" s="116" t="b">
        <v>0</v>
      </c>
      <c r="H80" s="116" t="b">
        <v>0</v>
      </c>
      <c r="I80" s="116" t="b">
        <v>1</v>
      </c>
      <c r="J80" s="116" t="b">
        <v>1</v>
      </c>
      <c r="K80" s="116" t="b">
        <v>0</v>
      </c>
      <c r="L80" s="116" t="b">
        <v>0</v>
      </c>
      <c r="M80" s="116" t="b">
        <v>0</v>
      </c>
      <c r="N80" s="117">
        <f t="shared" si="7"/>
        <v>2</v>
      </c>
      <c r="O80" s="117">
        <f t="shared" si="8"/>
        <v>8</v>
      </c>
      <c r="P80" s="157"/>
      <c r="Q80" s="112"/>
    </row>
    <row r="81" ht="15.0" customHeight="1">
      <c r="A81" s="112"/>
      <c r="B81" s="112"/>
      <c r="C81" s="112"/>
      <c r="D81" s="129" t="s">
        <v>258</v>
      </c>
      <c r="E81" s="114" t="str">
        <f>VLOOKUP(D81,Data!H:I,2,0)</f>
        <v>Tokat</v>
      </c>
      <c r="F81" s="115" t="str">
        <f>VLOOKUP(D81,Data!H:J,3,0)</f>
        <v>Nazım Öztel</v>
      </c>
      <c r="G81" s="116" t="b">
        <v>0</v>
      </c>
      <c r="H81" s="116" t="b">
        <v>0</v>
      </c>
      <c r="I81" s="116" t="b">
        <v>0</v>
      </c>
      <c r="J81" s="116" t="b">
        <v>0</v>
      </c>
      <c r="K81" s="116" t="b">
        <v>0</v>
      </c>
      <c r="L81" s="116" t="b">
        <v>0</v>
      </c>
      <c r="M81" s="116" t="b">
        <v>0</v>
      </c>
      <c r="N81" s="117">
        <f t="shared" si="7"/>
        <v>0</v>
      </c>
      <c r="O81" s="117">
        <f t="shared" si="8"/>
        <v>0</v>
      </c>
      <c r="P81" s="157" t="s">
        <v>369</v>
      </c>
      <c r="Q81" s="112"/>
    </row>
    <row r="82" ht="15.0" customHeight="1">
      <c r="A82" s="112"/>
      <c r="B82" s="112"/>
      <c r="C82" s="112"/>
      <c r="D82" s="129" t="s">
        <v>154</v>
      </c>
      <c r="E82" s="114" t="str">
        <f>VLOOKUP(D82,Data!H:I,2,0)</f>
        <v>Uşak</v>
      </c>
      <c r="F82" s="115" t="str">
        <f>VLOOKUP(D82,Data!H:J,3,0)</f>
        <v>Nazım Öztel</v>
      </c>
      <c r="G82" s="116" t="b">
        <v>0</v>
      </c>
      <c r="H82" s="116" t="b">
        <v>0</v>
      </c>
      <c r="I82" s="116" t="b">
        <v>0</v>
      </c>
      <c r="J82" s="116" t="b">
        <v>0</v>
      </c>
      <c r="K82" s="116" t="b">
        <v>0</v>
      </c>
      <c r="L82" s="116" t="b">
        <v>0</v>
      </c>
      <c r="M82" s="116" t="b">
        <v>0</v>
      </c>
      <c r="N82" s="117">
        <f t="shared" si="7"/>
        <v>0</v>
      </c>
      <c r="O82" s="117">
        <f t="shared" si="8"/>
        <v>0</v>
      </c>
      <c r="P82" s="157"/>
      <c r="Q82" s="112"/>
    </row>
    <row r="83" ht="15.0" customHeight="1">
      <c r="A83" s="112"/>
      <c r="B83" s="112"/>
      <c r="C83" s="112"/>
      <c r="D83" s="129" t="s">
        <v>276</v>
      </c>
      <c r="E83" s="114" t="str">
        <f>VLOOKUP(D83,Data!H:I,2,0)</f>
        <v>Zonguldak</v>
      </c>
      <c r="F83" s="115" t="str">
        <f>VLOOKUP(D83,Data!H:J,3,0)</f>
        <v>Nazım Öztel</v>
      </c>
      <c r="G83" s="116" t="b">
        <v>0</v>
      </c>
      <c r="H83" s="116" t="b">
        <v>0</v>
      </c>
      <c r="I83" s="116" t="b">
        <v>0</v>
      </c>
      <c r="J83" s="116" t="b">
        <v>0</v>
      </c>
      <c r="K83" s="116" t="b">
        <v>0</v>
      </c>
      <c r="L83" s="116" t="b">
        <v>0</v>
      </c>
      <c r="M83" s="116" t="b">
        <v>0</v>
      </c>
      <c r="N83" s="117">
        <f t="shared" si="7"/>
        <v>0</v>
      </c>
      <c r="O83" s="117">
        <f t="shared" si="8"/>
        <v>0</v>
      </c>
      <c r="P83" s="157" t="s">
        <v>369</v>
      </c>
      <c r="Q83" s="112"/>
    </row>
    <row r="84" ht="15.0" customHeight="1">
      <c r="A84" s="112"/>
      <c r="B84" s="112"/>
      <c r="C84" s="112"/>
      <c r="D84" s="113" t="s">
        <v>282</v>
      </c>
      <c r="E84" s="114" t="str">
        <f>VLOOKUP(D84,Data!H:I,2,0)</f>
        <v>Antalya</v>
      </c>
      <c r="F84" s="115" t="str">
        <f>VLOOKUP(D84,Data!H:J,3,0)</f>
        <v>Nazım Öztel</v>
      </c>
      <c r="G84" s="116" t="b">
        <v>0</v>
      </c>
      <c r="H84" s="116" t="b">
        <v>0</v>
      </c>
      <c r="I84" s="116" t="b">
        <v>0</v>
      </c>
      <c r="J84" s="116" t="b">
        <v>0</v>
      </c>
      <c r="K84" s="116" t="b">
        <v>0</v>
      </c>
      <c r="L84" s="116" t="b">
        <v>0</v>
      </c>
      <c r="M84" s="116" t="b">
        <v>0</v>
      </c>
      <c r="N84" s="117">
        <f t="shared" si="7"/>
        <v>0</v>
      </c>
      <c r="O84" s="117">
        <f t="shared" si="8"/>
        <v>0</v>
      </c>
      <c r="P84" s="157" t="s">
        <v>369</v>
      </c>
      <c r="Q84" s="112"/>
    </row>
    <row r="85" ht="15.0" customHeight="1">
      <c r="A85" s="112"/>
      <c r="B85" s="112"/>
      <c r="C85" s="112"/>
      <c r="D85" s="163" t="s">
        <v>284</v>
      </c>
      <c r="E85" s="114" t="str">
        <f>VLOOKUP(D85,Data!H:I,2,0)</f>
        <v>Iğdır</v>
      </c>
      <c r="F85" s="115" t="str">
        <f>VLOOKUP(D85,Data!H:J,3,0)</f>
        <v>Nazım Öztel</v>
      </c>
      <c r="G85" s="116" t="b">
        <v>0</v>
      </c>
      <c r="H85" s="116" t="b">
        <v>0</v>
      </c>
      <c r="I85" s="116" t="b">
        <v>0</v>
      </c>
      <c r="J85" s="116" t="b">
        <v>0</v>
      </c>
      <c r="K85" s="116" t="b">
        <v>0</v>
      </c>
      <c r="L85" s="116" t="b">
        <v>0</v>
      </c>
      <c r="M85" s="116" t="b">
        <v>0</v>
      </c>
      <c r="N85" s="117">
        <f t="shared" si="7"/>
        <v>0</v>
      </c>
      <c r="O85" s="117">
        <f t="shared" si="8"/>
        <v>0</v>
      </c>
      <c r="P85" s="157" t="s">
        <v>309</v>
      </c>
      <c r="Q85" s="112"/>
    </row>
    <row r="86" ht="15.0" customHeight="1">
      <c r="A86" s="112"/>
      <c r="B86" s="112"/>
      <c r="C86" s="112"/>
      <c r="D86" s="163" t="s">
        <v>285</v>
      </c>
      <c r="E86" s="114" t="str">
        <f>VLOOKUP(D86,Data!H:I,2,0)</f>
        <v>Bitlis</v>
      </c>
      <c r="F86" s="115" t="str">
        <f>VLOOKUP(D86,Data!H:J,3,0)</f>
        <v>Nazım Öztel</v>
      </c>
      <c r="G86" s="116" t="b">
        <v>0</v>
      </c>
      <c r="H86" s="116" t="b">
        <v>0</v>
      </c>
      <c r="I86" s="116" t="b">
        <v>0</v>
      </c>
      <c r="J86" s="116" t="b">
        <v>0</v>
      </c>
      <c r="K86" s="116" t="b">
        <v>0</v>
      </c>
      <c r="L86" s="116" t="b">
        <v>0</v>
      </c>
      <c r="M86" s="116" t="b">
        <v>0</v>
      </c>
      <c r="N86" s="117">
        <f t="shared" si="7"/>
        <v>0</v>
      </c>
      <c r="O86" s="117">
        <f t="shared" si="8"/>
        <v>0</v>
      </c>
      <c r="P86" s="157" t="s">
        <v>309</v>
      </c>
      <c r="Q86" s="112"/>
    </row>
    <row r="87" ht="15.0" customHeight="1">
      <c r="A87" s="112"/>
      <c r="B87" s="112"/>
      <c r="C87" s="112"/>
      <c r="D87" s="98" t="s">
        <v>286</v>
      </c>
      <c r="E87" s="114" t="str">
        <f>VLOOKUP(D87,Data!H:I,2,0)</f>
        <v>Trabzon</v>
      </c>
      <c r="F87" s="115" t="str">
        <f>VLOOKUP(D87,Data!H:J,3,0)</f>
        <v>Nazım Öztel</v>
      </c>
      <c r="G87" s="116" t="b">
        <v>0</v>
      </c>
      <c r="H87" s="116" t="b">
        <v>0</v>
      </c>
      <c r="I87" s="116" t="b">
        <v>0</v>
      </c>
      <c r="J87" s="116" t="b">
        <v>0</v>
      </c>
      <c r="K87" s="116" t="b">
        <v>0</v>
      </c>
      <c r="L87" s="116" t="b">
        <v>0</v>
      </c>
      <c r="M87" s="116" t="b">
        <v>0</v>
      </c>
      <c r="N87" s="117">
        <f t="shared" si="7"/>
        <v>0</v>
      </c>
      <c r="O87" s="117">
        <f t="shared" si="8"/>
        <v>0</v>
      </c>
      <c r="P87" s="157" t="s">
        <v>344</v>
      </c>
      <c r="Q87" s="112"/>
    </row>
    <row r="88" ht="15.0" customHeight="1">
      <c r="A88" s="112"/>
      <c r="B88" s="112"/>
      <c r="C88" s="112"/>
      <c r="D88" s="163" t="s">
        <v>354</v>
      </c>
      <c r="E88" s="114" t="s">
        <v>355</v>
      </c>
      <c r="F88" s="115" t="s">
        <v>61</v>
      </c>
      <c r="G88" s="116" t="b">
        <v>0</v>
      </c>
      <c r="H88" s="116" t="b">
        <v>0</v>
      </c>
      <c r="I88" s="116" t="b">
        <v>0</v>
      </c>
      <c r="J88" s="116" t="b">
        <v>0</v>
      </c>
      <c r="K88" s="116" t="b">
        <v>0</v>
      </c>
      <c r="L88" s="116" t="b">
        <v>0</v>
      </c>
      <c r="M88" s="116" t="b">
        <v>0</v>
      </c>
      <c r="N88" s="117">
        <f t="shared" si="7"/>
        <v>0</v>
      </c>
      <c r="O88" s="117">
        <f t="shared" si="8"/>
        <v>0</v>
      </c>
      <c r="P88" s="157" t="s">
        <v>324</v>
      </c>
      <c r="Q88" s="112"/>
    </row>
    <row r="89" ht="15.0" customHeight="1">
      <c r="A89" s="112"/>
      <c r="B89" s="112"/>
      <c r="C89" s="112"/>
      <c r="D89" s="98" t="s">
        <v>289</v>
      </c>
      <c r="E89" s="114" t="str">
        <f>VLOOKUP(D89,Data!H:I,2,0)</f>
        <v>Elazığ</v>
      </c>
      <c r="F89" s="115" t="str">
        <f>VLOOKUP(D89,Data!H:J,3,0)</f>
        <v>Nazım Öztel</v>
      </c>
      <c r="G89" s="116" t="b">
        <v>0</v>
      </c>
      <c r="H89" s="116" t="b">
        <v>0</v>
      </c>
      <c r="I89" s="116" t="b">
        <v>0</v>
      </c>
      <c r="J89" s="116" t="b">
        <v>0</v>
      </c>
      <c r="K89" s="116" t="b">
        <v>0</v>
      </c>
      <c r="L89" s="116" t="b">
        <v>0</v>
      </c>
      <c r="M89" s="116" t="b">
        <v>0</v>
      </c>
      <c r="N89" s="117">
        <f t="shared" si="7"/>
        <v>0</v>
      </c>
      <c r="O89" s="117">
        <f t="shared" si="8"/>
        <v>0</v>
      </c>
      <c r="P89" s="157" t="s">
        <v>369</v>
      </c>
      <c r="Q89" s="112"/>
    </row>
    <row r="90" ht="15.0" customHeight="1">
      <c r="A90" s="112"/>
      <c r="B90" s="112"/>
      <c r="C90" s="112"/>
      <c r="D90" s="98" t="s">
        <v>290</v>
      </c>
      <c r="E90" s="114" t="str">
        <f>VLOOKUP(D90,Data!H:I,2,0)</f>
        <v>Bayburt</v>
      </c>
      <c r="F90" s="115" t="str">
        <f>VLOOKUP(D90,Data!H:J,3,0)</f>
        <v>Nazım Öztel</v>
      </c>
      <c r="G90" s="116" t="b">
        <v>0</v>
      </c>
      <c r="H90" s="116" t="b">
        <v>0</v>
      </c>
      <c r="I90" s="116" t="b">
        <v>0</v>
      </c>
      <c r="J90" s="116" t="b">
        <v>0</v>
      </c>
      <c r="K90" s="116" t="b">
        <v>0</v>
      </c>
      <c r="L90" s="116" t="b">
        <v>0</v>
      </c>
      <c r="M90" s="116" t="b">
        <v>0</v>
      </c>
      <c r="N90" s="117">
        <f t="shared" si="7"/>
        <v>0</v>
      </c>
      <c r="O90" s="117">
        <f t="shared" si="8"/>
        <v>0</v>
      </c>
      <c r="P90" s="157" t="s">
        <v>369</v>
      </c>
      <c r="Q90" s="112"/>
    </row>
    <row r="91" ht="15.0" customHeight="1">
      <c r="A91" s="112"/>
      <c r="B91" s="112"/>
      <c r="C91" s="112"/>
      <c r="D91" s="98" t="s">
        <v>291</v>
      </c>
      <c r="E91" s="114" t="str">
        <f>VLOOKUP(D91,Data!H:I,2,0)</f>
        <v>Bingöl</v>
      </c>
      <c r="F91" s="115" t="str">
        <f>VLOOKUP(D91,Data!H:J,3,0)</f>
        <v>Nazım Öztel</v>
      </c>
      <c r="G91" s="116" t="b">
        <v>0</v>
      </c>
      <c r="H91" s="116" t="b">
        <v>0</v>
      </c>
      <c r="I91" s="116" t="b">
        <v>0</v>
      </c>
      <c r="J91" s="116" t="b">
        <v>0</v>
      </c>
      <c r="K91" s="116" t="b">
        <v>0</v>
      </c>
      <c r="L91" s="116" t="b">
        <v>0</v>
      </c>
      <c r="M91" s="116" t="b">
        <v>0</v>
      </c>
      <c r="N91" s="117">
        <f t="shared" si="7"/>
        <v>0</v>
      </c>
      <c r="O91" s="117">
        <f t="shared" si="8"/>
        <v>0</v>
      </c>
      <c r="P91" s="157" t="s">
        <v>369</v>
      </c>
      <c r="Q91" s="112"/>
    </row>
    <row r="92" ht="15.0" customHeight="1">
      <c r="A92" s="112"/>
      <c r="B92" s="112"/>
      <c r="C92" s="112"/>
      <c r="D92" s="98" t="s">
        <v>292</v>
      </c>
      <c r="E92" s="114" t="str">
        <f>VLOOKUP(D92,Data!H:I,2,0)</f>
        <v>Diyarbakır</v>
      </c>
      <c r="F92" s="115" t="str">
        <f>VLOOKUP(D92,Data!H:J,3,0)</f>
        <v>Nazım Öztel</v>
      </c>
      <c r="G92" s="116" t="b">
        <v>0</v>
      </c>
      <c r="H92" s="116" t="b">
        <v>0</v>
      </c>
      <c r="I92" s="116" t="b">
        <v>0</v>
      </c>
      <c r="J92" s="116" t="b">
        <v>0</v>
      </c>
      <c r="K92" s="116" t="b">
        <v>0</v>
      </c>
      <c r="L92" s="116" t="b">
        <v>0</v>
      </c>
      <c r="M92" s="116" t="b">
        <v>0</v>
      </c>
      <c r="N92" s="117">
        <f t="shared" si="7"/>
        <v>0</v>
      </c>
      <c r="O92" s="117">
        <f t="shared" si="8"/>
        <v>0</v>
      </c>
      <c r="P92" s="157" t="s">
        <v>369</v>
      </c>
      <c r="Q92" s="112"/>
    </row>
    <row r="93" ht="15.0" customHeight="1">
      <c r="A93" s="112"/>
      <c r="B93" s="112"/>
      <c r="C93" s="112"/>
      <c r="D93" s="164" t="s">
        <v>293</v>
      </c>
      <c r="E93" s="114" t="str">
        <f>VLOOKUP(D93,Data!H:I,2,0)</f>
        <v>Çanakkale</v>
      </c>
      <c r="F93" s="115" t="str">
        <f>VLOOKUP(D93,Data!H:J,3,0)</f>
        <v>Nazım Öztel</v>
      </c>
      <c r="G93" s="116" t="b">
        <v>0</v>
      </c>
      <c r="H93" s="116" t="b">
        <v>0</v>
      </c>
      <c r="I93" s="116" t="b">
        <v>0</v>
      </c>
      <c r="J93" s="116" t="b">
        <v>0</v>
      </c>
      <c r="K93" s="116" t="b">
        <v>0</v>
      </c>
      <c r="L93" s="116" t="b">
        <v>0</v>
      </c>
      <c r="M93" s="116" t="b">
        <v>0</v>
      </c>
      <c r="N93" s="117">
        <f t="shared" si="7"/>
        <v>0</v>
      </c>
      <c r="O93" s="117">
        <f t="shared" si="8"/>
        <v>0</v>
      </c>
      <c r="P93" s="157" t="s">
        <v>343</v>
      </c>
      <c r="Q93" s="112"/>
    </row>
    <row r="94" ht="15.0" customHeight="1">
      <c r="A94" s="112"/>
      <c r="B94" s="112"/>
      <c r="C94" s="112"/>
      <c r="D94" s="163" t="s">
        <v>325</v>
      </c>
      <c r="E94" s="114" t="s">
        <v>326</v>
      </c>
      <c r="F94" s="115" t="s">
        <v>61</v>
      </c>
      <c r="G94" s="139" t="b">
        <v>0</v>
      </c>
      <c r="H94" s="139" t="b">
        <v>0</v>
      </c>
      <c r="I94" s="139" t="b">
        <v>0</v>
      </c>
      <c r="J94" s="139" t="b">
        <v>0</v>
      </c>
      <c r="K94" s="139" t="b">
        <v>0</v>
      </c>
      <c r="L94" s="139" t="b">
        <v>0</v>
      </c>
      <c r="M94" s="139" t="b">
        <v>0</v>
      </c>
      <c r="N94" s="117">
        <f t="shared" si="7"/>
        <v>0</v>
      </c>
      <c r="O94" s="117">
        <f t="shared" si="8"/>
        <v>0</v>
      </c>
      <c r="P94" s="157" t="s">
        <v>343</v>
      </c>
      <c r="Q94" s="112"/>
    </row>
    <row r="95" ht="15.0" customHeight="1">
      <c r="A95" s="112"/>
      <c r="B95" s="112"/>
      <c r="C95" s="112"/>
      <c r="D95" s="98" t="s">
        <v>296</v>
      </c>
      <c r="E95" s="114" t="str">
        <f>VLOOKUP(D95,Data!H:I,2,0)</f>
        <v>Bilecik</v>
      </c>
      <c r="F95" s="115" t="str">
        <f>VLOOKUP(D95,Data!H:J,3,0)</f>
        <v>Nazım Öztel</v>
      </c>
      <c r="G95" s="116" t="b">
        <v>0</v>
      </c>
      <c r="H95" s="116" t="b">
        <v>0</v>
      </c>
      <c r="I95" s="116" t="b">
        <v>0</v>
      </c>
      <c r="J95" s="139" t="b">
        <v>0</v>
      </c>
      <c r="K95" s="139" t="b">
        <v>0</v>
      </c>
      <c r="L95" s="139" t="b">
        <v>0</v>
      </c>
      <c r="M95" s="139" t="b">
        <v>0</v>
      </c>
      <c r="N95" s="117">
        <v>0.0</v>
      </c>
      <c r="O95" s="117">
        <v>0.0</v>
      </c>
      <c r="P95" s="157" t="s">
        <v>369</v>
      </c>
      <c r="Q95" s="112"/>
    </row>
    <row r="96" ht="15.0" customHeight="1">
      <c r="A96" s="112"/>
      <c r="B96" s="112"/>
      <c r="C96" s="112"/>
      <c r="D96" s="163" t="s">
        <v>345</v>
      </c>
      <c r="E96" s="144" t="s">
        <v>346</v>
      </c>
      <c r="F96" s="115" t="s">
        <v>61</v>
      </c>
      <c r="G96" s="116" t="b">
        <v>0</v>
      </c>
      <c r="H96" s="116" t="b">
        <v>0</v>
      </c>
      <c r="I96" s="116" t="b">
        <v>0</v>
      </c>
      <c r="J96" s="116" t="b">
        <v>0</v>
      </c>
      <c r="K96" s="116" t="b">
        <v>0</v>
      </c>
      <c r="L96" s="116" t="b">
        <v>0</v>
      </c>
      <c r="M96" s="116" t="b">
        <v>0</v>
      </c>
      <c r="N96" s="117">
        <f t="shared" ref="N96:N97" si="9">COUNTIF(G96:M96,"TRUE")</f>
        <v>0</v>
      </c>
      <c r="O96" s="117">
        <f t="shared" ref="O96:O97" si="10">N96*4</f>
        <v>0</v>
      </c>
      <c r="P96" s="157" t="s">
        <v>369</v>
      </c>
      <c r="Q96" s="112"/>
    </row>
    <row r="97" ht="15.0" customHeight="1">
      <c r="A97" s="112"/>
      <c r="B97" s="112"/>
      <c r="C97" s="112"/>
      <c r="D97" s="129" t="s">
        <v>153</v>
      </c>
      <c r="E97" s="114" t="str">
        <f>VLOOKUP(D97,Data!H:I,2,0)</f>
        <v>Edirne</v>
      </c>
      <c r="F97" s="115" t="str">
        <f>VLOOKUP(D97,Data!H:J,3,0)</f>
        <v>Nazım Öztel</v>
      </c>
      <c r="G97" s="116" t="b">
        <v>0</v>
      </c>
      <c r="H97" s="116" t="b">
        <v>0</v>
      </c>
      <c r="I97" s="116" t="b">
        <v>0</v>
      </c>
      <c r="J97" s="116" t="b">
        <v>0</v>
      </c>
      <c r="K97" s="116" t="b">
        <v>0</v>
      </c>
      <c r="L97" s="116" t="b">
        <v>0</v>
      </c>
      <c r="M97" s="116" t="b">
        <v>0</v>
      </c>
      <c r="N97" s="117">
        <f t="shared" si="9"/>
        <v>0</v>
      </c>
      <c r="O97" s="117">
        <f t="shared" si="10"/>
        <v>0</v>
      </c>
      <c r="P97" s="157" t="s">
        <v>314</v>
      </c>
      <c r="Q97" s="112"/>
    </row>
    <row r="98" ht="15.0" customHeight="1">
      <c r="A98" s="112"/>
      <c r="B98" s="112"/>
      <c r="C98" s="112"/>
      <c r="D98" s="149"/>
      <c r="E98" s="144"/>
      <c r="F98" s="144"/>
      <c r="G98" s="135"/>
      <c r="H98" s="135"/>
      <c r="I98" s="135"/>
      <c r="J98" s="135"/>
      <c r="K98" s="135"/>
      <c r="L98" s="135"/>
      <c r="M98" s="135"/>
      <c r="N98" s="135"/>
      <c r="O98" s="135"/>
      <c r="P98" s="160"/>
      <c r="Q98" s="112"/>
    </row>
    <row r="99" ht="15.0" customHeight="1">
      <c r="A99" s="112"/>
      <c r="B99" s="112"/>
      <c r="C99" s="112"/>
      <c r="D99" s="149"/>
      <c r="E99" s="144"/>
      <c r="F99" s="144"/>
      <c r="G99" s="135"/>
      <c r="H99" s="135"/>
      <c r="I99" s="135"/>
      <c r="J99" s="135"/>
      <c r="K99" s="135"/>
      <c r="L99" s="135"/>
      <c r="M99" s="135"/>
      <c r="N99" s="135"/>
      <c r="O99" s="135"/>
      <c r="P99" s="160"/>
      <c r="Q99" s="112"/>
    </row>
    <row r="100">
      <c r="P100" s="161"/>
    </row>
    <row r="101">
      <c r="P101" s="161"/>
    </row>
    <row r="102">
      <c r="P102" s="161"/>
    </row>
    <row r="103">
      <c r="P103" s="161"/>
    </row>
    <row r="104">
      <c r="P104" s="161"/>
    </row>
    <row r="105">
      <c r="P105" s="161"/>
    </row>
    <row r="106">
      <c r="P106" s="161"/>
    </row>
    <row r="107">
      <c r="P107" s="161"/>
    </row>
    <row r="108">
      <c r="P108" s="161"/>
    </row>
    <row r="109">
      <c r="P109" s="161"/>
    </row>
    <row r="110">
      <c r="P110" s="161"/>
    </row>
    <row r="111">
      <c r="P111" s="161"/>
    </row>
    <row r="112">
      <c r="P112" s="161"/>
    </row>
    <row r="113">
      <c r="P113" s="161"/>
    </row>
    <row r="114">
      <c r="P114" s="161"/>
    </row>
    <row r="115">
      <c r="P115" s="161"/>
    </row>
    <row r="116">
      <c r="P116" s="161"/>
    </row>
    <row r="117">
      <c r="P117" s="161"/>
    </row>
    <row r="118">
      <c r="P118" s="161"/>
    </row>
    <row r="119">
      <c r="P119" s="161"/>
    </row>
    <row r="120">
      <c r="P120" s="161"/>
    </row>
    <row r="121">
      <c r="P121" s="161"/>
    </row>
    <row r="122">
      <c r="P122" s="161"/>
    </row>
    <row r="123">
      <c r="P123" s="161"/>
    </row>
    <row r="124">
      <c r="P124" s="161"/>
    </row>
    <row r="125">
      <c r="P125" s="161"/>
    </row>
    <row r="126">
      <c r="P126" s="161"/>
    </row>
    <row r="127">
      <c r="P127" s="161"/>
    </row>
    <row r="128">
      <c r="P128" s="161"/>
    </row>
    <row r="129">
      <c r="P129" s="161"/>
    </row>
    <row r="130">
      <c r="P130" s="161"/>
    </row>
    <row r="131">
      <c r="P131" s="161"/>
    </row>
    <row r="132">
      <c r="P132" s="161"/>
    </row>
    <row r="133">
      <c r="P133" s="161"/>
    </row>
    <row r="134">
      <c r="P134" s="161"/>
    </row>
    <row r="135">
      <c r="P135" s="161"/>
    </row>
    <row r="136">
      <c r="P136" s="161"/>
    </row>
    <row r="137">
      <c r="P137" s="161"/>
    </row>
    <row r="138">
      <c r="P138" s="161"/>
    </row>
    <row r="139">
      <c r="P139" s="161"/>
    </row>
    <row r="140">
      <c r="P140" s="161"/>
    </row>
    <row r="141">
      <c r="P141" s="161"/>
    </row>
    <row r="142">
      <c r="P142" s="161"/>
    </row>
    <row r="143">
      <c r="P143" s="161"/>
    </row>
    <row r="144">
      <c r="P144" s="161"/>
    </row>
    <row r="145">
      <c r="P145" s="161"/>
    </row>
    <row r="146">
      <c r="P146" s="161"/>
    </row>
    <row r="147">
      <c r="P147" s="161"/>
    </row>
    <row r="148">
      <c r="P148" s="161"/>
    </row>
    <row r="149">
      <c r="P149" s="161"/>
    </row>
    <row r="150">
      <c r="P150" s="161"/>
    </row>
    <row r="151">
      <c r="P151" s="161"/>
    </row>
    <row r="152">
      <c r="P152" s="161"/>
    </row>
    <row r="153">
      <c r="P153" s="161"/>
    </row>
    <row r="154">
      <c r="P154" s="161"/>
    </row>
    <row r="155">
      <c r="P155" s="161"/>
    </row>
    <row r="156">
      <c r="P156" s="161"/>
    </row>
    <row r="157">
      <c r="P157" s="161"/>
    </row>
    <row r="158">
      <c r="P158" s="161"/>
    </row>
    <row r="159">
      <c r="P159" s="161"/>
    </row>
    <row r="160">
      <c r="P160" s="161"/>
    </row>
    <row r="161">
      <c r="P161" s="161"/>
    </row>
    <row r="162">
      <c r="P162" s="161"/>
    </row>
    <row r="163">
      <c r="P163" s="161"/>
    </row>
    <row r="164">
      <c r="P164" s="161"/>
    </row>
    <row r="165">
      <c r="P165" s="161"/>
    </row>
    <row r="166">
      <c r="P166" s="161"/>
    </row>
    <row r="167">
      <c r="P167" s="161"/>
    </row>
    <row r="168">
      <c r="P168" s="161"/>
    </row>
    <row r="169">
      <c r="P169" s="161"/>
    </row>
    <row r="170">
      <c r="P170" s="161"/>
    </row>
    <row r="171">
      <c r="P171" s="161"/>
    </row>
    <row r="172">
      <c r="P172" s="161"/>
    </row>
    <row r="173">
      <c r="P173" s="161"/>
    </row>
    <row r="174">
      <c r="P174" s="161"/>
    </row>
    <row r="175">
      <c r="P175" s="161"/>
    </row>
    <row r="176">
      <c r="P176" s="161"/>
    </row>
    <row r="177">
      <c r="P177" s="161"/>
    </row>
    <row r="178">
      <c r="P178" s="161"/>
    </row>
    <row r="179">
      <c r="P179" s="161"/>
    </row>
    <row r="180">
      <c r="P180" s="161"/>
    </row>
    <row r="181">
      <c r="P181" s="161"/>
    </row>
    <row r="182">
      <c r="P182" s="161"/>
    </row>
    <row r="183">
      <c r="P183" s="161"/>
    </row>
    <row r="184">
      <c r="P184" s="161"/>
    </row>
    <row r="185">
      <c r="P185" s="161"/>
    </row>
    <row r="186">
      <c r="P186" s="161"/>
    </row>
    <row r="187">
      <c r="P187" s="161"/>
    </row>
    <row r="188">
      <c r="P188" s="161"/>
    </row>
    <row r="189">
      <c r="P189" s="161"/>
    </row>
    <row r="190">
      <c r="P190" s="161"/>
    </row>
    <row r="191">
      <c r="P191" s="161"/>
    </row>
    <row r="192">
      <c r="P192" s="161"/>
    </row>
    <row r="193">
      <c r="P193" s="161"/>
    </row>
    <row r="194">
      <c r="P194" s="161"/>
    </row>
    <row r="195">
      <c r="P195" s="161"/>
    </row>
    <row r="196">
      <c r="P196" s="161"/>
    </row>
    <row r="197">
      <c r="P197" s="161"/>
    </row>
    <row r="198">
      <c r="P198" s="161"/>
    </row>
    <row r="199">
      <c r="P199" s="161"/>
    </row>
    <row r="200">
      <c r="P200" s="161"/>
    </row>
    <row r="201">
      <c r="P201" s="161"/>
    </row>
    <row r="202">
      <c r="P202" s="161"/>
    </row>
    <row r="203">
      <c r="P203" s="161"/>
    </row>
    <row r="204">
      <c r="P204" s="161"/>
    </row>
    <row r="205">
      <c r="P205" s="161"/>
    </row>
    <row r="206">
      <c r="P206" s="161"/>
    </row>
    <row r="207">
      <c r="P207" s="161"/>
    </row>
    <row r="208">
      <c r="P208" s="161"/>
    </row>
    <row r="209">
      <c r="P209" s="161"/>
    </row>
    <row r="210">
      <c r="P210" s="161"/>
    </row>
    <row r="211">
      <c r="P211" s="161"/>
    </row>
    <row r="212">
      <c r="P212" s="161"/>
    </row>
    <row r="213">
      <c r="P213" s="161"/>
    </row>
    <row r="214">
      <c r="P214" s="161"/>
    </row>
    <row r="215">
      <c r="P215" s="161"/>
    </row>
    <row r="216">
      <c r="P216" s="161"/>
    </row>
    <row r="217">
      <c r="P217" s="161"/>
    </row>
    <row r="218">
      <c r="P218" s="161"/>
    </row>
    <row r="219">
      <c r="P219" s="161"/>
    </row>
    <row r="220">
      <c r="P220" s="161"/>
    </row>
    <row r="221">
      <c r="P221" s="161"/>
    </row>
    <row r="222">
      <c r="P222" s="161"/>
    </row>
    <row r="223">
      <c r="P223" s="161"/>
    </row>
    <row r="224">
      <c r="P224" s="161"/>
    </row>
    <row r="225">
      <c r="P225" s="161"/>
    </row>
    <row r="226">
      <c r="P226" s="161"/>
    </row>
    <row r="227">
      <c r="P227" s="161"/>
    </row>
    <row r="228">
      <c r="P228" s="161"/>
    </row>
    <row r="229">
      <c r="P229" s="161"/>
    </row>
    <row r="230">
      <c r="P230" s="161"/>
    </row>
    <row r="231">
      <c r="P231" s="161"/>
    </row>
    <row r="232">
      <c r="P232" s="161"/>
    </row>
    <row r="233">
      <c r="P233" s="161"/>
    </row>
    <row r="234">
      <c r="P234" s="161"/>
    </row>
    <row r="235">
      <c r="P235" s="161"/>
    </row>
    <row r="236">
      <c r="P236" s="161"/>
    </row>
    <row r="237">
      <c r="P237" s="161"/>
    </row>
    <row r="238">
      <c r="P238" s="161"/>
    </row>
    <row r="239">
      <c r="P239" s="161"/>
    </row>
    <row r="240">
      <c r="P240" s="161"/>
    </row>
    <row r="241">
      <c r="P241" s="161"/>
    </row>
    <row r="242">
      <c r="P242" s="161"/>
    </row>
    <row r="243">
      <c r="P243" s="161"/>
    </row>
    <row r="244">
      <c r="P244" s="161"/>
    </row>
    <row r="245">
      <c r="P245" s="161"/>
    </row>
    <row r="246">
      <c r="P246" s="161"/>
    </row>
    <row r="247">
      <c r="P247" s="161"/>
    </row>
    <row r="248">
      <c r="P248" s="161"/>
    </row>
    <row r="249">
      <c r="P249" s="161"/>
    </row>
    <row r="250">
      <c r="P250" s="161"/>
    </row>
    <row r="251">
      <c r="P251" s="161"/>
    </row>
    <row r="252">
      <c r="P252" s="161"/>
    </row>
    <row r="253">
      <c r="P253" s="161"/>
    </row>
    <row r="254">
      <c r="P254" s="161"/>
    </row>
    <row r="255">
      <c r="P255" s="161"/>
    </row>
    <row r="256">
      <c r="P256" s="161"/>
    </row>
    <row r="257">
      <c r="P257" s="161"/>
    </row>
    <row r="258">
      <c r="P258" s="161"/>
    </row>
    <row r="259">
      <c r="P259" s="161"/>
    </row>
    <row r="260">
      <c r="P260" s="161"/>
    </row>
    <row r="261">
      <c r="P261" s="161"/>
    </row>
    <row r="262">
      <c r="P262" s="161"/>
    </row>
    <row r="263">
      <c r="P263" s="161"/>
    </row>
    <row r="264">
      <c r="P264" s="161"/>
    </row>
    <row r="265">
      <c r="P265" s="161"/>
    </row>
    <row r="266">
      <c r="P266" s="161"/>
    </row>
    <row r="267">
      <c r="P267" s="161"/>
    </row>
    <row r="268">
      <c r="P268" s="161"/>
    </row>
    <row r="269">
      <c r="P269" s="161"/>
    </row>
    <row r="270">
      <c r="P270" s="161"/>
    </row>
    <row r="271">
      <c r="P271" s="161"/>
    </row>
    <row r="272">
      <c r="P272" s="161"/>
    </row>
    <row r="273">
      <c r="P273" s="161"/>
    </row>
    <row r="274">
      <c r="P274" s="161"/>
    </row>
    <row r="275">
      <c r="P275" s="161"/>
    </row>
    <row r="276">
      <c r="P276" s="161"/>
    </row>
    <row r="277">
      <c r="P277" s="161"/>
    </row>
    <row r="278">
      <c r="P278" s="161"/>
    </row>
    <row r="279">
      <c r="P279" s="161"/>
    </row>
    <row r="280">
      <c r="P280" s="161"/>
    </row>
    <row r="281">
      <c r="P281" s="161"/>
    </row>
    <row r="282">
      <c r="P282" s="161"/>
    </row>
    <row r="283">
      <c r="P283" s="161"/>
    </row>
    <row r="284">
      <c r="P284" s="161"/>
    </row>
    <row r="285">
      <c r="P285" s="161"/>
    </row>
    <row r="286">
      <c r="P286" s="161"/>
    </row>
    <row r="287">
      <c r="P287" s="161"/>
    </row>
    <row r="288">
      <c r="P288" s="161"/>
    </row>
    <row r="289">
      <c r="P289" s="161"/>
    </row>
    <row r="290">
      <c r="P290" s="161"/>
    </row>
    <row r="291">
      <c r="P291" s="161"/>
    </row>
    <row r="292">
      <c r="P292" s="161"/>
    </row>
    <row r="293">
      <c r="P293" s="161"/>
    </row>
    <row r="294">
      <c r="P294" s="161"/>
    </row>
    <row r="295">
      <c r="P295" s="161"/>
    </row>
    <row r="296">
      <c r="P296" s="161"/>
    </row>
    <row r="297">
      <c r="P297" s="161"/>
    </row>
    <row r="298">
      <c r="P298" s="161"/>
    </row>
    <row r="299">
      <c r="P299" s="161"/>
    </row>
    <row r="300">
      <c r="P300" s="161"/>
    </row>
    <row r="301">
      <c r="P301" s="161"/>
    </row>
    <row r="302">
      <c r="P302" s="161"/>
    </row>
    <row r="303">
      <c r="P303" s="161"/>
    </row>
    <row r="304">
      <c r="P304" s="161"/>
    </row>
    <row r="305">
      <c r="P305" s="161"/>
    </row>
    <row r="306">
      <c r="P306" s="161"/>
    </row>
    <row r="307">
      <c r="P307" s="161"/>
    </row>
    <row r="308">
      <c r="P308" s="161"/>
    </row>
    <row r="309">
      <c r="P309" s="161"/>
    </row>
    <row r="310">
      <c r="P310" s="161"/>
    </row>
    <row r="311">
      <c r="P311" s="161"/>
    </row>
    <row r="312">
      <c r="P312" s="161"/>
    </row>
    <row r="313">
      <c r="P313" s="161"/>
    </row>
    <row r="314">
      <c r="P314" s="161"/>
    </row>
    <row r="315">
      <c r="P315" s="161"/>
    </row>
    <row r="316">
      <c r="P316" s="161"/>
    </row>
    <row r="317">
      <c r="P317" s="161"/>
    </row>
    <row r="318">
      <c r="P318" s="161"/>
    </row>
    <row r="319">
      <c r="P319" s="161"/>
    </row>
    <row r="320">
      <c r="P320" s="161"/>
    </row>
    <row r="321">
      <c r="P321" s="161"/>
    </row>
    <row r="322">
      <c r="P322" s="161"/>
    </row>
    <row r="323">
      <c r="P323" s="161"/>
    </row>
    <row r="324">
      <c r="P324" s="161"/>
    </row>
    <row r="325">
      <c r="P325" s="161"/>
    </row>
    <row r="326">
      <c r="P326" s="161"/>
    </row>
    <row r="327">
      <c r="P327" s="161"/>
    </row>
    <row r="328">
      <c r="P328" s="161"/>
    </row>
    <row r="329">
      <c r="P329" s="161"/>
    </row>
    <row r="330">
      <c r="P330" s="161"/>
    </row>
    <row r="331">
      <c r="P331" s="161"/>
    </row>
    <row r="332">
      <c r="P332" s="161"/>
    </row>
    <row r="333">
      <c r="P333" s="161"/>
    </row>
    <row r="334">
      <c r="P334" s="161"/>
    </row>
    <row r="335">
      <c r="P335" s="161"/>
    </row>
    <row r="336">
      <c r="P336" s="161"/>
    </row>
    <row r="337">
      <c r="P337" s="161"/>
    </row>
    <row r="338">
      <c r="P338" s="161"/>
    </row>
    <row r="339">
      <c r="P339" s="161"/>
    </row>
    <row r="340">
      <c r="P340" s="161"/>
    </row>
    <row r="341">
      <c r="P341" s="161"/>
    </row>
    <row r="342">
      <c r="P342" s="161"/>
    </row>
    <row r="343">
      <c r="P343" s="161"/>
    </row>
    <row r="344">
      <c r="P344" s="161"/>
    </row>
    <row r="345">
      <c r="P345" s="161"/>
    </row>
    <row r="346">
      <c r="P346" s="161"/>
    </row>
    <row r="347">
      <c r="P347" s="161"/>
    </row>
    <row r="348">
      <c r="P348" s="161"/>
    </row>
    <row r="349">
      <c r="P349" s="161"/>
    </row>
    <row r="350">
      <c r="P350" s="161"/>
    </row>
    <row r="351">
      <c r="P351" s="161"/>
    </row>
    <row r="352">
      <c r="P352" s="161"/>
    </row>
    <row r="353">
      <c r="P353" s="161"/>
    </row>
    <row r="354">
      <c r="P354" s="161"/>
    </row>
    <row r="355">
      <c r="P355" s="161"/>
    </row>
    <row r="356">
      <c r="P356" s="161"/>
    </row>
    <row r="357">
      <c r="P357" s="161"/>
    </row>
    <row r="358">
      <c r="P358" s="161"/>
    </row>
    <row r="359">
      <c r="P359" s="161"/>
    </row>
    <row r="360">
      <c r="P360" s="161"/>
    </row>
    <row r="361">
      <c r="P361" s="161"/>
    </row>
    <row r="362">
      <c r="P362" s="161"/>
    </row>
    <row r="363">
      <c r="P363" s="161"/>
    </row>
    <row r="364">
      <c r="P364" s="161"/>
    </row>
    <row r="365">
      <c r="P365" s="161"/>
    </row>
    <row r="366">
      <c r="P366" s="161"/>
    </row>
    <row r="367">
      <c r="P367" s="161"/>
    </row>
    <row r="368">
      <c r="P368" s="161"/>
    </row>
    <row r="369">
      <c r="P369" s="161"/>
    </row>
    <row r="370">
      <c r="P370" s="161"/>
    </row>
    <row r="371">
      <c r="P371" s="161"/>
    </row>
    <row r="372">
      <c r="P372" s="161"/>
    </row>
    <row r="373">
      <c r="P373" s="161"/>
    </row>
    <row r="374">
      <c r="P374" s="161"/>
    </row>
    <row r="375">
      <c r="P375" s="161"/>
    </row>
    <row r="376">
      <c r="P376" s="161"/>
    </row>
    <row r="377">
      <c r="P377" s="161"/>
    </row>
    <row r="378">
      <c r="P378" s="161"/>
    </row>
    <row r="379">
      <c r="P379" s="161"/>
    </row>
    <row r="380">
      <c r="P380" s="161"/>
    </row>
    <row r="381">
      <c r="P381" s="161"/>
    </row>
    <row r="382">
      <c r="P382" s="161"/>
    </row>
    <row r="383">
      <c r="P383" s="161"/>
    </row>
    <row r="384">
      <c r="P384" s="161"/>
    </row>
    <row r="385">
      <c r="P385" s="161"/>
    </row>
    <row r="386">
      <c r="P386" s="161"/>
    </row>
    <row r="387">
      <c r="P387" s="161"/>
    </row>
    <row r="388">
      <c r="P388" s="161"/>
    </row>
    <row r="389">
      <c r="P389" s="161"/>
    </row>
    <row r="390">
      <c r="P390" s="161"/>
    </row>
    <row r="391">
      <c r="P391" s="161"/>
    </row>
    <row r="392">
      <c r="P392" s="161"/>
    </row>
    <row r="393">
      <c r="P393" s="161"/>
    </row>
    <row r="394">
      <c r="P394" s="161"/>
    </row>
    <row r="395">
      <c r="P395" s="161"/>
    </row>
    <row r="396">
      <c r="P396" s="161"/>
    </row>
    <row r="397">
      <c r="P397" s="161"/>
    </row>
    <row r="398">
      <c r="P398" s="161"/>
    </row>
    <row r="399">
      <c r="P399" s="161"/>
    </row>
    <row r="400">
      <c r="P400" s="161"/>
    </row>
    <row r="401">
      <c r="P401" s="161"/>
    </row>
    <row r="402">
      <c r="P402" s="161"/>
    </row>
    <row r="403">
      <c r="P403" s="161"/>
    </row>
    <row r="404">
      <c r="P404" s="161"/>
    </row>
    <row r="405">
      <c r="P405" s="161"/>
    </row>
    <row r="406">
      <c r="P406" s="161"/>
    </row>
    <row r="407">
      <c r="P407" s="161"/>
    </row>
    <row r="408">
      <c r="P408" s="161"/>
    </row>
    <row r="409">
      <c r="P409" s="161"/>
    </row>
    <row r="410">
      <c r="P410" s="161"/>
    </row>
    <row r="411">
      <c r="P411" s="161"/>
    </row>
    <row r="412">
      <c r="P412" s="161"/>
    </row>
    <row r="413">
      <c r="P413" s="161"/>
    </row>
    <row r="414">
      <c r="P414" s="161"/>
    </row>
    <row r="415">
      <c r="P415" s="161"/>
    </row>
    <row r="416">
      <c r="P416" s="161"/>
    </row>
    <row r="417">
      <c r="P417" s="161"/>
    </row>
    <row r="418">
      <c r="P418" s="161"/>
    </row>
    <row r="419">
      <c r="P419" s="161"/>
    </row>
    <row r="420">
      <c r="P420" s="161"/>
    </row>
    <row r="421">
      <c r="P421" s="161"/>
    </row>
    <row r="422">
      <c r="P422" s="161"/>
    </row>
    <row r="423">
      <c r="P423" s="161"/>
    </row>
    <row r="424">
      <c r="P424" s="161"/>
    </row>
    <row r="425">
      <c r="P425" s="161"/>
    </row>
    <row r="426">
      <c r="P426" s="161"/>
    </row>
    <row r="427">
      <c r="P427" s="161"/>
    </row>
    <row r="428">
      <c r="P428" s="161"/>
    </row>
    <row r="429">
      <c r="P429" s="161"/>
    </row>
    <row r="430">
      <c r="P430" s="161"/>
    </row>
    <row r="431">
      <c r="P431" s="161"/>
    </row>
    <row r="432">
      <c r="P432" s="161"/>
    </row>
    <row r="433">
      <c r="P433" s="161"/>
    </row>
    <row r="434">
      <c r="P434" s="161"/>
    </row>
    <row r="435">
      <c r="P435" s="161"/>
    </row>
    <row r="436">
      <c r="P436" s="161"/>
    </row>
    <row r="437">
      <c r="P437" s="161"/>
    </row>
    <row r="438">
      <c r="P438" s="161"/>
    </row>
    <row r="439">
      <c r="P439" s="161"/>
    </row>
    <row r="440">
      <c r="P440" s="161"/>
    </row>
    <row r="441">
      <c r="P441" s="161"/>
    </row>
    <row r="442">
      <c r="P442" s="161"/>
    </row>
    <row r="443">
      <c r="P443" s="161"/>
    </row>
    <row r="444">
      <c r="P444" s="161"/>
    </row>
    <row r="445">
      <c r="P445" s="161"/>
    </row>
    <row r="446">
      <c r="P446" s="161"/>
    </row>
    <row r="447">
      <c r="P447" s="161"/>
    </row>
    <row r="448">
      <c r="P448" s="161"/>
    </row>
    <row r="449">
      <c r="P449" s="161"/>
    </row>
    <row r="450">
      <c r="P450" s="161"/>
    </row>
    <row r="451">
      <c r="P451" s="161"/>
    </row>
    <row r="452">
      <c r="P452" s="161"/>
    </row>
    <row r="453">
      <c r="P453" s="161"/>
    </row>
    <row r="454">
      <c r="P454" s="161"/>
    </row>
    <row r="455">
      <c r="P455" s="161"/>
    </row>
    <row r="456">
      <c r="P456" s="161"/>
    </row>
    <row r="457">
      <c r="P457" s="161"/>
    </row>
    <row r="458">
      <c r="P458" s="161"/>
    </row>
    <row r="459">
      <c r="P459" s="161"/>
    </row>
    <row r="460">
      <c r="P460" s="161"/>
    </row>
    <row r="461">
      <c r="P461" s="161"/>
    </row>
    <row r="462">
      <c r="P462" s="161"/>
    </row>
    <row r="463">
      <c r="P463" s="161"/>
    </row>
    <row r="464">
      <c r="P464" s="161"/>
    </row>
    <row r="465">
      <c r="P465" s="161"/>
    </row>
    <row r="466">
      <c r="P466" s="161"/>
    </row>
    <row r="467">
      <c r="P467" s="161"/>
    </row>
    <row r="468">
      <c r="P468" s="161"/>
    </row>
    <row r="469">
      <c r="P469" s="161"/>
    </row>
    <row r="470">
      <c r="P470" s="161"/>
    </row>
    <row r="471">
      <c r="P471" s="161"/>
    </row>
    <row r="472">
      <c r="P472" s="161"/>
    </row>
    <row r="473">
      <c r="P473" s="161"/>
    </row>
    <row r="474">
      <c r="P474" s="161"/>
    </row>
    <row r="475">
      <c r="P475" s="161"/>
    </row>
    <row r="476">
      <c r="P476" s="161"/>
    </row>
    <row r="477">
      <c r="P477" s="161"/>
    </row>
    <row r="478">
      <c r="P478" s="161"/>
    </row>
    <row r="479">
      <c r="P479" s="161"/>
    </row>
    <row r="480">
      <c r="P480" s="161"/>
    </row>
    <row r="481">
      <c r="P481" s="161"/>
    </row>
    <row r="482">
      <c r="P482" s="161"/>
    </row>
    <row r="483">
      <c r="P483" s="161"/>
    </row>
    <row r="484">
      <c r="P484" s="161"/>
    </row>
    <row r="485">
      <c r="P485" s="161"/>
    </row>
    <row r="486">
      <c r="P486" s="161"/>
    </row>
    <row r="487">
      <c r="P487" s="161"/>
    </row>
    <row r="488">
      <c r="P488" s="161"/>
    </row>
    <row r="489">
      <c r="P489" s="161"/>
    </row>
    <row r="490">
      <c r="P490" s="161"/>
    </row>
    <row r="491">
      <c r="P491" s="161"/>
    </row>
    <row r="492">
      <c r="P492" s="161"/>
    </row>
    <row r="493">
      <c r="P493" s="161"/>
    </row>
    <row r="494">
      <c r="P494" s="161"/>
    </row>
    <row r="495">
      <c r="P495" s="161"/>
    </row>
    <row r="496">
      <c r="P496" s="161"/>
    </row>
    <row r="497">
      <c r="P497" s="161"/>
    </row>
    <row r="498">
      <c r="P498" s="161"/>
    </row>
    <row r="499">
      <c r="P499" s="161"/>
    </row>
    <row r="500">
      <c r="P500" s="161"/>
    </row>
    <row r="501">
      <c r="P501" s="161"/>
    </row>
    <row r="502">
      <c r="P502" s="161"/>
    </row>
    <row r="503">
      <c r="P503" s="161"/>
    </row>
    <row r="504">
      <c r="P504" s="161"/>
    </row>
    <row r="505">
      <c r="P505" s="161"/>
    </row>
    <row r="506">
      <c r="P506" s="161"/>
    </row>
    <row r="507">
      <c r="P507" s="161"/>
    </row>
    <row r="508">
      <c r="P508" s="161"/>
    </row>
    <row r="509">
      <c r="P509" s="161"/>
    </row>
    <row r="510">
      <c r="P510" s="161"/>
    </row>
    <row r="511">
      <c r="P511" s="161"/>
    </row>
    <row r="512">
      <c r="P512" s="161"/>
    </row>
    <row r="513">
      <c r="P513" s="161"/>
    </row>
    <row r="514">
      <c r="P514" s="161"/>
    </row>
    <row r="515">
      <c r="P515" s="161"/>
    </row>
    <row r="516">
      <c r="P516" s="161"/>
    </row>
    <row r="517">
      <c r="P517" s="161"/>
    </row>
    <row r="518">
      <c r="P518" s="161"/>
    </row>
    <row r="519">
      <c r="P519" s="161"/>
    </row>
    <row r="520">
      <c r="P520" s="161"/>
    </row>
    <row r="521">
      <c r="P521" s="161"/>
    </row>
    <row r="522">
      <c r="P522" s="161"/>
    </row>
    <row r="523">
      <c r="P523" s="161"/>
    </row>
    <row r="524">
      <c r="P524" s="161"/>
    </row>
    <row r="525">
      <c r="P525" s="161"/>
    </row>
    <row r="526">
      <c r="P526" s="161"/>
    </row>
    <row r="527">
      <c r="P527" s="161"/>
    </row>
    <row r="528">
      <c r="P528" s="161"/>
    </row>
    <row r="529">
      <c r="P529" s="161"/>
    </row>
    <row r="530">
      <c r="P530" s="161"/>
    </row>
    <row r="531">
      <c r="P531" s="161"/>
    </row>
    <row r="532">
      <c r="P532" s="161"/>
    </row>
    <row r="533">
      <c r="P533" s="161"/>
    </row>
    <row r="534">
      <c r="P534" s="161"/>
    </row>
    <row r="535">
      <c r="P535" s="161"/>
    </row>
    <row r="536">
      <c r="P536" s="161"/>
    </row>
    <row r="537">
      <c r="P537" s="161"/>
    </row>
    <row r="538">
      <c r="P538" s="161"/>
    </row>
    <row r="539">
      <c r="P539" s="161"/>
    </row>
    <row r="540">
      <c r="P540" s="161"/>
    </row>
    <row r="541">
      <c r="P541" s="161"/>
    </row>
    <row r="542">
      <c r="P542" s="161"/>
    </row>
    <row r="543">
      <c r="P543" s="161"/>
    </row>
    <row r="544">
      <c r="P544" s="161"/>
    </row>
    <row r="545">
      <c r="P545" s="161"/>
    </row>
    <row r="546">
      <c r="P546" s="161"/>
    </row>
    <row r="547">
      <c r="P547" s="161"/>
    </row>
    <row r="548">
      <c r="P548" s="161"/>
    </row>
    <row r="549">
      <c r="P549" s="161"/>
    </row>
    <row r="550">
      <c r="P550" s="161"/>
    </row>
    <row r="551">
      <c r="P551" s="161"/>
    </row>
    <row r="552">
      <c r="P552" s="161"/>
    </row>
    <row r="553">
      <c r="P553" s="161"/>
    </row>
    <row r="554">
      <c r="P554" s="161"/>
    </row>
    <row r="555">
      <c r="P555" s="161"/>
    </row>
    <row r="556">
      <c r="P556" s="161"/>
    </row>
    <row r="557">
      <c r="P557" s="161"/>
    </row>
    <row r="558">
      <c r="P558" s="161"/>
    </row>
    <row r="559">
      <c r="P559" s="161"/>
    </row>
    <row r="560">
      <c r="P560" s="161"/>
    </row>
    <row r="561">
      <c r="P561" s="161"/>
    </row>
    <row r="562">
      <c r="P562" s="161"/>
    </row>
    <row r="563">
      <c r="P563" s="161"/>
    </row>
    <row r="564">
      <c r="P564" s="161"/>
    </row>
    <row r="565">
      <c r="P565" s="161"/>
    </row>
    <row r="566">
      <c r="P566" s="161"/>
    </row>
    <row r="567">
      <c r="P567" s="161"/>
    </row>
    <row r="568">
      <c r="P568" s="161"/>
    </row>
    <row r="569">
      <c r="P569" s="161"/>
    </row>
    <row r="570">
      <c r="P570" s="161"/>
    </row>
    <row r="571">
      <c r="P571" s="161"/>
    </row>
    <row r="572">
      <c r="P572" s="161"/>
    </row>
    <row r="573">
      <c r="P573" s="161"/>
    </row>
    <row r="574">
      <c r="P574" s="161"/>
    </row>
    <row r="575">
      <c r="P575" s="161"/>
    </row>
    <row r="576">
      <c r="P576" s="161"/>
    </row>
    <row r="577">
      <c r="P577" s="161"/>
    </row>
    <row r="578">
      <c r="P578" s="161"/>
    </row>
    <row r="579">
      <c r="P579" s="161"/>
    </row>
    <row r="580">
      <c r="P580" s="161"/>
    </row>
    <row r="581">
      <c r="P581" s="161"/>
    </row>
    <row r="582">
      <c r="P582" s="161"/>
    </row>
    <row r="583">
      <c r="P583" s="161"/>
    </row>
    <row r="584">
      <c r="P584" s="161"/>
    </row>
    <row r="585">
      <c r="P585" s="161"/>
    </row>
    <row r="586">
      <c r="P586" s="161"/>
    </row>
    <row r="587">
      <c r="P587" s="161"/>
    </row>
    <row r="588">
      <c r="P588" s="161"/>
    </row>
    <row r="589">
      <c r="P589" s="161"/>
    </row>
    <row r="590">
      <c r="P590" s="161"/>
    </row>
    <row r="591">
      <c r="P591" s="161"/>
    </row>
    <row r="592">
      <c r="P592" s="161"/>
    </row>
    <row r="593">
      <c r="P593" s="161"/>
    </row>
    <row r="594">
      <c r="P594" s="161"/>
    </row>
    <row r="595">
      <c r="P595" s="161"/>
    </row>
    <row r="596">
      <c r="P596" s="161"/>
    </row>
    <row r="597">
      <c r="P597" s="161"/>
    </row>
    <row r="598">
      <c r="P598" s="161"/>
    </row>
    <row r="599">
      <c r="P599" s="161"/>
    </row>
    <row r="600">
      <c r="P600" s="161"/>
    </row>
    <row r="601">
      <c r="P601" s="161"/>
    </row>
    <row r="602">
      <c r="P602" s="161"/>
    </row>
    <row r="603">
      <c r="P603" s="161"/>
    </row>
    <row r="604">
      <c r="P604" s="161"/>
    </row>
    <row r="605">
      <c r="P605" s="161"/>
    </row>
    <row r="606">
      <c r="P606" s="161"/>
    </row>
    <row r="607">
      <c r="P607" s="161"/>
    </row>
    <row r="608">
      <c r="P608" s="161"/>
    </row>
    <row r="609">
      <c r="P609" s="161"/>
    </row>
    <row r="610">
      <c r="P610" s="161"/>
    </row>
    <row r="611">
      <c r="P611" s="161"/>
    </row>
    <row r="612">
      <c r="P612" s="161"/>
    </row>
    <row r="613">
      <c r="P613" s="161"/>
    </row>
    <row r="614">
      <c r="P614" s="161"/>
    </row>
    <row r="615">
      <c r="P615" s="161"/>
    </row>
    <row r="616">
      <c r="P616" s="161"/>
    </row>
    <row r="617">
      <c r="P617" s="161"/>
    </row>
    <row r="618">
      <c r="P618" s="161"/>
    </row>
    <row r="619">
      <c r="P619" s="161"/>
    </row>
    <row r="620">
      <c r="P620" s="161"/>
    </row>
    <row r="621">
      <c r="P621" s="161"/>
    </row>
    <row r="622">
      <c r="P622" s="161"/>
    </row>
    <row r="623">
      <c r="P623" s="161"/>
    </row>
    <row r="624">
      <c r="P624" s="161"/>
    </row>
    <row r="625">
      <c r="P625" s="161"/>
    </row>
    <row r="626">
      <c r="P626" s="161"/>
    </row>
    <row r="627">
      <c r="P627" s="161"/>
    </row>
    <row r="628">
      <c r="P628" s="161"/>
    </row>
    <row r="629">
      <c r="P629" s="161"/>
    </row>
    <row r="630">
      <c r="P630" s="161"/>
    </row>
    <row r="631">
      <c r="P631" s="161"/>
    </row>
    <row r="632">
      <c r="P632" s="161"/>
    </row>
    <row r="633">
      <c r="P633" s="161"/>
    </row>
    <row r="634">
      <c r="P634" s="161"/>
    </row>
    <row r="635">
      <c r="P635" s="161"/>
    </row>
    <row r="636">
      <c r="P636" s="161"/>
    </row>
    <row r="637">
      <c r="P637" s="161"/>
    </row>
    <row r="638">
      <c r="P638" s="161"/>
    </row>
    <row r="639">
      <c r="P639" s="161"/>
    </row>
    <row r="640">
      <c r="P640" s="161"/>
    </row>
    <row r="641">
      <c r="P641" s="161"/>
    </row>
    <row r="642">
      <c r="P642" s="161"/>
    </row>
    <row r="643">
      <c r="P643" s="161"/>
    </row>
    <row r="644">
      <c r="P644" s="161"/>
    </row>
    <row r="645">
      <c r="P645" s="161"/>
    </row>
    <row r="646">
      <c r="P646" s="161"/>
    </row>
    <row r="647">
      <c r="P647" s="161"/>
    </row>
    <row r="648">
      <c r="P648" s="161"/>
    </row>
    <row r="649">
      <c r="P649" s="161"/>
    </row>
    <row r="650">
      <c r="P650" s="161"/>
    </row>
    <row r="651">
      <c r="P651" s="161"/>
    </row>
    <row r="652">
      <c r="P652" s="161"/>
    </row>
    <row r="653">
      <c r="P653" s="161"/>
    </row>
    <row r="654">
      <c r="P654" s="161"/>
    </row>
    <row r="655">
      <c r="P655" s="161"/>
    </row>
    <row r="656">
      <c r="P656" s="161"/>
    </row>
    <row r="657">
      <c r="P657" s="161"/>
    </row>
    <row r="658">
      <c r="P658" s="161"/>
    </row>
    <row r="659">
      <c r="P659" s="161"/>
    </row>
    <row r="660">
      <c r="P660" s="161"/>
    </row>
    <row r="661">
      <c r="P661" s="161"/>
    </row>
    <row r="662">
      <c r="P662" s="161"/>
    </row>
    <row r="663">
      <c r="P663" s="161"/>
    </row>
    <row r="664">
      <c r="P664" s="161"/>
    </row>
    <row r="665">
      <c r="P665" s="161"/>
    </row>
    <row r="666">
      <c r="P666" s="161"/>
    </row>
    <row r="667">
      <c r="P667" s="161"/>
    </row>
    <row r="668">
      <c r="P668" s="161"/>
    </row>
    <row r="669">
      <c r="P669" s="161"/>
    </row>
    <row r="670">
      <c r="P670" s="161"/>
    </row>
    <row r="671">
      <c r="P671" s="161"/>
    </row>
    <row r="672">
      <c r="P672" s="161"/>
    </row>
    <row r="673">
      <c r="P673" s="161"/>
    </row>
    <row r="674">
      <c r="P674" s="161"/>
    </row>
    <row r="675">
      <c r="P675" s="161"/>
    </row>
    <row r="676">
      <c r="P676" s="161"/>
    </row>
    <row r="677">
      <c r="P677" s="161"/>
    </row>
    <row r="678">
      <c r="P678" s="161"/>
    </row>
    <row r="679">
      <c r="P679" s="161"/>
    </row>
    <row r="680">
      <c r="P680" s="161"/>
    </row>
    <row r="681">
      <c r="P681" s="161"/>
    </row>
    <row r="682">
      <c r="P682" s="161"/>
    </row>
    <row r="683">
      <c r="P683" s="161"/>
    </row>
    <row r="684">
      <c r="P684" s="161"/>
    </row>
    <row r="685">
      <c r="P685" s="161"/>
    </row>
    <row r="686">
      <c r="P686" s="161"/>
    </row>
    <row r="687">
      <c r="P687" s="161"/>
    </row>
    <row r="688">
      <c r="P688" s="161"/>
    </row>
    <row r="689">
      <c r="P689" s="161"/>
    </row>
    <row r="690">
      <c r="P690" s="161"/>
    </row>
    <row r="691">
      <c r="P691" s="161"/>
    </row>
    <row r="692">
      <c r="P692" s="161"/>
    </row>
    <row r="693">
      <c r="P693" s="161"/>
    </row>
    <row r="694">
      <c r="P694" s="161"/>
    </row>
    <row r="695">
      <c r="P695" s="161"/>
    </row>
    <row r="696">
      <c r="P696" s="161"/>
    </row>
    <row r="697">
      <c r="P697" s="161"/>
    </row>
    <row r="698">
      <c r="P698" s="161"/>
    </row>
    <row r="699">
      <c r="P699" s="161"/>
    </row>
    <row r="700">
      <c r="P700" s="161"/>
    </row>
    <row r="701">
      <c r="P701" s="161"/>
    </row>
    <row r="702">
      <c r="P702" s="161"/>
    </row>
    <row r="703">
      <c r="P703" s="161"/>
    </row>
    <row r="704">
      <c r="P704" s="161"/>
    </row>
    <row r="705">
      <c r="P705" s="161"/>
    </row>
    <row r="706">
      <c r="P706" s="161"/>
    </row>
    <row r="707">
      <c r="P707" s="161"/>
    </row>
    <row r="708">
      <c r="P708" s="161"/>
    </row>
    <row r="709">
      <c r="P709" s="161"/>
    </row>
    <row r="710">
      <c r="P710" s="161"/>
    </row>
    <row r="711">
      <c r="P711" s="161"/>
    </row>
    <row r="712">
      <c r="P712" s="161"/>
    </row>
    <row r="713">
      <c r="P713" s="161"/>
    </row>
    <row r="714">
      <c r="P714" s="161"/>
    </row>
    <row r="715">
      <c r="P715" s="161"/>
    </row>
    <row r="716">
      <c r="P716" s="161"/>
    </row>
    <row r="717">
      <c r="P717" s="161"/>
    </row>
    <row r="718">
      <c r="P718" s="161"/>
    </row>
    <row r="719">
      <c r="P719" s="161"/>
    </row>
    <row r="720">
      <c r="P720" s="161"/>
    </row>
    <row r="721">
      <c r="P721" s="161"/>
    </row>
    <row r="722">
      <c r="P722" s="161"/>
    </row>
    <row r="723">
      <c r="P723" s="161"/>
    </row>
    <row r="724">
      <c r="P724" s="161"/>
    </row>
    <row r="725">
      <c r="P725" s="161"/>
    </row>
    <row r="726">
      <c r="P726" s="161"/>
    </row>
    <row r="727">
      <c r="P727" s="161"/>
    </row>
    <row r="728">
      <c r="P728" s="161"/>
    </row>
    <row r="729">
      <c r="P729" s="161"/>
    </row>
    <row r="730">
      <c r="P730" s="161"/>
    </row>
    <row r="731">
      <c r="P731" s="161"/>
    </row>
    <row r="732">
      <c r="P732" s="161"/>
    </row>
    <row r="733">
      <c r="P733" s="161"/>
    </row>
    <row r="734">
      <c r="P734" s="161"/>
    </row>
    <row r="735">
      <c r="P735" s="161"/>
    </row>
    <row r="736">
      <c r="P736" s="161"/>
    </row>
    <row r="737">
      <c r="P737" s="161"/>
    </row>
    <row r="738">
      <c r="P738" s="161"/>
    </row>
    <row r="739">
      <c r="P739" s="161"/>
    </row>
    <row r="740">
      <c r="P740" s="161"/>
    </row>
    <row r="741">
      <c r="P741" s="161"/>
    </row>
    <row r="742">
      <c r="P742" s="161"/>
    </row>
    <row r="743">
      <c r="P743" s="161"/>
    </row>
    <row r="744">
      <c r="P744" s="161"/>
    </row>
    <row r="745">
      <c r="P745" s="161"/>
    </row>
    <row r="746">
      <c r="P746" s="161"/>
    </row>
    <row r="747">
      <c r="P747" s="161"/>
    </row>
    <row r="748">
      <c r="P748" s="161"/>
    </row>
    <row r="749">
      <c r="P749" s="161"/>
    </row>
    <row r="750">
      <c r="P750" s="161"/>
    </row>
    <row r="751">
      <c r="P751" s="161"/>
    </row>
    <row r="752">
      <c r="P752" s="161"/>
    </row>
    <row r="753">
      <c r="P753" s="161"/>
    </row>
    <row r="754">
      <c r="P754" s="161"/>
    </row>
    <row r="755">
      <c r="P755" s="161"/>
    </row>
    <row r="756">
      <c r="P756" s="161"/>
    </row>
    <row r="757">
      <c r="P757" s="161"/>
    </row>
    <row r="758">
      <c r="P758" s="161"/>
    </row>
    <row r="759">
      <c r="P759" s="161"/>
    </row>
    <row r="760">
      <c r="P760" s="161"/>
    </row>
    <row r="761">
      <c r="P761" s="161"/>
    </row>
    <row r="762">
      <c r="P762" s="161"/>
    </row>
    <row r="763">
      <c r="P763" s="161"/>
    </row>
    <row r="764">
      <c r="P764" s="161"/>
    </row>
    <row r="765">
      <c r="P765" s="161"/>
    </row>
    <row r="766">
      <c r="P766" s="161"/>
    </row>
    <row r="767">
      <c r="P767" s="161"/>
    </row>
    <row r="768">
      <c r="P768" s="161"/>
    </row>
    <row r="769">
      <c r="P769" s="161"/>
    </row>
    <row r="770">
      <c r="P770" s="161"/>
    </row>
    <row r="771">
      <c r="P771" s="161"/>
    </row>
    <row r="772">
      <c r="P772" s="161"/>
    </row>
    <row r="773">
      <c r="P773" s="161"/>
    </row>
    <row r="774">
      <c r="P774" s="161"/>
    </row>
    <row r="775">
      <c r="P775" s="161"/>
    </row>
    <row r="776">
      <c r="P776" s="161"/>
    </row>
    <row r="777">
      <c r="P777" s="161"/>
    </row>
    <row r="778">
      <c r="P778" s="161"/>
    </row>
    <row r="779">
      <c r="P779" s="161"/>
    </row>
    <row r="780">
      <c r="P780" s="161"/>
    </row>
    <row r="781">
      <c r="P781" s="161"/>
    </row>
    <row r="782">
      <c r="P782" s="161"/>
    </row>
    <row r="783">
      <c r="P783" s="161"/>
    </row>
    <row r="784">
      <c r="P784" s="161"/>
    </row>
    <row r="785">
      <c r="P785" s="161"/>
    </row>
    <row r="786">
      <c r="P786" s="161"/>
    </row>
    <row r="787">
      <c r="P787" s="161"/>
    </row>
    <row r="788">
      <c r="P788" s="161"/>
    </row>
    <row r="789">
      <c r="P789" s="161"/>
    </row>
    <row r="790">
      <c r="P790" s="161"/>
    </row>
    <row r="791">
      <c r="P791" s="161"/>
    </row>
    <row r="792">
      <c r="P792" s="161"/>
    </row>
    <row r="793">
      <c r="P793" s="161"/>
    </row>
    <row r="794">
      <c r="P794" s="161"/>
    </row>
    <row r="795">
      <c r="P795" s="161"/>
    </row>
    <row r="796">
      <c r="P796" s="161"/>
    </row>
    <row r="797">
      <c r="P797" s="161"/>
    </row>
    <row r="798">
      <c r="P798" s="161"/>
    </row>
    <row r="799">
      <c r="P799" s="161"/>
    </row>
    <row r="800">
      <c r="P800" s="161"/>
    </row>
    <row r="801">
      <c r="P801" s="161"/>
    </row>
    <row r="802">
      <c r="P802" s="161"/>
    </row>
    <row r="803">
      <c r="P803" s="161"/>
    </row>
    <row r="804">
      <c r="P804" s="161"/>
    </row>
    <row r="805">
      <c r="P805" s="161"/>
    </row>
    <row r="806">
      <c r="P806" s="161"/>
    </row>
    <row r="807">
      <c r="P807" s="161"/>
    </row>
    <row r="808">
      <c r="P808" s="161"/>
    </row>
    <row r="809">
      <c r="P809" s="161"/>
    </row>
    <row r="810">
      <c r="P810" s="161"/>
    </row>
    <row r="811">
      <c r="P811" s="161"/>
    </row>
    <row r="812">
      <c r="P812" s="161"/>
    </row>
    <row r="813">
      <c r="P813" s="161"/>
    </row>
    <row r="814">
      <c r="P814" s="161"/>
    </row>
    <row r="815">
      <c r="P815" s="161"/>
    </row>
    <row r="816">
      <c r="P816" s="161"/>
    </row>
    <row r="817">
      <c r="P817" s="161"/>
    </row>
    <row r="818">
      <c r="P818" s="161"/>
    </row>
    <row r="819">
      <c r="P819" s="161"/>
    </row>
    <row r="820">
      <c r="P820" s="161"/>
    </row>
    <row r="821">
      <c r="P821" s="161"/>
    </row>
    <row r="822">
      <c r="P822" s="161"/>
    </row>
    <row r="823">
      <c r="P823" s="161"/>
    </row>
    <row r="824">
      <c r="P824" s="161"/>
    </row>
    <row r="825">
      <c r="P825" s="161"/>
    </row>
    <row r="826">
      <c r="P826" s="161"/>
    </row>
    <row r="827">
      <c r="P827" s="161"/>
    </row>
    <row r="828">
      <c r="P828" s="161"/>
    </row>
    <row r="829">
      <c r="P829" s="161"/>
    </row>
    <row r="830">
      <c r="P830" s="161"/>
    </row>
    <row r="831">
      <c r="P831" s="161"/>
    </row>
    <row r="832">
      <c r="P832" s="161"/>
    </row>
    <row r="833">
      <c r="P833" s="161"/>
    </row>
    <row r="834">
      <c r="P834" s="161"/>
    </row>
    <row r="835">
      <c r="P835" s="161"/>
    </row>
    <row r="836">
      <c r="P836" s="161"/>
    </row>
    <row r="837">
      <c r="P837" s="161"/>
    </row>
    <row r="838">
      <c r="P838" s="161"/>
    </row>
    <row r="839">
      <c r="P839" s="161"/>
    </row>
    <row r="840">
      <c r="P840" s="161"/>
    </row>
    <row r="841">
      <c r="P841" s="161"/>
    </row>
    <row r="842">
      <c r="P842" s="161"/>
    </row>
    <row r="843">
      <c r="P843" s="161"/>
    </row>
    <row r="844">
      <c r="P844" s="161"/>
    </row>
    <row r="845">
      <c r="P845" s="161"/>
    </row>
    <row r="846">
      <c r="P846" s="161"/>
    </row>
    <row r="847">
      <c r="P847" s="161"/>
    </row>
    <row r="848">
      <c r="P848" s="161"/>
    </row>
    <row r="849">
      <c r="P849" s="161"/>
    </row>
    <row r="850">
      <c r="P850" s="161"/>
    </row>
    <row r="851">
      <c r="P851" s="161"/>
    </row>
    <row r="852">
      <c r="P852" s="161"/>
    </row>
    <row r="853">
      <c r="P853" s="161"/>
    </row>
    <row r="854">
      <c r="P854" s="161"/>
    </row>
    <row r="855">
      <c r="P855" s="161"/>
    </row>
    <row r="856">
      <c r="P856" s="161"/>
    </row>
    <row r="857">
      <c r="P857" s="161"/>
    </row>
    <row r="858">
      <c r="P858" s="161"/>
    </row>
    <row r="859">
      <c r="P859" s="161"/>
    </row>
    <row r="860">
      <c r="P860" s="161"/>
    </row>
    <row r="861">
      <c r="P861" s="161"/>
    </row>
    <row r="862">
      <c r="P862" s="161"/>
    </row>
    <row r="863">
      <c r="P863" s="161"/>
    </row>
    <row r="864">
      <c r="P864" s="161"/>
    </row>
    <row r="865">
      <c r="P865" s="161"/>
    </row>
    <row r="866">
      <c r="P866" s="161"/>
    </row>
    <row r="867">
      <c r="P867" s="161"/>
    </row>
    <row r="868">
      <c r="P868" s="161"/>
    </row>
    <row r="869">
      <c r="P869" s="161"/>
    </row>
    <row r="870">
      <c r="P870" s="161"/>
    </row>
    <row r="871">
      <c r="P871" s="161"/>
    </row>
    <row r="872">
      <c r="P872" s="161"/>
    </row>
    <row r="873">
      <c r="P873" s="161"/>
    </row>
    <row r="874">
      <c r="P874" s="161"/>
    </row>
    <row r="875">
      <c r="P875" s="161"/>
    </row>
    <row r="876">
      <c r="P876" s="161"/>
    </row>
    <row r="877">
      <c r="P877" s="161"/>
    </row>
    <row r="878">
      <c r="P878" s="161"/>
    </row>
    <row r="879">
      <c r="P879" s="161"/>
    </row>
    <row r="880">
      <c r="P880" s="161"/>
    </row>
    <row r="881">
      <c r="P881" s="161"/>
    </row>
    <row r="882">
      <c r="P882" s="161"/>
    </row>
    <row r="883">
      <c r="P883" s="161"/>
    </row>
    <row r="884">
      <c r="P884" s="161"/>
    </row>
    <row r="885">
      <c r="P885" s="161"/>
    </row>
    <row r="886">
      <c r="P886" s="161"/>
    </row>
    <row r="887">
      <c r="P887" s="161"/>
    </row>
    <row r="888">
      <c r="P888" s="161"/>
    </row>
    <row r="889">
      <c r="P889" s="161"/>
    </row>
    <row r="890">
      <c r="P890" s="161"/>
    </row>
    <row r="891">
      <c r="P891" s="161"/>
    </row>
    <row r="892">
      <c r="P892" s="161"/>
    </row>
    <row r="893">
      <c r="P893" s="161"/>
    </row>
    <row r="894">
      <c r="P894" s="161"/>
    </row>
    <row r="895">
      <c r="P895" s="161"/>
    </row>
    <row r="896">
      <c r="P896" s="161"/>
    </row>
    <row r="897">
      <c r="P897" s="161"/>
    </row>
    <row r="898">
      <c r="P898" s="161"/>
    </row>
    <row r="899">
      <c r="P899" s="161"/>
    </row>
    <row r="900">
      <c r="P900" s="161"/>
    </row>
    <row r="901">
      <c r="P901" s="161"/>
    </row>
    <row r="902">
      <c r="P902" s="161"/>
    </row>
    <row r="903">
      <c r="P903" s="161"/>
    </row>
    <row r="904">
      <c r="P904" s="161"/>
    </row>
    <row r="905">
      <c r="P905" s="161"/>
    </row>
    <row r="906">
      <c r="P906" s="161"/>
    </row>
    <row r="907">
      <c r="P907" s="161"/>
    </row>
    <row r="908">
      <c r="P908" s="161"/>
    </row>
    <row r="909">
      <c r="P909" s="161"/>
    </row>
    <row r="910">
      <c r="P910" s="161"/>
    </row>
    <row r="911">
      <c r="P911" s="161"/>
    </row>
    <row r="912">
      <c r="P912" s="161"/>
    </row>
    <row r="913">
      <c r="P913" s="161"/>
    </row>
    <row r="914">
      <c r="P914" s="161"/>
    </row>
    <row r="915">
      <c r="P915" s="161"/>
    </row>
    <row r="916">
      <c r="P916" s="161"/>
    </row>
    <row r="917">
      <c r="P917" s="161"/>
    </row>
    <row r="918">
      <c r="P918" s="161"/>
    </row>
    <row r="919">
      <c r="P919" s="161"/>
    </row>
    <row r="920">
      <c r="P920" s="161"/>
    </row>
    <row r="921">
      <c r="P921" s="161"/>
    </row>
    <row r="922">
      <c r="P922" s="161"/>
    </row>
    <row r="923">
      <c r="P923" s="161"/>
    </row>
    <row r="924">
      <c r="P924" s="161"/>
    </row>
    <row r="925">
      <c r="P925" s="161"/>
    </row>
    <row r="926">
      <c r="P926" s="161"/>
    </row>
    <row r="927">
      <c r="P927" s="161"/>
    </row>
    <row r="928">
      <c r="P928" s="161"/>
    </row>
    <row r="929">
      <c r="P929" s="161"/>
    </row>
    <row r="930">
      <c r="P930" s="161"/>
    </row>
    <row r="931">
      <c r="P931" s="161"/>
    </row>
    <row r="932">
      <c r="P932" s="161"/>
    </row>
    <row r="933">
      <c r="P933" s="161"/>
    </row>
    <row r="934">
      <c r="P934" s="161"/>
    </row>
    <row r="935">
      <c r="P935" s="161"/>
    </row>
    <row r="936">
      <c r="P936" s="161"/>
    </row>
    <row r="937">
      <c r="P937" s="161"/>
    </row>
    <row r="938">
      <c r="P938" s="161"/>
    </row>
    <row r="939">
      <c r="P939" s="161"/>
    </row>
    <row r="940">
      <c r="P940" s="161"/>
    </row>
    <row r="941">
      <c r="P941" s="161"/>
    </row>
    <row r="942">
      <c r="P942" s="161"/>
    </row>
    <row r="943">
      <c r="P943" s="161"/>
    </row>
    <row r="944">
      <c r="P944" s="161"/>
    </row>
    <row r="945">
      <c r="P945" s="161"/>
    </row>
    <row r="946">
      <c r="P946" s="161"/>
    </row>
    <row r="947">
      <c r="P947" s="161"/>
    </row>
    <row r="948">
      <c r="P948" s="161"/>
    </row>
    <row r="949">
      <c r="P949" s="161"/>
    </row>
    <row r="950">
      <c r="P950" s="161"/>
    </row>
    <row r="951">
      <c r="P951" s="161"/>
    </row>
    <row r="952">
      <c r="P952" s="161"/>
    </row>
    <row r="953">
      <c r="P953" s="161"/>
    </row>
    <row r="954">
      <c r="P954" s="161"/>
    </row>
    <row r="955">
      <c r="P955" s="161"/>
    </row>
    <row r="956">
      <c r="P956" s="161"/>
    </row>
    <row r="957">
      <c r="P957" s="161"/>
    </row>
    <row r="958">
      <c r="P958" s="161"/>
    </row>
    <row r="959">
      <c r="P959" s="161"/>
    </row>
    <row r="960">
      <c r="P960" s="161"/>
    </row>
    <row r="961">
      <c r="P961" s="161"/>
    </row>
    <row r="962">
      <c r="P962" s="161"/>
    </row>
    <row r="963">
      <c r="P963" s="161"/>
    </row>
    <row r="964">
      <c r="P964" s="161"/>
    </row>
    <row r="965">
      <c r="P965" s="161"/>
    </row>
    <row r="966">
      <c r="P966" s="161"/>
    </row>
    <row r="967">
      <c r="P967" s="161"/>
    </row>
    <row r="968">
      <c r="P968" s="161"/>
    </row>
    <row r="969">
      <c r="P969" s="161"/>
    </row>
    <row r="970">
      <c r="P970" s="161"/>
    </row>
    <row r="971">
      <c r="P971" s="161"/>
    </row>
    <row r="972">
      <c r="P972" s="161"/>
    </row>
    <row r="973">
      <c r="P973" s="161"/>
    </row>
    <row r="974">
      <c r="P974" s="161"/>
    </row>
    <row r="975">
      <c r="P975" s="161"/>
    </row>
    <row r="976">
      <c r="P976" s="161"/>
    </row>
    <row r="977">
      <c r="P977" s="161"/>
    </row>
    <row r="978">
      <c r="P978" s="161"/>
    </row>
    <row r="979">
      <c r="P979" s="161"/>
    </row>
    <row r="980">
      <c r="P980" s="161"/>
    </row>
    <row r="981">
      <c r="P981" s="161"/>
    </row>
    <row r="982">
      <c r="P982" s="161"/>
    </row>
    <row r="983">
      <c r="P983" s="161"/>
    </row>
    <row r="984">
      <c r="P984" s="161"/>
    </row>
    <row r="985">
      <c r="P985" s="161"/>
    </row>
    <row r="986">
      <c r="P986" s="161"/>
    </row>
    <row r="987">
      <c r="P987" s="161"/>
    </row>
    <row r="988">
      <c r="P988" s="161"/>
    </row>
    <row r="989">
      <c r="P989" s="161"/>
    </row>
    <row r="990">
      <c r="P990" s="161"/>
    </row>
    <row r="991">
      <c r="P991" s="161"/>
    </row>
    <row r="992">
      <c r="P992" s="161"/>
    </row>
    <row r="993">
      <c r="P993" s="161"/>
    </row>
    <row r="994">
      <c r="P994" s="161"/>
    </row>
    <row r="995">
      <c r="P995" s="161"/>
    </row>
    <row r="996">
      <c r="P996" s="161"/>
    </row>
    <row r="997">
      <c r="P997" s="161"/>
    </row>
    <row r="998">
      <c r="P998" s="161"/>
    </row>
  </sheetData>
  <customSheetViews>
    <customSheetView guid="{9DC5C3C4-AFDD-406F-8560-4376B76F2AB6}" filter="1" showAutoFilter="1">
      <autoFilter ref="$D$14:$P$97">
        <filterColumn colId="2">
          <filters>
            <filter val="Nazım Öztel"/>
          </filters>
        </filterColumn>
      </autoFilter>
    </customSheetView>
    <customSheetView guid="{90E1DF85-7252-44D2-BA7D-CC3767CD0E8B}" filter="1" showAutoFilter="1">
      <autoFilter ref="$D$14:$P$97"/>
    </customSheetView>
  </customSheetViews>
  <mergeCells count="4">
    <mergeCell ref="D6:M6"/>
    <mergeCell ref="D7:F7"/>
    <mergeCell ref="D9:D12"/>
    <mergeCell ref="F10:O11"/>
  </mergeCells>
  <conditionalFormatting sqref="G15:M97">
    <cfRule type="cellIs" dxfId="1" priority="1" operator="equal">
      <formula>"False"</formula>
    </cfRule>
  </conditionalFormatting>
  <conditionalFormatting sqref="G15:M97">
    <cfRule type="cellIs" dxfId="0" priority="2" operator="equal">
      <formula>"TRUE"</formula>
    </cfRule>
  </conditionalFormatting>
  <conditionalFormatting sqref="E15:E97">
    <cfRule type="notContainsBlanks" dxfId="0" priority="3">
      <formula>LEN(TRIM(E15))&gt;0</formula>
    </cfRule>
  </conditionalFormatting>
  <dataValidations>
    <dataValidation type="list" allowBlank="1" showErrorMessage="1" sqref="E15:E99">
      <formula1>Data!$A$2:$A$100</formula1>
    </dataValidation>
    <dataValidation type="list" allowBlank="1" showErrorMessage="1" sqref="F15:F99">
      <formula1>Data!$C$2:$C$8</formula1>
    </dataValidation>
  </dataValidations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3" width="2.63"/>
    <col customWidth="1" min="4" max="4" width="20.38"/>
    <col customWidth="1" min="5" max="5" width="11.38"/>
    <col customWidth="1" min="6" max="6" width="16.63"/>
    <col customWidth="1" min="7" max="13" width="8.63"/>
    <col customWidth="1" min="14" max="14" width="12.63"/>
    <col customWidth="1" min="15" max="15" width="15.13"/>
    <col customWidth="1" min="16" max="16" width="15.88"/>
    <col customWidth="1" min="17" max="17" width="2.63"/>
  </cols>
  <sheetData>
    <row r="1" ht="7.5" customHeight="1">
      <c r="A1" s="165" t="s">
        <v>347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5"/>
      <c r="O1" s="86"/>
      <c r="P1" s="155"/>
      <c r="Q1" s="86"/>
    </row>
    <row r="2" ht="15.0" customHeight="1">
      <c r="A2" s="87"/>
      <c r="B2" s="87"/>
      <c r="C2" s="87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7"/>
      <c r="P2" s="87"/>
      <c r="Q2" s="87"/>
    </row>
    <row r="3" ht="15.0" customHeight="1">
      <c r="A3" s="87"/>
      <c r="B3" s="87"/>
      <c r="C3" s="87"/>
      <c r="D3" s="88"/>
      <c r="E3" s="88"/>
      <c r="F3" s="88"/>
      <c r="G3" s="91"/>
      <c r="H3" s="91"/>
      <c r="I3" s="91"/>
      <c r="J3" s="91"/>
      <c r="K3" s="91"/>
      <c r="L3" s="91"/>
      <c r="M3" s="91"/>
      <c r="N3" s="91"/>
      <c r="O3" s="87"/>
      <c r="P3" s="87"/>
      <c r="Q3" s="87"/>
    </row>
    <row r="4" ht="3.75" customHeight="1">
      <c r="A4" s="87"/>
      <c r="B4" s="87"/>
      <c r="C4" s="87"/>
      <c r="D4" s="89"/>
      <c r="E4" s="90"/>
      <c r="F4" s="90"/>
      <c r="G4" s="90"/>
      <c r="H4" s="90"/>
      <c r="I4" s="90"/>
      <c r="J4" s="90"/>
      <c r="K4" s="90"/>
      <c r="L4" s="90"/>
      <c r="M4" s="90"/>
      <c r="N4" s="90"/>
      <c r="O4" s="87"/>
      <c r="P4" s="87"/>
      <c r="Q4" s="87"/>
    </row>
    <row r="5" ht="15.0" customHeight="1">
      <c r="A5" s="92"/>
      <c r="B5" s="92"/>
      <c r="C5" s="92"/>
      <c r="D5" s="88"/>
      <c r="E5" s="88"/>
      <c r="F5" s="88"/>
      <c r="G5" s="93"/>
      <c r="H5" s="93"/>
      <c r="I5" s="93"/>
      <c r="J5" s="93"/>
      <c r="K5" s="93"/>
      <c r="L5" s="93"/>
      <c r="M5" s="93"/>
      <c r="N5" s="94"/>
      <c r="O5" s="88"/>
      <c r="P5" s="92"/>
      <c r="Q5" s="92"/>
    </row>
    <row r="6" ht="15.0" customHeight="1">
      <c r="A6" s="92"/>
      <c r="B6" s="92"/>
      <c r="C6" s="92"/>
      <c r="D6" s="95" t="s">
        <v>391</v>
      </c>
      <c r="N6" s="94"/>
      <c r="O6" s="88"/>
      <c r="P6" s="92"/>
      <c r="Q6" s="92"/>
    </row>
    <row r="7" ht="15.0" customHeight="1">
      <c r="A7" s="92"/>
      <c r="B7" s="92"/>
      <c r="C7" s="92"/>
      <c r="D7" s="96"/>
      <c r="G7" s="97"/>
      <c r="H7" s="97"/>
      <c r="I7" s="97"/>
      <c r="J7" s="97"/>
      <c r="K7" s="97"/>
      <c r="L7" s="97"/>
      <c r="M7" s="97"/>
      <c r="N7" s="92"/>
      <c r="O7" s="92"/>
      <c r="P7" s="92"/>
      <c r="Q7" s="92"/>
    </row>
    <row r="8" ht="15.0" customHeight="1">
      <c r="A8" s="92"/>
      <c r="B8" s="92"/>
      <c r="C8" s="92"/>
      <c r="D8" s="97"/>
      <c r="E8" s="97"/>
      <c r="F8" s="97"/>
      <c r="G8" s="97"/>
      <c r="H8" s="97"/>
      <c r="I8" s="97"/>
      <c r="J8" s="97"/>
      <c r="K8" s="97"/>
      <c r="L8" s="97"/>
      <c r="M8" s="97"/>
      <c r="N8" s="92"/>
      <c r="O8" s="92"/>
      <c r="P8" s="92"/>
      <c r="Q8" s="92"/>
    </row>
    <row r="9" ht="15.0" customHeight="1">
      <c r="A9" s="92"/>
      <c r="B9" s="92"/>
      <c r="C9" s="98"/>
      <c r="D9" s="99" t="s">
        <v>35</v>
      </c>
      <c r="E9" s="100"/>
      <c r="F9" s="101"/>
      <c r="G9" s="101"/>
      <c r="H9" s="101"/>
      <c r="I9" s="101"/>
      <c r="J9" s="101"/>
      <c r="K9" s="101"/>
      <c r="L9" s="101"/>
      <c r="M9" s="101"/>
      <c r="N9" s="101"/>
      <c r="O9" s="100"/>
      <c r="P9" s="102"/>
      <c r="Q9" s="102"/>
    </row>
    <row r="10" ht="15.0" customHeight="1">
      <c r="A10" s="92"/>
      <c r="B10" s="92"/>
      <c r="C10" s="98"/>
      <c r="E10" s="100"/>
      <c r="F10" s="103" t="s">
        <v>36</v>
      </c>
      <c r="P10" s="102"/>
      <c r="Q10" s="102"/>
    </row>
    <row r="11" ht="15.0" customHeight="1">
      <c r="A11" s="92"/>
      <c r="B11" s="92"/>
      <c r="C11" s="98"/>
      <c r="E11" s="100"/>
      <c r="P11" s="102"/>
      <c r="Q11" s="102"/>
    </row>
    <row r="12" ht="15.0" customHeight="1">
      <c r="A12" s="88"/>
      <c r="B12" s="92"/>
      <c r="C12" s="92"/>
      <c r="E12" s="100"/>
      <c r="F12" s="100"/>
      <c r="G12" s="100"/>
      <c r="H12" s="100"/>
      <c r="I12" s="100"/>
      <c r="J12" s="100"/>
      <c r="K12" s="100"/>
      <c r="L12" s="100"/>
      <c r="M12" s="100"/>
      <c r="N12" s="100"/>
      <c r="O12" s="100"/>
      <c r="P12" s="102"/>
      <c r="Q12" s="102"/>
    </row>
    <row r="13" ht="15.0" customHeight="1">
      <c r="A13" s="88"/>
      <c r="B13" s="104"/>
      <c r="C13" s="104"/>
      <c r="D13" s="104"/>
      <c r="E13" s="104"/>
      <c r="F13" s="105"/>
      <c r="G13" s="105"/>
      <c r="H13" s="105"/>
      <c r="I13" s="105"/>
      <c r="J13" s="105"/>
      <c r="K13" s="105"/>
      <c r="L13" s="105"/>
      <c r="M13" s="105"/>
      <c r="N13" s="104"/>
      <c r="O13" s="104"/>
      <c r="P13" s="104"/>
      <c r="Q13" s="104"/>
    </row>
    <row r="14" ht="15.0" customHeight="1">
      <c r="A14" s="106"/>
      <c r="B14" s="106"/>
      <c r="C14" s="106"/>
      <c r="D14" s="107" t="s">
        <v>37</v>
      </c>
      <c r="E14" s="108" t="s">
        <v>38</v>
      </c>
      <c r="F14" s="109" t="s">
        <v>39</v>
      </c>
      <c r="G14" s="110">
        <v>44704.0</v>
      </c>
      <c r="H14" s="110">
        <v>44705.0</v>
      </c>
      <c r="I14" s="110">
        <v>44706.0</v>
      </c>
      <c r="J14" s="110">
        <v>44707.0</v>
      </c>
      <c r="K14" s="110">
        <v>44708.0</v>
      </c>
      <c r="L14" s="110">
        <v>44709.0</v>
      </c>
      <c r="M14" s="110">
        <v>44710.0</v>
      </c>
      <c r="N14" s="111" t="s">
        <v>40</v>
      </c>
      <c r="O14" s="111" t="s">
        <v>41</v>
      </c>
      <c r="P14" s="156" t="s">
        <v>281</v>
      </c>
      <c r="Q14" s="88"/>
    </row>
    <row r="15" ht="15.0" customHeight="1">
      <c r="A15" s="112"/>
      <c r="B15" s="112"/>
      <c r="C15" s="112"/>
      <c r="D15" s="129" t="s">
        <v>371</v>
      </c>
      <c r="E15" s="114" t="s">
        <v>372</v>
      </c>
      <c r="F15" s="115" t="s">
        <v>61</v>
      </c>
      <c r="G15" s="116" t="b">
        <v>0</v>
      </c>
      <c r="H15" s="116" t="b">
        <v>0</v>
      </c>
      <c r="I15" s="116" t="b">
        <v>0</v>
      </c>
      <c r="J15" s="116" t="b">
        <v>0</v>
      </c>
      <c r="K15" s="116" t="b">
        <v>0</v>
      </c>
      <c r="L15" s="116" t="b">
        <v>0</v>
      </c>
      <c r="M15" s="116" t="b">
        <v>0</v>
      </c>
      <c r="N15" s="117">
        <f t="shared" ref="N15:N19" si="1">COUNTIF(G15:M15,"TRUE")</f>
        <v>0</v>
      </c>
      <c r="O15" s="117">
        <f t="shared" ref="O15:O19" si="2">N15*4</f>
        <v>0</v>
      </c>
      <c r="P15" s="157" t="s">
        <v>314</v>
      </c>
      <c r="Q15" s="112"/>
    </row>
    <row r="16" ht="15.0" customHeight="1">
      <c r="A16" s="112"/>
      <c r="B16" s="112"/>
      <c r="C16" s="112"/>
      <c r="D16" s="129" t="s">
        <v>271</v>
      </c>
      <c r="E16" s="114" t="str">
        <f>VLOOKUP(D16,Data!H:I,2,0)</f>
        <v>Adıyaman</v>
      </c>
      <c r="F16" s="115" t="str">
        <f>VLOOKUP(D16,Data!H:J,3,0)</f>
        <v>Nazım Öztel</v>
      </c>
      <c r="G16" s="116" t="b">
        <v>0</v>
      </c>
      <c r="H16" s="116" t="b">
        <v>0</v>
      </c>
      <c r="I16" s="116" t="b">
        <v>0</v>
      </c>
      <c r="J16" s="116" t="b">
        <v>0</v>
      </c>
      <c r="K16" s="116" t="b">
        <v>0</v>
      </c>
      <c r="L16" s="116" t="b">
        <v>0</v>
      </c>
      <c r="M16" s="116" t="b">
        <v>0</v>
      </c>
      <c r="N16" s="117">
        <f t="shared" si="1"/>
        <v>0</v>
      </c>
      <c r="O16" s="117">
        <f t="shared" si="2"/>
        <v>0</v>
      </c>
      <c r="P16" s="157" t="s">
        <v>314</v>
      </c>
      <c r="Q16" s="88"/>
    </row>
    <row r="17" ht="15.0" customHeight="1">
      <c r="A17" s="112"/>
      <c r="B17" s="112"/>
      <c r="C17" s="112"/>
      <c r="D17" s="129" t="s">
        <v>279</v>
      </c>
      <c r="E17" s="114" t="str">
        <f>VLOOKUP(D17,Data!H:I,2,0)</f>
        <v>Amasya</v>
      </c>
      <c r="F17" s="115" t="str">
        <f>VLOOKUP(D17,Data!H:J,3,0)</f>
        <v>Nazım Öztel</v>
      </c>
      <c r="G17" s="116" t="b">
        <v>0</v>
      </c>
      <c r="H17" s="116" t="b">
        <v>0</v>
      </c>
      <c r="I17" s="116" t="b">
        <v>0</v>
      </c>
      <c r="J17" s="116" t="b">
        <v>0</v>
      </c>
      <c r="K17" s="116" t="b">
        <v>0</v>
      </c>
      <c r="L17" s="116" t="b">
        <v>0</v>
      </c>
      <c r="M17" s="116" t="b">
        <v>0</v>
      </c>
      <c r="N17" s="117">
        <f t="shared" si="1"/>
        <v>0</v>
      </c>
      <c r="O17" s="117">
        <f t="shared" si="2"/>
        <v>0</v>
      </c>
      <c r="P17" s="157" t="s">
        <v>314</v>
      </c>
      <c r="Q17" s="88"/>
    </row>
    <row r="18" ht="15.0" customHeight="1">
      <c r="A18" s="112"/>
      <c r="B18" s="112"/>
      <c r="C18" s="112"/>
      <c r="D18" s="129" t="s">
        <v>287</v>
      </c>
      <c r="E18" s="114" t="str">
        <f>VLOOKUP(D18,Data!H:I,2,0)</f>
        <v>Ankara</v>
      </c>
      <c r="F18" s="115" t="str">
        <f>VLOOKUP(D18,Data!H:J,3,0)</f>
        <v>Nazım Öztel</v>
      </c>
      <c r="G18" s="116" t="b">
        <v>0</v>
      </c>
      <c r="H18" s="116" t="b">
        <v>0</v>
      </c>
      <c r="I18" s="116" t="b">
        <v>0</v>
      </c>
      <c r="J18" s="116" t="b">
        <v>0</v>
      </c>
      <c r="K18" s="116" t="b">
        <v>0</v>
      </c>
      <c r="L18" s="116" t="b">
        <v>0</v>
      </c>
      <c r="M18" s="116" t="b">
        <v>0</v>
      </c>
      <c r="N18" s="117">
        <f t="shared" si="1"/>
        <v>0</v>
      </c>
      <c r="O18" s="117">
        <f t="shared" si="2"/>
        <v>0</v>
      </c>
      <c r="P18" s="157" t="s">
        <v>386</v>
      </c>
      <c r="Q18" s="88"/>
    </row>
    <row r="19" ht="15.0" customHeight="1">
      <c r="A19" s="112"/>
      <c r="B19" s="112"/>
      <c r="C19" s="112"/>
      <c r="D19" s="129" t="s">
        <v>261</v>
      </c>
      <c r="E19" s="114" t="str">
        <f>VLOOKUP(D19,Data!H:I,2,0)</f>
        <v>Ankara</v>
      </c>
      <c r="F19" s="115" t="str">
        <f>VLOOKUP(D19,Data!H:J,3,0)</f>
        <v>Nazım Öztel</v>
      </c>
      <c r="G19" s="116" t="b">
        <v>0</v>
      </c>
      <c r="H19" s="116" t="b">
        <v>0</v>
      </c>
      <c r="I19" s="116" t="b">
        <v>0</v>
      </c>
      <c r="J19" s="116" t="b">
        <v>0</v>
      </c>
      <c r="K19" s="116" t="b">
        <v>0</v>
      </c>
      <c r="L19" s="116" t="b">
        <v>0</v>
      </c>
      <c r="M19" s="116" t="b">
        <v>0</v>
      </c>
      <c r="N19" s="117">
        <f t="shared" si="1"/>
        <v>0</v>
      </c>
      <c r="O19" s="117">
        <f t="shared" si="2"/>
        <v>0</v>
      </c>
      <c r="P19" s="157" t="s">
        <v>329</v>
      </c>
      <c r="Q19" s="88"/>
    </row>
    <row r="20" ht="15.0" customHeight="1">
      <c r="A20" s="112"/>
      <c r="B20" s="112"/>
      <c r="C20" s="112"/>
      <c r="D20" s="129" t="s">
        <v>392</v>
      </c>
      <c r="E20" s="114" t="s">
        <v>393</v>
      </c>
      <c r="F20" s="115"/>
      <c r="G20" s="116" t="b">
        <v>1</v>
      </c>
      <c r="H20" s="116" t="b">
        <v>1</v>
      </c>
      <c r="I20" s="116" t="b">
        <v>1</v>
      </c>
      <c r="J20" s="116" t="b">
        <v>1</v>
      </c>
      <c r="K20" s="116" t="b">
        <v>1</v>
      </c>
      <c r="L20" s="116" t="b">
        <v>0</v>
      </c>
      <c r="M20" s="116" t="b">
        <v>0</v>
      </c>
      <c r="N20" s="117">
        <v>5.0</v>
      </c>
      <c r="O20" s="117">
        <v>20.0</v>
      </c>
      <c r="P20" s="157"/>
      <c r="Q20" s="88"/>
    </row>
    <row r="21" ht="15.0" customHeight="1">
      <c r="A21" s="106"/>
      <c r="B21" s="106"/>
      <c r="C21" s="106"/>
      <c r="D21" s="129" t="s">
        <v>164</v>
      </c>
      <c r="E21" s="114" t="str">
        <f>VLOOKUP(D21,Data!H:I,2,0)</f>
        <v>Antalya</v>
      </c>
      <c r="F21" s="115" t="str">
        <f>VLOOKUP(D21,Data!H:J,3,0)</f>
        <v>Nazım Öztel</v>
      </c>
      <c r="G21" s="116" t="b">
        <v>0</v>
      </c>
      <c r="H21" s="116" t="b">
        <v>0</v>
      </c>
      <c r="I21" s="116" t="b">
        <v>0</v>
      </c>
      <c r="J21" s="116" t="b">
        <v>0</v>
      </c>
      <c r="K21" s="116" t="b">
        <v>0</v>
      </c>
      <c r="L21" s="116" t="b">
        <v>0</v>
      </c>
      <c r="M21" s="116" t="b">
        <v>0</v>
      </c>
      <c r="N21" s="117">
        <f>COUNTIF(G21:M21,"TRUE")</f>
        <v>0</v>
      </c>
      <c r="O21" s="117">
        <f>N21*4</f>
        <v>0</v>
      </c>
      <c r="P21" s="157" t="s">
        <v>394</v>
      </c>
      <c r="Q21" s="106"/>
    </row>
    <row r="22" ht="15.0" customHeight="1">
      <c r="A22" s="106"/>
      <c r="B22" s="106"/>
      <c r="C22" s="106"/>
      <c r="D22" s="129" t="s">
        <v>395</v>
      </c>
      <c r="E22" s="114" t="s">
        <v>110</v>
      </c>
      <c r="F22" s="115"/>
      <c r="G22" s="116" t="b">
        <v>1</v>
      </c>
      <c r="H22" s="116" t="b">
        <v>0</v>
      </c>
      <c r="I22" s="116" t="b">
        <v>0</v>
      </c>
      <c r="J22" s="116" t="b">
        <v>1</v>
      </c>
      <c r="K22" s="116" t="b">
        <v>0</v>
      </c>
      <c r="L22" s="116" t="b">
        <v>0</v>
      </c>
      <c r="M22" s="116" t="b">
        <v>0</v>
      </c>
      <c r="N22" s="117"/>
      <c r="O22" s="117"/>
      <c r="P22" s="157"/>
      <c r="Q22" s="106"/>
    </row>
    <row r="23" ht="15.0" customHeight="1">
      <c r="A23" s="106"/>
      <c r="B23" s="106"/>
      <c r="C23" s="106"/>
      <c r="D23" s="163" t="s">
        <v>373</v>
      </c>
      <c r="E23" s="114" t="s">
        <v>262</v>
      </c>
      <c r="F23" s="115"/>
      <c r="G23" s="116" t="b">
        <v>1</v>
      </c>
      <c r="H23" s="116" t="b">
        <v>1</v>
      </c>
      <c r="I23" s="116" t="b">
        <v>1</v>
      </c>
      <c r="J23" s="116" t="b">
        <v>1</v>
      </c>
      <c r="K23" s="116" t="b">
        <v>1</v>
      </c>
      <c r="L23" s="116" t="b">
        <v>0</v>
      </c>
      <c r="M23" s="116" t="b">
        <v>0</v>
      </c>
      <c r="N23" s="117">
        <f t="shared" ref="N23:N26" si="3">COUNTIF(G23:M23,"TRUE")</f>
        <v>5</v>
      </c>
      <c r="O23" s="117">
        <f t="shared" ref="O23:O26" si="4">N23*4</f>
        <v>20</v>
      </c>
      <c r="P23" s="157"/>
      <c r="Q23" s="106"/>
    </row>
    <row r="24" ht="15.0" customHeight="1">
      <c r="A24" s="112"/>
      <c r="B24" s="112"/>
      <c r="C24" s="112"/>
      <c r="D24" s="129" t="s">
        <v>241</v>
      </c>
      <c r="E24" s="114" t="s">
        <v>184</v>
      </c>
      <c r="F24" s="115" t="s">
        <v>61</v>
      </c>
      <c r="G24" s="116" t="b">
        <v>0</v>
      </c>
      <c r="H24" s="116" t="b">
        <v>0</v>
      </c>
      <c r="I24" s="116" t="b">
        <v>0</v>
      </c>
      <c r="J24" s="116" t="b">
        <v>0</v>
      </c>
      <c r="K24" s="116" t="b">
        <v>0</v>
      </c>
      <c r="L24" s="116" t="b">
        <v>0</v>
      </c>
      <c r="M24" s="116" t="b">
        <v>0</v>
      </c>
      <c r="N24" s="117">
        <f t="shared" si="3"/>
        <v>0</v>
      </c>
      <c r="O24" s="117">
        <f t="shared" si="4"/>
        <v>0</v>
      </c>
      <c r="P24" s="158" t="s">
        <v>359</v>
      </c>
      <c r="Q24" s="112"/>
    </row>
    <row r="25" ht="15.0" customHeight="1">
      <c r="A25" s="112"/>
      <c r="B25" s="112"/>
      <c r="C25" s="112"/>
      <c r="D25" s="129" t="s">
        <v>333</v>
      </c>
      <c r="E25" s="114" t="s">
        <v>357</v>
      </c>
      <c r="F25" s="115" t="s">
        <v>61</v>
      </c>
      <c r="G25" s="116" t="b">
        <v>0</v>
      </c>
      <c r="H25" s="116" t="b">
        <v>0</v>
      </c>
      <c r="I25" s="116" t="b">
        <v>0</v>
      </c>
      <c r="J25" s="116" t="b">
        <v>0</v>
      </c>
      <c r="K25" s="116" t="b">
        <v>0</v>
      </c>
      <c r="L25" s="116" t="b">
        <v>0</v>
      </c>
      <c r="M25" s="116" t="b">
        <v>0</v>
      </c>
      <c r="N25" s="117">
        <f t="shared" si="3"/>
        <v>0</v>
      </c>
      <c r="O25" s="117">
        <f t="shared" si="4"/>
        <v>0</v>
      </c>
      <c r="P25" s="157" t="s">
        <v>360</v>
      </c>
      <c r="Q25" s="112"/>
    </row>
    <row r="26" ht="15.0" customHeight="1">
      <c r="A26" s="112"/>
      <c r="B26" s="112"/>
      <c r="C26" s="112"/>
      <c r="D26" s="169" t="s">
        <v>387</v>
      </c>
      <c r="E26" s="114" t="s">
        <v>375</v>
      </c>
      <c r="F26" s="115"/>
      <c r="G26" s="116" t="b">
        <v>0</v>
      </c>
      <c r="H26" s="116" t="b">
        <v>0</v>
      </c>
      <c r="I26" s="116" t="b">
        <v>0</v>
      </c>
      <c r="J26" s="116" t="b">
        <v>0</v>
      </c>
      <c r="K26" s="116" t="b">
        <v>0</v>
      </c>
      <c r="L26" s="116" t="b">
        <v>0</v>
      </c>
      <c r="M26" s="116" t="b">
        <v>0</v>
      </c>
      <c r="N26" s="117">
        <f t="shared" si="3"/>
        <v>0</v>
      </c>
      <c r="O26" s="117">
        <f t="shared" si="4"/>
        <v>0</v>
      </c>
      <c r="P26" s="157"/>
      <c r="Q26" s="112"/>
    </row>
    <row r="27" ht="15.0" customHeight="1">
      <c r="A27" s="112"/>
      <c r="B27" s="112"/>
      <c r="C27" s="112"/>
      <c r="D27" s="170" t="s">
        <v>396</v>
      </c>
      <c r="E27" s="114" t="s">
        <v>375</v>
      </c>
      <c r="F27" s="115"/>
      <c r="G27" s="116" t="b">
        <v>0</v>
      </c>
      <c r="H27" s="116" t="b">
        <v>0</v>
      </c>
      <c r="I27" s="116" t="b">
        <v>0</v>
      </c>
      <c r="J27" s="116" t="b">
        <v>0</v>
      </c>
      <c r="K27" s="116" t="b">
        <v>0</v>
      </c>
      <c r="L27" s="116" t="b">
        <v>0</v>
      </c>
      <c r="M27" s="116" t="b">
        <v>0</v>
      </c>
      <c r="N27" s="117"/>
      <c r="O27" s="117"/>
      <c r="P27" s="157" t="s">
        <v>361</v>
      </c>
      <c r="Q27" s="112"/>
    </row>
    <row r="28" ht="15.0" customHeight="1">
      <c r="A28" s="112"/>
      <c r="B28" s="112"/>
      <c r="C28" s="112"/>
      <c r="D28" s="129" t="s">
        <v>247</v>
      </c>
      <c r="E28" s="114" t="str">
        <f>VLOOKUP(D28,Data!H:I,2,0)</f>
        <v>Çanakkale</v>
      </c>
      <c r="F28" s="115" t="str">
        <f>VLOOKUP(D28,Data!H:J,3,0)</f>
        <v>Nazım Öztel</v>
      </c>
      <c r="G28" s="116" t="b">
        <v>0</v>
      </c>
      <c r="H28" s="116" t="b">
        <v>0</v>
      </c>
      <c r="I28" s="116" t="b">
        <v>0</v>
      </c>
      <c r="J28" s="116" t="b">
        <v>0</v>
      </c>
      <c r="K28" s="116" t="b">
        <v>0</v>
      </c>
      <c r="L28" s="116" t="b">
        <v>0</v>
      </c>
      <c r="M28" s="116" t="b">
        <v>0</v>
      </c>
      <c r="N28" s="117">
        <f t="shared" ref="N28:N39" si="5">COUNTIF(G28:M28,"TRUE")</f>
        <v>0</v>
      </c>
      <c r="O28" s="117">
        <f t="shared" ref="O28:O39" si="6">N28*4</f>
        <v>0</v>
      </c>
      <c r="P28" s="157" t="s">
        <v>309</v>
      </c>
      <c r="Q28" s="112"/>
    </row>
    <row r="29" ht="15.0" customHeight="1">
      <c r="A29" s="112"/>
      <c r="B29" s="112"/>
      <c r="C29" s="112"/>
      <c r="D29" s="129" t="s">
        <v>221</v>
      </c>
      <c r="E29" s="114" t="str">
        <f>VLOOKUP(D29,Data!H:I,2,0)</f>
        <v>Çorum</v>
      </c>
      <c r="F29" s="115" t="str">
        <f>VLOOKUP(D29,Data!H:J,3,0)</f>
        <v>Nazım Öztel</v>
      </c>
      <c r="G29" s="116" t="b">
        <v>0</v>
      </c>
      <c r="H29" s="116" t="b">
        <v>0</v>
      </c>
      <c r="I29" s="116" t="b">
        <v>0</v>
      </c>
      <c r="J29" s="116" t="b">
        <v>0</v>
      </c>
      <c r="K29" s="116" t="b">
        <v>0</v>
      </c>
      <c r="L29" s="116" t="b">
        <v>0</v>
      </c>
      <c r="M29" s="116" t="b">
        <v>0</v>
      </c>
      <c r="N29" s="117">
        <f t="shared" si="5"/>
        <v>0</v>
      </c>
      <c r="O29" s="117">
        <f t="shared" si="6"/>
        <v>0</v>
      </c>
      <c r="P29" s="157" t="s">
        <v>314</v>
      </c>
      <c r="Q29" s="112"/>
    </row>
    <row r="30" ht="15.0" customHeight="1">
      <c r="A30" s="112"/>
      <c r="B30" s="112"/>
      <c r="C30" s="112"/>
      <c r="D30" s="129" t="s">
        <v>264</v>
      </c>
      <c r="E30" s="114" t="str">
        <f>VLOOKUP(D30,Data!H:I,2,0)</f>
        <v>Denizli</v>
      </c>
      <c r="F30" s="115" t="str">
        <f>VLOOKUP(D30,Data!H:J,3,0)</f>
        <v>Nazım Öztel</v>
      </c>
      <c r="G30" s="116" t="b">
        <v>0</v>
      </c>
      <c r="H30" s="116" t="b">
        <v>0</v>
      </c>
      <c r="I30" s="116" t="b">
        <v>0</v>
      </c>
      <c r="J30" s="116" t="b">
        <v>0</v>
      </c>
      <c r="K30" s="116" t="b">
        <v>0</v>
      </c>
      <c r="L30" s="116" t="b">
        <v>0</v>
      </c>
      <c r="M30" s="116" t="b">
        <v>0</v>
      </c>
      <c r="N30" s="117">
        <f t="shared" si="5"/>
        <v>0</v>
      </c>
      <c r="O30" s="117">
        <f t="shared" si="6"/>
        <v>0</v>
      </c>
      <c r="P30" s="157" t="s">
        <v>361</v>
      </c>
      <c r="Q30" s="112"/>
    </row>
    <row r="31" ht="15.0" customHeight="1">
      <c r="A31" s="112"/>
      <c r="B31" s="112"/>
      <c r="C31" s="112"/>
      <c r="D31" s="132" t="s">
        <v>54</v>
      </c>
      <c r="E31" s="114" t="str">
        <f>VLOOKUP(D31,Data!H:I,2,0)</f>
        <v>Diyarbakır</v>
      </c>
      <c r="F31" s="115" t="str">
        <f>VLOOKUP(D31,Data!H:J,3,0)</f>
        <v>Nazım Öztel</v>
      </c>
      <c r="G31" s="116" t="b">
        <v>0</v>
      </c>
      <c r="H31" s="116" t="b">
        <v>0</v>
      </c>
      <c r="I31" s="116" t="b">
        <v>0</v>
      </c>
      <c r="J31" s="116" t="b">
        <v>0</v>
      </c>
      <c r="K31" s="116" t="b">
        <v>0</v>
      </c>
      <c r="L31" s="116" t="b">
        <v>0</v>
      </c>
      <c r="M31" s="116" t="b">
        <v>0</v>
      </c>
      <c r="N31" s="117">
        <f t="shared" si="5"/>
        <v>0</v>
      </c>
      <c r="O31" s="117">
        <f t="shared" si="6"/>
        <v>0</v>
      </c>
      <c r="P31" s="157" t="s">
        <v>299</v>
      </c>
      <c r="Q31" s="112"/>
    </row>
    <row r="32" ht="15.0" customHeight="1">
      <c r="A32" s="112"/>
      <c r="B32" s="112"/>
      <c r="C32" s="112"/>
      <c r="D32" s="129" t="s">
        <v>173</v>
      </c>
      <c r="E32" s="114" t="str">
        <f>VLOOKUP(D32,Data!H:I,2,0)</f>
        <v>Düzce</v>
      </c>
      <c r="F32" s="115" t="str">
        <f>VLOOKUP(D32,Data!H:J,3,0)</f>
        <v>Nazım Öztel</v>
      </c>
      <c r="G32" s="116" t="b">
        <v>0</v>
      </c>
      <c r="H32" s="116" t="b">
        <v>0</v>
      </c>
      <c r="I32" s="116" t="b">
        <v>0</v>
      </c>
      <c r="J32" s="116" t="b">
        <v>0</v>
      </c>
      <c r="K32" s="116" t="b">
        <v>0</v>
      </c>
      <c r="L32" s="116" t="b">
        <v>0</v>
      </c>
      <c r="M32" s="116" t="b">
        <v>0</v>
      </c>
      <c r="N32" s="117">
        <f t="shared" si="5"/>
        <v>0</v>
      </c>
      <c r="O32" s="117">
        <f t="shared" si="6"/>
        <v>0</v>
      </c>
      <c r="P32" s="157" t="s">
        <v>314</v>
      </c>
      <c r="Q32" s="112"/>
    </row>
    <row r="33" ht="15.0" customHeight="1">
      <c r="A33" s="112"/>
      <c r="B33" s="112"/>
      <c r="C33" s="112"/>
      <c r="D33" s="129" t="s">
        <v>199</v>
      </c>
      <c r="E33" s="114" t="str">
        <f>VLOOKUP(D33,Data!H:I,2,0)</f>
        <v>Elazığ</v>
      </c>
      <c r="F33" s="115" t="str">
        <f>VLOOKUP(D33,Data!H:J,3,0)</f>
        <v>Nazım Öztel</v>
      </c>
      <c r="G33" s="116" t="b">
        <v>0</v>
      </c>
      <c r="H33" s="116" t="b">
        <v>0</v>
      </c>
      <c r="I33" s="116" t="b">
        <v>0</v>
      </c>
      <c r="J33" s="116" t="b">
        <v>0</v>
      </c>
      <c r="K33" s="116" t="b">
        <v>0</v>
      </c>
      <c r="L33" s="116" t="b">
        <v>0</v>
      </c>
      <c r="M33" s="116" t="b">
        <v>0</v>
      </c>
      <c r="N33" s="117">
        <f t="shared" si="5"/>
        <v>0</v>
      </c>
      <c r="O33" s="117">
        <f t="shared" si="6"/>
        <v>0</v>
      </c>
      <c r="P33" s="157" t="s">
        <v>314</v>
      </c>
      <c r="Q33" s="112"/>
    </row>
    <row r="34" ht="15.0" customHeight="1">
      <c r="A34" s="112"/>
      <c r="B34" s="112"/>
      <c r="C34" s="112"/>
      <c r="D34" s="132" t="s">
        <v>55</v>
      </c>
      <c r="E34" s="114" t="str">
        <f>VLOOKUP(D34,Data!H:I,2,0)</f>
        <v>Erzurum</v>
      </c>
      <c r="F34" s="115" t="str">
        <f>VLOOKUP(D34,Data!H:J,3,0)</f>
        <v>Nazım Öztel</v>
      </c>
      <c r="G34" s="116" t="b">
        <v>0</v>
      </c>
      <c r="H34" s="116" t="b">
        <v>0</v>
      </c>
      <c r="I34" s="116" t="b">
        <v>0</v>
      </c>
      <c r="J34" s="116" t="b">
        <v>0</v>
      </c>
      <c r="K34" s="116" t="b">
        <v>0</v>
      </c>
      <c r="L34" s="116" t="b">
        <v>0</v>
      </c>
      <c r="M34" s="116" t="b">
        <v>0</v>
      </c>
      <c r="N34" s="117">
        <f t="shared" si="5"/>
        <v>0</v>
      </c>
      <c r="O34" s="117">
        <f t="shared" si="6"/>
        <v>0</v>
      </c>
      <c r="P34" s="157" t="s">
        <v>314</v>
      </c>
      <c r="Q34" s="112"/>
    </row>
    <row r="35" ht="15.0" customHeight="1">
      <c r="A35" s="112"/>
      <c r="B35" s="112"/>
      <c r="C35" s="112"/>
      <c r="D35" s="129" t="s">
        <v>165</v>
      </c>
      <c r="E35" s="114" t="str">
        <f>VLOOKUP(D35,Data!H:I,2,0)</f>
        <v>Eskişehir</v>
      </c>
      <c r="F35" s="115" t="str">
        <f>VLOOKUP(D35,Data!H:J,3,0)</f>
        <v>Nazım Öztel</v>
      </c>
      <c r="G35" s="116" t="b">
        <v>0</v>
      </c>
      <c r="H35" s="116" t="b">
        <v>0</v>
      </c>
      <c r="I35" s="116" t="b">
        <v>0</v>
      </c>
      <c r="J35" s="116" t="b">
        <v>0</v>
      </c>
      <c r="K35" s="116" t="b">
        <v>0</v>
      </c>
      <c r="L35" s="116" t="b">
        <v>0</v>
      </c>
      <c r="M35" s="116" t="b">
        <v>0</v>
      </c>
      <c r="N35" s="117">
        <f t="shared" si="5"/>
        <v>0</v>
      </c>
      <c r="O35" s="117">
        <f t="shared" si="6"/>
        <v>0</v>
      </c>
      <c r="P35" s="157" t="s">
        <v>361</v>
      </c>
      <c r="Q35" s="112"/>
    </row>
    <row r="36" ht="15.0" customHeight="1">
      <c r="A36" s="112"/>
      <c r="B36" s="112"/>
      <c r="C36" s="112"/>
      <c r="D36" s="129" t="s">
        <v>273</v>
      </c>
      <c r="E36" s="114" t="str">
        <f>VLOOKUP(D36,Data!H:I,2,0)</f>
        <v>Gaziantep</v>
      </c>
      <c r="F36" s="115" t="str">
        <f>VLOOKUP(D36,Data!H:J,3,0)</f>
        <v>Nazım Öztel</v>
      </c>
      <c r="G36" s="116" t="b">
        <v>0</v>
      </c>
      <c r="H36" s="116" t="b">
        <v>0</v>
      </c>
      <c r="I36" s="116" t="b">
        <v>0</v>
      </c>
      <c r="J36" s="116" t="b">
        <v>0</v>
      </c>
      <c r="K36" s="116" t="b">
        <v>0</v>
      </c>
      <c r="L36" s="116" t="b">
        <v>0</v>
      </c>
      <c r="M36" s="116" t="b">
        <v>0</v>
      </c>
      <c r="N36" s="117">
        <f t="shared" si="5"/>
        <v>0</v>
      </c>
      <c r="O36" s="117">
        <f t="shared" si="6"/>
        <v>0</v>
      </c>
      <c r="P36" s="157" t="s">
        <v>314</v>
      </c>
      <c r="Q36" s="112"/>
    </row>
    <row r="37" ht="15.0" customHeight="1">
      <c r="A37" s="112"/>
      <c r="B37" s="112"/>
      <c r="C37" s="112"/>
      <c r="D37" s="129" t="s">
        <v>248</v>
      </c>
      <c r="E37" s="114" t="str">
        <f>VLOOKUP(D37,Data!H:I,2,0)</f>
        <v>Hatay</v>
      </c>
      <c r="F37" s="115" t="str">
        <f>VLOOKUP(D37,Data!H:J,3,0)</f>
        <v>Nazım Öztel</v>
      </c>
      <c r="G37" s="116" t="b">
        <v>0</v>
      </c>
      <c r="H37" s="116" t="b">
        <v>0</v>
      </c>
      <c r="I37" s="116" t="b">
        <v>0</v>
      </c>
      <c r="J37" s="116" t="b">
        <v>0</v>
      </c>
      <c r="K37" s="116" t="b">
        <v>0</v>
      </c>
      <c r="L37" s="116" t="b">
        <v>0</v>
      </c>
      <c r="M37" s="116" t="b">
        <v>0</v>
      </c>
      <c r="N37" s="117">
        <f t="shared" si="5"/>
        <v>0</v>
      </c>
      <c r="O37" s="117">
        <f t="shared" si="6"/>
        <v>0</v>
      </c>
      <c r="P37" s="157" t="s">
        <v>314</v>
      </c>
      <c r="Q37" s="112"/>
    </row>
    <row r="38" ht="15.0" customHeight="1">
      <c r="A38" s="112"/>
      <c r="B38" s="112"/>
      <c r="C38" s="112"/>
      <c r="D38" s="129" t="s">
        <v>58</v>
      </c>
      <c r="E38" s="114" t="str">
        <f>VLOOKUP(D38,Data!H:I,2,0)</f>
        <v>İstanbul</v>
      </c>
      <c r="F38" s="115" t="str">
        <f>VLOOKUP(D38,Data!H:J,3,0)</f>
        <v>Freelance</v>
      </c>
      <c r="G38" s="116" t="b">
        <v>0</v>
      </c>
      <c r="H38" s="116" t="b">
        <v>0</v>
      </c>
      <c r="I38" s="116" t="b">
        <v>0</v>
      </c>
      <c r="J38" s="116" t="b">
        <v>0</v>
      </c>
      <c r="K38" s="116" t="b">
        <v>0</v>
      </c>
      <c r="L38" s="116" t="b">
        <v>0</v>
      </c>
      <c r="M38" s="116" t="b">
        <v>0</v>
      </c>
      <c r="N38" s="117">
        <f t="shared" si="5"/>
        <v>0</v>
      </c>
      <c r="O38" s="117">
        <f t="shared" si="6"/>
        <v>0</v>
      </c>
      <c r="P38" s="157"/>
      <c r="Q38" s="112"/>
    </row>
    <row r="39" ht="15.0" customHeight="1">
      <c r="A39" s="121"/>
      <c r="B39" s="121"/>
      <c r="C39" s="121"/>
      <c r="D39" s="129" t="s">
        <v>335</v>
      </c>
      <c r="E39" s="114" t="s">
        <v>237</v>
      </c>
      <c r="F39" s="115" t="s">
        <v>64</v>
      </c>
      <c r="G39" s="116" t="b">
        <v>0</v>
      </c>
      <c r="H39" s="116" t="b">
        <v>0</v>
      </c>
      <c r="I39" s="116" t="b">
        <v>0</v>
      </c>
      <c r="J39" s="116" t="b">
        <v>0</v>
      </c>
      <c r="K39" s="116" t="b">
        <v>0</v>
      </c>
      <c r="L39" s="116" t="b">
        <v>0</v>
      </c>
      <c r="M39" s="116" t="b">
        <v>0</v>
      </c>
      <c r="N39" s="117">
        <f t="shared" si="5"/>
        <v>0</v>
      </c>
      <c r="O39" s="117">
        <f t="shared" si="6"/>
        <v>0</v>
      </c>
      <c r="P39" s="157"/>
      <c r="Q39" s="121"/>
    </row>
    <row r="40" ht="15.0" customHeight="1">
      <c r="A40" s="112"/>
      <c r="B40" s="112"/>
      <c r="C40" s="112"/>
      <c r="D40" s="129" t="s">
        <v>376</v>
      </c>
      <c r="E40" s="114" t="s">
        <v>237</v>
      </c>
      <c r="F40" s="115" t="s">
        <v>59</v>
      </c>
      <c r="G40" s="116" t="b">
        <v>0</v>
      </c>
      <c r="H40" s="116" t="b">
        <v>0</v>
      </c>
      <c r="I40" s="116" t="b">
        <v>0</v>
      </c>
      <c r="J40" s="116" t="b">
        <v>0</v>
      </c>
      <c r="K40" s="116" t="b">
        <v>0</v>
      </c>
      <c r="L40" s="116" t="b">
        <v>0</v>
      </c>
      <c r="M40" s="116" t="b">
        <v>0</v>
      </c>
      <c r="N40" s="117">
        <v>0.0</v>
      </c>
      <c r="O40" s="117">
        <v>0.0</v>
      </c>
      <c r="P40" s="157"/>
      <c r="Q40" s="112"/>
    </row>
    <row r="41" ht="15.0" customHeight="1">
      <c r="A41" s="112"/>
      <c r="B41" s="112"/>
      <c r="C41" s="112"/>
      <c r="D41" s="129" t="s">
        <v>302</v>
      </c>
      <c r="E41" s="114" t="s">
        <v>237</v>
      </c>
      <c r="F41" s="115" t="s">
        <v>64</v>
      </c>
      <c r="G41" s="116" t="b">
        <v>1</v>
      </c>
      <c r="H41" s="116" t="b">
        <v>1</v>
      </c>
      <c r="I41" s="116" t="b">
        <v>1</v>
      </c>
      <c r="J41" s="116" t="b">
        <v>1</v>
      </c>
      <c r="K41" s="116" t="b">
        <v>1</v>
      </c>
      <c r="L41" s="116" t="b">
        <v>0</v>
      </c>
      <c r="M41" s="116" t="b">
        <v>0</v>
      </c>
      <c r="N41" s="117">
        <f t="shared" ref="N41:N61" si="7">COUNTIF(G41:M41,"TRUE")</f>
        <v>5</v>
      </c>
      <c r="O41" s="117">
        <f t="shared" ref="O41:O61" si="8">N41*4</f>
        <v>20</v>
      </c>
      <c r="P41" s="157" t="s">
        <v>362</v>
      </c>
      <c r="Q41" s="112"/>
    </row>
    <row r="42" ht="15.0" customHeight="1">
      <c r="A42" s="112"/>
      <c r="B42" s="112"/>
      <c r="C42" s="112"/>
      <c r="D42" s="129" t="s">
        <v>351</v>
      </c>
      <c r="E42" s="114" t="s">
        <v>237</v>
      </c>
      <c r="F42" s="115" t="s">
        <v>64</v>
      </c>
      <c r="G42" s="116" t="b">
        <v>0</v>
      </c>
      <c r="H42" s="116" t="b">
        <v>0</v>
      </c>
      <c r="I42" s="116" t="b">
        <v>0</v>
      </c>
      <c r="J42" s="116" t="b">
        <v>0</v>
      </c>
      <c r="K42" s="116" t="b">
        <v>0</v>
      </c>
      <c r="L42" s="116" t="b">
        <v>0</v>
      </c>
      <c r="M42" s="116" t="b">
        <v>0</v>
      </c>
      <c r="N42" s="117">
        <f t="shared" si="7"/>
        <v>0</v>
      </c>
      <c r="O42" s="117">
        <f t="shared" si="8"/>
        <v>0</v>
      </c>
      <c r="P42" s="157" t="s">
        <v>309</v>
      </c>
      <c r="Q42" s="112"/>
    </row>
    <row r="43" ht="15.0" customHeight="1">
      <c r="A43" s="112"/>
      <c r="B43" s="112"/>
      <c r="C43" s="112"/>
      <c r="D43" s="129" t="s">
        <v>78</v>
      </c>
      <c r="E43" s="114" t="str">
        <f>VLOOKUP(D43,Data!H:I,2,0)</f>
        <v>İstanbul</v>
      </c>
      <c r="F43" s="115" t="str">
        <f>VLOOKUP(D43,Data!H:J,3,0)</f>
        <v>Freelance</v>
      </c>
      <c r="G43" s="116" t="b">
        <v>0</v>
      </c>
      <c r="H43" s="116" t="b">
        <v>0</v>
      </c>
      <c r="I43" s="116" t="b">
        <v>0</v>
      </c>
      <c r="J43" s="116" t="b">
        <v>0</v>
      </c>
      <c r="K43" s="116" t="b">
        <v>0</v>
      </c>
      <c r="L43" s="116" t="b">
        <v>0</v>
      </c>
      <c r="M43" s="116" t="b">
        <v>0</v>
      </c>
      <c r="N43" s="117">
        <f t="shared" si="7"/>
        <v>0</v>
      </c>
      <c r="O43" s="117">
        <f t="shared" si="8"/>
        <v>0</v>
      </c>
      <c r="P43" s="157"/>
      <c r="Q43" s="112"/>
    </row>
    <row r="44" ht="15.0" customHeight="1">
      <c r="A44" s="112"/>
      <c r="B44" s="112"/>
      <c r="C44" s="112"/>
      <c r="D44" s="129" t="s">
        <v>377</v>
      </c>
      <c r="E44" s="114" t="s">
        <v>237</v>
      </c>
      <c r="F44" s="115" t="s">
        <v>59</v>
      </c>
      <c r="G44" s="116" t="b">
        <v>0</v>
      </c>
      <c r="H44" s="116" t="b">
        <v>0</v>
      </c>
      <c r="I44" s="116" t="b">
        <v>0</v>
      </c>
      <c r="J44" s="116" t="b">
        <v>0</v>
      </c>
      <c r="K44" s="116" t="b">
        <v>0</v>
      </c>
      <c r="L44" s="116" t="b">
        <v>0</v>
      </c>
      <c r="M44" s="116" t="b">
        <v>0</v>
      </c>
      <c r="N44" s="117">
        <f t="shared" si="7"/>
        <v>0</v>
      </c>
      <c r="O44" s="117">
        <f t="shared" si="8"/>
        <v>0</v>
      </c>
      <c r="P44" s="157" t="s">
        <v>388</v>
      </c>
      <c r="Q44" s="112"/>
    </row>
    <row r="45" ht="15.0" customHeight="1">
      <c r="A45" s="122"/>
      <c r="B45" s="122"/>
      <c r="C45" s="122"/>
      <c r="D45" s="129" t="s">
        <v>80</v>
      </c>
      <c r="E45" s="114" t="str">
        <f>VLOOKUP(D45,Data!H:I,2,0)</f>
        <v>İstanbul</v>
      </c>
      <c r="F45" s="115" t="str">
        <f>VLOOKUP(D45,Data!H:J,3,0)</f>
        <v>Freelance</v>
      </c>
      <c r="G45" s="116" t="b">
        <v>1</v>
      </c>
      <c r="H45" s="116" t="b">
        <v>1</v>
      </c>
      <c r="I45" s="116" t="b">
        <v>0</v>
      </c>
      <c r="J45" s="116" t="b">
        <v>0</v>
      </c>
      <c r="K45" s="116" t="b">
        <v>0</v>
      </c>
      <c r="L45" s="116" t="b">
        <v>0</v>
      </c>
      <c r="M45" s="116" t="b">
        <v>0</v>
      </c>
      <c r="N45" s="117">
        <f t="shared" si="7"/>
        <v>2</v>
      </c>
      <c r="O45" s="117">
        <f t="shared" si="8"/>
        <v>8</v>
      </c>
      <c r="P45" s="157"/>
      <c r="Q45" s="122"/>
    </row>
    <row r="46" ht="15.0" customHeight="1">
      <c r="A46" s="112"/>
      <c r="B46" s="112"/>
      <c r="C46" s="112"/>
      <c r="D46" s="132" t="s">
        <v>119</v>
      </c>
      <c r="E46" s="114" t="str">
        <f>VLOOKUP(D46,Data!H:I,2,0)</f>
        <v>İstanbul</v>
      </c>
      <c r="F46" s="115" t="str">
        <f>VLOOKUP(D46,Data!H:J,3,0)</f>
        <v>Filamingo</v>
      </c>
      <c r="G46" s="116" t="b">
        <v>0</v>
      </c>
      <c r="H46" s="116" t="b">
        <v>0</v>
      </c>
      <c r="I46" s="116" t="b">
        <v>0</v>
      </c>
      <c r="J46" s="116" t="b">
        <v>0</v>
      </c>
      <c r="K46" s="116" t="b">
        <v>0</v>
      </c>
      <c r="L46" s="116" t="b">
        <v>0</v>
      </c>
      <c r="M46" s="116" t="b">
        <v>0</v>
      </c>
      <c r="N46" s="117">
        <f t="shared" si="7"/>
        <v>0</v>
      </c>
      <c r="O46" s="117">
        <f t="shared" si="8"/>
        <v>0</v>
      </c>
      <c r="P46" s="157" t="s">
        <v>309</v>
      </c>
      <c r="Q46" s="112"/>
    </row>
    <row r="47" ht="15.0" customHeight="1">
      <c r="A47" s="112"/>
      <c r="B47" s="112"/>
      <c r="C47" s="112"/>
      <c r="D47" s="129" t="s">
        <v>217</v>
      </c>
      <c r="E47" s="114" t="str">
        <f>VLOOKUP(D47,Data!H:I,2,0)</f>
        <v>İstanbul</v>
      </c>
      <c r="F47" s="115" t="str">
        <f>VLOOKUP(D47,Data!H:J,3,0)</f>
        <v>Freelance</v>
      </c>
      <c r="G47" s="116" t="b">
        <v>0</v>
      </c>
      <c r="H47" s="116" t="b">
        <v>0</v>
      </c>
      <c r="I47" s="116" t="b">
        <v>0</v>
      </c>
      <c r="J47" s="116" t="b">
        <v>0</v>
      </c>
      <c r="K47" s="116" t="b">
        <v>0</v>
      </c>
      <c r="L47" s="116" t="b">
        <v>0</v>
      </c>
      <c r="M47" s="116" t="b">
        <v>0</v>
      </c>
      <c r="N47" s="117">
        <f t="shared" si="7"/>
        <v>0</v>
      </c>
      <c r="O47" s="117">
        <f t="shared" si="8"/>
        <v>0</v>
      </c>
      <c r="P47" s="157" t="s">
        <v>309</v>
      </c>
      <c r="Q47" s="112"/>
    </row>
    <row r="48" ht="15.0" customHeight="1">
      <c r="A48" s="112"/>
      <c r="B48" s="112"/>
      <c r="C48" s="112"/>
      <c r="D48" s="129" t="s">
        <v>81</v>
      </c>
      <c r="E48" s="114" t="str">
        <f>VLOOKUP(D48,Data!H:I,2,0)</f>
        <v>İstanbul</v>
      </c>
      <c r="F48" s="115" t="str">
        <f>VLOOKUP(D48,Data!H:J,3,0)</f>
        <v>Freelance</v>
      </c>
      <c r="G48" s="116" t="b">
        <v>0</v>
      </c>
      <c r="H48" s="116" t="b">
        <v>0</v>
      </c>
      <c r="I48" s="116" t="b">
        <v>0</v>
      </c>
      <c r="J48" s="116" t="b">
        <v>0</v>
      </c>
      <c r="K48" s="116" t="b">
        <v>0</v>
      </c>
      <c r="L48" s="116" t="b">
        <v>0</v>
      </c>
      <c r="M48" s="116" t="b">
        <v>0</v>
      </c>
      <c r="N48" s="117">
        <f t="shared" si="7"/>
        <v>0</v>
      </c>
      <c r="O48" s="117">
        <f t="shared" si="8"/>
        <v>0</v>
      </c>
      <c r="P48" s="157" t="s">
        <v>314</v>
      </c>
      <c r="Q48" s="112"/>
    </row>
    <row r="49" ht="15.0" customHeight="1">
      <c r="A49" s="112"/>
      <c r="B49" s="112"/>
      <c r="C49" s="112"/>
      <c r="D49" s="129" t="s">
        <v>201</v>
      </c>
      <c r="E49" s="114" t="str">
        <f>VLOOKUP(D49,Data!H:I,2,0)</f>
        <v>İstanbul</v>
      </c>
      <c r="F49" s="114" t="str">
        <f>VLOOKUP(D49,Data!H:J,3,0)</f>
        <v>Freelance</v>
      </c>
      <c r="G49" s="116" t="b">
        <v>0</v>
      </c>
      <c r="H49" s="116" t="b">
        <v>0</v>
      </c>
      <c r="I49" s="116" t="b">
        <v>0</v>
      </c>
      <c r="J49" s="116" t="b">
        <v>0</v>
      </c>
      <c r="K49" s="116" t="b">
        <v>0</v>
      </c>
      <c r="L49" s="116" t="b">
        <v>0</v>
      </c>
      <c r="M49" s="116" t="b">
        <v>0</v>
      </c>
      <c r="N49" s="117">
        <f t="shared" si="7"/>
        <v>0</v>
      </c>
      <c r="O49" s="117">
        <f t="shared" si="8"/>
        <v>0</v>
      </c>
      <c r="P49" s="157" t="s">
        <v>309</v>
      </c>
      <c r="Q49" s="112"/>
    </row>
    <row r="50" ht="15.0" customHeight="1">
      <c r="A50" s="112"/>
      <c r="B50" s="112"/>
      <c r="C50" s="112"/>
      <c r="D50" s="132" t="s">
        <v>83</v>
      </c>
      <c r="E50" s="114" t="str">
        <f>VLOOKUP(D50,Data!H:I,2,0)</f>
        <v>İstanbul</v>
      </c>
      <c r="F50" s="115" t="str">
        <f>VLOOKUP(D50,Data!H:J,3,0)</f>
        <v>Nazım Öztel</v>
      </c>
      <c r="G50" s="116" t="b">
        <v>0</v>
      </c>
      <c r="H50" s="116" t="b">
        <v>0</v>
      </c>
      <c r="I50" s="116" t="b">
        <v>0</v>
      </c>
      <c r="J50" s="116" t="b">
        <v>0</v>
      </c>
      <c r="K50" s="116" t="b">
        <v>0</v>
      </c>
      <c r="L50" s="116" t="b">
        <v>0</v>
      </c>
      <c r="M50" s="116" t="b">
        <v>0</v>
      </c>
      <c r="N50" s="117">
        <f t="shared" si="7"/>
        <v>0</v>
      </c>
      <c r="O50" s="117">
        <f t="shared" si="8"/>
        <v>0</v>
      </c>
      <c r="P50" s="157" t="s">
        <v>309</v>
      </c>
      <c r="Q50" s="112"/>
    </row>
    <row r="51" ht="15.0" customHeight="1">
      <c r="A51" s="112"/>
      <c r="B51" s="112"/>
      <c r="C51" s="112"/>
      <c r="D51" s="129" t="s">
        <v>363</v>
      </c>
      <c r="E51" s="166" t="s">
        <v>237</v>
      </c>
      <c r="F51" s="167" t="s">
        <v>64</v>
      </c>
      <c r="G51" s="116" t="b">
        <v>0</v>
      </c>
      <c r="H51" s="116" t="b">
        <v>0</v>
      </c>
      <c r="I51" s="116" t="b">
        <v>0</v>
      </c>
      <c r="J51" s="116" t="b">
        <v>0</v>
      </c>
      <c r="K51" s="116" t="b">
        <v>0</v>
      </c>
      <c r="L51" s="116" t="b">
        <v>0</v>
      </c>
      <c r="M51" s="116" t="b">
        <v>0</v>
      </c>
      <c r="N51" s="146">
        <f t="shared" si="7"/>
        <v>0</v>
      </c>
      <c r="O51" s="146">
        <f t="shared" si="8"/>
        <v>0</v>
      </c>
      <c r="P51" s="159" t="s">
        <v>389</v>
      </c>
      <c r="Q51" s="112"/>
    </row>
    <row r="52" ht="15.0" customHeight="1">
      <c r="A52" s="125"/>
      <c r="B52" s="125"/>
      <c r="C52" s="125"/>
      <c r="D52" s="129" t="s">
        <v>225</v>
      </c>
      <c r="E52" s="114" t="str">
        <f>VLOOKUP(D52,Data!H:I,2,0)</f>
        <v>İstanbul</v>
      </c>
      <c r="F52" s="115" t="str">
        <f>VLOOKUP(D52,Data!H:J,3,0)</f>
        <v>Filamingo</v>
      </c>
      <c r="G52" s="116" t="b">
        <v>0</v>
      </c>
      <c r="H52" s="116" t="b">
        <v>0</v>
      </c>
      <c r="I52" s="116" t="b">
        <v>0</v>
      </c>
      <c r="J52" s="116" t="b">
        <v>0</v>
      </c>
      <c r="K52" s="116" t="b">
        <v>0</v>
      </c>
      <c r="L52" s="116" t="b">
        <v>0</v>
      </c>
      <c r="M52" s="116" t="b">
        <v>0</v>
      </c>
      <c r="N52" s="117">
        <f t="shared" si="7"/>
        <v>0</v>
      </c>
      <c r="O52" s="117">
        <f t="shared" si="8"/>
        <v>0</v>
      </c>
      <c r="P52" s="157" t="s">
        <v>309</v>
      </c>
      <c r="Q52" s="125"/>
    </row>
    <row r="53" ht="15.0" customHeight="1">
      <c r="A53" s="125"/>
      <c r="B53" s="125"/>
      <c r="C53" s="125"/>
      <c r="D53" s="129" t="s">
        <v>145</v>
      </c>
      <c r="E53" s="114" t="str">
        <f>VLOOKUP(D53,Data!H:I,2,0)</f>
        <v>İstanbul</v>
      </c>
      <c r="F53" s="115" t="str">
        <f>VLOOKUP(D53,Data!H:J,3,0)</f>
        <v>Filamingo</v>
      </c>
      <c r="G53" s="116" t="b">
        <v>0</v>
      </c>
      <c r="H53" s="116" t="b">
        <v>0</v>
      </c>
      <c r="I53" s="116" t="b">
        <v>0</v>
      </c>
      <c r="J53" s="116" t="b">
        <v>0</v>
      </c>
      <c r="K53" s="116" t="b">
        <v>0</v>
      </c>
      <c r="L53" s="116" t="b">
        <v>0</v>
      </c>
      <c r="M53" s="116" t="b">
        <v>0</v>
      </c>
      <c r="N53" s="117">
        <f t="shared" si="7"/>
        <v>0</v>
      </c>
      <c r="O53" s="117">
        <f t="shared" si="8"/>
        <v>0</v>
      </c>
      <c r="P53" s="157" t="s">
        <v>365</v>
      </c>
      <c r="Q53" s="125"/>
    </row>
    <row r="54" ht="15.0" customHeight="1">
      <c r="A54" s="125"/>
      <c r="B54" s="125"/>
      <c r="C54" s="125"/>
      <c r="D54" s="129" t="s">
        <v>274</v>
      </c>
      <c r="E54" s="114" t="str">
        <f>VLOOKUP(D54,Data!H:I,2,0)</f>
        <v>İstanbul</v>
      </c>
      <c r="F54" s="115" t="str">
        <f>VLOOKUP(D54,Data!H:J,3,0)</f>
        <v>Filamingo</v>
      </c>
      <c r="G54" s="116" t="b">
        <v>0</v>
      </c>
      <c r="H54" s="116" t="b">
        <v>0</v>
      </c>
      <c r="I54" s="116" t="b">
        <v>0</v>
      </c>
      <c r="J54" s="116" t="b">
        <v>0</v>
      </c>
      <c r="K54" s="116" t="b">
        <v>0</v>
      </c>
      <c r="L54" s="116" t="b">
        <v>0</v>
      </c>
      <c r="M54" s="116" t="b">
        <v>0</v>
      </c>
      <c r="N54" s="117">
        <f t="shared" si="7"/>
        <v>0</v>
      </c>
      <c r="O54" s="117">
        <f t="shared" si="8"/>
        <v>0</v>
      </c>
      <c r="P54" s="157"/>
      <c r="Q54" s="125"/>
    </row>
    <row r="55" ht="15.0" customHeight="1">
      <c r="A55" s="125"/>
      <c r="B55" s="125"/>
      <c r="C55" s="125"/>
      <c r="D55" s="129" t="s">
        <v>87</v>
      </c>
      <c r="E55" s="114" t="str">
        <f>VLOOKUP(D55,Data!H:I,2,0)</f>
        <v>İstanbul</v>
      </c>
      <c r="F55" s="115" t="str">
        <f>VLOOKUP(D55,Data!H:J,3,0)</f>
        <v>Freelance</v>
      </c>
      <c r="G55" s="116" t="b">
        <v>0</v>
      </c>
      <c r="H55" s="116" t="b">
        <v>0</v>
      </c>
      <c r="I55" s="116" t="b">
        <v>0</v>
      </c>
      <c r="J55" s="116" t="b">
        <v>0</v>
      </c>
      <c r="K55" s="116" t="b">
        <v>0</v>
      </c>
      <c r="L55" s="116" t="b">
        <v>0</v>
      </c>
      <c r="M55" s="116" t="b">
        <v>0</v>
      </c>
      <c r="N55" s="117">
        <f t="shared" si="7"/>
        <v>0</v>
      </c>
      <c r="O55" s="117">
        <f t="shared" si="8"/>
        <v>0</v>
      </c>
      <c r="P55" s="157"/>
      <c r="Q55" s="125"/>
    </row>
    <row r="56" ht="15.0" customHeight="1">
      <c r="A56" s="125"/>
      <c r="B56" s="125"/>
      <c r="C56" s="125"/>
      <c r="D56" s="129" t="s">
        <v>337</v>
      </c>
      <c r="E56" s="114" t="s">
        <v>237</v>
      </c>
      <c r="F56" s="115" t="s">
        <v>64</v>
      </c>
      <c r="G56" s="116" t="b">
        <v>0</v>
      </c>
      <c r="H56" s="116" t="b">
        <v>0</v>
      </c>
      <c r="I56" s="116" t="b">
        <v>0</v>
      </c>
      <c r="J56" s="116" t="b">
        <v>0</v>
      </c>
      <c r="K56" s="116" t="b">
        <v>0</v>
      </c>
      <c r="L56" s="116" t="b">
        <v>0</v>
      </c>
      <c r="M56" s="116" t="b">
        <v>0</v>
      </c>
      <c r="N56" s="117">
        <f t="shared" si="7"/>
        <v>0</v>
      </c>
      <c r="O56" s="117">
        <f t="shared" si="8"/>
        <v>0</v>
      </c>
      <c r="P56" s="157" t="s">
        <v>309</v>
      </c>
      <c r="Q56" s="125"/>
    </row>
    <row r="57" ht="15.0" customHeight="1">
      <c r="A57" s="112"/>
      <c r="B57" s="112"/>
      <c r="C57" s="112"/>
      <c r="D57" s="129" t="s">
        <v>249</v>
      </c>
      <c r="E57" s="114" t="str">
        <f>VLOOKUP(D57,Data!H:I,2,0)</f>
        <v>İstanbul</v>
      </c>
      <c r="F57" s="115" t="str">
        <f>VLOOKUP(D57,Data!H:J,3,0)</f>
        <v>Nazım Öztel</v>
      </c>
      <c r="G57" s="116" t="b">
        <v>0</v>
      </c>
      <c r="H57" s="116" t="b">
        <v>0</v>
      </c>
      <c r="I57" s="116" t="b">
        <v>0</v>
      </c>
      <c r="J57" s="116" t="b">
        <v>0</v>
      </c>
      <c r="K57" s="116" t="b">
        <v>0</v>
      </c>
      <c r="L57" s="116" t="b">
        <v>0</v>
      </c>
      <c r="M57" s="116" t="b">
        <v>0</v>
      </c>
      <c r="N57" s="117">
        <f t="shared" si="7"/>
        <v>0</v>
      </c>
      <c r="O57" s="117">
        <f t="shared" si="8"/>
        <v>0</v>
      </c>
      <c r="P57" s="157"/>
      <c r="Q57" s="112"/>
    </row>
    <row r="58" ht="15.0" customHeight="1">
      <c r="A58" s="112"/>
      <c r="B58" s="112"/>
      <c r="C58" s="112"/>
      <c r="D58" s="129" t="s">
        <v>390</v>
      </c>
      <c r="E58" s="114" t="s">
        <v>237</v>
      </c>
      <c r="F58" s="115" t="s">
        <v>59</v>
      </c>
      <c r="G58" s="116" t="b">
        <v>0</v>
      </c>
      <c r="H58" s="116" t="b">
        <v>0</v>
      </c>
      <c r="I58" s="116" t="b">
        <v>0</v>
      </c>
      <c r="J58" s="116" t="b">
        <v>0</v>
      </c>
      <c r="K58" s="116" t="b">
        <v>0</v>
      </c>
      <c r="L58" s="116" t="b">
        <v>0</v>
      </c>
      <c r="M58" s="116" t="b">
        <v>0</v>
      </c>
      <c r="N58" s="117">
        <f t="shared" si="7"/>
        <v>0</v>
      </c>
      <c r="O58" s="117">
        <f t="shared" si="8"/>
        <v>0</v>
      </c>
      <c r="P58" s="157"/>
      <c r="Q58" s="112"/>
    </row>
    <row r="59" ht="15.0" customHeight="1">
      <c r="A59" s="112"/>
      <c r="B59" s="112"/>
      <c r="C59" s="112"/>
      <c r="D59" s="129" t="s">
        <v>251</v>
      </c>
      <c r="E59" s="114" t="str">
        <f>VLOOKUP(D59,Data!H:I,2,0)</f>
        <v>İstanbul</v>
      </c>
      <c r="F59" s="115" t="str">
        <f>VLOOKUP(D59,Data!H:J,3,0)</f>
        <v>Filamingo</v>
      </c>
      <c r="G59" s="116" t="b">
        <v>0</v>
      </c>
      <c r="H59" s="116" t="b">
        <v>0</v>
      </c>
      <c r="I59" s="116" t="b">
        <v>0</v>
      </c>
      <c r="J59" s="116" t="b">
        <v>0</v>
      </c>
      <c r="K59" s="116" t="b">
        <v>0</v>
      </c>
      <c r="L59" s="116" t="b">
        <v>0</v>
      </c>
      <c r="M59" s="116" t="b">
        <v>0</v>
      </c>
      <c r="N59" s="117">
        <f t="shared" si="7"/>
        <v>0</v>
      </c>
      <c r="O59" s="117">
        <f t="shared" si="8"/>
        <v>0</v>
      </c>
      <c r="P59" s="157"/>
      <c r="Q59" s="112"/>
    </row>
    <row r="60" ht="15.0" customHeight="1">
      <c r="A60" s="112"/>
      <c r="B60" s="112"/>
      <c r="C60" s="112"/>
      <c r="D60" s="129" t="s">
        <v>252</v>
      </c>
      <c r="E60" s="114" t="str">
        <f>VLOOKUP(D60,Data!H:I,2,0)</f>
        <v>İzmir</v>
      </c>
      <c r="F60" s="115" t="str">
        <f>VLOOKUP(D60,Data!H:J,3,0)</f>
        <v>Nazım Öztel</v>
      </c>
      <c r="G60" s="116" t="b">
        <v>0</v>
      </c>
      <c r="H60" s="116" t="b">
        <v>0</v>
      </c>
      <c r="I60" s="116" t="b">
        <v>0</v>
      </c>
      <c r="J60" s="116" t="b">
        <v>0</v>
      </c>
      <c r="K60" s="116" t="b">
        <v>0</v>
      </c>
      <c r="L60" s="116" t="b">
        <v>0</v>
      </c>
      <c r="M60" s="116" t="b">
        <v>0</v>
      </c>
      <c r="N60" s="117">
        <f t="shared" si="7"/>
        <v>0</v>
      </c>
      <c r="O60" s="117">
        <f t="shared" si="8"/>
        <v>0</v>
      </c>
      <c r="P60" s="157" t="s">
        <v>378</v>
      </c>
      <c r="Q60" s="112"/>
    </row>
    <row r="61" ht="15.0" customHeight="1">
      <c r="A61" s="112"/>
      <c r="B61" s="112"/>
      <c r="C61" s="112"/>
      <c r="D61" s="132" t="s">
        <v>92</v>
      </c>
      <c r="E61" s="114" t="str">
        <f>VLOOKUP(D61,Data!H:I,2,0)</f>
        <v>İzmir</v>
      </c>
      <c r="F61" s="115" t="str">
        <f>VLOOKUP(D61,Data!H:J,3,0)</f>
        <v>Nazım Öztel</v>
      </c>
      <c r="G61" s="116" t="b">
        <v>0</v>
      </c>
      <c r="H61" s="116" t="b">
        <v>0</v>
      </c>
      <c r="I61" s="116" t="b">
        <v>0</v>
      </c>
      <c r="J61" s="116" t="b">
        <v>0</v>
      </c>
      <c r="K61" s="116" t="b">
        <v>0</v>
      </c>
      <c r="L61" s="116" t="b">
        <v>0</v>
      </c>
      <c r="M61" s="116" t="b">
        <v>0</v>
      </c>
      <c r="N61" s="117">
        <f t="shared" si="7"/>
        <v>0</v>
      </c>
      <c r="O61" s="117">
        <f t="shared" si="8"/>
        <v>0</v>
      </c>
      <c r="P61" s="157" t="s">
        <v>324</v>
      </c>
      <c r="Q61" s="112"/>
    </row>
    <row r="62" ht="15.0" customHeight="1">
      <c r="A62" s="112"/>
      <c r="B62" s="112"/>
      <c r="C62" s="112"/>
      <c r="D62" s="129" t="s">
        <v>397</v>
      </c>
      <c r="E62" s="114" t="s">
        <v>129</v>
      </c>
      <c r="F62" s="115"/>
      <c r="G62" s="116" t="b">
        <v>1</v>
      </c>
      <c r="H62" s="116" t="b">
        <v>0</v>
      </c>
      <c r="I62" s="116" t="b">
        <v>1</v>
      </c>
      <c r="J62" s="116" t="b">
        <v>0</v>
      </c>
      <c r="K62" s="116" t="b">
        <v>1</v>
      </c>
      <c r="L62" s="116" t="b">
        <v>0</v>
      </c>
      <c r="M62" s="116" t="b">
        <v>0</v>
      </c>
      <c r="N62" s="117"/>
      <c r="O62" s="117"/>
      <c r="P62" s="157"/>
      <c r="Q62" s="112"/>
    </row>
    <row r="63" ht="15.0" customHeight="1">
      <c r="A63" s="112"/>
      <c r="B63" s="112"/>
      <c r="C63" s="112"/>
      <c r="D63" s="129" t="s">
        <v>93</v>
      </c>
      <c r="E63" s="114" t="str">
        <f>VLOOKUP(D63,Data!H:I,2,0)</f>
        <v>İzmir</v>
      </c>
      <c r="F63" s="115" t="str">
        <f>VLOOKUP(D63,Data!H:J,3,0)</f>
        <v>Freelance</v>
      </c>
      <c r="G63" s="116" t="b">
        <v>0</v>
      </c>
      <c r="H63" s="116" t="b">
        <v>0</v>
      </c>
      <c r="I63" s="116" t="b">
        <v>0</v>
      </c>
      <c r="J63" s="116" t="b">
        <v>0</v>
      </c>
      <c r="K63" s="116" t="b">
        <v>0</v>
      </c>
      <c r="L63" s="116" t="b">
        <v>0</v>
      </c>
      <c r="M63" s="116" t="b">
        <v>0</v>
      </c>
      <c r="N63" s="117">
        <f t="shared" ref="N63:N80" si="9">COUNTIF(G63:M63,"TRUE")</f>
        <v>0</v>
      </c>
      <c r="O63" s="117">
        <f t="shared" ref="O63:O80" si="10">N63*4</f>
        <v>0</v>
      </c>
      <c r="P63" s="157" t="s">
        <v>324</v>
      </c>
      <c r="Q63" s="112"/>
    </row>
    <row r="64" ht="15.0" customHeight="1">
      <c r="A64" s="112"/>
      <c r="B64" s="112"/>
      <c r="C64" s="112"/>
      <c r="D64" s="129" t="s">
        <v>161</v>
      </c>
      <c r="E64" s="143" t="str">
        <f>VLOOKUP(D64,Data!H:I,2,0)</f>
        <v>Kahramanmaraş</v>
      </c>
      <c r="F64" s="115" t="str">
        <f>VLOOKUP(D64,Data!H:J,3,0)</f>
        <v>Nazım Öztel</v>
      </c>
      <c r="G64" s="116" t="b">
        <v>0</v>
      </c>
      <c r="H64" s="116" t="b">
        <v>0</v>
      </c>
      <c r="I64" s="116" t="b">
        <v>0</v>
      </c>
      <c r="J64" s="116" t="b">
        <v>0</v>
      </c>
      <c r="K64" s="116" t="b">
        <v>0</v>
      </c>
      <c r="L64" s="116" t="b">
        <v>0</v>
      </c>
      <c r="M64" s="116" t="b">
        <v>0</v>
      </c>
      <c r="N64" s="117">
        <f t="shared" si="9"/>
        <v>0</v>
      </c>
      <c r="O64" s="117">
        <f t="shared" si="10"/>
        <v>0</v>
      </c>
      <c r="P64" s="157" t="s">
        <v>314</v>
      </c>
      <c r="Q64" s="112"/>
    </row>
    <row r="65" ht="15.0" customHeight="1">
      <c r="A65" s="112"/>
      <c r="B65" s="112"/>
      <c r="C65" s="112"/>
      <c r="D65" s="129" t="s">
        <v>243</v>
      </c>
      <c r="E65" s="114" t="str">
        <f>VLOOKUP(D65,Data!H:I,2,0)</f>
        <v>Kayseri</v>
      </c>
      <c r="F65" s="115" t="str">
        <f>VLOOKUP(D65,Data!H:J,3,0)</f>
        <v>Nazım Öztel</v>
      </c>
      <c r="G65" s="116" t="b">
        <v>0</v>
      </c>
      <c r="H65" s="116" t="b">
        <v>0</v>
      </c>
      <c r="I65" s="116" t="b">
        <v>0</v>
      </c>
      <c r="J65" s="116" t="b">
        <v>0</v>
      </c>
      <c r="K65" s="116" t="b">
        <v>0</v>
      </c>
      <c r="L65" s="116" t="b">
        <v>0</v>
      </c>
      <c r="M65" s="116" t="b">
        <v>0</v>
      </c>
      <c r="N65" s="117">
        <f t="shared" si="9"/>
        <v>0</v>
      </c>
      <c r="O65" s="117">
        <f t="shared" si="10"/>
        <v>0</v>
      </c>
      <c r="P65" s="157" t="s">
        <v>324</v>
      </c>
      <c r="Q65" s="112"/>
    </row>
    <row r="66" ht="15.0" customHeight="1">
      <c r="A66" s="112"/>
      <c r="B66" s="112"/>
      <c r="C66" s="112"/>
      <c r="D66" s="129" t="s">
        <v>253</v>
      </c>
      <c r="E66" s="114" t="str">
        <f>VLOOKUP(D66,Data!H:I,2,0)</f>
        <v>Kırklareli</v>
      </c>
      <c r="F66" s="115" t="str">
        <f>VLOOKUP(D66,Data!H:J,3,0)</f>
        <v>Nazım Öztel</v>
      </c>
      <c r="G66" s="116" t="b">
        <v>0</v>
      </c>
      <c r="H66" s="116" t="b">
        <v>0</v>
      </c>
      <c r="I66" s="116" t="b">
        <v>0</v>
      </c>
      <c r="J66" s="116" t="b">
        <v>0</v>
      </c>
      <c r="K66" s="116" t="b">
        <v>0</v>
      </c>
      <c r="L66" s="116" t="b">
        <v>0</v>
      </c>
      <c r="M66" s="116" t="b">
        <v>0</v>
      </c>
      <c r="N66" s="117">
        <f t="shared" si="9"/>
        <v>0</v>
      </c>
      <c r="O66" s="117">
        <f t="shared" si="10"/>
        <v>0</v>
      </c>
      <c r="P66" s="157" t="s">
        <v>314</v>
      </c>
      <c r="Q66" s="112"/>
    </row>
    <row r="67" ht="15.0" customHeight="1">
      <c r="A67" s="112"/>
      <c r="B67" s="112"/>
      <c r="C67" s="112"/>
      <c r="D67" s="132" t="s">
        <v>96</v>
      </c>
      <c r="E67" s="114" t="str">
        <f>VLOOKUP(D67,Data!H:I,2,0)</f>
        <v>Kocaeli</v>
      </c>
      <c r="F67" s="115" t="str">
        <f>VLOOKUP(D67,Data!H:J,3,0)</f>
        <v>Nazım Öztel</v>
      </c>
      <c r="G67" s="116" t="b">
        <v>0</v>
      </c>
      <c r="H67" s="116" t="b">
        <v>0</v>
      </c>
      <c r="I67" s="116" t="b">
        <v>0</v>
      </c>
      <c r="J67" s="116" t="b">
        <v>0</v>
      </c>
      <c r="K67" s="116" t="b">
        <v>0</v>
      </c>
      <c r="L67" s="116" t="b">
        <v>0</v>
      </c>
      <c r="M67" s="116" t="b">
        <v>0</v>
      </c>
      <c r="N67" s="117">
        <f t="shared" si="9"/>
        <v>0</v>
      </c>
      <c r="O67" s="117">
        <f t="shared" si="10"/>
        <v>0</v>
      </c>
      <c r="P67" s="157" t="s">
        <v>380</v>
      </c>
      <c r="Q67" s="112"/>
    </row>
    <row r="68" ht="15.0" customHeight="1">
      <c r="A68" s="112"/>
      <c r="B68" s="112"/>
      <c r="C68" s="112"/>
      <c r="D68" s="129" t="s">
        <v>367</v>
      </c>
      <c r="E68" s="114" t="s">
        <v>237</v>
      </c>
      <c r="F68" s="115" t="s">
        <v>59</v>
      </c>
      <c r="G68" s="116" t="b">
        <v>0</v>
      </c>
      <c r="H68" s="116" t="b">
        <v>0</v>
      </c>
      <c r="I68" s="116" t="b">
        <v>0</v>
      </c>
      <c r="J68" s="116" t="b">
        <v>0</v>
      </c>
      <c r="K68" s="116" t="b">
        <v>0</v>
      </c>
      <c r="L68" s="116" t="b">
        <v>0</v>
      </c>
      <c r="M68" s="116" t="b">
        <v>0</v>
      </c>
      <c r="N68" s="117">
        <f t="shared" si="9"/>
        <v>0</v>
      </c>
      <c r="O68" s="117">
        <f t="shared" si="10"/>
        <v>0</v>
      </c>
      <c r="P68" s="157"/>
      <c r="Q68" s="112"/>
    </row>
    <row r="69" ht="15.0" customHeight="1">
      <c r="A69" s="112"/>
      <c r="B69" s="112"/>
      <c r="C69" s="112"/>
      <c r="D69" s="129" t="s">
        <v>227</v>
      </c>
      <c r="E69" s="114" t="str">
        <f>VLOOKUP(D69,Data!H:I,2,0)</f>
        <v>Konya</v>
      </c>
      <c r="F69" s="115" t="str">
        <f>VLOOKUP(D69,Data!H:J,3,0)</f>
        <v>Nazım Öztel</v>
      </c>
      <c r="G69" s="116" t="b">
        <v>0</v>
      </c>
      <c r="H69" s="116" t="b">
        <v>0</v>
      </c>
      <c r="I69" s="116" t="b">
        <v>0</v>
      </c>
      <c r="J69" s="116" t="b">
        <v>0</v>
      </c>
      <c r="K69" s="116" t="b">
        <v>0</v>
      </c>
      <c r="L69" s="116" t="b">
        <v>0</v>
      </c>
      <c r="M69" s="116" t="b">
        <v>0</v>
      </c>
      <c r="N69" s="117">
        <f t="shared" si="9"/>
        <v>0</v>
      </c>
      <c r="O69" s="117">
        <f t="shared" si="10"/>
        <v>0</v>
      </c>
      <c r="P69" s="157" t="s">
        <v>368</v>
      </c>
      <c r="Q69" s="112"/>
    </row>
    <row r="70" ht="15.0" customHeight="1">
      <c r="A70" s="112"/>
      <c r="B70" s="112"/>
      <c r="C70" s="112"/>
      <c r="D70" s="129" t="s">
        <v>265</v>
      </c>
      <c r="E70" s="114" t="str">
        <f>VLOOKUP(D70,Data!H:I,2,0)</f>
        <v>Konya</v>
      </c>
      <c r="F70" s="115" t="str">
        <f>VLOOKUP(D70,Data!H:J,3,0)</f>
        <v>Nazım Öztel</v>
      </c>
      <c r="G70" s="116" t="b">
        <v>0</v>
      </c>
      <c r="H70" s="116" t="b">
        <v>0</v>
      </c>
      <c r="I70" s="116" t="b">
        <v>0</v>
      </c>
      <c r="J70" s="116" t="b">
        <v>0</v>
      </c>
      <c r="K70" s="116" t="b">
        <v>0</v>
      </c>
      <c r="L70" s="116" t="b">
        <v>0</v>
      </c>
      <c r="M70" s="116" t="b">
        <v>0</v>
      </c>
      <c r="N70" s="117">
        <f t="shared" si="9"/>
        <v>0</v>
      </c>
      <c r="O70" s="117">
        <f t="shared" si="10"/>
        <v>0</v>
      </c>
      <c r="P70" s="157" t="s">
        <v>369</v>
      </c>
      <c r="Q70" s="112"/>
    </row>
    <row r="71" ht="15.0" customHeight="1">
      <c r="A71" s="112"/>
      <c r="B71" s="112"/>
      <c r="C71" s="112"/>
      <c r="D71" s="129" t="s">
        <v>203</v>
      </c>
      <c r="E71" s="114" t="str">
        <f>VLOOKUP(D71,Data!H:I,2,0)</f>
        <v>Malatya</v>
      </c>
      <c r="F71" s="115" t="str">
        <f>VLOOKUP(D71,Data!H:J,3,0)</f>
        <v>Nazım Öztel</v>
      </c>
      <c r="G71" s="116" t="b">
        <v>0</v>
      </c>
      <c r="H71" s="116" t="b">
        <v>0</v>
      </c>
      <c r="I71" s="116" t="b">
        <v>0</v>
      </c>
      <c r="J71" s="116" t="b">
        <v>0</v>
      </c>
      <c r="K71" s="116" t="b">
        <v>0</v>
      </c>
      <c r="L71" s="116" t="b">
        <v>0</v>
      </c>
      <c r="M71" s="116" t="b">
        <v>0</v>
      </c>
      <c r="N71" s="117">
        <f t="shared" si="9"/>
        <v>0</v>
      </c>
      <c r="O71" s="117">
        <f t="shared" si="10"/>
        <v>0</v>
      </c>
      <c r="P71" s="157" t="s">
        <v>324</v>
      </c>
      <c r="Q71" s="112"/>
    </row>
    <row r="72" ht="15.0" customHeight="1">
      <c r="A72" s="112"/>
      <c r="B72" s="112"/>
      <c r="C72" s="112"/>
      <c r="D72" s="129" t="s">
        <v>254</v>
      </c>
      <c r="E72" s="114" t="str">
        <f>VLOOKUP(D72,Data!H:I,2,0)</f>
        <v>Manisa</v>
      </c>
      <c r="F72" s="115" t="str">
        <f>VLOOKUP(D72,Data!H:J,3,0)</f>
        <v>Nazım Öztel</v>
      </c>
      <c r="G72" s="116" t="b">
        <v>0</v>
      </c>
      <c r="H72" s="116" t="b">
        <v>0</v>
      </c>
      <c r="I72" s="116" t="b">
        <v>0</v>
      </c>
      <c r="J72" s="116" t="b">
        <v>0</v>
      </c>
      <c r="K72" s="116" t="b">
        <v>0</v>
      </c>
      <c r="L72" s="116" t="b">
        <v>0</v>
      </c>
      <c r="M72" s="116" t="b">
        <v>0</v>
      </c>
      <c r="N72" s="117">
        <f t="shared" si="9"/>
        <v>0</v>
      </c>
      <c r="O72" s="117">
        <f t="shared" si="10"/>
        <v>0</v>
      </c>
      <c r="P72" s="157" t="s">
        <v>381</v>
      </c>
      <c r="Q72" s="112"/>
    </row>
    <row r="73" ht="15.0" customHeight="1">
      <c r="A73" s="112"/>
      <c r="B73" s="112"/>
      <c r="C73" s="112"/>
      <c r="D73" s="129" t="s">
        <v>255</v>
      </c>
      <c r="E73" s="114" t="str">
        <f>VLOOKUP(D73,Data!H:I,2,0)</f>
        <v>Mardin</v>
      </c>
      <c r="F73" s="115" t="str">
        <f>VLOOKUP(D73,Data!H:J,3,0)</f>
        <v>Nazım Öztel</v>
      </c>
      <c r="G73" s="116" t="b">
        <v>0</v>
      </c>
      <c r="H73" s="116" t="b">
        <v>0</v>
      </c>
      <c r="I73" s="116" t="b">
        <v>0</v>
      </c>
      <c r="J73" s="116" t="b">
        <v>0</v>
      </c>
      <c r="K73" s="116" t="b">
        <v>0</v>
      </c>
      <c r="L73" s="116" t="b">
        <v>0</v>
      </c>
      <c r="M73" s="116" t="b">
        <v>0</v>
      </c>
      <c r="N73" s="117">
        <f t="shared" si="9"/>
        <v>0</v>
      </c>
      <c r="O73" s="117">
        <f t="shared" si="10"/>
        <v>0</v>
      </c>
      <c r="P73" s="157" t="s">
        <v>314</v>
      </c>
      <c r="Q73" s="112"/>
    </row>
    <row r="74" ht="15.0" customHeight="1">
      <c r="A74" s="112"/>
      <c r="B74" s="112"/>
      <c r="C74" s="112"/>
      <c r="D74" s="129" t="s">
        <v>294</v>
      </c>
      <c r="E74" s="114" t="str">
        <f>VLOOKUP(D74,Data!H:I,2,0)</f>
        <v>Mersin</v>
      </c>
      <c r="F74" s="115" t="str">
        <f>VLOOKUP(D74,Data!H:J,3,0)</f>
        <v>Nazım Öztel</v>
      </c>
      <c r="G74" s="116" t="b">
        <v>0</v>
      </c>
      <c r="H74" s="116" t="b">
        <v>0</v>
      </c>
      <c r="I74" s="116" t="b">
        <v>0</v>
      </c>
      <c r="J74" s="116" t="b">
        <v>0</v>
      </c>
      <c r="K74" s="116" t="b">
        <v>0</v>
      </c>
      <c r="L74" s="116" t="b">
        <v>0</v>
      </c>
      <c r="M74" s="116" t="b">
        <v>0</v>
      </c>
      <c r="N74" s="117">
        <f t="shared" si="9"/>
        <v>0</v>
      </c>
      <c r="O74" s="117">
        <f t="shared" si="10"/>
        <v>0</v>
      </c>
      <c r="P74" s="157"/>
      <c r="Q74" s="112"/>
    </row>
    <row r="75" ht="15.0" customHeight="1">
      <c r="A75" s="112"/>
      <c r="B75" s="112"/>
      <c r="C75" s="112"/>
      <c r="D75" s="129" t="s">
        <v>169</v>
      </c>
      <c r="E75" s="114" t="str">
        <f>VLOOKUP(D75,Data!H:I,2,0)</f>
        <v>Mersin</v>
      </c>
      <c r="F75" s="115" t="str">
        <f>VLOOKUP(D75,Data!H:J,3,0)</f>
        <v>Nazım Öztel</v>
      </c>
      <c r="G75" s="116" t="b">
        <v>0</v>
      </c>
      <c r="H75" s="116" t="b">
        <v>0</v>
      </c>
      <c r="I75" s="116" t="b">
        <v>0</v>
      </c>
      <c r="J75" s="116" t="b">
        <v>0</v>
      </c>
      <c r="K75" s="116" t="b">
        <v>0</v>
      </c>
      <c r="L75" s="116" t="b">
        <v>0</v>
      </c>
      <c r="M75" s="116" t="b">
        <v>0</v>
      </c>
      <c r="N75" s="117">
        <f t="shared" si="9"/>
        <v>0</v>
      </c>
      <c r="O75" s="117">
        <f t="shared" si="10"/>
        <v>0</v>
      </c>
      <c r="P75" s="157" t="s">
        <v>314</v>
      </c>
      <c r="Q75" s="112"/>
    </row>
    <row r="76" ht="15.0" customHeight="1">
      <c r="A76" s="112"/>
      <c r="B76" s="112"/>
      <c r="C76" s="112"/>
      <c r="D76" s="129" t="s">
        <v>148</v>
      </c>
      <c r="E76" s="114" t="str">
        <f>VLOOKUP(D76,Data!H:I,2,0)</f>
        <v>Muğla</v>
      </c>
      <c r="F76" s="115" t="str">
        <f>VLOOKUP(D76,Data!H:J,3,0)</f>
        <v>Nazım Öztel</v>
      </c>
      <c r="G76" s="116" t="b">
        <v>0</v>
      </c>
      <c r="H76" s="116" t="b">
        <v>0</v>
      </c>
      <c r="I76" s="116" t="b">
        <v>0</v>
      </c>
      <c r="J76" s="116" t="b">
        <v>0</v>
      </c>
      <c r="K76" s="116" t="b">
        <v>0</v>
      </c>
      <c r="L76" s="116" t="b">
        <v>0</v>
      </c>
      <c r="M76" s="116" t="b">
        <v>0</v>
      </c>
      <c r="N76" s="117">
        <f t="shared" si="9"/>
        <v>0</v>
      </c>
      <c r="O76" s="117">
        <f t="shared" si="10"/>
        <v>0</v>
      </c>
      <c r="P76" s="157" t="s">
        <v>314</v>
      </c>
      <c r="Q76" s="112"/>
    </row>
    <row r="77" ht="15.0" customHeight="1">
      <c r="A77" s="112"/>
      <c r="B77" s="112"/>
      <c r="C77" s="112"/>
      <c r="D77" s="129" t="s">
        <v>266</v>
      </c>
      <c r="E77" s="114" t="str">
        <f>VLOOKUP(D77,Data!H:I,2,0)</f>
        <v>Ordu</v>
      </c>
      <c r="F77" s="115" t="str">
        <f>VLOOKUP(D77,Data!H:J,3,0)</f>
        <v>Nazım Öztel</v>
      </c>
      <c r="G77" s="116" t="b">
        <v>0</v>
      </c>
      <c r="H77" s="116" t="b">
        <v>0</v>
      </c>
      <c r="I77" s="116" t="b">
        <v>0</v>
      </c>
      <c r="J77" s="116" t="b">
        <v>0</v>
      </c>
      <c r="K77" s="116" t="b">
        <v>0</v>
      </c>
      <c r="L77" s="116" t="b">
        <v>0</v>
      </c>
      <c r="M77" s="116" t="b">
        <v>0</v>
      </c>
      <c r="N77" s="117">
        <f t="shared" si="9"/>
        <v>0</v>
      </c>
      <c r="O77" s="117">
        <f t="shared" si="10"/>
        <v>0</v>
      </c>
      <c r="P77" s="157" t="s">
        <v>314</v>
      </c>
      <c r="Q77" s="112"/>
    </row>
    <row r="78" ht="15.0" customHeight="1">
      <c r="A78" s="112"/>
      <c r="B78" s="112"/>
      <c r="C78" s="112"/>
      <c r="D78" s="129" t="s">
        <v>256</v>
      </c>
      <c r="E78" s="114" t="s">
        <v>211</v>
      </c>
      <c r="F78" s="115" t="s">
        <v>61</v>
      </c>
      <c r="G78" s="116" t="b">
        <v>0</v>
      </c>
      <c r="H78" s="116" t="b">
        <v>0</v>
      </c>
      <c r="I78" s="116" t="b">
        <v>0</v>
      </c>
      <c r="J78" s="116" t="b">
        <v>0</v>
      </c>
      <c r="K78" s="116" t="b">
        <v>0</v>
      </c>
      <c r="L78" s="116" t="b">
        <v>0</v>
      </c>
      <c r="M78" s="116" t="b">
        <v>0</v>
      </c>
      <c r="N78" s="117">
        <f t="shared" si="9"/>
        <v>0</v>
      </c>
      <c r="O78" s="117">
        <f t="shared" si="10"/>
        <v>0</v>
      </c>
      <c r="P78" s="157" t="s">
        <v>309</v>
      </c>
      <c r="Q78" s="112"/>
    </row>
    <row r="79" ht="15.0" customHeight="1">
      <c r="A79" s="112"/>
      <c r="B79" s="112"/>
      <c r="C79" s="112"/>
      <c r="D79" s="129" t="s">
        <v>275</v>
      </c>
      <c r="E79" s="114" t="str">
        <f>VLOOKUP(D79,Data!H:I,2,0)</f>
        <v>Sakarya</v>
      </c>
      <c r="F79" s="115" t="str">
        <f>VLOOKUP(D79,Data!H:J,3,0)</f>
        <v>Nazım Öztel</v>
      </c>
      <c r="G79" s="116" t="b">
        <v>0</v>
      </c>
      <c r="H79" s="116" t="b">
        <v>0</v>
      </c>
      <c r="I79" s="116" t="b">
        <v>0</v>
      </c>
      <c r="J79" s="116" t="b">
        <v>0</v>
      </c>
      <c r="K79" s="116" t="b">
        <v>0</v>
      </c>
      <c r="L79" s="116" t="b">
        <v>0</v>
      </c>
      <c r="M79" s="116" t="b">
        <v>0</v>
      </c>
      <c r="N79" s="117">
        <f t="shared" si="9"/>
        <v>0</v>
      </c>
      <c r="O79" s="117">
        <f t="shared" si="10"/>
        <v>0</v>
      </c>
      <c r="P79" s="157" t="s">
        <v>324</v>
      </c>
      <c r="Q79" s="112"/>
    </row>
    <row r="80" ht="15.0" customHeight="1">
      <c r="A80" s="112"/>
      <c r="B80" s="112"/>
      <c r="C80" s="112"/>
      <c r="D80" s="129" t="s">
        <v>382</v>
      </c>
      <c r="E80" s="114" t="s">
        <v>383</v>
      </c>
      <c r="F80" s="115"/>
      <c r="G80" s="116" t="b">
        <v>0</v>
      </c>
      <c r="H80" s="116" t="b">
        <v>0</v>
      </c>
      <c r="I80" s="116" t="b">
        <v>0</v>
      </c>
      <c r="J80" s="116" t="b">
        <v>0</v>
      </c>
      <c r="K80" s="116" t="b">
        <v>0</v>
      </c>
      <c r="L80" s="116" t="b">
        <v>0</v>
      </c>
      <c r="M80" s="116" t="b">
        <v>0</v>
      </c>
      <c r="N80" s="117">
        <f t="shared" si="9"/>
        <v>0</v>
      </c>
      <c r="O80" s="117">
        <f t="shared" si="10"/>
        <v>0</v>
      </c>
      <c r="P80" s="157"/>
      <c r="Q80" s="112"/>
    </row>
    <row r="81" ht="15.0" customHeight="1">
      <c r="A81" s="112"/>
      <c r="B81" s="112"/>
      <c r="C81" s="112"/>
      <c r="D81" s="129" t="s">
        <v>384</v>
      </c>
      <c r="E81" s="114" t="s">
        <v>383</v>
      </c>
      <c r="F81" s="115"/>
      <c r="G81" s="116" t="b">
        <v>0</v>
      </c>
      <c r="H81" s="116" t="b">
        <v>0</v>
      </c>
      <c r="I81" s="116" t="b">
        <v>0</v>
      </c>
      <c r="J81" s="116" t="b">
        <v>0</v>
      </c>
      <c r="K81" s="116" t="b">
        <v>1</v>
      </c>
      <c r="L81" s="116" t="b">
        <v>0</v>
      </c>
      <c r="M81" s="116" t="b">
        <v>0</v>
      </c>
      <c r="N81" s="117">
        <v>0.0</v>
      </c>
      <c r="O81" s="117">
        <v>0.0</v>
      </c>
      <c r="P81" s="157"/>
      <c r="Q81" s="112"/>
    </row>
    <row r="82" ht="15.0" customHeight="1">
      <c r="A82" s="112"/>
      <c r="B82" s="112"/>
      <c r="C82" s="112"/>
      <c r="D82" s="129" t="s">
        <v>267</v>
      </c>
      <c r="E82" s="114" t="str">
        <f>VLOOKUP(D82,Data!H:I,2,0)</f>
        <v>Sinop</v>
      </c>
      <c r="F82" s="115" t="str">
        <f>VLOOKUP(D82,Data!H:J,3,0)</f>
        <v>Nazım Öztel</v>
      </c>
      <c r="G82" s="116" t="b">
        <v>0</v>
      </c>
      <c r="H82" s="116" t="b">
        <v>0</v>
      </c>
      <c r="I82" s="116" t="b">
        <v>0</v>
      </c>
      <c r="J82" s="116" t="b">
        <v>0</v>
      </c>
      <c r="K82" s="116" t="b">
        <v>0</v>
      </c>
      <c r="L82" s="116" t="b">
        <v>0</v>
      </c>
      <c r="M82" s="116" t="b">
        <v>0</v>
      </c>
      <c r="N82" s="117">
        <f t="shared" ref="N82:N98" si="11">COUNTIF(G82:M82,"TRUE")</f>
        <v>0</v>
      </c>
      <c r="O82" s="117">
        <f t="shared" ref="O82:O98" si="12">N82*4</f>
        <v>0</v>
      </c>
      <c r="P82" s="157" t="s">
        <v>314</v>
      </c>
      <c r="Q82" s="112"/>
    </row>
    <row r="83" ht="15.0" customHeight="1">
      <c r="A83" s="112"/>
      <c r="B83" s="112"/>
      <c r="C83" s="112"/>
      <c r="D83" s="129" t="s">
        <v>268</v>
      </c>
      <c r="E83" s="114" t="str">
        <f>VLOOKUP(D83,Data!H:I,2,0)</f>
        <v>Sivas</v>
      </c>
      <c r="F83" s="115" t="str">
        <f>VLOOKUP(D83,Data!H:J,3,0)</f>
        <v>Nazım Öztel</v>
      </c>
      <c r="G83" s="116" t="b">
        <v>0</v>
      </c>
      <c r="H83" s="116" t="b">
        <v>0</v>
      </c>
      <c r="I83" s="116" t="b">
        <v>0</v>
      </c>
      <c r="J83" s="116" t="b">
        <v>0</v>
      </c>
      <c r="K83" s="116" t="b">
        <v>0</v>
      </c>
      <c r="L83" s="116" t="b">
        <v>0</v>
      </c>
      <c r="M83" s="116" t="b">
        <v>0</v>
      </c>
      <c r="N83" s="117">
        <f t="shared" si="11"/>
        <v>0</v>
      </c>
      <c r="O83" s="117">
        <f t="shared" si="12"/>
        <v>0</v>
      </c>
      <c r="P83" s="157" t="s">
        <v>309</v>
      </c>
      <c r="Q83" s="112"/>
    </row>
    <row r="84" ht="15.0" customHeight="1">
      <c r="A84" s="112"/>
      <c r="B84" s="112"/>
      <c r="C84" s="112"/>
      <c r="D84" s="129" t="s">
        <v>104</v>
      </c>
      <c r="E84" s="114" t="str">
        <f>VLOOKUP(D84,Data!H:I,2,0)</f>
        <v>Tekirdağ</v>
      </c>
      <c r="F84" s="115" t="str">
        <f>VLOOKUP(D84,Data!H:J,3,0)</f>
        <v>Freelance</v>
      </c>
      <c r="G84" s="116" t="b">
        <v>0</v>
      </c>
      <c r="H84" s="116" t="b">
        <v>0</v>
      </c>
      <c r="I84" s="116" t="b">
        <v>0</v>
      </c>
      <c r="J84" s="116" t="b">
        <v>1</v>
      </c>
      <c r="K84" s="116" t="b">
        <v>0</v>
      </c>
      <c r="L84" s="116" t="b">
        <v>0</v>
      </c>
      <c r="M84" s="116" t="b">
        <v>0</v>
      </c>
      <c r="N84" s="117">
        <f t="shared" si="11"/>
        <v>1</v>
      </c>
      <c r="O84" s="117">
        <f t="shared" si="12"/>
        <v>4</v>
      </c>
      <c r="P84" s="157"/>
      <c r="Q84" s="112"/>
    </row>
    <row r="85" ht="15.0" customHeight="1">
      <c r="A85" s="112"/>
      <c r="B85" s="112"/>
      <c r="C85" s="112"/>
      <c r="D85" s="129" t="s">
        <v>258</v>
      </c>
      <c r="E85" s="114" t="str">
        <f>VLOOKUP(D85,Data!H:I,2,0)</f>
        <v>Tokat</v>
      </c>
      <c r="F85" s="115" t="str">
        <f>VLOOKUP(D85,Data!H:J,3,0)</f>
        <v>Nazım Öztel</v>
      </c>
      <c r="G85" s="116" t="b">
        <v>0</v>
      </c>
      <c r="H85" s="116" t="b">
        <v>0</v>
      </c>
      <c r="I85" s="116" t="b">
        <v>0</v>
      </c>
      <c r="J85" s="116" t="b">
        <v>0</v>
      </c>
      <c r="K85" s="116" t="b">
        <v>0</v>
      </c>
      <c r="L85" s="116" t="b">
        <v>0</v>
      </c>
      <c r="M85" s="116" t="b">
        <v>0</v>
      </c>
      <c r="N85" s="117">
        <f t="shared" si="11"/>
        <v>0</v>
      </c>
      <c r="O85" s="117">
        <f t="shared" si="12"/>
        <v>0</v>
      </c>
      <c r="P85" s="157" t="s">
        <v>369</v>
      </c>
      <c r="Q85" s="112"/>
    </row>
    <row r="86" ht="15.0" customHeight="1">
      <c r="A86" s="112"/>
      <c r="B86" s="112"/>
      <c r="C86" s="112"/>
      <c r="D86" s="129" t="s">
        <v>154</v>
      </c>
      <c r="E86" s="114" t="str">
        <f>VLOOKUP(D86,Data!H:I,2,0)</f>
        <v>Uşak</v>
      </c>
      <c r="F86" s="115" t="str">
        <f>VLOOKUP(D86,Data!H:J,3,0)</f>
        <v>Nazım Öztel</v>
      </c>
      <c r="G86" s="116" t="b">
        <v>0</v>
      </c>
      <c r="H86" s="116" t="b">
        <v>0</v>
      </c>
      <c r="I86" s="116" t="b">
        <v>0</v>
      </c>
      <c r="J86" s="116" t="b">
        <v>0</v>
      </c>
      <c r="K86" s="116" t="b">
        <v>0</v>
      </c>
      <c r="L86" s="116" t="b">
        <v>0</v>
      </c>
      <c r="M86" s="116" t="b">
        <v>0</v>
      </c>
      <c r="N86" s="117">
        <f t="shared" si="11"/>
        <v>0</v>
      </c>
      <c r="O86" s="117">
        <f t="shared" si="12"/>
        <v>0</v>
      </c>
      <c r="P86" s="157"/>
      <c r="Q86" s="112"/>
    </row>
    <row r="87" ht="15.0" customHeight="1">
      <c r="A87" s="112"/>
      <c r="B87" s="112"/>
      <c r="C87" s="112"/>
      <c r="D87" s="129" t="s">
        <v>276</v>
      </c>
      <c r="E87" s="114" t="str">
        <f>VLOOKUP(D87,Data!H:I,2,0)</f>
        <v>Zonguldak</v>
      </c>
      <c r="F87" s="115" t="str">
        <f>VLOOKUP(D87,Data!H:J,3,0)</f>
        <v>Nazım Öztel</v>
      </c>
      <c r="G87" s="116" t="b">
        <v>0</v>
      </c>
      <c r="H87" s="116" t="b">
        <v>0</v>
      </c>
      <c r="I87" s="116" t="b">
        <v>0</v>
      </c>
      <c r="J87" s="116" t="b">
        <v>0</v>
      </c>
      <c r="K87" s="116" t="b">
        <v>0</v>
      </c>
      <c r="L87" s="116" t="b">
        <v>0</v>
      </c>
      <c r="M87" s="116" t="b">
        <v>0</v>
      </c>
      <c r="N87" s="117">
        <f t="shared" si="11"/>
        <v>0</v>
      </c>
      <c r="O87" s="117">
        <f t="shared" si="12"/>
        <v>0</v>
      </c>
      <c r="P87" s="157" t="s">
        <v>369</v>
      </c>
      <c r="Q87" s="112"/>
    </row>
    <row r="88" ht="15.0" customHeight="1">
      <c r="A88" s="112"/>
      <c r="B88" s="112"/>
      <c r="C88" s="112"/>
      <c r="D88" s="113" t="s">
        <v>282</v>
      </c>
      <c r="E88" s="114" t="str">
        <f>VLOOKUP(D88,Data!H:I,2,0)</f>
        <v>Antalya</v>
      </c>
      <c r="F88" s="115" t="str">
        <f>VLOOKUP(D88,Data!H:J,3,0)</f>
        <v>Nazım Öztel</v>
      </c>
      <c r="G88" s="116" t="b">
        <v>0</v>
      </c>
      <c r="H88" s="116" t="b">
        <v>0</v>
      </c>
      <c r="I88" s="116" t="b">
        <v>0</v>
      </c>
      <c r="J88" s="116" t="b">
        <v>0</v>
      </c>
      <c r="K88" s="116" t="b">
        <v>0</v>
      </c>
      <c r="L88" s="116" t="b">
        <v>0</v>
      </c>
      <c r="M88" s="116" t="b">
        <v>0</v>
      </c>
      <c r="N88" s="117">
        <f t="shared" si="11"/>
        <v>0</v>
      </c>
      <c r="O88" s="117">
        <f t="shared" si="12"/>
        <v>0</v>
      </c>
      <c r="P88" s="157" t="s">
        <v>369</v>
      </c>
      <c r="Q88" s="112"/>
    </row>
    <row r="89" ht="15.0" customHeight="1">
      <c r="A89" s="112"/>
      <c r="B89" s="112"/>
      <c r="C89" s="112"/>
      <c r="D89" s="163" t="s">
        <v>284</v>
      </c>
      <c r="E89" s="114" t="str">
        <f>VLOOKUP(D89,Data!H:I,2,0)</f>
        <v>Iğdır</v>
      </c>
      <c r="F89" s="115" t="str">
        <f>VLOOKUP(D89,Data!H:J,3,0)</f>
        <v>Nazım Öztel</v>
      </c>
      <c r="G89" s="116" t="b">
        <v>0</v>
      </c>
      <c r="H89" s="116" t="b">
        <v>0</v>
      </c>
      <c r="I89" s="116" t="b">
        <v>0</v>
      </c>
      <c r="J89" s="116" t="b">
        <v>0</v>
      </c>
      <c r="K89" s="116" t="b">
        <v>0</v>
      </c>
      <c r="L89" s="116" t="b">
        <v>0</v>
      </c>
      <c r="M89" s="116" t="b">
        <v>0</v>
      </c>
      <c r="N89" s="117">
        <f t="shared" si="11"/>
        <v>0</v>
      </c>
      <c r="O89" s="117">
        <f t="shared" si="12"/>
        <v>0</v>
      </c>
      <c r="P89" s="157" t="s">
        <v>309</v>
      </c>
      <c r="Q89" s="112"/>
    </row>
    <row r="90" ht="15.0" customHeight="1">
      <c r="A90" s="112"/>
      <c r="B90" s="112"/>
      <c r="C90" s="112"/>
      <c r="D90" s="163" t="s">
        <v>285</v>
      </c>
      <c r="E90" s="114" t="str">
        <f>VLOOKUP(D90,Data!H:I,2,0)</f>
        <v>Bitlis</v>
      </c>
      <c r="F90" s="115" t="str">
        <f>VLOOKUP(D90,Data!H:J,3,0)</f>
        <v>Nazım Öztel</v>
      </c>
      <c r="G90" s="116" t="b">
        <v>0</v>
      </c>
      <c r="H90" s="116" t="b">
        <v>0</v>
      </c>
      <c r="I90" s="116" t="b">
        <v>0</v>
      </c>
      <c r="J90" s="116" t="b">
        <v>0</v>
      </c>
      <c r="K90" s="116" t="b">
        <v>0</v>
      </c>
      <c r="L90" s="116" t="b">
        <v>0</v>
      </c>
      <c r="M90" s="116" t="b">
        <v>0</v>
      </c>
      <c r="N90" s="117">
        <f t="shared" si="11"/>
        <v>0</v>
      </c>
      <c r="O90" s="117">
        <f t="shared" si="12"/>
        <v>0</v>
      </c>
      <c r="P90" s="157" t="s">
        <v>309</v>
      </c>
      <c r="Q90" s="112"/>
    </row>
    <row r="91" ht="15.0" customHeight="1">
      <c r="A91" s="112"/>
      <c r="B91" s="112"/>
      <c r="C91" s="112"/>
      <c r="D91" s="98" t="s">
        <v>286</v>
      </c>
      <c r="E91" s="114" t="str">
        <f>VLOOKUP(D91,Data!H:I,2,0)</f>
        <v>Trabzon</v>
      </c>
      <c r="F91" s="115" t="str">
        <f>VLOOKUP(D91,Data!H:J,3,0)</f>
        <v>Nazım Öztel</v>
      </c>
      <c r="G91" s="116" t="b">
        <v>0</v>
      </c>
      <c r="H91" s="116" t="b">
        <v>0</v>
      </c>
      <c r="I91" s="116" t="b">
        <v>0</v>
      </c>
      <c r="J91" s="116" t="b">
        <v>0</v>
      </c>
      <c r="K91" s="116" t="b">
        <v>0</v>
      </c>
      <c r="L91" s="116" t="b">
        <v>0</v>
      </c>
      <c r="M91" s="116" t="b">
        <v>0</v>
      </c>
      <c r="N91" s="117">
        <f t="shared" si="11"/>
        <v>0</v>
      </c>
      <c r="O91" s="117">
        <f t="shared" si="12"/>
        <v>0</v>
      </c>
      <c r="P91" s="157" t="s">
        <v>344</v>
      </c>
      <c r="Q91" s="112"/>
    </row>
    <row r="92" ht="15.0" customHeight="1">
      <c r="A92" s="112"/>
      <c r="B92" s="112"/>
      <c r="C92" s="112"/>
      <c r="D92" s="163" t="s">
        <v>354</v>
      </c>
      <c r="E92" s="114" t="s">
        <v>355</v>
      </c>
      <c r="F92" s="115" t="s">
        <v>61</v>
      </c>
      <c r="G92" s="116" t="b">
        <v>0</v>
      </c>
      <c r="H92" s="116" t="b">
        <v>0</v>
      </c>
      <c r="I92" s="116" t="b">
        <v>0</v>
      </c>
      <c r="J92" s="116" t="b">
        <v>0</v>
      </c>
      <c r="K92" s="116" t="b">
        <v>0</v>
      </c>
      <c r="L92" s="116" t="b">
        <v>0</v>
      </c>
      <c r="M92" s="116" t="b">
        <v>0</v>
      </c>
      <c r="N92" s="117">
        <f t="shared" si="11"/>
        <v>0</v>
      </c>
      <c r="O92" s="117">
        <f t="shared" si="12"/>
        <v>0</v>
      </c>
      <c r="P92" s="157" t="s">
        <v>324</v>
      </c>
      <c r="Q92" s="112"/>
    </row>
    <row r="93" ht="15.0" customHeight="1">
      <c r="A93" s="112"/>
      <c r="B93" s="112"/>
      <c r="C93" s="112"/>
      <c r="D93" s="98" t="s">
        <v>289</v>
      </c>
      <c r="E93" s="114" t="str">
        <f>VLOOKUP(D93,Data!H:I,2,0)</f>
        <v>Elazığ</v>
      </c>
      <c r="F93" s="115" t="str">
        <f>VLOOKUP(D93,Data!H:J,3,0)</f>
        <v>Nazım Öztel</v>
      </c>
      <c r="G93" s="116" t="b">
        <v>0</v>
      </c>
      <c r="H93" s="116" t="b">
        <v>0</v>
      </c>
      <c r="I93" s="116" t="b">
        <v>0</v>
      </c>
      <c r="J93" s="116" t="b">
        <v>0</v>
      </c>
      <c r="K93" s="116" t="b">
        <v>0</v>
      </c>
      <c r="L93" s="116" t="b">
        <v>0</v>
      </c>
      <c r="M93" s="116" t="b">
        <v>0</v>
      </c>
      <c r="N93" s="117">
        <f t="shared" si="11"/>
        <v>0</v>
      </c>
      <c r="O93" s="117">
        <f t="shared" si="12"/>
        <v>0</v>
      </c>
      <c r="P93" s="157" t="s">
        <v>369</v>
      </c>
      <c r="Q93" s="112"/>
    </row>
    <row r="94" ht="15.0" customHeight="1">
      <c r="A94" s="112"/>
      <c r="B94" s="112"/>
      <c r="C94" s="112"/>
      <c r="D94" s="98" t="s">
        <v>290</v>
      </c>
      <c r="E94" s="114" t="str">
        <f>VLOOKUP(D94,Data!H:I,2,0)</f>
        <v>Bayburt</v>
      </c>
      <c r="F94" s="115" t="str">
        <f>VLOOKUP(D94,Data!H:J,3,0)</f>
        <v>Nazım Öztel</v>
      </c>
      <c r="G94" s="116" t="b">
        <v>0</v>
      </c>
      <c r="H94" s="116" t="b">
        <v>0</v>
      </c>
      <c r="I94" s="116" t="b">
        <v>0</v>
      </c>
      <c r="J94" s="116" t="b">
        <v>0</v>
      </c>
      <c r="K94" s="116" t="b">
        <v>0</v>
      </c>
      <c r="L94" s="116" t="b">
        <v>0</v>
      </c>
      <c r="M94" s="116" t="b">
        <v>0</v>
      </c>
      <c r="N94" s="117">
        <f t="shared" si="11"/>
        <v>0</v>
      </c>
      <c r="O94" s="117">
        <f t="shared" si="12"/>
        <v>0</v>
      </c>
      <c r="P94" s="157" t="s">
        <v>369</v>
      </c>
      <c r="Q94" s="112"/>
    </row>
    <row r="95" ht="15.0" customHeight="1">
      <c r="A95" s="112"/>
      <c r="B95" s="112"/>
      <c r="C95" s="112"/>
      <c r="D95" s="98" t="s">
        <v>291</v>
      </c>
      <c r="E95" s="114" t="str">
        <f>VLOOKUP(D95,Data!H:I,2,0)</f>
        <v>Bingöl</v>
      </c>
      <c r="F95" s="115" t="str">
        <f>VLOOKUP(D95,Data!H:J,3,0)</f>
        <v>Nazım Öztel</v>
      </c>
      <c r="G95" s="116" t="b">
        <v>0</v>
      </c>
      <c r="H95" s="116" t="b">
        <v>0</v>
      </c>
      <c r="I95" s="116" t="b">
        <v>0</v>
      </c>
      <c r="J95" s="116" t="b">
        <v>0</v>
      </c>
      <c r="K95" s="116" t="b">
        <v>0</v>
      </c>
      <c r="L95" s="116" t="b">
        <v>0</v>
      </c>
      <c r="M95" s="116" t="b">
        <v>0</v>
      </c>
      <c r="N95" s="117">
        <f t="shared" si="11"/>
        <v>0</v>
      </c>
      <c r="O95" s="117">
        <f t="shared" si="12"/>
        <v>0</v>
      </c>
      <c r="P95" s="157" t="s">
        <v>369</v>
      </c>
      <c r="Q95" s="112"/>
    </row>
    <row r="96" ht="15.0" customHeight="1">
      <c r="A96" s="112"/>
      <c r="B96" s="112"/>
      <c r="C96" s="112"/>
      <c r="D96" s="98" t="s">
        <v>292</v>
      </c>
      <c r="E96" s="114" t="str">
        <f>VLOOKUP(D96,Data!H:I,2,0)</f>
        <v>Diyarbakır</v>
      </c>
      <c r="F96" s="115" t="str">
        <f>VLOOKUP(D96,Data!H:J,3,0)</f>
        <v>Nazım Öztel</v>
      </c>
      <c r="G96" s="116" t="b">
        <v>0</v>
      </c>
      <c r="H96" s="116" t="b">
        <v>0</v>
      </c>
      <c r="I96" s="116" t="b">
        <v>0</v>
      </c>
      <c r="J96" s="116" t="b">
        <v>0</v>
      </c>
      <c r="K96" s="116" t="b">
        <v>0</v>
      </c>
      <c r="L96" s="116" t="b">
        <v>0</v>
      </c>
      <c r="M96" s="116" t="b">
        <v>0</v>
      </c>
      <c r="N96" s="117">
        <f t="shared" si="11"/>
        <v>0</v>
      </c>
      <c r="O96" s="117">
        <f t="shared" si="12"/>
        <v>0</v>
      </c>
      <c r="P96" s="157" t="s">
        <v>369</v>
      </c>
      <c r="Q96" s="112"/>
    </row>
    <row r="97" ht="15.0" customHeight="1">
      <c r="A97" s="112"/>
      <c r="B97" s="112"/>
      <c r="C97" s="112"/>
      <c r="D97" s="164" t="s">
        <v>293</v>
      </c>
      <c r="E97" s="114" t="str">
        <f>VLOOKUP(D97,Data!H:I,2,0)</f>
        <v>Çanakkale</v>
      </c>
      <c r="F97" s="115" t="str">
        <f>VLOOKUP(D97,Data!H:J,3,0)</f>
        <v>Nazım Öztel</v>
      </c>
      <c r="G97" s="116" t="b">
        <v>0</v>
      </c>
      <c r="H97" s="116" t="b">
        <v>0</v>
      </c>
      <c r="I97" s="116" t="b">
        <v>0</v>
      </c>
      <c r="J97" s="116" t="b">
        <v>0</v>
      </c>
      <c r="K97" s="116" t="b">
        <v>0</v>
      </c>
      <c r="L97" s="116" t="b">
        <v>0</v>
      </c>
      <c r="M97" s="116" t="b">
        <v>0</v>
      </c>
      <c r="N97" s="117">
        <f t="shared" si="11"/>
        <v>0</v>
      </c>
      <c r="O97" s="117">
        <f t="shared" si="12"/>
        <v>0</v>
      </c>
      <c r="P97" s="157" t="s">
        <v>343</v>
      </c>
      <c r="Q97" s="112"/>
    </row>
    <row r="98" ht="15.0" customHeight="1">
      <c r="A98" s="112"/>
      <c r="B98" s="112"/>
      <c r="C98" s="112"/>
      <c r="D98" s="163" t="s">
        <v>325</v>
      </c>
      <c r="E98" s="114" t="s">
        <v>326</v>
      </c>
      <c r="F98" s="115" t="s">
        <v>61</v>
      </c>
      <c r="G98" s="139" t="b">
        <v>0</v>
      </c>
      <c r="H98" s="139" t="b">
        <v>0</v>
      </c>
      <c r="I98" s="139" t="b">
        <v>0</v>
      </c>
      <c r="J98" s="139" t="b">
        <v>0</v>
      </c>
      <c r="K98" s="139" t="b">
        <v>0</v>
      </c>
      <c r="L98" s="139" t="b">
        <v>0</v>
      </c>
      <c r="M98" s="139" t="b">
        <v>0</v>
      </c>
      <c r="N98" s="117">
        <f t="shared" si="11"/>
        <v>0</v>
      </c>
      <c r="O98" s="117">
        <f t="shared" si="12"/>
        <v>0</v>
      </c>
      <c r="P98" s="157" t="s">
        <v>343</v>
      </c>
      <c r="Q98" s="112"/>
    </row>
    <row r="99" ht="15.0" customHeight="1">
      <c r="A99" s="112"/>
      <c r="B99" s="112"/>
      <c r="C99" s="112"/>
      <c r="D99" s="98" t="s">
        <v>296</v>
      </c>
      <c r="E99" s="114" t="str">
        <f>VLOOKUP(D99,Data!H:I,2,0)</f>
        <v>Bilecik</v>
      </c>
      <c r="F99" s="115" t="str">
        <f>VLOOKUP(D99,Data!H:J,3,0)</f>
        <v>Nazım Öztel</v>
      </c>
      <c r="G99" s="116" t="b">
        <v>0</v>
      </c>
      <c r="H99" s="116" t="b">
        <v>0</v>
      </c>
      <c r="I99" s="116" t="b">
        <v>0</v>
      </c>
      <c r="J99" s="139" t="b">
        <v>0</v>
      </c>
      <c r="K99" s="139" t="b">
        <v>0</v>
      </c>
      <c r="L99" s="139" t="b">
        <v>0</v>
      </c>
      <c r="M99" s="139" t="b">
        <v>0</v>
      </c>
      <c r="N99" s="117">
        <v>0.0</v>
      </c>
      <c r="O99" s="117">
        <v>0.0</v>
      </c>
      <c r="P99" s="157" t="s">
        <v>369</v>
      </c>
      <c r="Q99" s="112"/>
    </row>
    <row r="100" ht="15.0" customHeight="1">
      <c r="A100" s="112"/>
      <c r="B100" s="112"/>
      <c r="C100" s="112"/>
      <c r="D100" s="163" t="s">
        <v>345</v>
      </c>
      <c r="E100" s="144" t="s">
        <v>346</v>
      </c>
      <c r="F100" s="115" t="s">
        <v>61</v>
      </c>
      <c r="G100" s="116" t="b">
        <v>0</v>
      </c>
      <c r="H100" s="116" t="b">
        <v>0</v>
      </c>
      <c r="I100" s="116" t="b">
        <v>0</v>
      </c>
      <c r="J100" s="116" t="b">
        <v>0</v>
      </c>
      <c r="K100" s="116" t="b">
        <v>0</v>
      </c>
      <c r="L100" s="116" t="b">
        <v>0</v>
      </c>
      <c r="M100" s="116" t="b">
        <v>0</v>
      </c>
      <c r="N100" s="117">
        <f t="shared" ref="N100:N101" si="13">COUNTIF(G100:M100,"TRUE")</f>
        <v>0</v>
      </c>
      <c r="O100" s="117">
        <f t="shared" ref="O100:O101" si="14">N100*4</f>
        <v>0</v>
      </c>
      <c r="P100" s="157" t="s">
        <v>369</v>
      </c>
      <c r="Q100" s="112"/>
    </row>
    <row r="101" ht="15.0" customHeight="1">
      <c r="A101" s="112"/>
      <c r="B101" s="112"/>
      <c r="C101" s="112"/>
      <c r="D101" s="129" t="s">
        <v>153</v>
      </c>
      <c r="E101" s="114" t="str">
        <f>VLOOKUP(D101,Data!H:I,2,0)</f>
        <v>Edirne</v>
      </c>
      <c r="F101" s="115" t="str">
        <f>VLOOKUP(D101,Data!H:J,3,0)</f>
        <v>Nazım Öztel</v>
      </c>
      <c r="G101" s="116" t="b">
        <v>0</v>
      </c>
      <c r="H101" s="116" t="b">
        <v>0</v>
      </c>
      <c r="I101" s="116" t="b">
        <v>0</v>
      </c>
      <c r="J101" s="116" t="b">
        <v>0</v>
      </c>
      <c r="K101" s="116" t="b">
        <v>0</v>
      </c>
      <c r="L101" s="116" t="b">
        <v>0</v>
      </c>
      <c r="M101" s="116" t="b">
        <v>0</v>
      </c>
      <c r="N101" s="117">
        <f t="shared" si="13"/>
        <v>0</v>
      </c>
      <c r="O101" s="117">
        <f t="shared" si="14"/>
        <v>0</v>
      </c>
      <c r="P101" s="157" t="s">
        <v>314</v>
      </c>
      <c r="Q101" s="112"/>
    </row>
    <row r="102" ht="15.0" customHeight="1">
      <c r="A102" s="112"/>
      <c r="B102" s="112"/>
      <c r="C102" s="112"/>
      <c r="D102" s="149"/>
      <c r="E102" s="144"/>
      <c r="F102" s="144"/>
      <c r="G102" s="135"/>
      <c r="H102" s="135"/>
      <c r="I102" s="135"/>
      <c r="J102" s="135"/>
      <c r="K102" s="135"/>
      <c r="L102" s="135"/>
      <c r="M102" s="135"/>
      <c r="N102" s="135"/>
      <c r="O102" s="135"/>
      <c r="P102" s="160"/>
      <c r="Q102" s="112"/>
    </row>
    <row r="103" ht="15.0" customHeight="1">
      <c r="A103" s="112"/>
      <c r="B103" s="112"/>
      <c r="C103" s="112"/>
      <c r="D103" s="149"/>
      <c r="E103" s="144"/>
      <c r="F103" s="144"/>
      <c r="G103" s="135"/>
      <c r="H103" s="135"/>
      <c r="I103" s="135"/>
      <c r="J103" s="135"/>
      <c r="K103" s="135"/>
      <c r="L103" s="135"/>
      <c r="M103" s="135"/>
      <c r="N103" s="135"/>
      <c r="O103" s="135"/>
      <c r="P103" s="160"/>
      <c r="Q103" s="112"/>
    </row>
    <row r="104">
      <c r="P104" s="161"/>
    </row>
    <row r="105">
      <c r="P105" s="161"/>
    </row>
    <row r="106">
      <c r="P106" s="161"/>
    </row>
    <row r="107">
      <c r="P107" s="161"/>
    </row>
    <row r="108">
      <c r="P108" s="161"/>
    </row>
    <row r="109">
      <c r="P109" s="161"/>
    </row>
    <row r="110">
      <c r="P110" s="161"/>
    </row>
    <row r="111">
      <c r="P111" s="161"/>
    </row>
    <row r="112">
      <c r="P112" s="161"/>
    </row>
    <row r="113">
      <c r="P113" s="161"/>
    </row>
    <row r="114">
      <c r="P114" s="161"/>
    </row>
    <row r="115">
      <c r="P115" s="161"/>
    </row>
    <row r="116">
      <c r="P116" s="161"/>
    </row>
    <row r="117">
      <c r="P117" s="161"/>
    </row>
    <row r="118">
      <c r="P118" s="161"/>
    </row>
    <row r="119">
      <c r="P119" s="161"/>
    </row>
    <row r="120">
      <c r="P120" s="161"/>
    </row>
    <row r="121">
      <c r="P121" s="161"/>
    </row>
    <row r="122">
      <c r="P122" s="161"/>
    </row>
  </sheetData>
  <mergeCells count="4">
    <mergeCell ref="D6:M6"/>
    <mergeCell ref="D7:F7"/>
    <mergeCell ref="D9:D12"/>
    <mergeCell ref="F10:O11"/>
  </mergeCells>
  <conditionalFormatting sqref="G15:M101">
    <cfRule type="cellIs" dxfId="1" priority="1" operator="equal">
      <formula>"False"</formula>
    </cfRule>
  </conditionalFormatting>
  <conditionalFormatting sqref="G15:M101">
    <cfRule type="cellIs" dxfId="0" priority="2" operator="equal">
      <formula>"TRUE"</formula>
    </cfRule>
  </conditionalFormatting>
  <conditionalFormatting sqref="E15:E101">
    <cfRule type="notContainsBlanks" dxfId="0" priority="3">
      <formula>LEN(TRIM(E15))&gt;0</formula>
    </cfRule>
  </conditionalFormatting>
  <dataValidations>
    <dataValidation type="list" allowBlank="1" showErrorMessage="1" sqref="E15:E103">
      <formula1>Data!$A$2:$A$100</formula1>
    </dataValidation>
    <dataValidation type="list" allowBlank="1" showErrorMessage="1" sqref="F15:F103">
      <formula1>Data!$C$2:$C$8</formula1>
    </dataValidation>
  </dataValidations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3" width="2.63"/>
    <col customWidth="1" min="4" max="4" width="20.38"/>
    <col customWidth="1" min="5" max="5" width="11.38"/>
    <col customWidth="1" min="6" max="6" width="16.63"/>
    <col customWidth="1" min="7" max="13" width="8.63"/>
    <col customWidth="1" min="14" max="14" width="12.63"/>
    <col customWidth="1" min="15" max="15" width="15.13"/>
    <col customWidth="1" min="16" max="16" width="15.88"/>
    <col customWidth="1" min="17" max="17" width="2.63"/>
  </cols>
  <sheetData>
    <row r="1" ht="7.5" customHeight="1">
      <c r="A1" s="140"/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5"/>
      <c r="O1" s="86"/>
      <c r="P1" s="86"/>
      <c r="Q1" s="86"/>
    </row>
    <row r="2" ht="15.0" customHeight="1">
      <c r="A2" s="87"/>
      <c r="B2" s="87"/>
      <c r="C2" s="87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7"/>
      <c r="P2" s="87"/>
      <c r="Q2" s="87"/>
    </row>
    <row r="3" ht="3.75" customHeight="1">
      <c r="A3" s="87"/>
      <c r="B3" s="87"/>
      <c r="C3" s="87"/>
      <c r="D3" s="89"/>
      <c r="E3" s="90"/>
      <c r="F3" s="90"/>
      <c r="G3" s="90"/>
      <c r="H3" s="90"/>
      <c r="I3" s="90"/>
      <c r="J3" s="90"/>
      <c r="K3" s="90"/>
      <c r="L3" s="90"/>
      <c r="M3" s="90"/>
      <c r="N3" s="90"/>
      <c r="O3" s="87"/>
      <c r="P3" s="87"/>
      <c r="Q3" s="87"/>
    </row>
    <row r="4" ht="15.0" customHeight="1">
      <c r="A4" s="87"/>
      <c r="B4" s="87"/>
      <c r="C4" s="87"/>
      <c r="D4" s="88"/>
      <c r="E4" s="88"/>
      <c r="F4" s="88"/>
      <c r="G4" s="91"/>
      <c r="H4" s="91"/>
      <c r="I4" s="91"/>
      <c r="J4" s="91"/>
      <c r="K4" s="91"/>
      <c r="L4" s="91"/>
      <c r="M4" s="91"/>
      <c r="N4" s="91"/>
      <c r="O4" s="87"/>
      <c r="P4" s="87"/>
      <c r="Q4" s="87"/>
    </row>
    <row r="5" ht="15.0" customHeight="1">
      <c r="A5" s="92"/>
      <c r="B5" s="92"/>
      <c r="C5" s="92"/>
      <c r="D5" s="88"/>
      <c r="E5" s="88"/>
      <c r="F5" s="88"/>
      <c r="G5" s="93"/>
      <c r="H5" s="93"/>
      <c r="I5" s="93"/>
      <c r="J5" s="93"/>
      <c r="K5" s="93"/>
      <c r="L5" s="93"/>
      <c r="M5" s="93"/>
      <c r="N5" s="94"/>
      <c r="O5" s="88"/>
      <c r="P5" s="92"/>
      <c r="Q5" s="92"/>
    </row>
    <row r="6" ht="15.0" customHeight="1">
      <c r="A6" s="92"/>
      <c r="B6" s="92"/>
      <c r="C6" s="92"/>
      <c r="D6" s="95" t="s">
        <v>398</v>
      </c>
      <c r="N6" s="94"/>
      <c r="O6" s="88"/>
      <c r="P6" s="92"/>
      <c r="Q6" s="92"/>
    </row>
    <row r="7" ht="15.0" customHeight="1">
      <c r="A7" s="92"/>
      <c r="B7" s="92"/>
      <c r="C7" s="92"/>
      <c r="D7" s="96" t="s">
        <v>278</v>
      </c>
      <c r="G7" s="97"/>
      <c r="H7" s="97"/>
      <c r="I7" s="97"/>
      <c r="J7" s="97"/>
      <c r="K7" s="97"/>
      <c r="L7" s="97"/>
      <c r="M7" s="97"/>
      <c r="N7" s="92"/>
      <c r="O7" s="92"/>
      <c r="P7" s="92"/>
      <c r="Q7" s="92"/>
    </row>
    <row r="8" ht="15.0" customHeight="1">
      <c r="A8" s="92"/>
      <c r="B8" s="92"/>
      <c r="C8" s="92"/>
      <c r="D8" s="97"/>
      <c r="E8" s="97"/>
      <c r="F8" s="97"/>
      <c r="G8" s="97"/>
      <c r="H8" s="97"/>
      <c r="I8" s="97"/>
      <c r="J8" s="97"/>
      <c r="K8" s="97"/>
      <c r="L8" s="97"/>
      <c r="M8" s="97"/>
      <c r="N8" s="92"/>
      <c r="O8" s="92"/>
      <c r="P8" s="92"/>
      <c r="Q8" s="92"/>
    </row>
    <row r="9" ht="15.0" customHeight="1">
      <c r="A9" s="92"/>
      <c r="B9" s="92"/>
      <c r="C9" s="98"/>
      <c r="D9" s="99" t="s">
        <v>35</v>
      </c>
      <c r="E9" s="100"/>
      <c r="F9" s="101"/>
      <c r="G9" s="101"/>
      <c r="H9" s="101"/>
      <c r="I9" s="101"/>
      <c r="J9" s="101"/>
      <c r="K9" s="101"/>
      <c r="L9" s="101"/>
      <c r="M9" s="101"/>
      <c r="N9" s="101"/>
      <c r="O9" s="100"/>
      <c r="P9" s="102"/>
      <c r="Q9" s="102"/>
    </row>
    <row r="10" ht="15.0" customHeight="1">
      <c r="A10" s="92"/>
      <c r="B10" s="92"/>
      <c r="C10" s="98"/>
      <c r="E10" s="100"/>
      <c r="F10" s="103" t="s">
        <v>36</v>
      </c>
      <c r="P10" s="102"/>
      <c r="Q10" s="102"/>
    </row>
    <row r="11" ht="15.0" customHeight="1">
      <c r="A11" s="92"/>
      <c r="B11" s="92"/>
      <c r="C11" s="98"/>
      <c r="E11" s="100"/>
      <c r="P11" s="102"/>
      <c r="Q11" s="102"/>
    </row>
    <row r="12" ht="15.0" customHeight="1">
      <c r="A12" s="88"/>
      <c r="B12" s="92"/>
      <c r="C12" s="92"/>
      <c r="E12" s="100"/>
      <c r="F12" s="100"/>
      <c r="G12" s="100"/>
      <c r="H12" s="100"/>
      <c r="I12" s="100"/>
      <c r="J12" s="100"/>
      <c r="K12" s="100"/>
      <c r="L12" s="100"/>
      <c r="M12" s="100"/>
      <c r="N12" s="100"/>
      <c r="O12" s="100"/>
      <c r="P12" s="102"/>
      <c r="Q12" s="102"/>
    </row>
    <row r="13" ht="15.0" customHeight="1">
      <c r="A13" s="88"/>
      <c r="B13" s="104"/>
      <c r="C13" s="104"/>
      <c r="D13" s="104"/>
      <c r="E13" s="104"/>
      <c r="F13" s="105"/>
      <c r="G13" s="105"/>
      <c r="H13" s="105"/>
      <c r="I13" s="105"/>
      <c r="J13" s="105"/>
      <c r="K13" s="105"/>
      <c r="L13" s="105"/>
      <c r="M13" s="105"/>
      <c r="N13" s="104"/>
      <c r="O13" s="104"/>
      <c r="P13" s="104"/>
      <c r="Q13" s="104"/>
    </row>
    <row r="14" ht="15.0" customHeight="1">
      <c r="A14" s="106"/>
      <c r="B14" s="106"/>
      <c r="C14" s="106"/>
      <c r="D14" s="107" t="s">
        <v>37</v>
      </c>
      <c r="E14" s="108" t="s">
        <v>38</v>
      </c>
      <c r="F14" s="109" t="s">
        <v>39</v>
      </c>
      <c r="G14" s="110">
        <v>44641.0</v>
      </c>
      <c r="H14" s="110">
        <v>44642.0</v>
      </c>
      <c r="I14" s="110">
        <v>44643.0</v>
      </c>
      <c r="J14" s="110">
        <v>44644.0</v>
      </c>
      <c r="K14" s="110">
        <v>44645.0</v>
      </c>
      <c r="L14" s="110">
        <v>44646.0</v>
      </c>
      <c r="M14" s="110">
        <v>44647.0</v>
      </c>
      <c r="N14" s="111" t="s">
        <v>40</v>
      </c>
      <c r="O14" s="111" t="s">
        <v>41</v>
      </c>
      <c r="P14" s="111" t="s">
        <v>281</v>
      </c>
      <c r="Q14" s="88"/>
    </row>
    <row r="15" ht="15.0" customHeight="1">
      <c r="A15" s="112"/>
      <c r="B15" s="112"/>
      <c r="C15" s="112"/>
      <c r="D15" s="129" t="s">
        <v>271</v>
      </c>
      <c r="E15" s="114" t="str">
        <f>VLOOKUP(D15,Data!H:I,2,0)</f>
        <v>Adıyaman</v>
      </c>
      <c r="F15" s="115" t="str">
        <f>VLOOKUP(D15,Data!H:J,3,0)</f>
        <v>Nazım Öztel</v>
      </c>
      <c r="G15" s="116" t="b">
        <v>0</v>
      </c>
      <c r="H15" s="116" t="b">
        <v>0</v>
      </c>
      <c r="I15" s="116" t="b">
        <v>0</v>
      </c>
      <c r="J15" s="116" t="b">
        <v>0</v>
      </c>
      <c r="K15" s="116" t="b">
        <v>0</v>
      </c>
      <c r="L15" s="116" t="b">
        <v>0</v>
      </c>
      <c r="M15" s="116" t="b">
        <v>0</v>
      </c>
      <c r="N15" s="117">
        <f t="shared" ref="N15:N56" si="1">COUNTIF(G15:M15,"TRUE")</f>
        <v>0</v>
      </c>
      <c r="O15" s="117">
        <f t="shared" ref="O15:O56" si="2">N15*4</f>
        <v>0</v>
      </c>
      <c r="P15" s="117"/>
      <c r="Q15" s="88"/>
    </row>
    <row r="16" ht="15.0" customHeight="1">
      <c r="A16" s="112"/>
      <c r="B16" s="112"/>
      <c r="C16" s="112"/>
      <c r="D16" s="129" t="s">
        <v>279</v>
      </c>
      <c r="E16" s="114" t="str">
        <f>VLOOKUP(D16,Data!H:I,2,0)</f>
        <v>Amasya</v>
      </c>
      <c r="F16" s="115" t="str">
        <f>VLOOKUP(D16,Data!H:J,3,0)</f>
        <v>Nazım Öztel</v>
      </c>
      <c r="G16" s="116" t="b">
        <v>0</v>
      </c>
      <c r="H16" s="116" t="b">
        <v>0</v>
      </c>
      <c r="I16" s="116" t="b">
        <v>0</v>
      </c>
      <c r="J16" s="116" t="b">
        <v>0</v>
      </c>
      <c r="K16" s="116" t="b">
        <v>0</v>
      </c>
      <c r="L16" s="116" t="b">
        <v>0</v>
      </c>
      <c r="M16" s="116" t="b">
        <v>0</v>
      </c>
      <c r="N16" s="117">
        <f t="shared" si="1"/>
        <v>0</v>
      </c>
      <c r="O16" s="117">
        <f t="shared" si="2"/>
        <v>0</v>
      </c>
      <c r="P16" s="117"/>
      <c r="Q16" s="88"/>
    </row>
    <row r="17" ht="15.0" customHeight="1">
      <c r="A17" s="112"/>
      <c r="B17" s="112"/>
      <c r="C17" s="112"/>
      <c r="D17" s="129" t="s">
        <v>246</v>
      </c>
      <c r="E17" s="114" t="str">
        <f>VLOOKUP(D17,Data!H:I,2,0)</f>
        <v>Ankara</v>
      </c>
      <c r="F17" s="115" t="str">
        <f>VLOOKUP(D17,Data!H:J,3,0)</f>
        <v>Nazım Öztel</v>
      </c>
      <c r="G17" s="116" t="b">
        <v>0</v>
      </c>
      <c r="H17" s="116" t="b">
        <v>0</v>
      </c>
      <c r="I17" s="116" t="b">
        <v>0</v>
      </c>
      <c r="J17" s="116" t="b">
        <v>0</v>
      </c>
      <c r="K17" s="116" t="b">
        <v>0</v>
      </c>
      <c r="L17" s="116" t="b">
        <v>0</v>
      </c>
      <c r="M17" s="116" t="b">
        <v>0</v>
      </c>
      <c r="N17" s="117">
        <f t="shared" si="1"/>
        <v>0</v>
      </c>
      <c r="O17" s="117">
        <f t="shared" si="2"/>
        <v>0</v>
      </c>
      <c r="P17" s="117" t="s">
        <v>298</v>
      </c>
      <c r="Q17" s="88"/>
    </row>
    <row r="18" ht="15.0" customHeight="1">
      <c r="A18" s="112"/>
      <c r="B18" s="112"/>
      <c r="C18" s="112"/>
      <c r="D18" s="129" t="s">
        <v>261</v>
      </c>
      <c r="E18" s="114" t="str">
        <f>VLOOKUP(D18,Data!H:I,2,0)</f>
        <v>Ankara</v>
      </c>
      <c r="F18" s="115" t="str">
        <f>VLOOKUP(D18,Data!H:J,3,0)</f>
        <v>Nazım Öztel</v>
      </c>
      <c r="G18" s="116" t="b">
        <v>0</v>
      </c>
      <c r="H18" s="116" t="b">
        <v>0</v>
      </c>
      <c r="I18" s="116" t="b">
        <v>0</v>
      </c>
      <c r="J18" s="116" t="b">
        <v>0</v>
      </c>
      <c r="K18" s="116" t="b">
        <v>0</v>
      </c>
      <c r="L18" s="116" t="b">
        <v>0</v>
      </c>
      <c r="M18" s="116" t="b">
        <v>0</v>
      </c>
      <c r="N18" s="117">
        <f t="shared" si="1"/>
        <v>0</v>
      </c>
      <c r="O18" s="117">
        <f t="shared" si="2"/>
        <v>0</v>
      </c>
      <c r="P18" s="117"/>
      <c r="Q18" s="88"/>
    </row>
    <row r="19" ht="15.0" customHeight="1">
      <c r="A19" s="106"/>
      <c r="B19" s="106"/>
      <c r="C19" s="106"/>
      <c r="D19" s="129" t="s">
        <v>164</v>
      </c>
      <c r="E19" s="114" t="str">
        <f>VLOOKUP(D19,Data!H:I,2,0)</f>
        <v>Antalya</v>
      </c>
      <c r="F19" s="115" t="str">
        <f>VLOOKUP(D19,Data!H:J,3,0)</f>
        <v>Nazım Öztel</v>
      </c>
      <c r="G19" s="116" t="b">
        <v>0</v>
      </c>
      <c r="H19" s="116" t="b">
        <v>0</v>
      </c>
      <c r="I19" s="116" t="b">
        <v>0</v>
      </c>
      <c r="J19" s="116" t="b">
        <v>0</v>
      </c>
      <c r="K19" s="116" t="b">
        <v>0</v>
      </c>
      <c r="L19" s="116" t="b">
        <v>0</v>
      </c>
      <c r="M19" s="116" t="b">
        <v>0</v>
      </c>
      <c r="N19" s="117">
        <f t="shared" si="1"/>
        <v>0</v>
      </c>
      <c r="O19" s="117">
        <f t="shared" si="2"/>
        <v>0</v>
      </c>
      <c r="P19" s="117"/>
      <c r="Q19" s="106"/>
    </row>
    <row r="20" ht="15.0" customHeight="1">
      <c r="A20" s="106"/>
      <c r="B20" s="106"/>
      <c r="C20" s="106"/>
      <c r="D20" s="129" t="s">
        <v>272</v>
      </c>
      <c r="E20" s="114" t="s">
        <v>262</v>
      </c>
      <c r="F20" s="115" t="s">
        <v>61</v>
      </c>
      <c r="G20" s="116" t="b">
        <v>0</v>
      </c>
      <c r="H20" s="116" t="b">
        <v>0</v>
      </c>
      <c r="I20" s="116" t="b">
        <v>0</v>
      </c>
      <c r="J20" s="116" t="b">
        <v>0</v>
      </c>
      <c r="K20" s="116" t="b">
        <v>0</v>
      </c>
      <c r="L20" s="116" t="b">
        <v>0</v>
      </c>
      <c r="M20" s="116" t="b">
        <v>0</v>
      </c>
      <c r="N20" s="117">
        <f t="shared" si="1"/>
        <v>0</v>
      </c>
      <c r="O20" s="117">
        <f t="shared" si="2"/>
        <v>0</v>
      </c>
      <c r="P20" s="117"/>
      <c r="Q20" s="106"/>
    </row>
    <row r="21" ht="15.0" customHeight="1">
      <c r="A21" s="112"/>
      <c r="B21" s="112"/>
      <c r="C21" s="112"/>
      <c r="D21" s="129" t="s">
        <v>241</v>
      </c>
      <c r="E21" s="114" t="s">
        <v>184</v>
      </c>
      <c r="F21" s="115" t="s">
        <v>61</v>
      </c>
      <c r="G21" s="116" t="b">
        <v>0</v>
      </c>
      <c r="H21" s="116" t="b">
        <v>0</v>
      </c>
      <c r="I21" s="116" t="b">
        <v>0</v>
      </c>
      <c r="J21" s="116" t="b">
        <v>0</v>
      </c>
      <c r="K21" s="116" t="b">
        <v>0</v>
      </c>
      <c r="L21" s="116" t="b">
        <v>0</v>
      </c>
      <c r="M21" s="116" t="b">
        <v>0</v>
      </c>
      <c r="N21" s="117">
        <f t="shared" si="1"/>
        <v>0</v>
      </c>
      <c r="O21" s="117">
        <f t="shared" si="2"/>
        <v>0</v>
      </c>
      <c r="P21" s="117"/>
      <c r="Q21" s="112"/>
    </row>
    <row r="22" ht="15.0" customHeight="1">
      <c r="A22" s="112"/>
      <c r="B22" s="112"/>
      <c r="C22" s="112"/>
      <c r="D22" s="129" t="s">
        <v>263</v>
      </c>
      <c r="E22" s="114" t="str">
        <f>VLOOKUP(D22,Data!H:I,2,0)</f>
        <v>Bolu</v>
      </c>
      <c r="F22" s="115" t="str">
        <f>VLOOKUP(D22,Data!H:J,3,0)</f>
        <v>Nazım Öztel</v>
      </c>
      <c r="G22" s="116" t="b">
        <v>0</v>
      </c>
      <c r="H22" s="116" t="b">
        <v>0</v>
      </c>
      <c r="I22" s="116" t="b">
        <v>0</v>
      </c>
      <c r="J22" s="116" t="b">
        <v>0</v>
      </c>
      <c r="K22" s="116" t="b">
        <v>0</v>
      </c>
      <c r="L22" s="116" t="b">
        <v>0</v>
      </c>
      <c r="M22" s="116" t="b">
        <v>0</v>
      </c>
      <c r="N22" s="117">
        <f t="shared" si="1"/>
        <v>0</v>
      </c>
      <c r="O22" s="117">
        <f t="shared" si="2"/>
        <v>0</v>
      </c>
      <c r="P22" s="117" t="s">
        <v>299</v>
      </c>
      <c r="Q22" s="112"/>
    </row>
    <row r="23" ht="15.0" customHeight="1">
      <c r="A23" s="112"/>
      <c r="B23" s="112"/>
      <c r="C23" s="112"/>
      <c r="D23" s="129" t="s">
        <v>53</v>
      </c>
      <c r="E23" s="114" t="str">
        <f>VLOOKUP(D23,Data!H:I,2,0)</f>
        <v>Bursa</v>
      </c>
      <c r="F23" s="115" t="str">
        <f>VLOOKUP(D23,Data!H:J,3,0)</f>
        <v>Freelance</v>
      </c>
      <c r="G23" s="116" t="b">
        <v>0</v>
      </c>
      <c r="H23" s="116" t="b">
        <v>0</v>
      </c>
      <c r="I23" s="116" t="b">
        <v>0</v>
      </c>
      <c r="J23" s="116" t="b">
        <v>0</v>
      </c>
      <c r="K23" s="116" t="b">
        <v>0</v>
      </c>
      <c r="L23" s="116" t="b">
        <v>0</v>
      </c>
      <c r="M23" s="116" t="b">
        <v>0</v>
      </c>
      <c r="N23" s="117">
        <f t="shared" si="1"/>
        <v>0</v>
      </c>
      <c r="O23" s="117">
        <f t="shared" si="2"/>
        <v>0</v>
      </c>
      <c r="P23" s="117"/>
      <c r="Q23" s="112"/>
    </row>
    <row r="24" ht="15.0" customHeight="1">
      <c r="A24" s="112"/>
      <c r="B24" s="112"/>
      <c r="C24" s="112"/>
      <c r="D24" s="129" t="s">
        <v>247</v>
      </c>
      <c r="E24" s="114" t="str">
        <f>VLOOKUP(D24,Data!H:I,2,0)</f>
        <v>Çanakkale</v>
      </c>
      <c r="F24" s="115" t="str">
        <f>VLOOKUP(D24,Data!H:J,3,0)</f>
        <v>Nazım Öztel</v>
      </c>
      <c r="G24" s="116" t="b">
        <v>0</v>
      </c>
      <c r="H24" s="116" t="b">
        <v>0</v>
      </c>
      <c r="I24" s="116" t="b">
        <v>0</v>
      </c>
      <c r="J24" s="116" t="b">
        <v>0</v>
      </c>
      <c r="K24" s="116" t="b">
        <v>0</v>
      </c>
      <c r="L24" s="116" t="b">
        <v>0</v>
      </c>
      <c r="M24" s="116" t="b">
        <v>0</v>
      </c>
      <c r="N24" s="117">
        <f t="shared" si="1"/>
        <v>0</v>
      </c>
      <c r="O24" s="117">
        <f t="shared" si="2"/>
        <v>0</v>
      </c>
      <c r="P24" s="117" t="s">
        <v>298</v>
      </c>
      <c r="Q24" s="112"/>
    </row>
    <row r="25" ht="15.0" customHeight="1">
      <c r="A25" s="112"/>
      <c r="B25" s="112"/>
      <c r="C25" s="112"/>
      <c r="D25" s="129" t="s">
        <v>221</v>
      </c>
      <c r="E25" s="114" t="str">
        <f>VLOOKUP(D25,Data!H:I,2,0)</f>
        <v>Çorum</v>
      </c>
      <c r="F25" s="115" t="str">
        <f>VLOOKUP(D25,Data!H:J,3,0)</f>
        <v>Nazım Öztel</v>
      </c>
      <c r="G25" s="116" t="b">
        <v>0</v>
      </c>
      <c r="H25" s="116" t="b">
        <v>0</v>
      </c>
      <c r="I25" s="116" t="b">
        <v>0</v>
      </c>
      <c r="J25" s="116" t="b">
        <v>0</v>
      </c>
      <c r="K25" s="116" t="b">
        <v>0</v>
      </c>
      <c r="L25" s="116" t="b">
        <v>0</v>
      </c>
      <c r="M25" s="116" t="b">
        <v>0</v>
      </c>
      <c r="N25" s="117">
        <f t="shared" si="1"/>
        <v>0</v>
      </c>
      <c r="O25" s="117">
        <f t="shared" si="2"/>
        <v>0</v>
      </c>
      <c r="P25" s="117"/>
      <c r="Q25" s="112"/>
    </row>
    <row r="26" ht="15.0" customHeight="1">
      <c r="A26" s="112"/>
      <c r="B26" s="112"/>
      <c r="C26" s="112"/>
      <c r="D26" s="129" t="s">
        <v>264</v>
      </c>
      <c r="E26" s="114" t="str">
        <f>VLOOKUP(D26,Data!H:I,2,0)</f>
        <v>Denizli</v>
      </c>
      <c r="F26" s="115" t="str">
        <f>VLOOKUP(D26,Data!H:J,3,0)</f>
        <v>Nazım Öztel</v>
      </c>
      <c r="G26" s="116" t="b">
        <v>0</v>
      </c>
      <c r="H26" s="116" t="b">
        <v>0</v>
      </c>
      <c r="I26" s="116" t="b">
        <v>0</v>
      </c>
      <c r="J26" s="116" t="b">
        <v>0</v>
      </c>
      <c r="K26" s="116" t="b">
        <v>0</v>
      </c>
      <c r="L26" s="116" t="b">
        <v>0</v>
      </c>
      <c r="M26" s="116" t="b">
        <v>0</v>
      </c>
      <c r="N26" s="117">
        <f t="shared" si="1"/>
        <v>0</v>
      </c>
      <c r="O26" s="117">
        <f t="shared" si="2"/>
        <v>0</v>
      </c>
      <c r="P26" s="117"/>
      <c r="Q26" s="112"/>
    </row>
    <row r="27" ht="15.0" customHeight="1">
      <c r="A27" s="112"/>
      <c r="B27" s="112"/>
      <c r="C27" s="112"/>
      <c r="D27" s="129" t="s">
        <v>300</v>
      </c>
      <c r="E27" s="114" t="s">
        <v>301</v>
      </c>
      <c r="F27" s="115" t="s">
        <v>61</v>
      </c>
      <c r="G27" s="116" t="b">
        <v>0</v>
      </c>
      <c r="H27" s="116" t="b">
        <v>0</v>
      </c>
      <c r="I27" s="116" t="b">
        <v>0</v>
      </c>
      <c r="J27" s="116" t="b">
        <v>0</v>
      </c>
      <c r="K27" s="116" t="b">
        <v>0</v>
      </c>
      <c r="L27" s="116" t="b">
        <v>0</v>
      </c>
      <c r="M27" s="116" t="b">
        <v>0</v>
      </c>
      <c r="N27" s="117">
        <f t="shared" si="1"/>
        <v>0</v>
      </c>
      <c r="O27" s="117">
        <f t="shared" si="2"/>
        <v>0</v>
      </c>
      <c r="P27" s="117"/>
      <c r="Q27" s="112"/>
    </row>
    <row r="28" ht="15.0" customHeight="1">
      <c r="A28" s="112"/>
      <c r="B28" s="112"/>
      <c r="C28" s="112"/>
      <c r="D28" s="129" t="s">
        <v>173</v>
      </c>
      <c r="E28" s="114" t="str">
        <f>VLOOKUP(D28,Data!H:I,2,0)</f>
        <v>Düzce</v>
      </c>
      <c r="F28" s="115" t="str">
        <f>VLOOKUP(D28,Data!H:J,3,0)</f>
        <v>Nazım Öztel</v>
      </c>
      <c r="G28" s="116" t="b">
        <v>0</v>
      </c>
      <c r="H28" s="116" t="b">
        <v>0</v>
      </c>
      <c r="I28" s="116" t="b">
        <v>0</v>
      </c>
      <c r="J28" s="116" t="b">
        <v>0</v>
      </c>
      <c r="K28" s="116" t="b">
        <v>0</v>
      </c>
      <c r="L28" s="116" t="b">
        <v>0</v>
      </c>
      <c r="M28" s="116" t="b">
        <v>0</v>
      </c>
      <c r="N28" s="117">
        <f t="shared" si="1"/>
        <v>0</v>
      </c>
      <c r="O28" s="117">
        <f t="shared" si="2"/>
        <v>0</v>
      </c>
      <c r="P28" s="117" t="s">
        <v>298</v>
      </c>
      <c r="Q28" s="112"/>
    </row>
    <row r="29" ht="15.0" customHeight="1">
      <c r="A29" s="112"/>
      <c r="B29" s="112"/>
      <c r="C29" s="112"/>
      <c r="D29" s="129" t="s">
        <v>153</v>
      </c>
      <c r="E29" s="114" t="str">
        <f>VLOOKUP(D29,Data!H:I,2,0)</f>
        <v>Edirne</v>
      </c>
      <c r="F29" s="115" t="str">
        <f>VLOOKUP(D29,Data!H:J,3,0)</f>
        <v>Nazım Öztel</v>
      </c>
      <c r="G29" s="116" t="b">
        <v>0</v>
      </c>
      <c r="H29" s="116" t="b">
        <v>0</v>
      </c>
      <c r="I29" s="116" t="b">
        <v>0</v>
      </c>
      <c r="J29" s="116" t="b">
        <v>0</v>
      </c>
      <c r="K29" s="116" t="b">
        <v>0</v>
      </c>
      <c r="L29" s="116" t="b">
        <v>0</v>
      </c>
      <c r="M29" s="116" t="b">
        <v>0</v>
      </c>
      <c r="N29" s="117">
        <f t="shared" si="1"/>
        <v>0</v>
      </c>
      <c r="O29" s="117">
        <f t="shared" si="2"/>
        <v>0</v>
      </c>
      <c r="P29" s="117" t="s">
        <v>298</v>
      </c>
      <c r="Q29" s="112"/>
    </row>
    <row r="30" ht="15.0" customHeight="1">
      <c r="A30" s="112"/>
      <c r="B30" s="112"/>
      <c r="C30" s="112"/>
      <c r="D30" s="129" t="s">
        <v>289</v>
      </c>
      <c r="E30" s="114" t="str">
        <f>VLOOKUP(D30,Data!H:I,2,0)</f>
        <v>Elazığ</v>
      </c>
      <c r="F30" s="115" t="str">
        <f>VLOOKUP(D30,Data!H:J,3,0)</f>
        <v>Nazım Öztel</v>
      </c>
      <c r="G30" s="116" t="b">
        <v>0</v>
      </c>
      <c r="H30" s="116" t="b">
        <v>0</v>
      </c>
      <c r="I30" s="116" t="b">
        <v>0</v>
      </c>
      <c r="J30" s="116" t="b">
        <v>0</v>
      </c>
      <c r="K30" s="116" t="b">
        <v>0</v>
      </c>
      <c r="L30" s="116" t="b">
        <v>0</v>
      </c>
      <c r="M30" s="116" t="b">
        <v>0</v>
      </c>
      <c r="N30" s="117">
        <f t="shared" si="1"/>
        <v>0</v>
      </c>
      <c r="O30" s="117">
        <f t="shared" si="2"/>
        <v>0</v>
      </c>
      <c r="P30" s="117"/>
      <c r="Q30" s="112"/>
    </row>
    <row r="31" ht="15.0" customHeight="1">
      <c r="A31" s="112"/>
      <c r="B31" s="112"/>
      <c r="C31" s="112"/>
      <c r="D31" s="132" t="s">
        <v>55</v>
      </c>
      <c r="E31" s="114" t="str">
        <f>VLOOKUP(D31,Data!H:I,2,0)</f>
        <v>Erzurum</v>
      </c>
      <c r="F31" s="115" t="str">
        <f>VLOOKUP(D31,Data!H:J,3,0)</f>
        <v>Nazım Öztel</v>
      </c>
      <c r="G31" s="116" t="b">
        <v>0</v>
      </c>
      <c r="H31" s="116" t="b">
        <v>0</v>
      </c>
      <c r="I31" s="116" t="b">
        <v>0</v>
      </c>
      <c r="J31" s="116" t="b">
        <v>0</v>
      </c>
      <c r="K31" s="116" t="b">
        <v>0</v>
      </c>
      <c r="L31" s="116" t="b">
        <v>0</v>
      </c>
      <c r="M31" s="116" t="b">
        <v>0</v>
      </c>
      <c r="N31" s="117">
        <f t="shared" si="1"/>
        <v>0</v>
      </c>
      <c r="O31" s="117">
        <f t="shared" si="2"/>
        <v>0</v>
      </c>
      <c r="P31" s="117" t="s">
        <v>298</v>
      </c>
      <c r="Q31" s="112"/>
    </row>
    <row r="32" ht="15.0" customHeight="1">
      <c r="A32" s="112"/>
      <c r="B32" s="112"/>
      <c r="C32" s="112"/>
      <c r="D32" s="129" t="s">
        <v>165</v>
      </c>
      <c r="E32" s="114" t="str">
        <f>VLOOKUP(D32,Data!H:I,2,0)</f>
        <v>Eskişehir</v>
      </c>
      <c r="F32" s="115" t="str">
        <f>VLOOKUP(D32,Data!H:J,3,0)</f>
        <v>Nazım Öztel</v>
      </c>
      <c r="G32" s="116" t="b">
        <v>0</v>
      </c>
      <c r="H32" s="116" t="b">
        <v>0</v>
      </c>
      <c r="I32" s="116" t="b">
        <v>0</v>
      </c>
      <c r="J32" s="116" t="b">
        <v>0</v>
      </c>
      <c r="K32" s="116" t="b">
        <v>0</v>
      </c>
      <c r="L32" s="116" t="b">
        <v>0</v>
      </c>
      <c r="M32" s="116" t="b">
        <v>0</v>
      </c>
      <c r="N32" s="117">
        <f t="shared" si="1"/>
        <v>0</v>
      </c>
      <c r="O32" s="117">
        <f t="shared" si="2"/>
        <v>0</v>
      </c>
      <c r="P32" s="117"/>
      <c r="Q32" s="112"/>
    </row>
    <row r="33" ht="15.0" customHeight="1">
      <c r="A33" s="112"/>
      <c r="B33" s="112"/>
      <c r="C33" s="112"/>
      <c r="D33" s="129" t="s">
        <v>273</v>
      </c>
      <c r="E33" s="114" t="str">
        <f>VLOOKUP(D33,Data!H:I,2,0)</f>
        <v>Gaziantep</v>
      </c>
      <c r="F33" s="115" t="str">
        <f>VLOOKUP(D33,Data!H:J,3,0)</f>
        <v>Nazım Öztel</v>
      </c>
      <c r="G33" s="116" t="b">
        <v>0</v>
      </c>
      <c r="H33" s="116" t="b">
        <v>0</v>
      </c>
      <c r="I33" s="116" t="b">
        <v>0</v>
      </c>
      <c r="J33" s="116" t="b">
        <v>0</v>
      </c>
      <c r="K33" s="116" t="b">
        <v>0</v>
      </c>
      <c r="L33" s="116" t="b">
        <v>0</v>
      </c>
      <c r="M33" s="116" t="b">
        <v>0</v>
      </c>
      <c r="N33" s="117">
        <f t="shared" si="1"/>
        <v>0</v>
      </c>
      <c r="O33" s="117">
        <f t="shared" si="2"/>
        <v>0</v>
      </c>
      <c r="P33" s="117"/>
      <c r="Q33" s="112"/>
    </row>
    <row r="34" ht="15.0" customHeight="1">
      <c r="A34" s="112"/>
      <c r="B34" s="112"/>
      <c r="C34" s="112"/>
      <c r="D34" s="129" t="s">
        <v>248</v>
      </c>
      <c r="E34" s="114" t="str">
        <f>VLOOKUP(D34,Data!H:I,2,0)</f>
        <v>Hatay</v>
      </c>
      <c r="F34" s="115" t="str">
        <f>VLOOKUP(D34,Data!H:J,3,0)</f>
        <v>Nazım Öztel</v>
      </c>
      <c r="G34" s="116" t="b">
        <v>0</v>
      </c>
      <c r="H34" s="116" t="b">
        <v>0</v>
      </c>
      <c r="I34" s="116" t="b">
        <v>0</v>
      </c>
      <c r="J34" s="116" t="b">
        <v>0</v>
      </c>
      <c r="K34" s="116" t="b">
        <v>0</v>
      </c>
      <c r="L34" s="116" t="b">
        <v>0</v>
      </c>
      <c r="M34" s="116" t="b">
        <v>0</v>
      </c>
      <c r="N34" s="117">
        <f t="shared" si="1"/>
        <v>0</v>
      </c>
      <c r="O34" s="117">
        <f t="shared" si="2"/>
        <v>0</v>
      </c>
      <c r="P34" s="117"/>
      <c r="Q34" s="112"/>
    </row>
    <row r="35" ht="15.0" customHeight="1">
      <c r="A35" s="112"/>
      <c r="B35" s="112"/>
      <c r="C35" s="112"/>
      <c r="D35" s="129" t="s">
        <v>58</v>
      </c>
      <c r="E35" s="114" t="str">
        <f>VLOOKUP(D35,Data!H:I,2,0)</f>
        <v>İstanbul</v>
      </c>
      <c r="F35" s="115" t="str">
        <f>VLOOKUP(D35,Data!H:J,3,0)</f>
        <v>Freelance</v>
      </c>
      <c r="G35" s="116" t="b">
        <v>0</v>
      </c>
      <c r="H35" s="116" t="b">
        <v>0</v>
      </c>
      <c r="I35" s="116" t="b">
        <v>0</v>
      </c>
      <c r="J35" s="116" t="b">
        <v>0</v>
      </c>
      <c r="K35" s="116" t="b">
        <v>0</v>
      </c>
      <c r="L35" s="116" t="b">
        <v>0</v>
      </c>
      <c r="M35" s="116" t="b">
        <v>0</v>
      </c>
      <c r="N35" s="117">
        <f t="shared" si="1"/>
        <v>0</v>
      </c>
      <c r="O35" s="117">
        <f t="shared" si="2"/>
        <v>0</v>
      </c>
      <c r="P35" s="117" t="s">
        <v>399</v>
      </c>
      <c r="Q35" s="112"/>
    </row>
    <row r="36" ht="15.0" customHeight="1">
      <c r="A36" s="121"/>
      <c r="B36" s="121"/>
      <c r="C36" s="121"/>
      <c r="D36" s="129" t="s">
        <v>236</v>
      </c>
      <c r="E36" s="114" t="str">
        <f>VLOOKUP(D36,Data!H:I,2,0)</f>
        <v>İstanbul</v>
      </c>
      <c r="F36" s="115" t="str">
        <f>VLOOKUP(D36,Data!H:J,3,0)</f>
        <v>Filamingo</v>
      </c>
      <c r="G36" s="116" t="b">
        <v>0</v>
      </c>
      <c r="H36" s="116" t="b">
        <v>0</v>
      </c>
      <c r="I36" s="116" t="b">
        <v>0</v>
      </c>
      <c r="J36" s="116" t="b">
        <v>0</v>
      </c>
      <c r="K36" s="116" t="b">
        <v>0</v>
      </c>
      <c r="L36" s="116" t="b">
        <v>0</v>
      </c>
      <c r="M36" s="116" t="b">
        <v>0</v>
      </c>
      <c r="N36" s="117">
        <f t="shared" si="1"/>
        <v>0</v>
      </c>
      <c r="O36" s="117">
        <f t="shared" si="2"/>
        <v>0</v>
      </c>
      <c r="P36" s="117" t="s">
        <v>298</v>
      </c>
      <c r="Q36" s="121"/>
    </row>
    <row r="37" ht="15.0" customHeight="1">
      <c r="A37" s="112"/>
      <c r="B37" s="112"/>
      <c r="C37" s="112"/>
      <c r="D37" s="129" t="s">
        <v>135</v>
      </c>
      <c r="E37" s="114" t="str">
        <f>VLOOKUP(D37,Data!H:I,2,0)</f>
        <v>İstanbul</v>
      </c>
      <c r="F37" s="115" t="str">
        <f>VLOOKUP(D37,Data!H:J,3,0)</f>
        <v>Freelance</v>
      </c>
      <c r="G37" s="116" t="b">
        <v>0</v>
      </c>
      <c r="H37" s="116" t="b">
        <v>0</v>
      </c>
      <c r="I37" s="116" t="b">
        <v>0</v>
      </c>
      <c r="J37" s="116" t="b">
        <v>0</v>
      </c>
      <c r="K37" s="116" t="b">
        <v>0</v>
      </c>
      <c r="L37" s="116" t="b">
        <v>0</v>
      </c>
      <c r="M37" s="116" t="b">
        <v>0</v>
      </c>
      <c r="N37" s="117">
        <f t="shared" si="1"/>
        <v>0</v>
      </c>
      <c r="O37" s="117">
        <f t="shared" si="2"/>
        <v>0</v>
      </c>
      <c r="P37" s="117" t="s">
        <v>298</v>
      </c>
      <c r="Q37" s="112"/>
    </row>
    <row r="38" ht="15.0" customHeight="1">
      <c r="A38" s="112"/>
      <c r="B38" s="112"/>
      <c r="C38" s="112"/>
      <c r="D38" s="129" t="s">
        <v>70</v>
      </c>
      <c r="E38" s="114" t="str">
        <f>VLOOKUP(D38,Data!H:I,2,0)</f>
        <v>İstanbul</v>
      </c>
      <c r="F38" s="115" t="str">
        <f>VLOOKUP(D38,Data!H:J,3,0)</f>
        <v>Freelance</v>
      </c>
      <c r="G38" s="116" t="b">
        <v>0</v>
      </c>
      <c r="H38" s="116" t="b">
        <v>0</v>
      </c>
      <c r="I38" s="116" t="b">
        <v>0</v>
      </c>
      <c r="J38" s="116" t="b">
        <v>0</v>
      </c>
      <c r="K38" s="116" t="b">
        <v>0</v>
      </c>
      <c r="L38" s="116" t="b">
        <v>0</v>
      </c>
      <c r="M38" s="116" t="b">
        <v>0</v>
      </c>
      <c r="N38" s="117">
        <f t="shared" si="1"/>
        <v>0</v>
      </c>
      <c r="O38" s="117">
        <f t="shared" si="2"/>
        <v>0</v>
      </c>
      <c r="P38" s="117" t="s">
        <v>298</v>
      </c>
      <c r="Q38" s="112"/>
    </row>
    <row r="39" ht="15.0" customHeight="1">
      <c r="A39" s="112"/>
      <c r="B39" s="112"/>
      <c r="C39" s="112"/>
      <c r="D39" s="129" t="s">
        <v>78</v>
      </c>
      <c r="E39" s="114" t="str">
        <f>VLOOKUP(D39,Data!H:I,2,0)</f>
        <v>İstanbul</v>
      </c>
      <c r="F39" s="115" t="str">
        <f>VLOOKUP(D39,Data!H:J,3,0)</f>
        <v>Freelance</v>
      </c>
      <c r="G39" s="116" t="b">
        <v>0</v>
      </c>
      <c r="H39" s="116" t="b">
        <v>0</v>
      </c>
      <c r="I39" s="116" t="b">
        <v>0</v>
      </c>
      <c r="J39" s="116" t="b">
        <v>0</v>
      </c>
      <c r="K39" s="116" t="b">
        <v>0</v>
      </c>
      <c r="L39" s="116" t="b">
        <v>0</v>
      </c>
      <c r="M39" s="116" t="b">
        <v>0</v>
      </c>
      <c r="N39" s="117">
        <f t="shared" si="1"/>
        <v>0</v>
      </c>
      <c r="O39" s="117">
        <f t="shared" si="2"/>
        <v>0</v>
      </c>
      <c r="P39" s="117" t="s">
        <v>399</v>
      </c>
      <c r="Q39" s="112"/>
    </row>
    <row r="40" ht="15.0" customHeight="1">
      <c r="A40" s="112"/>
      <c r="B40" s="112"/>
      <c r="C40" s="112"/>
      <c r="D40" s="129" t="s">
        <v>79</v>
      </c>
      <c r="E40" s="114" t="str">
        <f>VLOOKUP(D40,Data!H:I,2,0)</f>
        <v>İstanbul</v>
      </c>
      <c r="F40" s="115" t="str">
        <f>VLOOKUP(D40,Data!H:J,3,0)</f>
        <v>Freelance</v>
      </c>
      <c r="G40" s="116" t="b">
        <v>0</v>
      </c>
      <c r="H40" s="116" t="b">
        <v>0</v>
      </c>
      <c r="I40" s="116" t="b">
        <v>0</v>
      </c>
      <c r="J40" s="116" t="b">
        <v>0</v>
      </c>
      <c r="K40" s="116" t="b">
        <v>0</v>
      </c>
      <c r="L40" s="116" t="b">
        <v>0</v>
      </c>
      <c r="M40" s="116" t="b">
        <v>0</v>
      </c>
      <c r="N40" s="117">
        <f t="shared" si="1"/>
        <v>0</v>
      </c>
      <c r="O40" s="117">
        <f t="shared" si="2"/>
        <v>0</v>
      </c>
      <c r="P40" s="117"/>
      <c r="Q40" s="112"/>
    </row>
    <row r="41" ht="15.0" customHeight="1">
      <c r="A41" s="122"/>
      <c r="B41" s="122"/>
      <c r="C41" s="122"/>
      <c r="D41" s="129" t="s">
        <v>80</v>
      </c>
      <c r="E41" s="114" t="str">
        <f>VLOOKUP(D41,Data!H:I,2,0)</f>
        <v>İstanbul</v>
      </c>
      <c r="F41" s="115" t="str">
        <f>VLOOKUP(D41,Data!H:J,3,0)</f>
        <v>Freelance</v>
      </c>
      <c r="G41" s="116" t="b">
        <v>0</v>
      </c>
      <c r="H41" s="116" t="b">
        <v>0</v>
      </c>
      <c r="I41" s="116" t="b">
        <v>0</v>
      </c>
      <c r="J41" s="116" t="b">
        <v>0</v>
      </c>
      <c r="K41" s="116" t="b">
        <v>0</v>
      </c>
      <c r="L41" s="116" t="b">
        <v>0</v>
      </c>
      <c r="M41" s="116" t="b">
        <v>0</v>
      </c>
      <c r="N41" s="117">
        <f t="shared" si="1"/>
        <v>0</v>
      </c>
      <c r="O41" s="117">
        <f t="shared" si="2"/>
        <v>0</v>
      </c>
      <c r="P41" s="117" t="s">
        <v>399</v>
      </c>
      <c r="Q41" s="122"/>
    </row>
    <row r="42" ht="15.0" customHeight="1">
      <c r="A42" s="112"/>
      <c r="B42" s="112"/>
      <c r="C42" s="112"/>
      <c r="D42" s="132" t="s">
        <v>119</v>
      </c>
      <c r="E42" s="114" t="str">
        <f>VLOOKUP(D42,Data!H:I,2,0)</f>
        <v>İstanbul</v>
      </c>
      <c r="F42" s="115" t="str">
        <f>VLOOKUP(D42,Data!H:J,3,0)</f>
        <v>Filamingo</v>
      </c>
      <c r="G42" s="116" t="b">
        <v>0</v>
      </c>
      <c r="H42" s="116" t="b">
        <v>0</v>
      </c>
      <c r="I42" s="116" t="b">
        <v>0</v>
      </c>
      <c r="J42" s="116" t="b">
        <v>0</v>
      </c>
      <c r="K42" s="116" t="b">
        <v>0</v>
      </c>
      <c r="L42" s="116" t="b">
        <v>0</v>
      </c>
      <c r="M42" s="116" t="b">
        <v>0</v>
      </c>
      <c r="N42" s="117">
        <f t="shared" si="1"/>
        <v>0</v>
      </c>
      <c r="O42" s="117">
        <f t="shared" si="2"/>
        <v>0</v>
      </c>
      <c r="P42" s="117"/>
      <c r="Q42" s="112"/>
    </row>
    <row r="43" ht="15.0" customHeight="1">
      <c r="A43" s="112"/>
      <c r="B43" s="112"/>
      <c r="C43" s="112"/>
      <c r="D43" s="129" t="s">
        <v>96</v>
      </c>
      <c r="E43" s="114" t="s">
        <v>237</v>
      </c>
      <c r="F43" s="115" t="s">
        <v>61</v>
      </c>
      <c r="G43" s="116" t="b">
        <v>0</v>
      </c>
      <c r="H43" s="116" t="b">
        <v>0</v>
      </c>
      <c r="I43" s="116" t="b">
        <v>0</v>
      </c>
      <c r="J43" s="116" t="b">
        <v>0</v>
      </c>
      <c r="K43" s="116" t="b">
        <v>0</v>
      </c>
      <c r="L43" s="116" t="b">
        <v>0</v>
      </c>
      <c r="M43" s="116" t="b">
        <v>0</v>
      </c>
      <c r="N43" s="117">
        <f t="shared" si="1"/>
        <v>0</v>
      </c>
      <c r="O43" s="117">
        <f t="shared" si="2"/>
        <v>0</v>
      </c>
      <c r="P43" s="117"/>
      <c r="Q43" s="112"/>
    </row>
    <row r="44" ht="15.0" customHeight="1">
      <c r="A44" s="112"/>
      <c r="B44" s="112"/>
      <c r="C44" s="112"/>
      <c r="D44" s="129" t="s">
        <v>217</v>
      </c>
      <c r="E44" s="114" t="str">
        <f>VLOOKUP(D44,Data!H:I,2,0)</f>
        <v>İstanbul</v>
      </c>
      <c r="F44" s="115" t="str">
        <f>VLOOKUP(D44,Data!H:J,3,0)</f>
        <v>Freelance</v>
      </c>
      <c r="G44" s="116" t="b">
        <v>0</v>
      </c>
      <c r="H44" s="116" t="b">
        <v>0</v>
      </c>
      <c r="I44" s="116" t="b">
        <v>0</v>
      </c>
      <c r="J44" s="116" t="b">
        <v>0</v>
      </c>
      <c r="K44" s="116" t="b">
        <v>0</v>
      </c>
      <c r="L44" s="116" t="b">
        <v>0</v>
      </c>
      <c r="M44" s="116" t="b">
        <v>0</v>
      </c>
      <c r="N44" s="117">
        <f t="shared" si="1"/>
        <v>0</v>
      </c>
      <c r="O44" s="117">
        <f t="shared" si="2"/>
        <v>0</v>
      </c>
      <c r="P44" s="117"/>
      <c r="Q44" s="112"/>
    </row>
    <row r="45" ht="15.0" customHeight="1">
      <c r="A45" s="112"/>
      <c r="B45" s="112"/>
      <c r="C45" s="112"/>
      <c r="D45" s="129" t="s">
        <v>81</v>
      </c>
      <c r="E45" s="114" t="str">
        <f>VLOOKUP(D45,Data!H:I,2,0)</f>
        <v>İstanbul</v>
      </c>
      <c r="F45" s="115" t="str">
        <f>VLOOKUP(D45,Data!H:J,3,0)</f>
        <v>Freelance</v>
      </c>
      <c r="G45" s="116" t="b">
        <v>0</v>
      </c>
      <c r="H45" s="116" t="b">
        <v>0</v>
      </c>
      <c r="I45" s="116" t="b">
        <v>0</v>
      </c>
      <c r="J45" s="116" t="b">
        <v>0</v>
      </c>
      <c r="K45" s="116" t="b">
        <v>0</v>
      </c>
      <c r="L45" s="116" t="b">
        <v>0</v>
      </c>
      <c r="M45" s="116" t="b">
        <v>0</v>
      </c>
      <c r="N45" s="117">
        <f t="shared" si="1"/>
        <v>0</v>
      </c>
      <c r="O45" s="117">
        <f t="shared" si="2"/>
        <v>0</v>
      </c>
      <c r="P45" s="117"/>
      <c r="Q45" s="112"/>
    </row>
    <row r="46" ht="15.0" customHeight="1">
      <c r="A46" s="112"/>
      <c r="B46" s="112"/>
      <c r="C46" s="112"/>
      <c r="D46" s="129" t="s">
        <v>201</v>
      </c>
      <c r="E46" s="114" t="str">
        <f>VLOOKUP(D46,Data!H:I,2,0)</f>
        <v>İstanbul</v>
      </c>
      <c r="F46" s="114" t="str">
        <f>VLOOKUP(D46,Data!H:J,3,0)</f>
        <v>Freelance</v>
      </c>
      <c r="G46" s="116" t="b">
        <v>0</v>
      </c>
      <c r="H46" s="116" t="b">
        <v>0</v>
      </c>
      <c r="I46" s="116" t="b">
        <v>0</v>
      </c>
      <c r="J46" s="116" t="b">
        <v>0</v>
      </c>
      <c r="K46" s="116" t="b">
        <v>0</v>
      </c>
      <c r="L46" s="116" t="b">
        <v>0</v>
      </c>
      <c r="M46" s="116" t="b">
        <v>0</v>
      </c>
      <c r="N46" s="117">
        <f t="shared" si="1"/>
        <v>0</v>
      </c>
      <c r="O46" s="117">
        <f t="shared" si="2"/>
        <v>0</v>
      </c>
      <c r="P46" s="117"/>
      <c r="Q46" s="112"/>
    </row>
    <row r="47" ht="15.0" customHeight="1">
      <c r="A47" s="112"/>
      <c r="B47" s="112"/>
      <c r="C47" s="112"/>
      <c r="D47" s="132" t="s">
        <v>83</v>
      </c>
      <c r="E47" s="114" t="str">
        <f>VLOOKUP(D47,Data!H:I,2,0)</f>
        <v>İstanbul</v>
      </c>
      <c r="F47" s="115" t="str">
        <f>VLOOKUP(D47,Data!H:J,3,0)</f>
        <v>Nazım Öztel</v>
      </c>
      <c r="G47" s="116" t="b">
        <v>0</v>
      </c>
      <c r="H47" s="116" t="b">
        <v>0</v>
      </c>
      <c r="I47" s="116" t="b">
        <v>0</v>
      </c>
      <c r="J47" s="116" t="b">
        <v>0</v>
      </c>
      <c r="K47" s="116" t="b">
        <v>0</v>
      </c>
      <c r="L47" s="116" t="b">
        <v>0</v>
      </c>
      <c r="M47" s="116" t="b">
        <v>0</v>
      </c>
      <c r="N47" s="117">
        <f t="shared" si="1"/>
        <v>0</v>
      </c>
      <c r="O47" s="117">
        <f t="shared" si="2"/>
        <v>0</v>
      </c>
      <c r="P47" s="117"/>
      <c r="Q47" s="112"/>
    </row>
    <row r="48" ht="15.0" customHeight="1">
      <c r="A48" s="112"/>
      <c r="B48" s="112"/>
      <c r="C48" s="112"/>
      <c r="D48" s="129" t="s">
        <v>224</v>
      </c>
      <c r="E48" s="145" t="str">
        <f>VLOOKUP(D48,Data!H:I,2,0)</f>
        <v>İstanbul</v>
      </c>
      <c r="F48" s="147" t="str">
        <f>VLOOKUP(D48,Data!H:J,3,0)</f>
        <v>Filamingo</v>
      </c>
      <c r="G48" s="116" t="b">
        <v>0</v>
      </c>
      <c r="H48" s="116" t="b">
        <v>0</v>
      </c>
      <c r="I48" s="116" t="b">
        <v>0</v>
      </c>
      <c r="J48" s="116" t="b">
        <v>0</v>
      </c>
      <c r="K48" s="116" t="b">
        <v>0</v>
      </c>
      <c r="L48" s="116" t="b">
        <v>0</v>
      </c>
      <c r="M48" s="116" t="b">
        <v>0</v>
      </c>
      <c r="N48" s="146">
        <f t="shared" si="1"/>
        <v>0</v>
      </c>
      <c r="O48" s="146">
        <f t="shared" si="2"/>
        <v>0</v>
      </c>
      <c r="P48" s="117" t="s">
        <v>298</v>
      </c>
      <c r="Q48" s="112"/>
    </row>
    <row r="49" ht="15.0" customHeight="1">
      <c r="A49" s="125"/>
      <c r="B49" s="125"/>
      <c r="C49" s="125"/>
      <c r="D49" s="129" t="s">
        <v>225</v>
      </c>
      <c r="E49" s="114" t="str">
        <f>VLOOKUP(D49,Data!H:I,2,0)</f>
        <v>İstanbul</v>
      </c>
      <c r="F49" s="115" t="str">
        <f>VLOOKUP(D49,Data!H:J,3,0)</f>
        <v>Filamingo</v>
      </c>
      <c r="G49" s="116" t="b">
        <v>0</v>
      </c>
      <c r="H49" s="116" t="b">
        <v>0</v>
      </c>
      <c r="I49" s="116" t="b">
        <v>0</v>
      </c>
      <c r="J49" s="116" t="b">
        <v>0</v>
      </c>
      <c r="K49" s="116" t="b">
        <v>0</v>
      </c>
      <c r="L49" s="116" t="b">
        <v>0</v>
      </c>
      <c r="M49" s="116" t="b">
        <v>0</v>
      </c>
      <c r="N49" s="117">
        <f t="shared" si="1"/>
        <v>0</v>
      </c>
      <c r="O49" s="117">
        <f t="shared" si="2"/>
        <v>0</v>
      </c>
      <c r="P49" s="117" t="s">
        <v>400</v>
      </c>
      <c r="Q49" s="125"/>
    </row>
    <row r="50" ht="15.0" customHeight="1">
      <c r="A50" s="125"/>
      <c r="B50" s="125"/>
      <c r="C50" s="125"/>
      <c r="D50" s="129" t="s">
        <v>145</v>
      </c>
      <c r="E50" s="114" t="str">
        <f>VLOOKUP(D50,Data!H:I,2,0)</f>
        <v>İstanbul</v>
      </c>
      <c r="F50" s="115" t="str">
        <f>VLOOKUP(D50,Data!H:J,3,0)</f>
        <v>Filamingo</v>
      </c>
      <c r="G50" s="116" t="b">
        <v>0</v>
      </c>
      <c r="H50" s="116" t="b">
        <v>0</v>
      </c>
      <c r="I50" s="116" t="b">
        <v>0</v>
      </c>
      <c r="J50" s="116" t="b">
        <v>0</v>
      </c>
      <c r="K50" s="116" t="b">
        <v>0</v>
      </c>
      <c r="L50" s="116" t="b">
        <v>0</v>
      </c>
      <c r="M50" s="116" t="b">
        <v>0</v>
      </c>
      <c r="N50" s="117">
        <f t="shared" si="1"/>
        <v>0</v>
      </c>
      <c r="O50" s="117">
        <f t="shared" si="2"/>
        <v>0</v>
      </c>
      <c r="P50" s="117"/>
      <c r="Q50" s="125"/>
    </row>
    <row r="51" ht="15.0" customHeight="1">
      <c r="A51" s="125"/>
      <c r="B51" s="125"/>
      <c r="C51" s="125"/>
      <c r="D51" s="129" t="s">
        <v>274</v>
      </c>
      <c r="E51" s="114" t="str">
        <f>VLOOKUP(D51,Data!H:I,2,0)</f>
        <v>İstanbul</v>
      </c>
      <c r="F51" s="115" t="str">
        <f>VLOOKUP(D51,Data!H:J,3,0)</f>
        <v>Filamingo</v>
      </c>
      <c r="G51" s="116" t="b">
        <v>0</v>
      </c>
      <c r="H51" s="116" t="b">
        <v>0</v>
      </c>
      <c r="I51" s="116" t="b">
        <v>0</v>
      </c>
      <c r="J51" s="116" t="b">
        <v>0</v>
      </c>
      <c r="K51" s="116" t="b">
        <v>0</v>
      </c>
      <c r="L51" s="116" t="b">
        <v>0</v>
      </c>
      <c r="M51" s="116" t="b">
        <v>0</v>
      </c>
      <c r="N51" s="117">
        <f t="shared" si="1"/>
        <v>0</v>
      </c>
      <c r="O51" s="117">
        <f t="shared" si="2"/>
        <v>0</v>
      </c>
      <c r="P51" s="117" t="s">
        <v>401</v>
      </c>
      <c r="Q51" s="125"/>
    </row>
    <row r="52" ht="15.0" customHeight="1">
      <c r="A52" s="125"/>
      <c r="B52" s="125"/>
      <c r="C52" s="125"/>
      <c r="D52" s="129" t="s">
        <v>87</v>
      </c>
      <c r="E52" s="114" t="str">
        <f>VLOOKUP(D52,Data!H:I,2,0)</f>
        <v>İstanbul</v>
      </c>
      <c r="F52" s="115" t="str">
        <f>VLOOKUP(D52,Data!H:J,3,0)</f>
        <v>Freelance</v>
      </c>
      <c r="G52" s="116" t="b">
        <v>0</v>
      </c>
      <c r="H52" s="116" t="b">
        <v>0</v>
      </c>
      <c r="I52" s="116" t="b">
        <v>0</v>
      </c>
      <c r="J52" s="116" t="b">
        <v>0</v>
      </c>
      <c r="K52" s="116" t="b">
        <v>0</v>
      </c>
      <c r="L52" s="116" t="b">
        <v>0</v>
      </c>
      <c r="M52" s="116" t="b">
        <v>0</v>
      </c>
      <c r="N52" s="117">
        <f t="shared" si="1"/>
        <v>0</v>
      </c>
      <c r="O52" s="117">
        <f t="shared" si="2"/>
        <v>0</v>
      </c>
      <c r="P52" s="117"/>
      <c r="Q52" s="125"/>
    </row>
    <row r="53" ht="15.0" customHeight="1">
      <c r="A53" s="125"/>
      <c r="B53" s="125"/>
      <c r="C53" s="125"/>
      <c r="D53" s="129" t="s">
        <v>226</v>
      </c>
      <c r="E53" s="114" t="str">
        <f>VLOOKUP(D53,Data!H:I,2,0)</f>
        <v>İstanbul</v>
      </c>
      <c r="F53" s="115" t="str">
        <f>VLOOKUP(D53,Data!H:J,3,0)</f>
        <v>Filamingo</v>
      </c>
      <c r="G53" s="116" t="b">
        <v>0</v>
      </c>
      <c r="H53" s="116" t="b">
        <v>0</v>
      </c>
      <c r="I53" s="116" t="b">
        <v>0</v>
      </c>
      <c r="J53" s="116" t="b">
        <v>0</v>
      </c>
      <c r="K53" s="116" t="b">
        <v>0</v>
      </c>
      <c r="L53" s="116" t="b">
        <v>0</v>
      </c>
      <c r="M53" s="116" t="b">
        <v>0</v>
      </c>
      <c r="N53" s="117">
        <f t="shared" si="1"/>
        <v>0</v>
      </c>
      <c r="O53" s="117">
        <f t="shared" si="2"/>
        <v>0</v>
      </c>
      <c r="P53" s="117"/>
      <c r="Q53" s="125"/>
    </row>
    <row r="54" ht="15.0" customHeight="1">
      <c r="A54" s="112"/>
      <c r="B54" s="112"/>
      <c r="C54" s="112"/>
      <c r="D54" s="129" t="s">
        <v>249</v>
      </c>
      <c r="E54" s="114" t="str">
        <f>VLOOKUP(D54,Data!H:I,2,0)</f>
        <v>İstanbul</v>
      </c>
      <c r="F54" s="115" t="str">
        <f>VLOOKUP(D54,Data!H:J,3,0)</f>
        <v>Nazım Öztel</v>
      </c>
      <c r="G54" s="116" t="b">
        <v>0</v>
      </c>
      <c r="H54" s="116" t="b">
        <v>0</v>
      </c>
      <c r="I54" s="116" t="b">
        <v>0</v>
      </c>
      <c r="J54" s="116" t="b">
        <v>0</v>
      </c>
      <c r="K54" s="116" t="b">
        <v>0</v>
      </c>
      <c r="L54" s="116" t="b">
        <v>0</v>
      </c>
      <c r="M54" s="116" t="b">
        <v>0</v>
      </c>
      <c r="N54" s="117">
        <f t="shared" si="1"/>
        <v>0</v>
      </c>
      <c r="O54" s="117">
        <f t="shared" si="2"/>
        <v>0</v>
      </c>
      <c r="P54" s="117" t="s">
        <v>402</v>
      </c>
      <c r="Q54" s="112"/>
    </row>
    <row r="55" ht="15.0" customHeight="1">
      <c r="A55" s="112"/>
      <c r="B55" s="112"/>
      <c r="C55" s="112"/>
      <c r="D55" s="129" t="s">
        <v>250</v>
      </c>
      <c r="E55" s="114" t="str">
        <f>VLOOKUP(D55,Data!H:I,2,0)</f>
        <v>İstanbul</v>
      </c>
      <c r="F55" s="115" t="str">
        <f>VLOOKUP(D55,Data!H:J,3,0)</f>
        <v>Filamingo</v>
      </c>
      <c r="G55" s="116" t="b">
        <v>0</v>
      </c>
      <c r="H55" s="116" t="b">
        <v>0</v>
      </c>
      <c r="I55" s="116" t="b">
        <v>0</v>
      </c>
      <c r="J55" s="116" t="b">
        <v>0</v>
      </c>
      <c r="K55" s="116" t="b">
        <v>0</v>
      </c>
      <c r="L55" s="116" t="b">
        <v>0</v>
      </c>
      <c r="M55" s="116" t="b">
        <v>0</v>
      </c>
      <c r="N55" s="117">
        <f t="shared" si="1"/>
        <v>0</v>
      </c>
      <c r="O55" s="117">
        <f t="shared" si="2"/>
        <v>0</v>
      </c>
      <c r="P55" s="117"/>
      <c r="Q55" s="112"/>
    </row>
    <row r="56" ht="15.0" customHeight="1">
      <c r="A56" s="112"/>
      <c r="B56" s="112"/>
      <c r="C56" s="112"/>
      <c r="D56" s="129" t="s">
        <v>251</v>
      </c>
      <c r="E56" s="114" t="str">
        <f>VLOOKUP(D56,Data!H:I,2,0)</f>
        <v>İstanbul</v>
      </c>
      <c r="F56" s="115" t="str">
        <f>VLOOKUP(D56,Data!H:J,3,0)</f>
        <v>Filamingo</v>
      </c>
      <c r="G56" s="116" t="b">
        <v>0</v>
      </c>
      <c r="H56" s="116" t="b">
        <v>0</v>
      </c>
      <c r="I56" s="116" t="b">
        <v>0</v>
      </c>
      <c r="J56" s="116" t="b">
        <v>0</v>
      </c>
      <c r="K56" s="116" t="b">
        <v>0</v>
      </c>
      <c r="L56" s="116" t="b">
        <v>0</v>
      </c>
      <c r="M56" s="116" t="b">
        <v>0</v>
      </c>
      <c r="N56" s="117">
        <f t="shared" si="1"/>
        <v>0</v>
      </c>
      <c r="O56" s="117">
        <f t="shared" si="2"/>
        <v>0</v>
      </c>
      <c r="P56" s="117" t="s">
        <v>403</v>
      </c>
      <c r="Q56" s="112"/>
    </row>
    <row r="57" ht="15.0" customHeight="1">
      <c r="A57" s="112"/>
      <c r="B57" s="112"/>
      <c r="C57" s="112"/>
      <c r="D57" s="129" t="s">
        <v>302</v>
      </c>
      <c r="E57" s="114" t="s">
        <v>237</v>
      </c>
      <c r="F57" s="115" t="s">
        <v>64</v>
      </c>
      <c r="G57" s="116" t="b">
        <v>0</v>
      </c>
      <c r="H57" s="116" t="b">
        <v>0</v>
      </c>
      <c r="I57" s="116" t="b">
        <v>0</v>
      </c>
      <c r="J57" s="116" t="b">
        <v>0</v>
      </c>
      <c r="K57" s="116" t="b">
        <v>0</v>
      </c>
      <c r="L57" s="116" t="b">
        <v>0</v>
      </c>
      <c r="M57" s="116" t="b">
        <v>0</v>
      </c>
      <c r="N57" s="117">
        <v>5.0</v>
      </c>
      <c r="O57" s="117">
        <v>20.0</v>
      </c>
      <c r="P57" s="117"/>
      <c r="Q57" s="112"/>
    </row>
    <row r="58" ht="15.0" customHeight="1">
      <c r="A58" s="112"/>
      <c r="B58" s="112"/>
      <c r="C58" s="112"/>
      <c r="D58" s="129" t="s">
        <v>252</v>
      </c>
      <c r="E58" s="114" t="str">
        <f>VLOOKUP(D58,Data!H:I,2,0)</f>
        <v>İzmir</v>
      </c>
      <c r="F58" s="115" t="str">
        <f>VLOOKUP(D58,Data!H:J,3,0)</f>
        <v>Nazım Öztel</v>
      </c>
      <c r="G58" s="116" t="b">
        <v>0</v>
      </c>
      <c r="H58" s="116" t="b">
        <v>0</v>
      </c>
      <c r="I58" s="116" t="b">
        <v>0</v>
      </c>
      <c r="J58" s="116" t="b">
        <v>0</v>
      </c>
      <c r="K58" s="116" t="b">
        <v>0</v>
      </c>
      <c r="L58" s="116" t="b">
        <v>0</v>
      </c>
      <c r="M58" s="116" t="b">
        <v>0</v>
      </c>
      <c r="N58" s="117">
        <f t="shared" ref="N58:N95" si="3">COUNTIF(G58:M58,"TRUE")</f>
        <v>0</v>
      </c>
      <c r="O58" s="117">
        <f t="shared" ref="O58:O95" si="4">N58*4</f>
        <v>0</v>
      </c>
      <c r="P58" s="117"/>
      <c r="Q58" s="112"/>
    </row>
    <row r="59" ht="15.0" customHeight="1">
      <c r="A59" s="112"/>
      <c r="B59" s="112"/>
      <c r="C59" s="112"/>
      <c r="D59" s="132" t="s">
        <v>92</v>
      </c>
      <c r="E59" s="114" t="str">
        <f>VLOOKUP(D59,Data!H:I,2,0)</f>
        <v>İzmir</v>
      </c>
      <c r="F59" s="115" t="str">
        <f>VLOOKUP(D59,Data!H:J,3,0)</f>
        <v>Nazım Öztel</v>
      </c>
      <c r="G59" s="116" t="b">
        <v>0</v>
      </c>
      <c r="H59" s="116" t="b">
        <v>0</v>
      </c>
      <c r="I59" s="116" t="b">
        <v>0</v>
      </c>
      <c r="J59" s="116" t="b">
        <v>0</v>
      </c>
      <c r="K59" s="116" t="b">
        <v>0</v>
      </c>
      <c r="L59" s="116" t="b">
        <v>0</v>
      </c>
      <c r="M59" s="116" t="b">
        <v>0</v>
      </c>
      <c r="N59" s="117">
        <f t="shared" si="3"/>
        <v>0</v>
      </c>
      <c r="O59" s="117">
        <f t="shared" si="4"/>
        <v>0</v>
      </c>
      <c r="P59" s="117"/>
      <c r="Q59" s="112"/>
    </row>
    <row r="60" ht="15.0" customHeight="1">
      <c r="A60" s="112"/>
      <c r="B60" s="112"/>
      <c r="C60" s="112"/>
      <c r="D60" s="129" t="s">
        <v>93</v>
      </c>
      <c r="E60" s="114" t="str">
        <f>VLOOKUP(D60,Data!H:I,2,0)</f>
        <v>İzmir</v>
      </c>
      <c r="F60" s="115" t="str">
        <f>VLOOKUP(D60,Data!H:J,3,0)</f>
        <v>Freelance</v>
      </c>
      <c r="G60" s="116" t="b">
        <v>0</v>
      </c>
      <c r="H60" s="116" t="b">
        <v>0</v>
      </c>
      <c r="I60" s="116" t="b">
        <v>0</v>
      </c>
      <c r="J60" s="116" t="b">
        <v>0</v>
      </c>
      <c r="K60" s="116" t="b">
        <v>0</v>
      </c>
      <c r="L60" s="116" t="b">
        <v>0</v>
      </c>
      <c r="M60" s="116" t="b">
        <v>0</v>
      </c>
      <c r="N60" s="117">
        <f t="shared" si="3"/>
        <v>0</v>
      </c>
      <c r="O60" s="117">
        <f t="shared" si="4"/>
        <v>0</v>
      </c>
      <c r="P60" s="117"/>
      <c r="Q60" s="112"/>
    </row>
    <row r="61" ht="15.0" customHeight="1">
      <c r="A61" s="112"/>
      <c r="B61" s="112"/>
      <c r="C61" s="112"/>
      <c r="D61" s="129" t="s">
        <v>161</v>
      </c>
      <c r="E61" s="143" t="str">
        <f>VLOOKUP(D61,Data!H:I,2,0)</f>
        <v>Kahramanmaraş</v>
      </c>
      <c r="F61" s="115" t="str">
        <f>VLOOKUP(D61,Data!H:J,3,0)</f>
        <v>Nazım Öztel</v>
      </c>
      <c r="G61" s="116" t="b">
        <v>0</v>
      </c>
      <c r="H61" s="116" t="b">
        <v>0</v>
      </c>
      <c r="I61" s="116" t="b">
        <v>0</v>
      </c>
      <c r="J61" s="116" t="b">
        <v>0</v>
      </c>
      <c r="K61" s="116" t="b">
        <v>0</v>
      </c>
      <c r="L61" s="116" t="b">
        <v>0</v>
      </c>
      <c r="M61" s="116" t="b">
        <v>0</v>
      </c>
      <c r="N61" s="117">
        <f t="shared" si="3"/>
        <v>0</v>
      </c>
      <c r="O61" s="117">
        <f t="shared" si="4"/>
        <v>0</v>
      </c>
      <c r="P61" s="117"/>
      <c r="Q61" s="112"/>
    </row>
    <row r="62" ht="15.0" customHeight="1">
      <c r="A62" s="112"/>
      <c r="B62" s="112"/>
      <c r="C62" s="112"/>
      <c r="D62" s="129" t="s">
        <v>243</v>
      </c>
      <c r="E62" s="114" t="str">
        <f>VLOOKUP(D62,Data!H:I,2,0)</f>
        <v>Kayseri</v>
      </c>
      <c r="F62" s="115" t="str">
        <f>VLOOKUP(D62,Data!H:J,3,0)</f>
        <v>Nazım Öztel</v>
      </c>
      <c r="G62" s="116" t="b">
        <v>0</v>
      </c>
      <c r="H62" s="116" t="b">
        <v>0</v>
      </c>
      <c r="I62" s="116" t="b">
        <v>0</v>
      </c>
      <c r="J62" s="116" t="b">
        <v>0</v>
      </c>
      <c r="K62" s="116" t="b">
        <v>0</v>
      </c>
      <c r="L62" s="116" t="b">
        <v>0</v>
      </c>
      <c r="M62" s="116" t="b">
        <v>0</v>
      </c>
      <c r="N62" s="117">
        <f t="shared" si="3"/>
        <v>0</v>
      </c>
      <c r="O62" s="117">
        <f t="shared" si="4"/>
        <v>0</v>
      </c>
      <c r="P62" s="117"/>
      <c r="Q62" s="112"/>
    </row>
    <row r="63" ht="15.0" customHeight="1">
      <c r="A63" s="112"/>
      <c r="B63" s="112"/>
      <c r="C63" s="112"/>
      <c r="D63" s="129" t="s">
        <v>253</v>
      </c>
      <c r="E63" s="114" t="str">
        <f>VLOOKUP(D63,Data!H:I,2,0)</f>
        <v>Kırklareli</v>
      </c>
      <c r="F63" s="115" t="str">
        <f>VLOOKUP(D63,Data!H:J,3,0)</f>
        <v>Nazım Öztel</v>
      </c>
      <c r="G63" s="116" t="b">
        <v>0</v>
      </c>
      <c r="H63" s="116" t="b">
        <v>0</v>
      </c>
      <c r="I63" s="116" t="b">
        <v>0</v>
      </c>
      <c r="J63" s="116" t="b">
        <v>0</v>
      </c>
      <c r="K63" s="116" t="b">
        <v>0</v>
      </c>
      <c r="L63" s="116" t="b">
        <v>0</v>
      </c>
      <c r="M63" s="116" t="b">
        <v>0</v>
      </c>
      <c r="N63" s="117">
        <f t="shared" si="3"/>
        <v>0</v>
      </c>
      <c r="O63" s="117">
        <f t="shared" si="4"/>
        <v>0</v>
      </c>
      <c r="P63" s="117"/>
      <c r="Q63" s="112"/>
    </row>
    <row r="64" ht="15.0" customHeight="1">
      <c r="A64" s="112"/>
      <c r="B64" s="112"/>
      <c r="C64" s="112"/>
      <c r="D64" s="132" t="s">
        <v>96</v>
      </c>
      <c r="E64" s="114" t="str">
        <f>VLOOKUP(D64,Data!H:I,2,0)</f>
        <v>Kocaeli</v>
      </c>
      <c r="F64" s="115" t="str">
        <f>VLOOKUP(D64,Data!H:J,3,0)</f>
        <v>Nazım Öztel</v>
      </c>
      <c r="G64" s="116" t="b">
        <v>0</v>
      </c>
      <c r="H64" s="116" t="b">
        <v>0</v>
      </c>
      <c r="I64" s="116" t="b">
        <v>0</v>
      </c>
      <c r="J64" s="116" t="b">
        <v>0</v>
      </c>
      <c r="K64" s="116" t="b">
        <v>0</v>
      </c>
      <c r="L64" s="116" t="b">
        <v>0</v>
      </c>
      <c r="M64" s="116" t="b">
        <v>0</v>
      </c>
      <c r="N64" s="117">
        <f t="shared" si="3"/>
        <v>0</v>
      </c>
      <c r="O64" s="117">
        <f t="shared" si="4"/>
        <v>0</v>
      </c>
      <c r="P64" s="117"/>
      <c r="Q64" s="112"/>
    </row>
    <row r="65" ht="15.0" customHeight="1">
      <c r="A65" s="112"/>
      <c r="B65" s="112"/>
      <c r="C65" s="112"/>
      <c r="D65" s="129" t="s">
        <v>147</v>
      </c>
      <c r="E65" s="114" t="str">
        <f>VLOOKUP(D65,Data!H:I,2,0)</f>
        <v>Kocaeli</v>
      </c>
      <c r="F65" s="115" t="str">
        <f>VLOOKUP(D65,Data!H:J,3,0)</f>
        <v>Nazım Öztel</v>
      </c>
      <c r="G65" s="116" t="b">
        <v>0</v>
      </c>
      <c r="H65" s="116" t="b">
        <v>0</v>
      </c>
      <c r="I65" s="116" t="b">
        <v>0</v>
      </c>
      <c r="J65" s="116" t="b">
        <v>0</v>
      </c>
      <c r="K65" s="116" t="b">
        <v>0</v>
      </c>
      <c r="L65" s="116" t="b">
        <v>0</v>
      </c>
      <c r="M65" s="116" t="b">
        <v>0</v>
      </c>
      <c r="N65" s="117">
        <f t="shared" si="3"/>
        <v>0</v>
      </c>
      <c r="O65" s="117">
        <f t="shared" si="4"/>
        <v>0</v>
      </c>
      <c r="P65" s="117"/>
      <c r="Q65" s="112"/>
    </row>
    <row r="66" ht="15.0" customHeight="1">
      <c r="A66" s="112"/>
      <c r="B66" s="112"/>
      <c r="C66" s="112"/>
      <c r="D66" s="129" t="s">
        <v>227</v>
      </c>
      <c r="E66" s="114" t="str">
        <f>VLOOKUP(D66,Data!H:I,2,0)</f>
        <v>Konya</v>
      </c>
      <c r="F66" s="115" t="str">
        <f>VLOOKUP(D66,Data!H:J,3,0)</f>
        <v>Nazım Öztel</v>
      </c>
      <c r="G66" s="116" t="b">
        <v>0</v>
      </c>
      <c r="H66" s="116" t="b">
        <v>0</v>
      </c>
      <c r="I66" s="116" t="b">
        <v>0</v>
      </c>
      <c r="J66" s="116" t="b">
        <v>0</v>
      </c>
      <c r="K66" s="116" t="b">
        <v>0</v>
      </c>
      <c r="L66" s="116" t="b">
        <v>0</v>
      </c>
      <c r="M66" s="116" t="b">
        <v>0</v>
      </c>
      <c r="N66" s="117">
        <f t="shared" si="3"/>
        <v>0</v>
      </c>
      <c r="O66" s="117">
        <f t="shared" si="4"/>
        <v>0</v>
      </c>
      <c r="P66" s="117" t="s">
        <v>303</v>
      </c>
      <c r="Q66" s="112"/>
    </row>
    <row r="67" ht="15.0" customHeight="1">
      <c r="A67" s="112"/>
      <c r="B67" s="112"/>
      <c r="C67" s="112"/>
      <c r="D67" s="129" t="s">
        <v>265</v>
      </c>
      <c r="E67" s="114" t="str">
        <f>VLOOKUP(D67,Data!H:I,2,0)</f>
        <v>Konya</v>
      </c>
      <c r="F67" s="115" t="str">
        <f>VLOOKUP(D67,Data!H:J,3,0)</f>
        <v>Nazım Öztel</v>
      </c>
      <c r="G67" s="116" t="b">
        <v>0</v>
      </c>
      <c r="H67" s="116" t="b">
        <v>0</v>
      </c>
      <c r="I67" s="116" t="b">
        <v>0</v>
      </c>
      <c r="J67" s="116" t="b">
        <v>0</v>
      </c>
      <c r="K67" s="116" t="b">
        <v>0</v>
      </c>
      <c r="L67" s="116" t="b">
        <v>0</v>
      </c>
      <c r="M67" s="116" t="b">
        <v>0</v>
      </c>
      <c r="N67" s="117">
        <f t="shared" si="3"/>
        <v>0</v>
      </c>
      <c r="O67" s="117">
        <f t="shared" si="4"/>
        <v>0</v>
      </c>
      <c r="P67" s="117"/>
      <c r="Q67" s="112"/>
    </row>
    <row r="68" ht="15.0" customHeight="1">
      <c r="A68" s="112"/>
      <c r="B68" s="112"/>
      <c r="C68" s="112"/>
      <c r="D68" s="129" t="s">
        <v>203</v>
      </c>
      <c r="E68" s="114" t="str">
        <f>VLOOKUP(D68,Data!H:I,2,0)</f>
        <v>Malatya</v>
      </c>
      <c r="F68" s="115" t="str">
        <f>VLOOKUP(D68,Data!H:J,3,0)</f>
        <v>Nazım Öztel</v>
      </c>
      <c r="G68" s="116" t="b">
        <v>0</v>
      </c>
      <c r="H68" s="116" t="b">
        <v>0</v>
      </c>
      <c r="I68" s="116" t="b">
        <v>0</v>
      </c>
      <c r="J68" s="116" t="b">
        <v>0</v>
      </c>
      <c r="K68" s="116" t="b">
        <v>0</v>
      </c>
      <c r="L68" s="116" t="b">
        <v>0</v>
      </c>
      <c r="M68" s="116" t="b">
        <v>0</v>
      </c>
      <c r="N68" s="117">
        <f t="shared" si="3"/>
        <v>0</v>
      </c>
      <c r="O68" s="117">
        <f t="shared" si="4"/>
        <v>0</v>
      </c>
      <c r="P68" s="117"/>
      <c r="Q68" s="112"/>
    </row>
    <row r="69" ht="15.0" customHeight="1">
      <c r="A69" s="112"/>
      <c r="B69" s="112"/>
      <c r="C69" s="112"/>
      <c r="D69" s="129" t="s">
        <v>254</v>
      </c>
      <c r="E69" s="114" t="str">
        <f>VLOOKUP(D69,Data!H:I,2,0)</f>
        <v>Manisa</v>
      </c>
      <c r="F69" s="115" t="str">
        <f>VLOOKUP(D69,Data!H:J,3,0)</f>
        <v>Nazım Öztel</v>
      </c>
      <c r="G69" s="116" t="b">
        <v>0</v>
      </c>
      <c r="H69" s="116" t="b">
        <v>0</v>
      </c>
      <c r="I69" s="116" t="b">
        <v>0</v>
      </c>
      <c r="J69" s="116" t="b">
        <v>0</v>
      </c>
      <c r="K69" s="116" t="b">
        <v>0</v>
      </c>
      <c r="L69" s="116" t="b">
        <v>0</v>
      </c>
      <c r="M69" s="116" t="b">
        <v>0</v>
      </c>
      <c r="N69" s="117">
        <f t="shared" si="3"/>
        <v>0</v>
      </c>
      <c r="O69" s="117">
        <f t="shared" si="4"/>
        <v>0</v>
      </c>
      <c r="P69" s="117"/>
      <c r="Q69" s="112"/>
    </row>
    <row r="70" ht="15.0" customHeight="1">
      <c r="A70" s="112"/>
      <c r="B70" s="112"/>
      <c r="C70" s="112"/>
      <c r="D70" s="129" t="s">
        <v>255</v>
      </c>
      <c r="E70" s="114" t="str">
        <f>VLOOKUP(D70,Data!H:I,2,0)</f>
        <v>Mardin</v>
      </c>
      <c r="F70" s="115" t="str">
        <f>VLOOKUP(D70,Data!H:J,3,0)</f>
        <v>Nazım Öztel</v>
      </c>
      <c r="G70" s="116" t="b">
        <v>0</v>
      </c>
      <c r="H70" s="116" t="b">
        <v>0</v>
      </c>
      <c r="I70" s="116" t="b">
        <v>0</v>
      </c>
      <c r="J70" s="116" t="b">
        <v>0</v>
      </c>
      <c r="K70" s="116" t="b">
        <v>0</v>
      </c>
      <c r="L70" s="116" t="b">
        <v>0</v>
      </c>
      <c r="M70" s="116" t="b">
        <v>0</v>
      </c>
      <c r="N70" s="117">
        <f t="shared" si="3"/>
        <v>0</v>
      </c>
      <c r="O70" s="117">
        <f t="shared" si="4"/>
        <v>0</v>
      </c>
      <c r="P70" s="117" t="s">
        <v>298</v>
      </c>
      <c r="Q70" s="112"/>
    </row>
    <row r="71" ht="15.0" customHeight="1">
      <c r="A71" s="112"/>
      <c r="B71" s="112"/>
      <c r="C71" s="112"/>
      <c r="D71" s="129" t="s">
        <v>294</v>
      </c>
      <c r="E71" s="114" t="str">
        <f>VLOOKUP(D71,Data!H:I,2,0)</f>
        <v>Mersin</v>
      </c>
      <c r="F71" s="115" t="str">
        <f>VLOOKUP(D71,Data!H:J,3,0)</f>
        <v>Nazım Öztel</v>
      </c>
      <c r="G71" s="116" t="b">
        <v>0</v>
      </c>
      <c r="H71" s="116" t="b">
        <v>0</v>
      </c>
      <c r="I71" s="116" t="b">
        <v>0</v>
      </c>
      <c r="J71" s="116" t="b">
        <v>0</v>
      </c>
      <c r="K71" s="116" t="b">
        <v>0</v>
      </c>
      <c r="L71" s="116" t="b">
        <v>0</v>
      </c>
      <c r="M71" s="116" t="b">
        <v>0</v>
      </c>
      <c r="N71" s="117">
        <f t="shared" si="3"/>
        <v>0</v>
      </c>
      <c r="O71" s="117">
        <f t="shared" si="4"/>
        <v>0</v>
      </c>
      <c r="P71" s="117"/>
      <c r="Q71" s="112"/>
    </row>
    <row r="72" ht="15.0" customHeight="1">
      <c r="A72" s="112"/>
      <c r="B72" s="112"/>
      <c r="C72" s="112"/>
      <c r="D72" s="129" t="s">
        <v>169</v>
      </c>
      <c r="E72" s="114" t="str">
        <f>VLOOKUP(D72,Data!H:I,2,0)</f>
        <v>Mersin</v>
      </c>
      <c r="F72" s="115" t="str">
        <f>VLOOKUP(D72,Data!H:J,3,0)</f>
        <v>Nazım Öztel</v>
      </c>
      <c r="G72" s="116" t="b">
        <v>0</v>
      </c>
      <c r="H72" s="116" t="b">
        <v>0</v>
      </c>
      <c r="I72" s="116" t="b">
        <v>0</v>
      </c>
      <c r="J72" s="116" t="b">
        <v>0</v>
      </c>
      <c r="K72" s="116" t="b">
        <v>0</v>
      </c>
      <c r="L72" s="116" t="b">
        <v>0</v>
      </c>
      <c r="M72" s="116" t="b">
        <v>0</v>
      </c>
      <c r="N72" s="117">
        <f t="shared" si="3"/>
        <v>0</v>
      </c>
      <c r="O72" s="117">
        <f t="shared" si="4"/>
        <v>0</v>
      </c>
      <c r="P72" s="117"/>
      <c r="Q72" s="112"/>
    </row>
    <row r="73" ht="15.0" customHeight="1">
      <c r="A73" s="112"/>
      <c r="B73" s="112"/>
      <c r="C73" s="112"/>
      <c r="D73" s="129" t="s">
        <v>148</v>
      </c>
      <c r="E73" s="114" t="str">
        <f>VLOOKUP(D73,Data!H:I,2,0)</f>
        <v>Muğla</v>
      </c>
      <c r="F73" s="115" t="str">
        <f>VLOOKUP(D73,Data!H:J,3,0)</f>
        <v>Nazım Öztel</v>
      </c>
      <c r="G73" s="116" t="b">
        <v>0</v>
      </c>
      <c r="H73" s="116" t="b">
        <v>0</v>
      </c>
      <c r="I73" s="116" t="b">
        <v>0</v>
      </c>
      <c r="J73" s="116" t="b">
        <v>0</v>
      </c>
      <c r="K73" s="116" t="b">
        <v>0</v>
      </c>
      <c r="L73" s="116" t="b">
        <v>0</v>
      </c>
      <c r="M73" s="116" t="b">
        <v>0</v>
      </c>
      <c r="N73" s="117">
        <f t="shared" si="3"/>
        <v>0</v>
      </c>
      <c r="O73" s="117">
        <f t="shared" si="4"/>
        <v>0</v>
      </c>
      <c r="P73" s="117"/>
      <c r="Q73" s="112"/>
    </row>
    <row r="74" ht="15.0" customHeight="1">
      <c r="A74" s="112"/>
      <c r="B74" s="112"/>
      <c r="C74" s="112"/>
      <c r="D74" s="129" t="s">
        <v>266</v>
      </c>
      <c r="E74" s="114" t="str">
        <f>VLOOKUP(D74,Data!H:I,2,0)</f>
        <v>Ordu</v>
      </c>
      <c r="F74" s="115" t="str">
        <f>VLOOKUP(D74,Data!H:J,3,0)</f>
        <v>Nazım Öztel</v>
      </c>
      <c r="G74" s="116" t="b">
        <v>0</v>
      </c>
      <c r="H74" s="116" t="b">
        <v>0</v>
      </c>
      <c r="I74" s="116" t="b">
        <v>0</v>
      </c>
      <c r="J74" s="116" t="b">
        <v>0</v>
      </c>
      <c r="K74" s="116" t="b">
        <v>0</v>
      </c>
      <c r="L74" s="116" t="b">
        <v>0</v>
      </c>
      <c r="M74" s="116" t="b">
        <v>0</v>
      </c>
      <c r="N74" s="117">
        <f t="shared" si="3"/>
        <v>0</v>
      </c>
      <c r="O74" s="117">
        <f t="shared" si="4"/>
        <v>0</v>
      </c>
      <c r="P74" s="117" t="s">
        <v>298</v>
      </c>
      <c r="Q74" s="112"/>
    </row>
    <row r="75" ht="15.0" customHeight="1">
      <c r="A75" s="112"/>
      <c r="B75" s="112"/>
      <c r="C75" s="112"/>
      <c r="D75" s="129" t="s">
        <v>256</v>
      </c>
      <c r="E75" s="114" t="s">
        <v>211</v>
      </c>
      <c r="F75" s="115" t="s">
        <v>61</v>
      </c>
      <c r="G75" s="116" t="b">
        <v>0</v>
      </c>
      <c r="H75" s="116" t="b">
        <v>0</v>
      </c>
      <c r="I75" s="116" t="b">
        <v>0</v>
      </c>
      <c r="J75" s="116" t="b">
        <v>0</v>
      </c>
      <c r="K75" s="116" t="b">
        <v>0</v>
      </c>
      <c r="L75" s="116" t="b">
        <v>0</v>
      </c>
      <c r="M75" s="116" t="b">
        <v>0</v>
      </c>
      <c r="N75" s="117">
        <f t="shared" si="3"/>
        <v>0</v>
      </c>
      <c r="O75" s="117">
        <f t="shared" si="4"/>
        <v>0</v>
      </c>
      <c r="P75" s="117" t="s">
        <v>298</v>
      </c>
      <c r="Q75" s="112"/>
    </row>
    <row r="76" ht="15.0" customHeight="1">
      <c r="A76" s="112"/>
      <c r="B76" s="112"/>
      <c r="C76" s="112"/>
      <c r="D76" s="129" t="s">
        <v>275</v>
      </c>
      <c r="E76" s="114" t="str">
        <f>VLOOKUP(D76,Data!H:I,2,0)</f>
        <v>Sakarya</v>
      </c>
      <c r="F76" s="115" t="str">
        <f>VLOOKUP(D76,Data!H:J,3,0)</f>
        <v>Nazım Öztel</v>
      </c>
      <c r="G76" s="116" t="b">
        <v>0</v>
      </c>
      <c r="H76" s="116" t="b">
        <v>0</v>
      </c>
      <c r="I76" s="116" t="b">
        <v>0</v>
      </c>
      <c r="J76" s="116" t="b">
        <v>0</v>
      </c>
      <c r="K76" s="116" t="b">
        <v>0</v>
      </c>
      <c r="L76" s="116" t="b">
        <v>0</v>
      </c>
      <c r="M76" s="116" t="b">
        <v>0</v>
      </c>
      <c r="N76" s="117">
        <f t="shared" si="3"/>
        <v>0</v>
      </c>
      <c r="O76" s="117">
        <f t="shared" si="4"/>
        <v>0</v>
      </c>
      <c r="P76" s="117"/>
      <c r="Q76" s="112"/>
    </row>
    <row r="77" ht="15.0" customHeight="1">
      <c r="A77" s="112"/>
      <c r="B77" s="112"/>
      <c r="C77" s="112"/>
      <c r="D77" s="129" t="s">
        <v>257</v>
      </c>
      <c r="E77" s="114" t="str">
        <f>VLOOKUP(D77,Data!H:I,2,0)</f>
        <v>Samsun</v>
      </c>
      <c r="F77" s="115" t="str">
        <f>VLOOKUP(D77,Data!H:J,3,0)</f>
        <v>Nazım Öztel</v>
      </c>
      <c r="G77" s="116" t="b">
        <v>0</v>
      </c>
      <c r="H77" s="116" t="b">
        <v>0</v>
      </c>
      <c r="I77" s="116" t="b">
        <v>0</v>
      </c>
      <c r="J77" s="116" t="b">
        <v>0</v>
      </c>
      <c r="K77" s="116" t="b">
        <v>0</v>
      </c>
      <c r="L77" s="116" t="b">
        <v>0</v>
      </c>
      <c r="M77" s="116" t="b">
        <v>0</v>
      </c>
      <c r="N77" s="117">
        <f t="shared" si="3"/>
        <v>0</v>
      </c>
      <c r="O77" s="117">
        <f t="shared" si="4"/>
        <v>0</v>
      </c>
      <c r="P77" s="117"/>
      <c r="Q77" s="112"/>
    </row>
    <row r="78" ht="15.0" customHeight="1">
      <c r="A78" s="112"/>
      <c r="B78" s="112"/>
      <c r="C78" s="112"/>
      <c r="D78" s="129" t="s">
        <v>267</v>
      </c>
      <c r="E78" s="114" t="str">
        <f>VLOOKUP(D78,Data!H:I,2,0)</f>
        <v>Sinop</v>
      </c>
      <c r="F78" s="115" t="str">
        <f>VLOOKUP(D78,Data!H:J,3,0)</f>
        <v>Nazım Öztel</v>
      </c>
      <c r="G78" s="116" t="b">
        <v>0</v>
      </c>
      <c r="H78" s="116" t="b">
        <v>0</v>
      </c>
      <c r="I78" s="116" t="b">
        <v>0</v>
      </c>
      <c r="J78" s="116" t="b">
        <v>0</v>
      </c>
      <c r="K78" s="116" t="b">
        <v>0</v>
      </c>
      <c r="L78" s="116" t="b">
        <v>0</v>
      </c>
      <c r="M78" s="116" t="b">
        <v>0</v>
      </c>
      <c r="N78" s="117">
        <f t="shared" si="3"/>
        <v>0</v>
      </c>
      <c r="O78" s="117">
        <f t="shared" si="4"/>
        <v>0</v>
      </c>
      <c r="P78" s="117" t="s">
        <v>298</v>
      </c>
      <c r="Q78" s="112"/>
    </row>
    <row r="79" ht="15.0" customHeight="1">
      <c r="A79" s="112"/>
      <c r="B79" s="112"/>
      <c r="C79" s="112"/>
      <c r="D79" s="129" t="s">
        <v>268</v>
      </c>
      <c r="E79" s="114" t="str">
        <f>VLOOKUP(D79,Data!H:I,2,0)</f>
        <v>Sivas</v>
      </c>
      <c r="F79" s="115" t="str">
        <f>VLOOKUP(D79,Data!H:J,3,0)</f>
        <v>Nazım Öztel</v>
      </c>
      <c r="G79" s="116" t="b">
        <v>0</v>
      </c>
      <c r="H79" s="116" t="b">
        <v>0</v>
      </c>
      <c r="I79" s="116" t="b">
        <v>0</v>
      </c>
      <c r="J79" s="116" t="b">
        <v>0</v>
      </c>
      <c r="K79" s="116" t="b">
        <v>0</v>
      </c>
      <c r="L79" s="116" t="b">
        <v>0</v>
      </c>
      <c r="M79" s="116" t="b">
        <v>0</v>
      </c>
      <c r="N79" s="117">
        <f t="shared" si="3"/>
        <v>0</v>
      </c>
      <c r="O79" s="117">
        <f t="shared" si="4"/>
        <v>0</v>
      </c>
      <c r="P79" s="117"/>
      <c r="Q79" s="112"/>
    </row>
    <row r="80" ht="15.0" customHeight="1">
      <c r="A80" s="112"/>
      <c r="B80" s="112"/>
      <c r="C80" s="112"/>
      <c r="D80" s="129" t="s">
        <v>104</v>
      </c>
      <c r="E80" s="114" t="str">
        <f>VLOOKUP(D80,Data!H:I,2,0)</f>
        <v>Tekirdağ</v>
      </c>
      <c r="F80" s="115" t="str">
        <f>VLOOKUP(D80,Data!H:J,3,0)</f>
        <v>Freelance</v>
      </c>
      <c r="G80" s="116" t="b">
        <v>0</v>
      </c>
      <c r="H80" s="116" t="b">
        <v>0</v>
      </c>
      <c r="I80" s="116" t="b">
        <v>0</v>
      </c>
      <c r="J80" s="116" t="b">
        <v>0</v>
      </c>
      <c r="K80" s="116" t="b">
        <v>0</v>
      </c>
      <c r="L80" s="116" t="b">
        <v>0</v>
      </c>
      <c r="M80" s="116" t="b">
        <v>0</v>
      </c>
      <c r="N80" s="117">
        <f t="shared" si="3"/>
        <v>0</v>
      </c>
      <c r="O80" s="117">
        <f t="shared" si="4"/>
        <v>0</v>
      </c>
      <c r="P80" s="117"/>
      <c r="Q80" s="112"/>
    </row>
    <row r="81" ht="15.0" customHeight="1">
      <c r="A81" s="112"/>
      <c r="B81" s="112"/>
      <c r="C81" s="112"/>
      <c r="D81" s="129" t="s">
        <v>258</v>
      </c>
      <c r="E81" s="114" t="str">
        <f>VLOOKUP(D81,Data!H:I,2,0)</f>
        <v>Tokat</v>
      </c>
      <c r="F81" s="115" t="str">
        <f>VLOOKUP(D81,Data!H:J,3,0)</f>
        <v>Nazım Öztel</v>
      </c>
      <c r="G81" s="116" t="b">
        <v>0</v>
      </c>
      <c r="H81" s="116" t="b">
        <v>0</v>
      </c>
      <c r="I81" s="116" t="b">
        <v>0</v>
      </c>
      <c r="J81" s="116" t="b">
        <v>0</v>
      </c>
      <c r="K81" s="116" t="b">
        <v>0</v>
      </c>
      <c r="L81" s="116" t="b">
        <v>0</v>
      </c>
      <c r="M81" s="116" t="b">
        <v>0</v>
      </c>
      <c r="N81" s="117">
        <f t="shared" si="3"/>
        <v>0</v>
      </c>
      <c r="O81" s="117">
        <f t="shared" si="4"/>
        <v>0</v>
      </c>
      <c r="P81" s="117"/>
      <c r="Q81" s="112"/>
    </row>
    <row r="82" ht="15.0" customHeight="1">
      <c r="A82" s="112"/>
      <c r="B82" s="112"/>
      <c r="C82" s="112"/>
      <c r="D82" s="129" t="s">
        <v>154</v>
      </c>
      <c r="E82" s="114" t="str">
        <f>VLOOKUP(D82,Data!H:I,2,0)</f>
        <v>Uşak</v>
      </c>
      <c r="F82" s="115" t="str">
        <f>VLOOKUP(D82,Data!H:J,3,0)</f>
        <v>Nazım Öztel</v>
      </c>
      <c r="G82" s="116" t="b">
        <v>0</v>
      </c>
      <c r="H82" s="116" t="b">
        <v>0</v>
      </c>
      <c r="I82" s="116" t="b">
        <v>0</v>
      </c>
      <c r="J82" s="116" t="b">
        <v>0</v>
      </c>
      <c r="K82" s="116" t="b">
        <v>0</v>
      </c>
      <c r="L82" s="116" t="b">
        <v>0</v>
      </c>
      <c r="M82" s="116" t="b">
        <v>0</v>
      </c>
      <c r="N82" s="117">
        <f t="shared" si="3"/>
        <v>0</v>
      </c>
      <c r="O82" s="117">
        <f t="shared" si="4"/>
        <v>0</v>
      </c>
      <c r="P82" s="117"/>
      <c r="Q82" s="112"/>
    </row>
    <row r="83" ht="15.0" customHeight="1">
      <c r="A83" s="112"/>
      <c r="B83" s="112"/>
      <c r="C83" s="112"/>
      <c r="D83" s="129" t="s">
        <v>276</v>
      </c>
      <c r="E83" s="114" t="str">
        <f>VLOOKUP(D83,Data!H:I,2,0)</f>
        <v>Zonguldak</v>
      </c>
      <c r="F83" s="115" t="str">
        <f>VLOOKUP(D83,Data!H:J,3,0)</f>
        <v>Nazım Öztel</v>
      </c>
      <c r="G83" s="116" t="b">
        <v>0</v>
      </c>
      <c r="H83" s="116" t="b">
        <v>0</v>
      </c>
      <c r="I83" s="116" t="b">
        <v>0</v>
      </c>
      <c r="J83" s="116" t="b">
        <v>0</v>
      </c>
      <c r="K83" s="116" t="b">
        <v>0</v>
      </c>
      <c r="L83" s="116" t="b">
        <v>0</v>
      </c>
      <c r="M83" s="116" t="b">
        <v>0</v>
      </c>
      <c r="N83" s="117">
        <f t="shared" si="3"/>
        <v>0</v>
      </c>
      <c r="O83" s="117">
        <f t="shared" si="4"/>
        <v>0</v>
      </c>
      <c r="P83" s="117"/>
      <c r="Q83" s="112"/>
    </row>
    <row r="84" ht="15.0" customHeight="1">
      <c r="A84" s="112"/>
      <c r="B84" s="112"/>
      <c r="C84" s="112"/>
      <c r="D84" s="148" t="s">
        <v>282</v>
      </c>
      <c r="E84" s="114" t="str">
        <f>VLOOKUP(D84,Data!H:I,2,0)</f>
        <v>Antalya</v>
      </c>
      <c r="F84" s="115" t="str">
        <f>VLOOKUP(D84,Data!H:J,3,0)</f>
        <v>Nazım Öztel</v>
      </c>
      <c r="G84" s="116" t="b">
        <v>0</v>
      </c>
      <c r="H84" s="116" t="b">
        <v>0</v>
      </c>
      <c r="I84" s="116" t="b">
        <v>0</v>
      </c>
      <c r="J84" s="116" t="b">
        <v>0</v>
      </c>
      <c r="K84" s="116" t="b">
        <v>0</v>
      </c>
      <c r="L84" s="116" t="b">
        <v>0</v>
      </c>
      <c r="M84" s="116" t="b">
        <v>0</v>
      </c>
      <c r="N84" s="117">
        <f t="shared" si="3"/>
        <v>0</v>
      </c>
      <c r="O84" s="117">
        <f t="shared" si="4"/>
        <v>0</v>
      </c>
      <c r="P84" s="117"/>
      <c r="Q84" s="112"/>
    </row>
    <row r="85" ht="15.0" customHeight="1">
      <c r="A85" s="112"/>
      <c r="B85" s="112"/>
      <c r="C85" s="112"/>
      <c r="D85" s="149" t="s">
        <v>283</v>
      </c>
      <c r="E85" s="114" t="str">
        <f>VLOOKUP(D85,Data!H:I,2,0)</f>
        <v>Adana</v>
      </c>
      <c r="F85" s="115" t="str">
        <f>VLOOKUP(D85,Data!H:J,3,0)</f>
        <v>Nazım Öztel</v>
      </c>
      <c r="G85" s="116" t="b">
        <v>0</v>
      </c>
      <c r="H85" s="116" t="b">
        <v>0</v>
      </c>
      <c r="I85" s="116" t="b">
        <v>0</v>
      </c>
      <c r="J85" s="116" t="b">
        <v>0</v>
      </c>
      <c r="K85" s="116" t="b">
        <v>0</v>
      </c>
      <c r="L85" s="116" t="b">
        <v>0</v>
      </c>
      <c r="M85" s="116" t="b">
        <v>0</v>
      </c>
      <c r="N85" s="117">
        <f t="shared" si="3"/>
        <v>0</v>
      </c>
      <c r="O85" s="117">
        <f t="shared" si="4"/>
        <v>0</v>
      </c>
      <c r="P85" s="117"/>
      <c r="Q85" s="112"/>
    </row>
    <row r="86" ht="15.0" customHeight="1">
      <c r="A86" s="112"/>
      <c r="B86" s="112"/>
      <c r="C86" s="112"/>
      <c r="D86" s="150" t="s">
        <v>284</v>
      </c>
      <c r="E86" s="114" t="str">
        <f>VLOOKUP(D86,Data!H:I,2,0)</f>
        <v>Iğdır</v>
      </c>
      <c r="F86" s="115" t="str">
        <f>VLOOKUP(D86,Data!H:J,3,0)</f>
        <v>Nazım Öztel</v>
      </c>
      <c r="G86" s="116" t="b">
        <v>0</v>
      </c>
      <c r="H86" s="116" t="b">
        <v>0</v>
      </c>
      <c r="I86" s="116" t="b">
        <v>0</v>
      </c>
      <c r="J86" s="116" t="b">
        <v>0</v>
      </c>
      <c r="K86" s="116" t="b">
        <v>0</v>
      </c>
      <c r="L86" s="116" t="b">
        <v>0</v>
      </c>
      <c r="M86" s="116" t="b">
        <v>0</v>
      </c>
      <c r="N86" s="117">
        <f t="shared" si="3"/>
        <v>0</v>
      </c>
      <c r="O86" s="117">
        <f t="shared" si="4"/>
        <v>0</v>
      </c>
      <c r="P86" s="117"/>
      <c r="Q86" s="112"/>
    </row>
    <row r="87" ht="15.0" customHeight="1">
      <c r="A87" s="112"/>
      <c r="B87" s="112"/>
      <c r="C87" s="112"/>
      <c r="D87" s="150" t="s">
        <v>285</v>
      </c>
      <c r="E87" s="114" t="str">
        <f>VLOOKUP(D87,Data!H:I,2,0)</f>
        <v>Bitlis</v>
      </c>
      <c r="F87" s="115" t="str">
        <f>VLOOKUP(D87,Data!H:J,3,0)</f>
        <v>Nazım Öztel</v>
      </c>
      <c r="G87" s="116" t="b">
        <v>0</v>
      </c>
      <c r="H87" s="116" t="b">
        <v>0</v>
      </c>
      <c r="I87" s="116" t="b">
        <v>0</v>
      </c>
      <c r="J87" s="116" t="b">
        <v>0</v>
      </c>
      <c r="K87" s="116" t="b">
        <v>0</v>
      </c>
      <c r="L87" s="116" t="b">
        <v>0</v>
      </c>
      <c r="M87" s="116" t="b">
        <v>0</v>
      </c>
      <c r="N87" s="117">
        <f t="shared" si="3"/>
        <v>0</v>
      </c>
      <c r="O87" s="117">
        <f t="shared" si="4"/>
        <v>0</v>
      </c>
      <c r="P87" s="117"/>
      <c r="Q87" s="112"/>
    </row>
    <row r="88" ht="15.0" customHeight="1">
      <c r="A88" s="112"/>
      <c r="B88" s="112"/>
      <c r="C88" s="112"/>
      <c r="D88" s="149" t="s">
        <v>286</v>
      </c>
      <c r="E88" s="114" t="str">
        <f>VLOOKUP(D88,Data!H:I,2,0)</f>
        <v>Trabzon</v>
      </c>
      <c r="F88" s="115" t="str">
        <f>VLOOKUP(D88,Data!H:J,3,0)</f>
        <v>Nazım Öztel</v>
      </c>
      <c r="G88" s="116" t="b">
        <v>0</v>
      </c>
      <c r="H88" s="116" t="b">
        <v>0</v>
      </c>
      <c r="I88" s="116" t="b">
        <v>0</v>
      </c>
      <c r="J88" s="116" t="b">
        <v>0</v>
      </c>
      <c r="K88" s="116" t="b">
        <v>0</v>
      </c>
      <c r="L88" s="116" t="b">
        <v>0</v>
      </c>
      <c r="M88" s="116" t="b">
        <v>0</v>
      </c>
      <c r="N88" s="117">
        <f t="shared" si="3"/>
        <v>0</v>
      </c>
      <c r="O88" s="117">
        <f t="shared" si="4"/>
        <v>0</v>
      </c>
      <c r="P88" s="117"/>
      <c r="Q88" s="112"/>
    </row>
    <row r="89" ht="15.0" customHeight="1">
      <c r="A89" s="112"/>
      <c r="B89" s="112"/>
      <c r="C89" s="112"/>
      <c r="D89" s="150" t="s">
        <v>287</v>
      </c>
      <c r="E89" s="114" t="str">
        <f>VLOOKUP(D89,Data!H:I,2,0)</f>
        <v>Ankara</v>
      </c>
      <c r="F89" s="115" t="str">
        <f>VLOOKUP(D89,Data!H:J,3,0)</f>
        <v>Nazım Öztel</v>
      </c>
      <c r="G89" s="116" t="b">
        <v>0</v>
      </c>
      <c r="H89" s="116" t="b">
        <v>0</v>
      </c>
      <c r="I89" s="116" t="b">
        <v>0</v>
      </c>
      <c r="J89" s="116" t="b">
        <v>0</v>
      </c>
      <c r="K89" s="116" t="b">
        <v>0</v>
      </c>
      <c r="L89" s="116" t="b">
        <v>0</v>
      </c>
      <c r="M89" s="116" t="b">
        <v>0</v>
      </c>
      <c r="N89" s="117">
        <f t="shared" si="3"/>
        <v>0</v>
      </c>
      <c r="O89" s="117">
        <f t="shared" si="4"/>
        <v>0</v>
      </c>
      <c r="P89" s="117"/>
      <c r="Q89" s="112"/>
    </row>
    <row r="90" ht="15.0" customHeight="1">
      <c r="A90" s="112"/>
      <c r="B90" s="112"/>
      <c r="C90" s="112"/>
      <c r="D90" s="150" t="s">
        <v>288</v>
      </c>
      <c r="E90" s="114" t="str">
        <f>VLOOKUP(D90,Data!H:I,2,0)</f>
        <v>Şanlıurfa</v>
      </c>
      <c r="F90" s="115" t="str">
        <f>VLOOKUP(D90,Data!H:J,3,0)</f>
        <v>Nazım Öztel</v>
      </c>
      <c r="G90" s="116" t="b">
        <v>0</v>
      </c>
      <c r="H90" s="116" t="b">
        <v>0</v>
      </c>
      <c r="I90" s="116" t="b">
        <v>0</v>
      </c>
      <c r="J90" s="116" t="b">
        <v>0</v>
      </c>
      <c r="K90" s="116" t="b">
        <v>0</v>
      </c>
      <c r="L90" s="116" t="b">
        <v>0</v>
      </c>
      <c r="M90" s="116" t="b">
        <v>0</v>
      </c>
      <c r="N90" s="117">
        <f t="shared" si="3"/>
        <v>0</v>
      </c>
      <c r="O90" s="117">
        <f t="shared" si="4"/>
        <v>0</v>
      </c>
      <c r="P90" s="117"/>
      <c r="Q90" s="112"/>
    </row>
    <row r="91" ht="15.0" customHeight="1">
      <c r="A91" s="112"/>
      <c r="B91" s="112"/>
      <c r="C91" s="112"/>
      <c r="D91" s="149" t="s">
        <v>290</v>
      </c>
      <c r="E91" s="114" t="str">
        <f>VLOOKUP(D91,Data!H:I,2,0)</f>
        <v>Bayburt</v>
      </c>
      <c r="F91" s="115" t="str">
        <f>VLOOKUP(D91,Data!H:J,3,0)</f>
        <v>Nazım Öztel</v>
      </c>
      <c r="G91" s="116" t="b">
        <v>0</v>
      </c>
      <c r="H91" s="116" t="b">
        <v>0</v>
      </c>
      <c r="I91" s="116" t="b">
        <v>0</v>
      </c>
      <c r="J91" s="116" t="b">
        <v>0</v>
      </c>
      <c r="K91" s="116" t="b">
        <v>0</v>
      </c>
      <c r="L91" s="116" t="b">
        <v>0</v>
      </c>
      <c r="M91" s="116" t="b">
        <v>0</v>
      </c>
      <c r="N91" s="117">
        <f t="shared" si="3"/>
        <v>0</v>
      </c>
      <c r="O91" s="117">
        <f t="shared" si="4"/>
        <v>0</v>
      </c>
      <c r="P91" s="117" t="s">
        <v>304</v>
      </c>
      <c r="Q91" s="112"/>
    </row>
    <row r="92" ht="15.0" customHeight="1">
      <c r="A92" s="112"/>
      <c r="B92" s="112"/>
      <c r="C92" s="112"/>
      <c r="D92" s="149" t="s">
        <v>291</v>
      </c>
      <c r="E92" s="114" t="str">
        <f>VLOOKUP(D92,Data!H:I,2,0)</f>
        <v>Bingöl</v>
      </c>
      <c r="F92" s="115" t="str">
        <f>VLOOKUP(D92,Data!H:J,3,0)</f>
        <v>Nazım Öztel</v>
      </c>
      <c r="G92" s="116" t="b">
        <v>0</v>
      </c>
      <c r="H92" s="116" t="b">
        <v>0</v>
      </c>
      <c r="I92" s="116" t="b">
        <v>0</v>
      </c>
      <c r="J92" s="116" t="b">
        <v>0</v>
      </c>
      <c r="K92" s="116" t="b">
        <v>0</v>
      </c>
      <c r="L92" s="116" t="b">
        <v>0</v>
      </c>
      <c r="M92" s="116" t="b">
        <v>0</v>
      </c>
      <c r="N92" s="117">
        <f t="shared" si="3"/>
        <v>0</v>
      </c>
      <c r="O92" s="117">
        <f t="shared" si="4"/>
        <v>0</v>
      </c>
      <c r="P92" s="117"/>
      <c r="Q92" s="112"/>
    </row>
    <row r="93" ht="15.0" customHeight="1">
      <c r="A93" s="112"/>
      <c r="B93" s="112"/>
      <c r="C93" s="112"/>
      <c r="D93" s="151" t="s">
        <v>293</v>
      </c>
      <c r="E93" s="114" t="str">
        <f>VLOOKUP(D93,Data!H:I,2,0)</f>
        <v>Çanakkale</v>
      </c>
      <c r="F93" s="115" t="str">
        <f>VLOOKUP(D93,Data!H:J,3,0)</f>
        <v>Nazım Öztel</v>
      </c>
      <c r="G93" s="116" t="b">
        <v>0</v>
      </c>
      <c r="H93" s="116" t="b">
        <v>0</v>
      </c>
      <c r="I93" s="116" t="b">
        <v>0</v>
      </c>
      <c r="J93" s="116" t="b">
        <v>0</v>
      </c>
      <c r="K93" s="116" t="b">
        <v>0</v>
      </c>
      <c r="L93" s="116" t="b">
        <v>0</v>
      </c>
      <c r="M93" s="116" t="b">
        <v>0</v>
      </c>
      <c r="N93" s="117">
        <f t="shared" si="3"/>
        <v>0</v>
      </c>
      <c r="O93" s="117">
        <f t="shared" si="4"/>
        <v>0</v>
      </c>
      <c r="P93" s="117"/>
      <c r="Q93" s="112"/>
    </row>
    <row r="94" ht="15.0" customHeight="1">
      <c r="A94" s="112"/>
      <c r="B94" s="112"/>
      <c r="C94" s="112"/>
      <c r="D94" s="150" t="s">
        <v>295</v>
      </c>
      <c r="E94" s="114" t="str">
        <f>VLOOKUP(D94,Data!H:I,2,0)</f>
        <v>Giresun</v>
      </c>
      <c r="F94" s="115" t="str">
        <f>VLOOKUP(D94,Data!H:J,3,0)</f>
        <v>Nazım Öztel</v>
      </c>
      <c r="G94" s="139" t="b">
        <v>0</v>
      </c>
      <c r="H94" s="139" t="b">
        <v>0</v>
      </c>
      <c r="I94" s="139" t="b">
        <v>0</v>
      </c>
      <c r="J94" s="139" t="b">
        <v>0</v>
      </c>
      <c r="K94" s="139" t="b">
        <v>0</v>
      </c>
      <c r="L94" s="116" t="b">
        <v>0</v>
      </c>
      <c r="M94" s="116" t="b">
        <v>0</v>
      </c>
      <c r="N94" s="117">
        <f t="shared" si="3"/>
        <v>0</v>
      </c>
      <c r="O94" s="117">
        <f t="shared" si="4"/>
        <v>0</v>
      </c>
      <c r="P94" s="117"/>
      <c r="Q94" s="112"/>
    </row>
    <row r="95" ht="15.0" customHeight="1">
      <c r="A95" s="112"/>
      <c r="B95" s="112"/>
      <c r="C95" s="112"/>
      <c r="D95" s="149" t="s">
        <v>296</v>
      </c>
      <c r="E95" s="114" t="str">
        <f>VLOOKUP(D95,Data!H:I,2,0)</f>
        <v>Bilecik</v>
      </c>
      <c r="F95" s="115" t="str">
        <f>VLOOKUP(D95,Data!H:J,3,0)</f>
        <v>Nazım Öztel</v>
      </c>
      <c r="G95" s="139" t="b">
        <v>0</v>
      </c>
      <c r="H95" s="139" t="b">
        <v>0</v>
      </c>
      <c r="I95" s="139" t="b">
        <v>0</v>
      </c>
      <c r="J95" s="139" t="b">
        <v>0</v>
      </c>
      <c r="K95" s="139" t="b">
        <v>0</v>
      </c>
      <c r="L95" s="116" t="b">
        <v>0</v>
      </c>
      <c r="M95" s="116" t="b">
        <v>0</v>
      </c>
      <c r="N95" s="117">
        <f t="shared" si="3"/>
        <v>0</v>
      </c>
      <c r="O95" s="117">
        <f t="shared" si="4"/>
        <v>0</v>
      </c>
      <c r="P95" s="117"/>
      <c r="Q95" s="112"/>
    </row>
    <row r="96" ht="15.0" customHeight="1">
      <c r="A96" s="112"/>
      <c r="B96" s="112"/>
      <c r="C96" s="112"/>
      <c r="D96" s="149"/>
      <c r="E96" s="144"/>
      <c r="F96" s="144"/>
      <c r="G96" s="117">
        <f t="shared" ref="G96:M96" si="5">4*(COUNTIF(G15:G95,"true"))</f>
        <v>0</v>
      </c>
      <c r="H96" s="117">
        <f t="shared" si="5"/>
        <v>0</v>
      </c>
      <c r="I96" s="117">
        <f t="shared" si="5"/>
        <v>0</v>
      </c>
      <c r="J96" s="117">
        <f t="shared" si="5"/>
        <v>0</v>
      </c>
      <c r="K96" s="117">
        <f t="shared" si="5"/>
        <v>0</v>
      </c>
      <c r="L96" s="117">
        <f t="shared" si="5"/>
        <v>0</v>
      </c>
      <c r="M96" s="117">
        <f t="shared" si="5"/>
        <v>0</v>
      </c>
      <c r="N96" s="135">
        <f t="shared" ref="N96:O96" si="6">SUM(N15:N95)</f>
        <v>5</v>
      </c>
      <c r="O96" s="135">
        <f t="shared" si="6"/>
        <v>20</v>
      </c>
      <c r="P96" s="135"/>
      <c r="Q96" s="112"/>
    </row>
    <row r="97" ht="15.0" customHeight="1">
      <c r="A97" s="112"/>
      <c r="B97" s="112"/>
      <c r="C97" s="112"/>
      <c r="D97" s="149"/>
      <c r="E97" s="144"/>
      <c r="F97" s="144"/>
      <c r="G97" s="135"/>
      <c r="H97" s="135"/>
      <c r="I97" s="135"/>
      <c r="J97" s="135"/>
      <c r="K97" s="135"/>
      <c r="L97" s="135"/>
      <c r="M97" s="135"/>
      <c r="N97" s="135"/>
      <c r="O97" s="135"/>
      <c r="P97" s="135"/>
      <c r="Q97" s="112"/>
    </row>
    <row r="98" ht="15.0" customHeight="1">
      <c r="A98" s="112"/>
      <c r="B98" s="112"/>
      <c r="C98" s="112"/>
      <c r="D98" s="149"/>
      <c r="E98" s="144"/>
      <c r="F98" s="144"/>
      <c r="G98" s="135"/>
      <c r="H98" s="135"/>
      <c r="I98" s="135"/>
      <c r="J98" s="135"/>
      <c r="K98" s="135"/>
      <c r="L98" s="135"/>
      <c r="M98" s="135"/>
      <c r="N98" s="135"/>
      <c r="O98" s="135"/>
      <c r="P98" s="135"/>
      <c r="Q98" s="112"/>
    </row>
    <row r="99" ht="15.0" customHeight="1">
      <c r="A99" s="112"/>
      <c r="B99" s="112"/>
      <c r="C99" s="112"/>
      <c r="D99" s="149"/>
      <c r="E99" s="144"/>
      <c r="F99" s="144"/>
      <c r="G99" s="135"/>
      <c r="H99" s="135"/>
      <c r="I99" s="135"/>
      <c r="J99" s="135"/>
      <c r="K99" s="135"/>
      <c r="L99" s="135"/>
      <c r="M99" s="135"/>
      <c r="N99" s="135"/>
      <c r="O99" s="135"/>
      <c r="P99" s="135"/>
      <c r="Q99" s="112"/>
    </row>
    <row r="100" ht="15.0" customHeight="1">
      <c r="A100" s="112"/>
      <c r="B100" s="112"/>
      <c r="C100" s="112"/>
      <c r="D100" s="149"/>
      <c r="E100" s="144"/>
      <c r="F100" s="144"/>
      <c r="G100" s="135"/>
      <c r="H100" s="135"/>
      <c r="I100" s="135"/>
      <c r="J100" s="135"/>
      <c r="K100" s="135"/>
      <c r="L100" s="135"/>
      <c r="M100" s="135"/>
      <c r="N100" s="135"/>
      <c r="O100" s="135"/>
      <c r="P100" s="135"/>
      <c r="Q100" s="112"/>
    </row>
  </sheetData>
  <customSheetViews>
    <customSheetView guid="{90E1DF85-7252-44D2-BA7D-CC3767CD0E8B}" filter="1" showAutoFilter="1">
      <autoFilter ref="$A$14:$Q$98">
        <filterColumn colId="4">
          <filters>
            <filter val="Samsun"/>
            <filter val="Iğdır"/>
            <filter val="Sakarya"/>
            <filter val="Giresun"/>
            <filter val="Zonguldak"/>
            <filter val="Bilecik"/>
            <filter val="Bingöl"/>
            <filter val="Elazığ"/>
            <filter val="Kayseri"/>
            <filter val="Bitlis"/>
            <filter val="Düzce"/>
            <filter val="Denizli"/>
            <filter val="Amasya"/>
            <filter val="Çanakkale"/>
            <filter val="Aydın"/>
            <filter val="Bolu"/>
            <filter val="Çorum"/>
            <filter val="Adıyaman"/>
            <filter val="Edirne"/>
            <filter val="Tokat"/>
            <filter val="Sivas"/>
            <filter val="Şanlıurfa"/>
            <filter val="Eskişehir"/>
            <filter val="Kırklareli"/>
            <filter val="Malatya"/>
            <filter val="Hatay"/>
            <filter val="Sinop"/>
            <filter val="Osmaniye"/>
            <filter val="Ordu"/>
            <filter val="Bayburt"/>
            <filter val="Mardin"/>
            <filter val="Muğla"/>
            <filter val="Kahramanmaraş"/>
            <filter val="Balıkesir"/>
            <filter val="Uşak"/>
          </filters>
        </filterColumn>
      </autoFilter>
    </customSheetView>
    <customSheetView guid="{70B995D3-3AEB-4DFE-A0CA-D6FFCCE596BC}" filter="1" showAutoFilter="1">
      <autoFilter ref="$D$14:$D$84"/>
    </customSheetView>
  </customSheetViews>
  <mergeCells count="4">
    <mergeCell ref="D6:M6"/>
    <mergeCell ref="D7:F7"/>
    <mergeCell ref="D9:D12"/>
    <mergeCell ref="F10:O11"/>
  </mergeCells>
  <conditionalFormatting sqref="G15:M95">
    <cfRule type="cellIs" dxfId="1" priority="1" operator="equal">
      <formula>"False"</formula>
    </cfRule>
  </conditionalFormatting>
  <conditionalFormatting sqref="G15:M95">
    <cfRule type="cellIs" dxfId="0" priority="2" operator="equal">
      <formula>"TRUE"</formula>
    </cfRule>
  </conditionalFormatting>
  <dataValidations>
    <dataValidation type="list" allowBlank="1" showErrorMessage="1" sqref="E15:E100">
      <formula1>Data!$A$2:$A$100</formula1>
    </dataValidation>
    <dataValidation type="list" allowBlank="1" showErrorMessage="1" sqref="F15:F100">
      <formula1>Data!$C$2:$C$8</formula1>
    </dataValidation>
  </dataValidations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48" t="s">
        <v>404</v>
      </c>
      <c r="C1" s="148" t="s">
        <v>39</v>
      </c>
      <c r="E1" s="113" t="s">
        <v>37</v>
      </c>
      <c r="H1" s="113" t="s">
        <v>405</v>
      </c>
      <c r="I1" s="113" t="s">
        <v>38</v>
      </c>
      <c r="J1" s="113" t="s">
        <v>39</v>
      </c>
    </row>
    <row r="2">
      <c r="A2" s="171" t="s">
        <v>237</v>
      </c>
      <c r="C2" s="148" t="s">
        <v>59</v>
      </c>
      <c r="E2" s="113" t="s">
        <v>406</v>
      </c>
      <c r="H2" s="172" t="s">
        <v>49</v>
      </c>
      <c r="I2" s="172" t="s">
        <v>110</v>
      </c>
      <c r="J2" s="173" t="s">
        <v>61</v>
      </c>
    </row>
    <row r="3">
      <c r="A3" s="171" t="s">
        <v>393</v>
      </c>
      <c r="C3" s="148" t="s">
        <v>61</v>
      </c>
      <c r="E3" s="113" t="s">
        <v>49</v>
      </c>
      <c r="H3" s="88" t="s">
        <v>105</v>
      </c>
      <c r="I3" s="88" t="s">
        <v>407</v>
      </c>
      <c r="J3" s="113" t="s">
        <v>61</v>
      </c>
    </row>
    <row r="4">
      <c r="A4" s="171" t="s">
        <v>129</v>
      </c>
      <c r="C4" s="148" t="s">
        <v>64</v>
      </c>
      <c r="E4" s="113" t="s">
        <v>48</v>
      </c>
      <c r="H4" s="113" t="s">
        <v>58</v>
      </c>
      <c r="I4" s="113" t="s">
        <v>237</v>
      </c>
      <c r="J4" s="113" t="s">
        <v>59</v>
      </c>
    </row>
    <row r="5">
      <c r="A5" s="171" t="s">
        <v>375</v>
      </c>
      <c r="C5" s="148" t="s">
        <v>108</v>
      </c>
      <c r="E5" s="88" t="s">
        <v>408</v>
      </c>
      <c r="H5" s="172" t="s">
        <v>60</v>
      </c>
      <c r="I5" s="173" t="s">
        <v>237</v>
      </c>
      <c r="J5" s="173" t="s">
        <v>61</v>
      </c>
    </row>
    <row r="6">
      <c r="A6" s="171" t="s">
        <v>110</v>
      </c>
      <c r="E6" s="113" t="s">
        <v>58</v>
      </c>
      <c r="H6" s="172" t="s">
        <v>62</v>
      </c>
      <c r="I6" s="173" t="s">
        <v>237</v>
      </c>
      <c r="J6" s="173" t="s">
        <v>61</v>
      </c>
    </row>
    <row r="7">
      <c r="A7" s="171" t="s">
        <v>372</v>
      </c>
      <c r="E7" s="113" t="s">
        <v>409</v>
      </c>
      <c r="H7" s="172" t="s">
        <v>63</v>
      </c>
      <c r="I7" s="173" t="s">
        <v>237</v>
      </c>
      <c r="J7" s="173" t="s">
        <v>64</v>
      </c>
    </row>
    <row r="8">
      <c r="A8" s="171" t="s">
        <v>410</v>
      </c>
      <c r="E8" s="113" t="s">
        <v>63</v>
      </c>
      <c r="H8" s="172" t="s">
        <v>65</v>
      </c>
      <c r="I8" s="173" t="s">
        <v>237</v>
      </c>
      <c r="J8" s="173" t="s">
        <v>64</v>
      </c>
    </row>
    <row r="9">
      <c r="A9" s="171" t="s">
        <v>411</v>
      </c>
      <c r="E9" s="113" t="s">
        <v>65</v>
      </c>
      <c r="H9" s="98" t="s">
        <v>44</v>
      </c>
      <c r="I9" s="113" t="s">
        <v>393</v>
      </c>
      <c r="J9" s="113" t="s">
        <v>108</v>
      </c>
    </row>
    <row r="10">
      <c r="A10" s="171" t="s">
        <v>412</v>
      </c>
      <c r="E10" s="113" t="s">
        <v>44</v>
      </c>
      <c r="H10" s="172" t="s">
        <v>91</v>
      </c>
      <c r="I10" s="173" t="s">
        <v>129</v>
      </c>
      <c r="J10" s="173" t="s">
        <v>61</v>
      </c>
    </row>
    <row r="11">
      <c r="A11" s="171" t="s">
        <v>413</v>
      </c>
      <c r="E11" s="113" t="s">
        <v>66</v>
      </c>
      <c r="H11" s="113" t="s">
        <v>66</v>
      </c>
      <c r="I11" s="113" t="s">
        <v>237</v>
      </c>
      <c r="J11" s="113" t="s">
        <v>59</v>
      </c>
    </row>
    <row r="12">
      <c r="A12" s="171" t="s">
        <v>414</v>
      </c>
      <c r="E12" s="113" t="s">
        <v>415</v>
      </c>
      <c r="H12" s="88" t="s">
        <v>67</v>
      </c>
      <c r="I12" s="113" t="s">
        <v>237</v>
      </c>
      <c r="J12" s="113" t="s">
        <v>64</v>
      </c>
    </row>
    <row r="13">
      <c r="A13" s="171" t="s">
        <v>416</v>
      </c>
      <c r="E13" s="113" t="s">
        <v>67</v>
      </c>
      <c r="H13" s="172" t="s">
        <v>56</v>
      </c>
      <c r="I13" s="172" t="s">
        <v>417</v>
      </c>
      <c r="J13" s="173" t="s">
        <v>61</v>
      </c>
    </row>
    <row r="14">
      <c r="A14" s="171" t="s">
        <v>262</v>
      </c>
      <c r="E14" s="88" t="s">
        <v>56</v>
      </c>
      <c r="H14" s="88" t="s">
        <v>99</v>
      </c>
      <c r="I14" s="88" t="s">
        <v>410</v>
      </c>
      <c r="J14" s="113" t="s">
        <v>61</v>
      </c>
    </row>
    <row r="15">
      <c r="A15" s="171" t="s">
        <v>184</v>
      </c>
      <c r="E15" s="113" t="s">
        <v>99</v>
      </c>
      <c r="H15" s="173" t="s">
        <v>68</v>
      </c>
      <c r="I15" s="173" t="s">
        <v>237</v>
      </c>
      <c r="J15" s="173" t="s">
        <v>59</v>
      </c>
    </row>
    <row r="16">
      <c r="A16" s="171" t="s">
        <v>383</v>
      </c>
      <c r="E16" s="113" t="s">
        <v>68</v>
      </c>
      <c r="H16" s="172" t="s">
        <v>69</v>
      </c>
      <c r="I16" s="173" t="s">
        <v>237</v>
      </c>
      <c r="J16" s="173" t="s">
        <v>61</v>
      </c>
    </row>
    <row r="17">
      <c r="A17" s="171" t="s">
        <v>418</v>
      </c>
      <c r="E17" s="113" t="s">
        <v>70</v>
      </c>
      <c r="H17" s="113" t="s">
        <v>70</v>
      </c>
      <c r="I17" s="113" t="s">
        <v>237</v>
      </c>
      <c r="J17" s="113" t="s">
        <v>59</v>
      </c>
    </row>
    <row r="18">
      <c r="A18" s="171" t="s">
        <v>206</v>
      </c>
      <c r="E18" s="113" t="s">
        <v>71</v>
      </c>
      <c r="H18" s="88" t="s">
        <v>71</v>
      </c>
      <c r="I18" s="113" t="s">
        <v>237</v>
      </c>
      <c r="J18" s="113" t="s">
        <v>64</v>
      </c>
    </row>
    <row r="19">
      <c r="A19" s="171" t="s">
        <v>419</v>
      </c>
      <c r="E19" s="113" t="s">
        <v>72</v>
      </c>
      <c r="H19" s="88" t="s">
        <v>72</v>
      </c>
      <c r="I19" s="113" t="s">
        <v>237</v>
      </c>
      <c r="J19" s="113" t="s">
        <v>64</v>
      </c>
    </row>
    <row r="20">
      <c r="A20" s="171" t="s">
        <v>420</v>
      </c>
      <c r="E20" s="113" t="s">
        <v>73</v>
      </c>
      <c r="H20" s="172" t="s">
        <v>73</v>
      </c>
      <c r="I20" s="173" t="s">
        <v>237</v>
      </c>
      <c r="J20" s="173" t="s">
        <v>64</v>
      </c>
    </row>
    <row r="21">
      <c r="A21" s="171" t="s">
        <v>421</v>
      </c>
      <c r="E21" s="88" t="s">
        <v>422</v>
      </c>
      <c r="H21" s="88" t="s">
        <v>55</v>
      </c>
      <c r="I21" s="88" t="s">
        <v>423</v>
      </c>
      <c r="J21" s="113" t="s">
        <v>61</v>
      </c>
    </row>
    <row r="22">
      <c r="A22" s="171" t="s">
        <v>424</v>
      </c>
      <c r="E22" s="113" t="s">
        <v>74</v>
      </c>
      <c r="H22" s="88" t="s">
        <v>74</v>
      </c>
      <c r="I22" s="113" t="s">
        <v>237</v>
      </c>
      <c r="J22" s="113" t="s">
        <v>64</v>
      </c>
    </row>
    <row r="23">
      <c r="A23" s="171" t="s">
        <v>211</v>
      </c>
      <c r="E23" s="113" t="s">
        <v>425</v>
      </c>
      <c r="H23" s="173" t="s">
        <v>75</v>
      </c>
      <c r="I23" s="173" t="s">
        <v>237</v>
      </c>
      <c r="J23" s="173" t="s">
        <v>59</v>
      </c>
    </row>
    <row r="24">
      <c r="A24" s="174" t="s">
        <v>426</v>
      </c>
      <c r="E24" s="113" t="s">
        <v>75</v>
      </c>
      <c r="H24" s="173" t="s">
        <v>76</v>
      </c>
      <c r="I24" s="173" t="s">
        <v>237</v>
      </c>
      <c r="J24" s="173" t="s">
        <v>59</v>
      </c>
    </row>
    <row r="25">
      <c r="A25" s="174" t="s">
        <v>427</v>
      </c>
      <c r="E25" s="113" t="s">
        <v>76</v>
      </c>
      <c r="H25" s="113" t="s">
        <v>77</v>
      </c>
      <c r="I25" s="113" t="s">
        <v>237</v>
      </c>
      <c r="J25" s="113" t="s">
        <v>59</v>
      </c>
    </row>
    <row r="26">
      <c r="A26" s="174" t="s">
        <v>428</v>
      </c>
      <c r="E26" s="113" t="s">
        <v>429</v>
      </c>
      <c r="H26" s="172" t="s">
        <v>100</v>
      </c>
      <c r="I26" s="173" t="s">
        <v>416</v>
      </c>
      <c r="J26" s="173" t="s">
        <v>61</v>
      </c>
    </row>
    <row r="27">
      <c r="A27" s="174" t="s">
        <v>417</v>
      </c>
      <c r="E27" s="113" t="s">
        <v>77</v>
      </c>
      <c r="H27" s="98" t="s">
        <v>45</v>
      </c>
      <c r="I27" s="113" t="s">
        <v>393</v>
      </c>
      <c r="J27" s="113" t="s">
        <v>108</v>
      </c>
    </row>
    <row r="28">
      <c r="A28" s="174" t="s">
        <v>103</v>
      </c>
      <c r="E28" s="113" t="s">
        <v>45</v>
      </c>
      <c r="H28" s="113" t="s">
        <v>42</v>
      </c>
      <c r="I28" s="113" t="s">
        <v>372</v>
      </c>
      <c r="J28" s="113" t="s">
        <v>59</v>
      </c>
    </row>
    <row r="29">
      <c r="A29" s="174" t="s">
        <v>326</v>
      </c>
      <c r="E29" s="113" t="s">
        <v>42</v>
      </c>
      <c r="H29" s="113" t="s">
        <v>43</v>
      </c>
      <c r="I29" s="113" t="s">
        <v>372</v>
      </c>
      <c r="J29" s="113" t="s">
        <v>59</v>
      </c>
    </row>
    <row r="30">
      <c r="A30" s="174" t="s">
        <v>407</v>
      </c>
      <c r="E30" s="113" t="s">
        <v>43</v>
      </c>
      <c r="H30" s="113" t="s">
        <v>78</v>
      </c>
      <c r="I30" s="113" t="s">
        <v>237</v>
      </c>
      <c r="J30" s="113" t="s">
        <v>59</v>
      </c>
    </row>
    <row r="31">
      <c r="A31" s="174" t="s">
        <v>430</v>
      </c>
      <c r="E31" s="113" t="s">
        <v>78</v>
      </c>
      <c r="H31" s="98" t="s">
        <v>46</v>
      </c>
      <c r="I31" s="113" t="s">
        <v>393</v>
      </c>
      <c r="J31" s="113" t="s">
        <v>108</v>
      </c>
    </row>
    <row r="32">
      <c r="A32" s="174" t="s">
        <v>431</v>
      </c>
      <c r="E32" s="113" t="s">
        <v>46</v>
      </c>
      <c r="H32" s="113" t="s">
        <v>79</v>
      </c>
      <c r="I32" s="113" t="s">
        <v>237</v>
      </c>
      <c r="J32" s="113" t="s">
        <v>59</v>
      </c>
    </row>
    <row r="33">
      <c r="A33" s="174" t="s">
        <v>432</v>
      </c>
      <c r="E33" s="113" t="s">
        <v>79</v>
      </c>
      <c r="H33" s="88" t="s">
        <v>92</v>
      </c>
      <c r="I33" s="113" t="s">
        <v>129</v>
      </c>
      <c r="J33" s="113" t="s">
        <v>61</v>
      </c>
    </row>
    <row r="34">
      <c r="A34" s="174" t="s">
        <v>301</v>
      </c>
      <c r="E34" s="113" t="s">
        <v>52</v>
      </c>
      <c r="H34" s="88" t="s">
        <v>52</v>
      </c>
      <c r="I34" s="88" t="s">
        <v>375</v>
      </c>
      <c r="J34" s="113" t="s">
        <v>61</v>
      </c>
    </row>
    <row r="35">
      <c r="A35" s="174" t="s">
        <v>433</v>
      </c>
      <c r="E35" s="113" t="s">
        <v>80</v>
      </c>
      <c r="H35" s="113" t="s">
        <v>80</v>
      </c>
      <c r="I35" s="113" t="s">
        <v>237</v>
      </c>
      <c r="J35" s="113" t="s">
        <v>59</v>
      </c>
    </row>
    <row r="36">
      <c r="A36" s="174" t="s">
        <v>423</v>
      </c>
      <c r="E36" s="88" t="s">
        <v>434</v>
      </c>
      <c r="H36" s="88" t="s">
        <v>97</v>
      </c>
      <c r="I36" s="88" t="s">
        <v>426</v>
      </c>
      <c r="J36" s="113" t="s">
        <v>61</v>
      </c>
    </row>
    <row r="37">
      <c r="A37" s="174" t="s">
        <v>435</v>
      </c>
      <c r="E37" s="88" t="s">
        <v>436</v>
      </c>
      <c r="H37" s="88" t="s">
        <v>96</v>
      </c>
      <c r="I37" s="88" t="s">
        <v>411</v>
      </c>
      <c r="J37" s="113" t="s">
        <v>61</v>
      </c>
    </row>
    <row r="38">
      <c r="A38" s="174" t="s">
        <v>437</v>
      </c>
      <c r="E38" s="113" t="s">
        <v>93</v>
      </c>
      <c r="H38" s="113" t="s">
        <v>93</v>
      </c>
      <c r="I38" s="113" t="s">
        <v>129</v>
      </c>
      <c r="J38" s="113" t="s">
        <v>59</v>
      </c>
    </row>
    <row r="39">
      <c r="A39" s="174" t="s">
        <v>438</v>
      </c>
      <c r="E39" s="113" t="s">
        <v>104</v>
      </c>
      <c r="H39" s="113" t="s">
        <v>104</v>
      </c>
      <c r="I39" s="113" t="s">
        <v>414</v>
      </c>
      <c r="J39" s="113" t="s">
        <v>59</v>
      </c>
    </row>
    <row r="40">
      <c r="A40" s="174" t="s">
        <v>439</v>
      </c>
      <c r="E40" s="113" t="s">
        <v>440</v>
      </c>
      <c r="H40" s="113" t="s">
        <v>81</v>
      </c>
      <c r="I40" s="113" t="s">
        <v>237</v>
      </c>
      <c r="J40" s="113" t="s">
        <v>59</v>
      </c>
    </row>
    <row r="41">
      <c r="A41" s="174" t="s">
        <v>441</v>
      </c>
      <c r="E41" s="113" t="s">
        <v>442</v>
      </c>
      <c r="H41" s="163" t="s">
        <v>48</v>
      </c>
      <c r="I41" s="113" t="s">
        <v>393</v>
      </c>
      <c r="J41" s="113" t="s">
        <v>108</v>
      </c>
    </row>
    <row r="42">
      <c r="A42" s="174" t="s">
        <v>443</v>
      </c>
      <c r="E42" s="113" t="s">
        <v>82</v>
      </c>
      <c r="H42" s="172" t="s">
        <v>82</v>
      </c>
      <c r="I42" s="173" t="s">
        <v>237</v>
      </c>
      <c r="J42" s="173" t="s">
        <v>64</v>
      </c>
    </row>
    <row r="43">
      <c r="A43" s="174" t="s">
        <v>181</v>
      </c>
      <c r="E43" s="113" t="s">
        <v>83</v>
      </c>
      <c r="H43" s="88" t="s">
        <v>83</v>
      </c>
      <c r="I43" s="88" t="s">
        <v>237</v>
      </c>
      <c r="J43" s="113" t="s">
        <v>61</v>
      </c>
    </row>
    <row r="44">
      <c r="A44" s="171" t="s">
        <v>357</v>
      </c>
      <c r="E44" s="113" t="s">
        <v>47</v>
      </c>
      <c r="H44" s="172" t="s">
        <v>84</v>
      </c>
      <c r="I44" s="173" t="s">
        <v>237</v>
      </c>
      <c r="J44" s="173" t="s">
        <v>61</v>
      </c>
    </row>
    <row r="45">
      <c r="A45" s="171" t="s">
        <v>444</v>
      </c>
      <c r="E45" s="113" t="s">
        <v>85</v>
      </c>
      <c r="H45" s="98" t="s">
        <v>47</v>
      </c>
      <c r="I45" s="113" t="s">
        <v>393</v>
      </c>
      <c r="J45" s="113" t="s">
        <v>108</v>
      </c>
    </row>
    <row r="46">
      <c r="A46" s="171" t="s">
        <v>231</v>
      </c>
      <c r="E46" s="113" t="s">
        <v>50</v>
      </c>
      <c r="H46" s="88" t="s">
        <v>85</v>
      </c>
      <c r="I46" s="113" t="s">
        <v>237</v>
      </c>
      <c r="J46" s="113" t="s">
        <v>64</v>
      </c>
    </row>
    <row r="47">
      <c r="A47" s="171" t="s">
        <v>445</v>
      </c>
      <c r="E47" s="88" t="s">
        <v>51</v>
      </c>
      <c r="H47" s="113" t="s">
        <v>50</v>
      </c>
      <c r="I47" s="113" t="s">
        <v>110</v>
      </c>
      <c r="J47" s="113" t="s">
        <v>59</v>
      </c>
    </row>
    <row r="48">
      <c r="A48" s="171" t="s">
        <v>446</v>
      </c>
      <c r="E48" s="113" t="s">
        <v>101</v>
      </c>
      <c r="H48" s="173" t="s">
        <v>51</v>
      </c>
      <c r="I48" s="173" t="s">
        <v>262</v>
      </c>
      <c r="J48" s="173" t="s">
        <v>59</v>
      </c>
    </row>
    <row r="49">
      <c r="A49" s="171" t="s">
        <v>447</v>
      </c>
      <c r="E49" s="113" t="s">
        <v>94</v>
      </c>
      <c r="H49" s="172" t="s">
        <v>101</v>
      </c>
      <c r="I49" s="172" t="s">
        <v>383</v>
      </c>
      <c r="J49" s="173" t="s">
        <v>61</v>
      </c>
    </row>
    <row r="50">
      <c r="A50" s="175" t="s">
        <v>448</v>
      </c>
      <c r="E50" s="113" t="s">
        <v>86</v>
      </c>
      <c r="H50" s="88" t="s">
        <v>94</v>
      </c>
      <c r="I50" s="88" t="s">
        <v>129</v>
      </c>
      <c r="J50" s="113" t="s">
        <v>61</v>
      </c>
    </row>
    <row r="51">
      <c r="A51" s="175" t="s">
        <v>449</v>
      </c>
      <c r="E51" s="113" t="s">
        <v>87</v>
      </c>
      <c r="H51" s="113" t="s">
        <v>86</v>
      </c>
      <c r="I51" s="113" t="s">
        <v>237</v>
      </c>
      <c r="J51" s="113" t="s">
        <v>59</v>
      </c>
    </row>
    <row r="52">
      <c r="A52" s="175" t="s">
        <v>355</v>
      </c>
      <c r="E52" s="113" t="s">
        <v>54</v>
      </c>
      <c r="H52" s="88" t="s">
        <v>57</v>
      </c>
      <c r="I52" s="88" t="s">
        <v>430</v>
      </c>
      <c r="J52" s="113" t="s">
        <v>61</v>
      </c>
      <c r="O52" s="98"/>
    </row>
    <row r="53">
      <c r="A53" s="175" t="s">
        <v>450</v>
      </c>
      <c r="E53" s="113" t="s">
        <v>89</v>
      </c>
      <c r="H53" s="113" t="s">
        <v>87</v>
      </c>
      <c r="I53" s="113" t="s">
        <v>237</v>
      </c>
      <c r="J53" s="113" t="s">
        <v>59</v>
      </c>
    </row>
    <row r="54">
      <c r="A54" s="175" t="s">
        <v>451</v>
      </c>
      <c r="E54" s="113" t="s">
        <v>53</v>
      </c>
      <c r="H54" s="172" t="s">
        <v>54</v>
      </c>
      <c r="I54" s="172" t="s">
        <v>301</v>
      </c>
      <c r="J54" s="173" t="s">
        <v>61</v>
      </c>
      <c r="O54" s="98"/>
    </row>
    <row r="55">
      <c r="A55" s="175" t="s">
        <v>452</v>
      </c>
      <c r="E55" s="113" t="s">
        <v>90</v>
      </c>
      <c r="H55" s="88" t="s">
        <v>88</v>
      </c>
      <c r="I55" s="113" t="s">
        <v>237</v>
      </c>
      <c r="J55" s="113" t="s">
        <v>61</v>
      </c>
      <c r="O55" s="98"/>
    </row>
    <row r="56">
      <c r="A56" s="175" t="s">
        <v>453</v>
      </c>
      <c r="E56" s="113" t="s">
        <v>102</v>
      </c>
      <c r="H56" s="88" t="s">
        <v>89</v>
      </c>
      <c r="I56" s="113" t="s">
        <v>237</v>
      </c>
      <c r="J56" s="113" t="s">
        <v>64</v>
      </c>
    </row>
    <row r="57">
      <c r="A57" s="175" t="s">
        <v>454</v>
      </c>
      <c r="E57" s="88" t="s">
        <v>455</v>
      </c>
      <c r="H57" s="113" t="s">
        <v>53</v>
      </c>
      <c r="I57" s="113" t="s">
        <v>375</v>
      </c>
      <c r="J57" s="113" t="s">
        <v>59</v>
      </c>
    </row>
    <row r="58">
      <c r="A58" s="175" t="s">
        <v>456</v>
      </c>
      <c r="H58" s="173" t="s">
        <v>90</v>
      </c>
      <c r="I58" s="173" t="s">
        <v>237</v>
      </c>
      <c r="J58" s="173" t="s">
        <v>59</v>
      </c>
    </row>
    <row r="59">
      <c r="A59" s="175" t="s">
        <v>457</v>
      </c>
      <c r="H59" s="88" t="s">
        <v>98</v>
      </c>
      <c r="I59" s="88" t="s">
        <v>428</v>
      </c>
      <c r="J59" s="113" t="s">
        <v>61</v>
      </c>
      <c r="O59" s="176"/>
    </row>
    <row r="60">
      <c r="A60" s="175" t="s">
        <v>458</v>
      </c>
      <c r="H60" s="177" t="s">
        <v>109</v>
      </c>
      <c r="I60" s="177" t="s">
        <v>110</v>
      </c>
      <c r="J60" s="177" t="s">
        <v>61</v>
      </c>
      <c r="O60" s="176"/>
    </row>
    <row r="61">
      <c r="A61" s="175" t="s">
        <v>459</v>
      </c>
      <c r="H61" s="137" t="s">
        <v>113</v>
      </c>
      <c r="I61" s="173" t="s">
        <v>237</v>
      </c>
      <c r="J61" s="173" t="s">
        <v>61</v>
      </c>
      <c r="O61" s="176"/>
    </row>
    <row r="62">
      <c r="A62" s="175" t="s">
        <v>460</v>
      </c>
      <c r="H62" s="137" t="s">
        <v>114</v>
      </c>
      <c r="I62" s="173" t="s">
        <v>237</v>
      </c>
      <c r="J62" s="173" t="s">
        <v>61</v>
      </c>
      <c r="O62" s="176"/>
    </row>
    <row r="63">
      <c r="A63" s="175" t="s">
        <v>461</v>
      </c>
      <c r="H63" s="177" t="s">
        <v>118</v>
      </c>
      <c r="I63" s="177" t="s">
        <v>237</v>
      </c>
      <c r="J63" s="177" t="s">
        <v>64</v>
      </c>
    </row>
    <row r="64">
      <c r="A64" s="175" t="s">
        <v>462</v>
      </c>
      <c r="H64" s="177" t="s">
        <v>120</v>
      </c>
      <c r="I64" s="177" t="s">
        <v>237</v>
      </c>
      <c r="J64" s="177" t="s">
        <v>64</v>
      </c>
    </row>
    <row r="65">
      <c r="A65" s="175" t="s">
        <v>463</v>
      </c>
      <c r="H65" s="148" t="s">
        <v>119</v>
      </c>
      <c r="I65" s="148" t="s">
        <v>237</v>
      </c>
      <c r="J65" s="148" t="s">
        <v>64</v>
      </c>
    </row>
    <row r="66">
      <c r="A66" s="175" t="s">
        <v>346</v>
      </c>
      <c r="H66" s="148" t="s">
        <v>117</v>
      </c>
      <c r="I66" s="148" t="s">
        <v>237</v>
      </c>
      <c r="J66" s="148" t="s">
        <v>59</v>
      </c>
    </row>
    <row r="67">
      <c r="A67" s="175" t="s">
        <v>464</v>
      </c>
      <c r="H67" s="148" t="s">
        <v>123</v>
      </c>
      <c r="I67" s="148" t="s">
        <v>237</v>
      </c>
      <c r="J67" s="148" t="s">
        <v>59</v>
      </c>
    </row>
    <row r="68">
      <c r="A68" s="175" t="s">
        <v>465</v>
      </c>
      <c r="H68" s="148" t="s">
        <v>95</v>
      </c>
      <c r="I68" s="148" t="s">
        <v>411</v>
      </c>
      <c r="J68" s="148" t="s">
        <v>61</v>
      </c>
      <c r="O68" s="149"/>
    </row>
    <row r="69">
      <c r="A69" s="175" t="s">
        <v>466</v>
      </c>
      <c r="H69" s="177" t="s">
        <v>128</v>
      </c>
      <c r="I69" s="177" t="s">
        <v>129</v>
      </c>
      <c r="J69" s="177" t="s">
        <v>61</v>
      </c>
      <c r="O69" s="149"/>
    </row>
    <row r="70">
      <c r="A70" s="175" t="s">
        <v>467</v>
      </c>
      <c r="H70" s="173" t="s">
        <v>102</v>
      </c>
      <c r="I70" s="177" t="s">
        <v>103</v>
      </c>
      <c r="J70" s="177" t="s">
        <v>64</v>
      </c>
    </row>
    <row r="71">
      <c r="A71" s="175" t="s">
        <v>468</v>
      </c>
      <c r="H71" s="148" t="s">
        <v>124</v>
      </c>
      <c r="I71" s="148" t="s">
        <v>237</v>
      </c>
      <c r="J71" s="148" t="s">
        <v>64</v>
      </c>
    </row>
    <row r="72">
      <c r="A72" s="175" t="s">
        <v>469</v>
      </c>
      <c r="H72" s="148" t="s">
        <v>126</v>
      </c>
      <c r="I72" s="148" t="s">
        <v>237</v>
      </c>
      <c r="J72" s="148" t="s">
        <v>64</v>
      </c>
    </row>
    <row r="73">
      <c r="A73" s="175" t="s">
        <v>470</v>
      </c>
      <c r="H73" s="148" t="s">
        <v>127</v>
      </c>
      <c r="I73" s="148" t="s">
        <v>237</v>
      </c>
      <c r="J73" s="148" t="s">
        <v>64</v>
      </c>
    </row>
    <row r="74">
      <c r="A74" s="175" t="s">
        <v>471</v>
      </c>
      <c r="H74" s="177" t="s">
        <v>125</v>
      </c>
      <c r="I74" s="177" t="s">
        <v>237</v>
      </c>
      <c r="J74" s="177" t="s">
        <v>64</v>
      </c>
    </row>
    <row r="75">
      <c r="A75" s="175" t="s">
        <v>472</v>
      </c>
      <c r="H75" s="148" t="s">
        <v>139</v>
      </c>
      <c r="I75" s="148" t="s">
        <v>129</v>
      </c>
      <c r="J75" s="148" t="s">
        <v>61</v>
      </c>
      <c r="O75" s="176"/>
    </row>
    <row r="76">
      <c r="A76" s="175" t="s">
        <v>473</v>
      </c>
      <c r="H76" s="177" t="s">
        <v>137</v>
      </c>
      <c r="I76" s="177" t="s">
        <v>237</v>
      </c>
      <c r="J76" s="177" t="s">
        <v>61</v>
      </c>
      <c r="O76" s="176"/>
    </row>
    <row r="77">
      <c r="A77" s="175" t="s">
        <v>474</v>
      </c>
      <c r="H77" s="148" t="s">
        <v>133</v>
      </c>
      <c r="I77" s="148" t="s">
        <v>237</v>
      </c>
      <c r="J77" s="148" t="s">
        <v>59</v>
      </c>
    </row>
    <row r="78">
      <c r="A78" s="175" t="s">
        <v>475</v>
      </c>
      <c r="H78" s="148" t="s">
        <v>135</v>
      </c>
      <c r="I78" s="148" t="s">
        <v>237</v>
      </c>
      <c r="J78" s="148" t="s">
        <v>59</v>
      </c>
    </row>
    <row r="79">
      <c r="A79" s="175" t="s">
        <v>476</v>
      </c>
      <c r="H79" s="148" t="s">
        <v>134</v>
      </c>
      <c r="I79" s="148" t="s">
        <v>237</v>
      </c>
      <c r="J79" s="148" t="s">
        <v>64</v>
      </c>
    </row>
    <row r="80">
      <c r="A80" s="175" t="s">
        <v>477</v>
      </c>
      <c r="H80" s="177" t="s">
        <v>138</v>
      </c>
      <c r="I80" s="177" t="s">
        <v>237</v>
      </c>
      <c r="J80" s="177" t="s">
        <v>64</v>
      </c>
    </row>
    <row r="81">
      <c r="A81" s="175" t="s">
        <v>478</v>
      </c>
      <c r="H81" s="148" t="s">
        <v>136</v>
      </c>
      <c r="I81" s="148" t="s">
        <v>237</v>
      </c>
      <c r="J81" s="148" t="s">
        <v>64</v>
      </c>
    </row>
    <row r="82">
      <c r="A82" s="175" t="s">
        <v>479</v>
      </c>
      <c r="H82" s="148" t="s">
        <v>148</v>
      </c>
      <c r="I82" s="148" t="s">
        <v>416</v>
      </c>
      <c r="J82" s="148" t="s">
        <v>61</v>
      </c>
      <c r="O82" s="176"/>
    </row>
    <row r="83">
      <c r="H83" s="177" t="s">
        <v>144</v>
      </c>
      <c r="I83" s="177" t="s">
        <v>184</v>
      </c>
      <c r="J83" s="177" t="s">
        <v>61</v>
      </c>
      <c r="O83" s="176"/>
    </row>
    <row r="84">
      <c r="H84" s="150" t="s">
        <v>151</v>
      </c>
      <c r="I84" s="148" t="s">
        <v>110</v>
      </c>
      <c r="J84" s="148" t="s">
        <v>61</v>
      </c>
      <c r="O84" s="176"/>
    </row>
    <row r="85">
      <c r="H85" s="149" t="s">
        <v>152</v>
      </c>
      <c r="I85" s="148" t="s">
        <v>110</v>
      </c>
      <c r="J85" s="148" t="s">
        <v>61</v>
      </c>
      <c r="O85" s="176"/>
    </row>
    <row r="86">
      <c r="H86" s="148" t="s">
        <v>145</v>
      </c>
      <c r="I86" s="148" t="s">
        <v>237</v>
      </c>
      <c r="J86" s="148" t="s">
        <v>64</v>
      </c>
    </row>
    <row r="87">
      <c r="H87" s="148" t="s">
        <v>146</v>
      </c>
      <c r="I87" s="148" t="s">
        <v>237</v>
      </c>
      <c r="J87" s="148" t="s">
        <v>64</v>
      </c>
    </row>
    <row r="88">
      <c r="H88" s="148" t="s">
        <v>147</v>
      </c>
      <c r="I88" s="148" t="s">
        <v>411</v>
      </c>
      <c r="J88" s="148" t="s">
        <v>61</v>
      </c>
      <c r="O88" s="176"/>
    </row>
    <row r="89">
      <c r="H89" s="148" t="s">
        <v>480</v>
      </c>
      <c r="I89" s="148" t="s">
        <v>428</v>
      </c>
      <c r="J89" s="148" t="s">
        <v>61</v>
      </c>
      <c r="O89" s="176"/>
    </row>
    <row r="90">
      <c r="H90" s="148" t="s">
        <v>153</v>
      </c>
      <c r="I90" s="148" t="s">
        <v>431</v>
      </c>
      <c r="J90" s="148" t="s">
        <v>61</v>
      </c>
      <c r="O90" s="176"/>
    </row>
    <row r="91">
      <c r="H91" s="148" t="s">
        <v>154</v>
      </c>
      <c r="I91" s="148" t="s">
        <v>419</v>
      </c>
      <c r="J91" s="148" t="s">
        <v>61</v>
      </c>
      <c r="O91" s="176"/>
    </row>
    <row r="92">
      <c r="H92" s="148" t="s">
        <v>160</v>
      </c>
      <c r="I92" s="148" t="s">
        <v>421</v>
      </c>
      <c r="J92" s="148" t="s">
        <v>61</v>
      </c>
      <c r="O92" s="176"/>
    </row>
    <row r="93">
      <c r="H93" s="148" t="s">
        <v>161</v>
      </c>
      <c r="I93" s="148" t="s">
        <v>424</v>
      </c>
      <c r="J93" s="148" t="s">
        <v>61</v>
      </c>
      <c r="O93" s="176"/>
    </row>
    <row r="94">
      <c r="H94" s="149" t="s">
        <v>481</v>
      </c>
      <c r="I94" s="149" t="s">
        <v>110</v>
      </c>
      <c r="J94" s="148" t="s">
        <v>61</v>
      </c>
      <c r="O94" s="176"/>
    </row>
    <row r="95">
      <c r="H95" s="150" t="s">
        <v>159</v>
      </c>
      <c r="I95" s="149" t="s">
        <v>262</v>
      </c>
      <c r="J95" s="148" t="s">
        <v>61</v>
      </c>
      <c r="O95" s="176"/>
    </row>
    <row r="96">
      <c r="H96" s="149" t="s">
        <v>172</v>
      </c>
      <c r="I96" s="149" t="s">
        <v>184</v>
      </c>
      <c r="J96" s="148" t="s">
        <v>61</v>
      </c>
      <c r="O96" s="176"/>
    </row>
    <row r="97">
      <c r="H97" s="149" t="s">
        <v>165</v>
      </c>
      <c r="I97" s="149" t="s">
        <v>412</v>
      </c>
      <c r="J97" s="148" t="s">
        <v>61</v>
      </c>
      <c r="O97" s="176"/>
    </row>
    <row r="98">
      <c r="H98" s="150" t="s">
        <v>482</v>
      </c>
      <c r="I98" s="149" t="s">
        <v>427</v>
      </c>
      <c r="J98" s="148" t="s">
        <v>61</v>
      </c>
      <c r="O98" s="176"/>
    </row>
    <row r="99">
      <c r="H99" s="148" t="s">
        <v>168</v>
      </c>
      <c r="I99" s="148" t="s">
        <v>237</v>
      </c>
      <c r="J99" s="148" t="s">
        <v>61</v>
      </c>
      <c r="O99" s="176"/>
    </row>
    <row r="100">
      <c r="H100" s="148" t="s">
        <v>166</v>
      </c>
      <c r="I100" s="148" t="s">
        <v>237</v>
      </c>
      <c r="J100" s="148" t="s">
        <v>64</v>
      </c>
    </row>
    <row r="101">
      <c r="H101" s="148" t="s">
        <v>167</v>
      </c>
      <c r="I101" s="148" t="s">
        <v>237</v>
      </c>
      <c r="J101" s="148" t="s">
        <v>64</v>
      </c>
    </row>
    <row r="102">
      <c r="H102" s="148" t="s">
        <v>164</v>
      </c>
      <c r="I102" s="148" t="s">
        <v>110</v>
      </c>
      <c r="J102" s="148" t="s">
        <v>61</v>
      </c>
      <c r="N102" s="98" t="s">
        <v>129</v>
      </c>
      <c r="O102" s="176"/>
    </row>
    <row r="103">
      <c r="H103" s="148" t="s">
        <v>169</v>
      </c>
      <c r="I103" s="148" t="s">
        <v>410</v>
      </c>
      <c r="J103" s="148" t="s">
        <v>61</v>
      </c>
      <c r="N103" s="98" t="s">
        <v>411</v>
      </c>
      <c r="O103" s="176"/>
    </row>
    <row r="104">
      <c r="H104" s="148" t="s">
        <v>174</v>
      </c>
      <c r="I104" s="148" t="s">
        <v>237</v>
      </c>
      <c r="J104" s="148" t="s">
        <v>59</v>
      </c>
      <c r="N104" s="98" t="s">
        <v>237</v>
      </c>
    </row>
    <row r="105">
      <c r="H105" s="148" t="s">
        <v>175</v>
      </c>
      <c r="I105" s="148" t="s">
        <v>237</v>
      </c>
      <c r="J105" s="148" t="s">
        <v>59</v>
      </c>
      <c r="N105" s="176" t="s">
        <v>416</v>
      </c>
    </row>
    <row r="106">
      <c r="H106" s="148" t="s">
        <v>173</v>
      </c>
      <c r="I106" s="148" t="s">
        <v>438</v>
      </c>
      <c r="J106" s="148" t="s">
        <v>61</v>
      </c>
      <c r="N106" s="176" t="s">
        <v>419</v>
      </c>
      <c r="O106" s="176"/>
    </row>
    <row r="107">
      <c r="H107" s="148" t="s">
        <v>176</v>
      </c>
      <c r="I107" s="148" t="s">
        <v>433</v>
      </c>
      <c r="J107" s="148" t="s">
        <v>61</v>
      </c>
      <c r="N107" s="176" t="s">
        <v>424</v>
      </c>
      <c r="O107" s="176"/>
    </row>
    <row r="108">
      <c r="H108" s="148" t="s">
        <v>52</v>
      </c>
      <c r="I108" s="148" t="s">
        <v>181</v>
      </c>
      <c r="J108" s="148" t="s">
        <v>61</v>
      </c>
      <c r="N108" s="149" t="s">
        <v>110</v>
      </c>
      <c r="O108" s="176"/>
    </row>
    <row r="109">
      <c r="H109" s="148" t="s">
        <v>191</v>
      </c>
      <c r="I109" s="148" t="s">
        <v>413</v>
      </c>
      <c r="J109" s="148" t="s">
        <v>61</v>
      </c>
      <c r="N109" s="149" t="s">
        <v>412</v>
      </c>
      <c r="O109" s="176"/>
    </row>
    <row r="110">
      <c r="H110" s="148" t="s">
        <v>193</v>
      </c>
      <c r="I110" s="148" t="s">
        <v>383</v>
      </c>
      <c r="J110" s="148" t="s">
        <v>61</v>
      </c>
      <c r="N110" s="176" t="s">
        <v>410</v>
      </c>
    </row>
    <row r="111">
      <c r="H111" s="148" t="s">
        <v>483</v>
      </c>
      <c r="I111" s="148" t="s">
        <v>393</v>
      </c>
      <c r="J111" s="148" t="s">
        <v>61</v>
      </c>
      <c r="N111" s="176" t="s">
        <v>206</v>
      </c>
    </row>
    <row r="112">
      <c r="H112" s="148" t="s">
        <v>185</v>
      </c>
      <c r="I112" s="148" t="s">
        <v>237</v>
      </c>
      <c r="J112" s="148" t="s">
        <v>64</v>
      </c>
      <c r="N112" s="176"/>
    </row>
    <row r="113">
      <c r="H113" s="148" t="s">
        <v>186</v>
      </c>
      <c r="I113" s="148" t="s">
        <v>237</v>
      </c>
      <c r="J113" s="148" t="s">
        <v>64</v>
      </c>
      <c r="N113" s="176" t="s">
        <v>426</v>
      </c>
    </row>
    <row r="114">
      <c r="H114" s="148" t="s">
        <v>52</v>
      </c>
      <c r="I114" s="148" t="s">
        <v>184</v>
      </c>
      <c r="J114" s="148" t="s">
        <v>61</v>
      </c>
      <c r="N114" s="176" t="s">
        <v>427</v>
      </c>
    </row>
    <row r="115">
      <c r="H115" s="148" t="s">
        <v>190</v>
      </c>
      <c r="I115" s="148" t="s">
        <v>418</v>
      </c>
      <c r="J115" s="148" t="s">
        <v>61</v>
      </c>
      <c r="N115" s="176" t="s">
        <v>184</v>
      </c>
    </row>
    <row r="116">
      <c r="H116" s="148" t="s">
        <v>198</v>
      </c>
      <c r="I116" s="148" t="s">
        <v>184</v>
      </c>
      <c r="J116" s="148" t="s">
        <v>61</v>
      </c>
      <c r="N116" s="176" t="s">
        <v>467</v>
      </c>
    </row>
    <row r="117">
      <c r="H117" s="148" t="s">
        <v>196</v>
      </c>
      <c r="I117" s="148" t="s">
        <v>484</v>
      </c>
      <c r="J117" s="148" t="s">
        <v>61</v>
      </c>
      <c r="N117" s="176" t="s">
        <v>428</v>
      </c>
    </row>
    <row r="118">
      <c r="H118" s="148" t="s">
        <v>485</v>
      </c>
      <c r="I118" s="148" t="s">
        <v>427</v>
      </c>
      <c r="J118" s="148" t="s">
        <v>61</v>
      </c>
      <c r="N118" s="176" t="s">
        <v>393</v>
      </c>
    </row>
    <row r="119">
      <c r="H119" s="148" t="s">
        <v>199</v>
      </c>
      <c r="I119" s="148" t="s">
        <v>441</v>
      </c>
      <c r="J119" s="148" t="s">
        <v>61</v>
      </c>
      <c r="N119" s="176" t="s">
        <v>326</v>
      </c>
    </row>
    <row r="120">
      <c r="H120" s="148" t="s">
        <v>192</v>
      </c>
      <c r="I120" s="148" t="s">
        <v>237</v>
      </c>
      <c r="J120" s="148" t="s">
        <v>64</v>
      </c>
      <c r="N120" s="176" t="s">
        <v>418</v>
      </c>
    </row>
    <row r="121">
      <c r="H121" s="148" t="s">
        <v>189</v>
      </c>
      <c r="I121" s="148" t="s">
        <v>393</v>
      </c>
      <c r="J121" s="148" t="s">
        <v>61</v>
      </c>
      <c r="N121" s="176" t="s">
        <v>383</v>
      </c>
    </row>
    <row r="122">
      <c r="H122" s="148" t="s">
        <v>197</v>
      </c>
      <c r="I122" s="148" t="s">
        <v>262</v>
      </c>
      <c r="J122" s="148" t="s">
        <v>61</v>
      </c>
      <c r="N122" s="176" t="s">
        <v>450</v>
      </c>
    </row>
    <row r="123">
      <c r="H123" s="148" t="s">
        <v>201</v>
      </c>
      <c r="I123" s="148" t="s">
        <v>237</v>
      </c>
      <c r="J123" s="148" t="s">
        <v>59</v>
      </c>
      <c r="N123" s="176" t="s">
        <v>444</v>
      </c>
    </row>
    <row r="124">
      <c r="H124" s="148" t="s">
        <v>200</v>
      </c>
      <c r="I124" s="148" t="s">
        <v>237</v>
      </c>
      <c r="J124" s="148" t="s">
        <v>64</v>
      </c>
      <c r="N124" s="176" t="s">
        <v>211</v>
      </c>
    </row>
    <row r="125">
      <c r="H125" s="148" t="s">
        <v>202</v>
      </c>
      <c r="I125" s="148" t="s">
        <v>237</v>
      </c>
      <c r="J125" s="148" t="s">
        <v>64</v>
      </c>
      <c r="N125" s="176" t="s">
        <v>413</v>
      </c>
    </row>
    <row r="126">
      <c r="H126" s="148" t="s">
        <v>203</v>
      </c>
      <c r="I126" s="148" t="s">
        <v>420</v>
      </c>
      <c r="J126" s="148" t="s">
        <v>61</v>
      </c>
      <c r="N126" s="176" t="s">
        <v>439</v>
      </c>
    </row>
    <row r="127">
      <c r="H127" s="148" t="s">
        <v>176</v>
      </c>
      <c r="I127" s="148" t="s">
        <v>206</v>
      </c>
      <c r="J127" s="148" t="s">
        <v>61</v>
      </c>
      <c r="N127" s="176" t="s">
        <v>357</v>
      </c>
    </row>
    <row r="128">
      <c r="H128" s="148" t="s">
        <v>209</v>
      </c>
      <c r="I128" s="148" t="s">
        <v>237</v>
      </c>
      <c r="J128" s="148" t="s">
        <v>64</v>
      </c>
    </row>
    <row r="129">
      <c r="H129" s="148" t="s">
        <v>210</v>
      </c>
      <c r="I129" s="148" t="s">
        <v>237</v>
      </c>
      <c r="J129" s="148" t="s">
        <v>64</v>
      </c>
    </row>
    <row r="130">
      <c r="H130" s="148" t="s">
        <v>52</v>
      </c>
      <c r="I130" s="148" t="s">
        <v>211</v>
      </c>
      <c r="J130" s="148" t="s">
        <v>61</v>
      </c>
    </row>
    <row r="131">
      <c r="H131" s="148" t="s">
        <v>214</v>
      </c>
      <c r="I131" s="148" t="s">
        <v>237</v>
      </c>
      <c r="J131" s="148" t="s">
        <v>64</v>
      </c>
    </row>
    <row r="132">
      <c r="H132" s="148" t="s">
        <v>217</v>
      </c>
      <c r="I132" s="148" t="s">
        <v>237</v>
      </c>
      <c r="J132" s="148" t="s">
        <v>59</v>
      </c>
    </row>
    <row r="133">
      <c r="H133" s="148" t="s">
        <v>218</v>
      </c>
      <c r="I133" s="148" t="s">
        <v>444</v>
      </c>
      <c r="J133" s="148" t="s">
        <v>61</v>
      </c>
    </row>
    <row r="134">
      <c r="H134" s="148" t="s">
        <v>221</v>
      </c>
      <c r="I134" s="148" t="s">
        <v>446</v>
      </c>
      <c r="J134" s="148" t="s">
        <v>61</v>
      </c>
    </row>
    <row r="135">
      <c r="H135" s="148" t="s">
        <v>176</v>
      </c>
      <c r="I135" s="148" t="s">
        <v>447</v>
      </c>
      <c r="J135" s="148" t="s">
        <v>61</v>
      </c>
    </row>
    <row r="136">
      <c r="H136" s="148" t="s">
        <v>176</v>
      </c>
      <c r="I136" s="148" t="s">
        <v>357</v>
      </c>
      <c r="J136" s="148" t="s">
        <v>61</v>
      </c>
    </row>
    <row r="137">
      <c r="H137" s="148" t="s">
        <v>176</v>
      </c>
      <c r="I137" s="148" t="s">
        <v>231</v>
      </c>
      <c r="J137" s="148" t="s">
        <v>61</v>
      </c>
    </row>
    <row r="138">
      <c r="H138" s="148" t="s">
        <v>176</v>
      </c>
      <c r="I138" s="148" t="s">
        <v>445</v>
      </c>
      <c r="J138" s="148" t="s">
        <v>61</v>
      </c>
    </row>
    <row r="139">
      <c r="H139" s="148" t="s">
        <v>227</v>
      </c>
      <c r="I139" s="148" t="s">
        <v>426</v>
      </c>
      <c r="J139" s="148" t="s">
        <v>61</v>
      </c>
    </row>
    <row r="140">
      <c r="H140" s="148" t="s">
        <v>224</v>
      </c>
      <c r="I140" s="148" t="s">
        <v>237</v>
      </c>
      <c r="J140" s="148" t="s">
        <v>64</v>
      </c>
    </row>
    <row r="141">
      <c r="H141" s="148" t="s">
        <v>226</v>
      </c>
      <c r="I141" s="148" t="s">
        <v>237</v>
      </c>
      <c r="J141" s="148" t="s">
        <v>64</v>
      </c>
    </row>
    <row r="142">
      <c r="H142" s="148" t="s">
        <v>225</v>
      </c>
      <c r="I142" s="148" t="s">
        <v>237</v>
      </c>
      <c r="J142" s="148" t="s">
        <v>64</v>
      </c>
    </row>
    <row r="143">
      <c r="H143" s="148" t="s">
        <v>233</v>
      </c>
      <c r="I143" s="148" t="s">
        <v>427</v>
      </c>
      <c r="J143" s="148" t="s">
        <v>61</v>
      </c>
    </row>
    <row r="144">
      <c r="H144" s="148" t="s">
        <v>230</v>
      </c>
      <c r="I144" s="148" t="s">
        <v>393</v>
      </c>
      <c r="J144" s="148" t="s">
        <v>61</v>
      </c>
    </row>
    <row r="145">
      <c r="H145" s="148" t="s">
        <v>232</v>
      </c>
      <c r="I145" s="148" t="s">
        <v>237</v>
      </c>
      <c r="J145" s="148" t="s">
        <v>64</v>
      </c>
    </row>
    <row r="146">
      <c r="H146" s="148" t="s">
        <v>238</v>
      </c>
      <c r="I146" s="148" t="s">
        <v>237</v>
      </c>
      <c r="J146" s="148" t="s">
        <v>64</v>
      </c>
    </row>
    <row r="147">
      <c r="H147" s="148" t="s">
        <v>236</v>
      </c>
      <c r="I147" s="148" t="s">
        <v>237</v>
      </c>
      <c r="J147" s="148" t="s">
        <v>64</v>
      </c>
    </row>
    <row r="148">
      <c r="H148" s="148" t="s">
        <v>96</v>
      </c>
      <c r="I148" s="148" t="s">
        <v>237</v>
      </c>
      <c r="J148" s="148" t="s">
        <v>61</v>
      </c>
    </row>
    <row r="149">
      <c r="H149" s="148" t="s">
        <v>243</v>
      </c>
      <c r="I149" s="148" t="s">
        <v>427</v>
      </c>
      <c r="J149" s="148" t="s">
        <v>61</v>
      </c>
    </row>
    <row r="150">
      <c r="H150" s="148" t="s">
        <v>249</v>
      </c>
      <c r="I150" s="148" t="s">
        <v>237</v>
      </c>
      <c r="J150" s="148" t="s">
        <v>61</v>
      </c>
    </row>
    <row r="151">
      <c r="H151" s="148" t="s">
        <v>241</v>
      </c>
      <c r="I151" s="148" t="s">
        <v>184</v>
      </c>
      <c r="J151" s="148" t="s">
        <v>61</v>
      </c>
    </row>
    <row r="152">
      <c r="H152" s="148" t="s">
        <v>255</v>
      </c>
      <c r="I152" s="148" t="s">
        <v>467</v>
      </c>
      <c r="J152" s="148" t="s">
        <v>61</v>
      </c>
    </row>
    <row r="153">
      <c r="H153" s="148" t="s">
        <v>254</v>
      </c>
      <c r="I153" s="148" t="s">
        <v>428</v>
      </c>
      <c r="J153" s="148" t="s">
        <v>61</v>
      </c>
    </row>
    <row r="154">
      <c r="H154" s="148" t="s">
        <v>246</v>
      </c>
      <c r="I154" s="148" t="s">
        <v>393</v>
      </c>
      <c r="J154" s="148" t="s">
        <v>61</v>
      </c>
    </row>
    <row r="155">
      <c r="H155" s="148" t="s">
        <v>248</v>
      </c>
      <c r="I155" s="148" t="s">
        <v>326</v>
      </c>
      <c r="J155" s="148" t="s">
        <v>61</v>
      </c>
    </row>
    <row r="156">
      <c r="H156" s="148" t="s">
        <v>247</v>
      </c>
      <c r="I156" s="148" t="s">
        <v>418</v>
      </c>
      <c r="J156" s="148" t="s">
        <v>61</v>
      </c>
    </row>
    <row r="157">
      <c r="H157" s="148" t="s">
        <v>257</v>
      </c>
      <c r="I157" s="148" t="s">
        <v>383</v>
      </c>
      <c r="J157" s="148" t="s">
        <v>61</v>
      </c>
    </row>
    <row r="158">
      <c r="H158" s="148" t="s">
        <v>258</v>
      </c>
      <c r="I158" s="148" t="s">
        <v>450</v>
      </c>
      <c r="J158" s="148" t="s">
        <v>61</v>
      </c>
    </row>
    <row r="159">
      <c r="H159" s="148" t="s">
        <v>242</v>
      </c>
      <c r="I159" s="148" t="s">
        <v>237</v>
      </c>
      <c r="J159" s="148" t="s">
        <v>64</v>
      </c>
    </row>
    <row r="160">
      <c r="H160" s="148" t="s">
        <v>253</v>
      </c>
      <c r="I160" s="148" t="s">
        <v>444</v>
      </c>
      <c r="J160" s="148" t="s">
        <v>61</v>
      </c>
    </row>
    <row r="161">
      <c r="H161" s="148" t="s">
        <v>252</v>
      </c>
      <c r="I161" s="148" t="s">
        <v>129</v>
      </c>
      <c r="J161" s="148" t="s">
        <v>61</v>
      </c>
    </row>
    <row r="162">
      <c r="H162" s="148" t="s">
        <v>261</v>
      </c>
      <c r="I162" s="148" t="s">
        <v>393</v>
      </c>
      <c r="J162" s="148" t="s">
        <v>61</v>
      </c>
    </row>
    <row r="163">
      <c r="H163" s="148" t="s">
        <v>256</v>
      </c>
      <c r="I163" s="148" t="s">
        <v>211</v>
      </c>
      <c r="J163" s="148" t="s">
        <v>61</v>
      </c>
    </row>
    <row r="164">
      <c r="H164" s="148" t="s">
        <v>265</v>
      </c>
      <c r="I164" s="148" t="s">
        <v>426</v>
      </c>
      <c r="J164" s="148" t="s">
        <v>61</v>
      </c>
    </row>
    <row r="165">
      <c r="H165" s="148" t="s">
        <v>486</v>
      </c>
      <c r="I165" s="148" t="s">
        <v>393</v>
      </c>
      <c r="J165" s="148" t="s">
        <v>61</v>
      </c>
    </row>
    <row r="166">
      <c r="H166" s="148" t="s">
        <v>264</v>
      </c>
      <c r="I166" s="148" t="s">
        <v>413</v>
      </c>
      <c r="J166" s="148" t="s">
        <v>61</v>
      </c>
    </row>
    <row r="167">
      <c r="H167" s="148" t="s">
        <v>266</v>
      </c>
      <c r="I167" s="148" t="s">
        <v>439</v>
      </c>
      <c r="J167" s="148" t="s">
        <v>61</v>
      </c>
    </row>
    <row r="168">
      <c r="H168" s="148" t="s">
        <v>263</v>
      </c>
      <c r="I168" s="148" t="s">
        <v>357</v>
      </c>
      <c r="J168" s="148" t="s">
        <v>61</v>
      </c>
    </row>
    <row r="169">
      <c r="H169" s="148" t="s">
        <v>250</v>
      </c>
      <c r="I169" s="148" t="s">
        <v>237</v>
      </c>
      <c r="J169" s="148" t="s">
        <v>64</v>
      </c>
    </row>
    <row r="170">
      <c r="H170" s="148" t="s">
        <v>251</v>
      </c>
      <c r="I170" s="148" t="s">
        <v>237</v>
      </c>
      <c r="J170" s="148" t="s">
        <v>64</v>
      </c>
    </row>
    <row r="171">
      <c r="H171" s="148" t="s">
        <v>275</v>
      </c>
      <c r="I171" s="148" t="s">
        <v>103</v>
      </c>
      <c r="J171" s="148" t="s">
        <v>61</v>
      </c>
    </row>
    <row r="172">
      <c r="H172" s="148" t="s">
        <v>273</v>
      </c>
      <c r="I172" s="148" t="s">
        <v>417</v>
      </c>
      <c r="J172" s="148" t="s">
        <v>61</v>
      </c>
    </row>
    <row r="173">
      <c r="H173" s="148" t="s">
        <v>276</v>
      </c>
      <c r="I173" s="148" t="s">
        <v>206</v>
      </c>
      <c r="J173" s="148" t="s">
        <v>61</v>
      </c>
    </row>
    <row r="174">
      <c r="H174" s="148" t="s">
        <v>268</v>
      </c>
      <c r="I174" s="148" t="s">
        <v>437</v>
      </c>
      <c r="J174" s="148" t="s">
        <v>61</v>
      </c>
    </row>
    <row r="175">
      <c r="H175" s="148" t="s">
        <v>267</v>
      </c>
      <c r="I175" s="148" t="s">
        <v>443</v>
      </c>
      <c r="J175" s="148" t="s">
        <v>61</v>
      </c>
    </row>
    <row r="176">
      <c r="H176" s="148" t="s">
        <v>274</v>
      </c>
      <c r="I176" s="148" t="s">
        <v>237</v>
      </c>
      <c r="J176" s="148" t="s">
        <v>64</v>
      </c>
    </row>
    <row r="177">
      <c r="H177" s="148" t="s">
        <v>272</v>
      </c>
      <c r="I177" s="148" t="s">
        <v>262</v>
      </c>
      <c r="J177" s="148" t="s">
        <v>61</v>
      </c>
    </row>
    <row r="178">
      <c r="H178" s="148" t="s">
        <v>271</v>
      </c>
      <c r="I178" s="148" t="s">
        <v>451</v>
      </c>
      <c r="J178" s="148" t="s">
        <v>61</v>
      </c>
    </row>
    <row r="179">
      <c r="H179" s="148" t="s">
        <v>279</v>
      </c>
      <c r="I179" s="148" t="s">
        <v>457</v>
      </c>
      <c r="J179" s="148" t="s">
        <v>61</v>
      </c>
    </row>
    <row r="180">
      <c r="H180" s="150" t="s">
        <v>295</v>
      </c>
      <c r="I180" s="149" t="s">
        <v>456</v>
      </c>
      <c r="J180" s="148" t="s">
        <v>61</v>
      </c>
    </row>
    <row r="181">
      <c r="H181" s="150" t="s">
        <v>371</v>
      </c>
      <c r="I181" s="149" t="s">
        <v>372</v>
      </c>
      <c r="J181" s="148" t="s">
        <v>61</v>
      </c>
    </row>
    <row r="182">
      <c r="H182" s="150" t="s">
        <v>284</v>
      </c>
      <c r="I182" s="149" t="s">
        <v>468</v>
      </c>
      <c r="J182" s="148" t="s">
        <v>61</v>
      </c>
    </row>
    <row r="183">
      <c r="H183" s="150" t="s">
        <v>285</v>
      </c>
      <c r="I183" s="149" t="s">
        <v>475</v>
      </c>
      <c r="J183" s="148" t="s">
        <v>61</v>
      </c>
    </row>
    <row r="184">
      <c r="H184" s="150" t="s">
        <v>285</v>
      </c>
      <c r="I184" s="148" t="s">
        <v>476</v>
      </c>
      <c r="J184" s="148" t="s">
        <v>61</v>
      </c>
    </row>
    <row r="185">
      <c r="H185" s="150" t="s">
        <v>285</v>
      </c>
      <c r="I185" s="148" t="s">
        <v>449</v>
      </c>
      <c r="J185" s="148" t="s">
        <v>61</v>
      </c>
    </row>
    <row r="186">
      <c r="H186" s="148" t="s">
        <v>282</v>
      </c>
      <c r="I186" s="148" t="s">
        <v>110</v>
      </c>
      <c r="J186" s="148" t="s">
        <v>61</v>
      </c>
    </row>
    <row r="187">
      <c r="H187" s="149" t="s">
        <v>283</v>
      </c>
      <c r="I187" s="149" t="s">
        <v>372</v>
      </c>
      <c r="J187" s="148" t="s">
        <v>61</v>
      </c>
    </row>
    <row r="188">
      <c r="H188" s="149" t="s">
        <v>487</v>
      </c>
      <c r="I188" s="149" t="s">
        <v>468</v>
      </c>
      <c r="J188" s="148" t="s">
        <v>61</v>
      </c>
    </row>
    <row r="189">
      <c r="H189" s="149" t="s">
        <v>488</v>
      </c>
      <c r="I189" s="149" t="s">
        <v>475</v>
      </c>
      <c r="J189" s="148" t="s">
        <v>61</v>
      </c>
    </row>
    <row r="190">
      <c r="H190" s="149" t="s">
        <v>286</v>
      </c>
      <c r="I190" s="149" t="s">
        <v>407</v>
      </c>
      <c r="J190" s="148" t="s">
        <v>61</v>
      </c>
    </row>
    <row r="191">
      <c r="H191" s="150" t="s">
        <v>287</v>
      </c>
      <c r="I191" s="149" t="s">
        <v>393</v>
      </c>
      <c r="J191" s="148" t="s">
        <v>61</v>
      </c>
    </row>
    <row r="192">
      <c r="H192" s="150" t="s">
        <v>288</v>
      </c>
      <c r="I192" s="149" t="s">
        <v>355</v>
      </c>
      <c r="J192" s="148" t="s">
        <v>61</v>
      </c>
    </row>
    <row r="193">
      <c r="H193" s="149" t="s">
        <v>289</v>
      </c>
      <c r="I193" s="149" t="s">
        <v>441</v>
      </c>
      <c r="J193" s="148" t="s">
        <v>61</v>
      </c>
    </row>
    <row r="194">
      <c r="H194" s="149" t="s">
        <v>290</v>
      </c>
      <c r="I194" s="149" t="s">
        <v>479</v>
      </c>
      <c r="J194" s="148" t="s">
        <v>61</v>
      </c>
    </row>
    <row r="195">
      <c r="H195" s="149" t="s">
        <v>291</v>
      </c>
      <c r="I195" s="149" t="s">
        <v>470</v>
      </c>
      <c r="J195" s="148" t="s">
        <v>61</v>
      </c>
    </row>
    <row r="196">
      <c r="H196" s="149" t="s">
        <v>292</v>
      </c>
      <c r="I196" s="149" t="s">
        <v>301</v>
      </c>
      <c r="J196" s="148" t="s">
        <v>61</v>
      </c>
    </row>
    <row r="197">
      <c r="H197" s="151" t="s">
        <v>293</v>
      </c>
      <c r="I197" s="149" t="s">
        <v>418</v>
      </c>
      <c r="J197" s="148" t="s">
        <v>61</v>
      </c>
    </row>
    <row r="198">
      <c r="H198" s="149" t="s">
        <v>294</v>
      </c>
      <c r="I198" s="149" t="s">
        <v>410</v>
      </c>
      <c r="J198" s="148" t="s">
        <v>61</v>
      </c>
    </row>
    <row r="199">
      <c r="H199" s="149" t="s">
        <v>296</v>
      </c>
      <c r="I199" s="149" t="s">
        <v>181</v>
      </c>
      <c r="J199" s="148" t="s">
        <v>61</v>
      </c>
    </row>
  </sheetData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8.0" topLeftCell="I1" activePane="topRight" state="frozen"/>
      <selection activeCell="J2" sqref="J2" pane="topRight"/>
    </sheetView>
  </sheetViews>
  <sheetFormatPr customHeight="1" defaultColWidth="12.63" defaultRowHeight="15.75"/>
  <cols>
    <col customWidth="1" min="7" max="7" width="5.0"/>
  </cols>
  <sheetData>
    <row r="3">
      <c r="H3" s="88"/>
      <c r="I3" s="178" t="s">
        <v>489</v>
      </c>
      <c r="K3" s="178" t="s">
        <v>490</v>
      </c>
      <c r="M3" s="178" t="s">
        <v>111</v>
      </c>
      <c r="O3" s="178" t="s">
        <v>115</v>
      </c>
      <c r="Q3" s="178" t="s">
        <v>491</v>
      </c>
      <c r="S3" s="178" t="s">
        <v>131</v>
      </c>
      <c r="U3" s="178" t="s">
        <v>140</v>
      </c>
      <c r="W3" s="178" t="s">
        <v>142</v>
      </c>
      <c r="Y3" s="178" t="s">
        <v>149</v>
      </c>
      <c r="AA3" s="178" t="s">
        <v>155</v>
      </c>
      <c r="AC3" s="178" t="s">
        <v>157</v>
      </c>
      <c r="AE3" s="178" t="s">
        <v>162</v>
      </c>
      <c r="AG3" s="178" t="s">
        <v>170</v>
      </c>
      <c r="AI3" s="178" t="s">
        <v>177</v>
      </c>
      <c r="AK3" s="178" t="s">
        <v>179</v>
      </c>
      <c r="AM3" s="178" t="s">
        <v>182</v>
      </c>
      <c r="AO3" s="178" t="s">
        <v>187</v>
      </c>
      <c r="AQ3" s="178" t="s">
        <v>194</v>
      </c>
      <c r="AS3" s="178" t="s">
        <v>204</v>
      </c>
      <c r="AU3" s="178" t="s">
        <v>207</v>
      </c>
      <c r="AW3" s="178" t="s">
        <v>212</v>
      </c>
      <c r="AY3" s="178" t="s">
        <v>215</v>
      </c>
      <c r="BA3" s="178" t="s">
        <v>219</v>
      </c>
      <c r="BC3" s="178" t="s">
        <v>222</v>
      </c>
      <c r="BE3" s="178" t="s">
        <v>228</v>
      </c>
      <c r="BG3" s="178" t="s">
        <v>234</v>
      </c>
      <c r="BI3" s="178" t="s">
        <v>239</v>
      </c>
      <c r="BK3" s="178" t="s">
        <v>244</v>
      </c>
      <c r="BM3" s="178" t="s">
        <v>259</v>
      </c>
      <c r="BO3" s="178" t="s">
        <v>269</v>
      </c>
      <c r="BQ3" s="178" t="s">
        <v>492</v>
      </c>
      <c r="BS3" s="178"/>
      <c r="BT3" s="178"/>
      <c r="BU3" s="178"/>
      <c r="BV3" s="178"/>
      <c r="BW3" s="178"/>
      <c r="BX3" s="178"/>
      <c r="BY3" s="178"/>
      <c r="BZ3" s="178"/>
    </row>
    <row r="4">
      <c r="H4" s="88"/>
      <c r="I4" s="179" t="s">
        <v>493</v>
      </c>
      <c r="J4" s="179" t="s">
        <v>494</v>
      </c>
      <c r="K4" s="179" t="s">
        <v>493</v>
      </c>
      <c r="L4" s="179" t="s">
        <v>494</v>
      </c>
      <c r="M4" s="179" t="s">
        <v>493</v>
      </c>
      <c r="N4" s="179" t="s">
        <v>494</v>
      </c>
      <c r="O4" s="179" t="s">
        <v>493</v>
      </c>
      <c r="P4" s="179" t="s">
        <v>494</v>
      </c>
      <c r="Q4" s="179" t="s">
        <v>493</v>
      </c>
      <c r="R4" s="179" t="s">
        <v>494</v>
      </c>
      <c r="S4" s="179" t="s">
        <v>493</v>
      </c>
      <c r="T4" s="179" t="s">
        <v>494</v>
      </c>
      <c r="U4" s="179" t="s">
        <v>493</v>
      </c>
      <c r="V4" s="179" t="s">
        <v>494</v>
      </c>
      <c r="W4" s="179" t="s">
        <v>493</v>
      </c>
      <c r="X4" s="179" t="s">
        <v>494</v>
      </c>
      <c r="Y4" s="179" t="s">
        <v>493</v>
      </c>
      <c r="Z4" s="179" t="s">
        <v>494</v>
      </c>
      <c r="AA4" s="179" t="s">
        <v>493</v>
      </c>
      <c r="AB4" s="179" t="s">
        <v>494</v>
      </c>
      <c r="AC4" s="179" t="s">
        <v>493</v>
      </c>
      <c r="AD4" s="179" t="s">
        <v>494</v>
      </c>
      <c r="AE4" s="179" t="s">
        <v>493</v>
      </c>
      <c r="AF4" s="179" t="s">
        <v>494</v>
      </c>
      <c r="AG4" s="179" t="s">
        <v>493</v>
      </c>
      <c r="AH4" s="179" t="s">
        <v>494</v>
      </c>
      <c r="AI4" s="179" t="s">
        <v>493</v>
      </c>
      <c r="AJ4" s="179" t="s">
        <v>494</v>
      </c>
      <c r="AK4" s="179" t="s">
        <v>493</v>
      </c>
      <c r="AL4" s="179" t="s">
        <v>494</v>
      </c>
      <c r="AM4" s="179" t="s">
        <v>493</v>
      </c>
      <c r="AN4" s="179" t="s">
        <v>494</v>
      </c>
      <c r="AO4" s="179" t="s">
        <v>493</v>
      </c>
      <c r="AP4" s="179" t="s">
        <v>494</v>
      </c>
      <c r="AQ4" s="179" t="s">
        <v>493</v>
      </c>
      <c r="AR4" s="179" t="s">
        <v>494</v>
      </c>
      <c r="AS4" s="179" t="s">
        <v>493</v>
      </c>
      <c r="AT4" s="179" t="s">
        <v>494</v>
      </c>
      <c r="AU4" s="179" t="s">
        <v>493</v>
      </c>
      <c r="AV4" s="179" t="s">
        <v>494</v>
      </c>
      <c r="AW4" s="179" t="s">
        <v>493</v>
      </c>
      <c r="AX4" s="179" t="s">
        <v>494</v>
      </c>
      <c r="AY4" s="179" t="s">
        <v>493</v>
      </c>
      <c r="AZ4" s="179" t="s">
        <v>494</v>
      </c>
      <c r="BA4" s="179" t="s">
        <v>493</v>
      </c>
      <c r="BB4" s="179" t="s">
        <v>494</v>
      </c>
      <c r="BC4" s="179" t="s">
        <v>493</v>
      </c>
      <c r="BD4" s="179" t="s">
        <v>494</v>
      </c>
      <c r="BE4" s="179" t="s">
        <v>493</v>
      </c>
      <c r="BF4" s="179" t="s">
        <v>494</v>
      </c>
      <c r="BG4" s="179" t="s">
        <v>493</v>
      </c>
      <c r="BH4" s="179" t="s">
        <v>494</v>
      </c>
      <c r="BI4" s="179" t="s">
        <v>493</v>
      </c>
      <c r="BJ4" s="179" t="s">
        <v>494</v>
      </c>
      <c r="BK4" s="179" t="s">
        <v>493</v>
      </c>
      <c r="BL4" s="179" t="s">
        <v>494</v>
      </c>
      <c r="BM4" s="179" t="s">
        <v>493</v>
      </c>
      <c r="BN4" s="179" t="s">
        <v>494</v>
      </c>
      <c r="BO4" s="179" t="s">
        <v>493</v>
      </c>
      <c r="BP4" s="179" t="s">
        <v>494</v>
      </c>
      <c r="BQ4" s="179" t="s">
        <v>493</v>
      </c>
      <c r="BR4" s="179" t="s">
        <v>494</v>
      </c>
      <c r="BS4" s="179"/>
      <c r="BT4" s="179"/>
      <c r="BU4" s="179"/>
      <c r="BV4" s="179"/>
      <c r="BW4" s="179"/>
      <c r="BX4" s="179"/>
      <c r="BY4" s="179"/>
      <c r="BZ4" s="179"/>
    </row>
    <row r="5">
      <c r="A5" s="180"/>
      <c r="B5" s="181" t="s">
        <v>493</v>
      </c>
      <c r="C5" s="148" t="s">
        <v>495</v>
      </c>
      <c r="D5" s="148" t="s">
        <v>496</v>
      </c>
      <c r="E5" s="181" t="s">
        <v>405</v>
      </c>
      <c r="F5" s="181" t="s">
        <v>497</v>
      </c>
      <c r="H5" s="171" t="s">
        <v>237</v>
      </c>
      <c r="I5" s="88">
        <f>SUMIF('26.07'!$E$15:$E$74,H5,'26.07'!$M$15:$M$74)+45</f>
        <v>381</v>
      </c>
      <c r="J5" s="88">
        <f>COUNTIFS('26.07'!$E$15:$E$74,H5,'26.07'!$L$15:$L$74,"&gt;0")+3</f>
        <v>24</v>
      </c>
      <c r="K5" s="88">
        <f>SUMIF('02.08'!$E$15:$E$73,H5,'02.08'!$M$15:$M$73)+30</f>
        <v>358</v>
      </c>
      <c r="L5" s="88">
        <f>COUNTIFS('02.08'!$E$15:$E$73,H5,'02.08'!$L$15:$L$73,"&gt;0")+2</f>
        <v>23</v>
      </c>
      <c r="M5" s="88">
        <f>SUMIF('09.08'!$E$15:$E$71,H5,'09.08'!$M$15:$M$71)+42</f>
        <v>338</v>
      </c>
      <c r="N5" s="88">
        <f>COUNTIFS('09.08'!$E$15:$E$71,H5,'09.08'!$L$15:$L$71,"&gt;0")+3</f>
        <v>21</v>
      </c>
      <c r="O5" s="88">
        <f>sumif('16.08 '!$E$15:$E$65,H5,'16.08 '!$M$15:$M$65)+36</f>
        <v>404</v>
      </c>
      <c r="P5" s="88">
        <f>COUNTIFs('16.08 '!$E$15:$E$65,H5,'16.08 '!$L$15:$L$65,"&gt;0")+3</f>
        <v>27</v>
      </c>
      <c r="Q5" s="88">
        <f>sumif('23.08'!$E$15:$E$62,H5,'23.08'!$M$15:$M$62)+42</f>
        <v>390</v>
      </c>
      <c r="R5" s="88">
        <f>COUNTIFS('23.08'!$M$15:$M$62,"&gt;0",'23.08'!$E$15:$E$62,H5)+3</f>
        <v>24</v>
      </c>
      <c r="S5" s="88">
        <f>SUMIF('30.08'!$E$15:$E$66,H5,'30.08'!$M$15:$M$66)+30</f>
        <v>402</v>
      </c>
      <c r="T5" s="88">
        <f>COUNTIFS('30.08'!$E$15:$E$66,H5,'30.08'!$M$15:$M$66,"&gt;0")+3</f>
        <v>27</v>
      </c>
      <c r="U5" s="88">
        <f>sumif('06.09'!$E$15:$E$66,H5,'06.09'!$M$15:$M$66)+39</f>
        <v>379</v>
      </c>
      <c r="V5" s="113">
        <f>COUNTIFS('06.09'!$E$15:$E$66,H5,'06.09'!$M$15:$M$66,"&gt;0")+3</f>
        <v>26</v>
      </c>
      <c r="W5" s="88">
        <f>SUMIF('13.09'!$E$15:$E$65,H5,'13.09'!$M$15:$M$65)+30</f>
        <v>338</v>
      </c>
      <c r="X5" s="113">
        <f>COUNTIFS('13.09'!$E$15:$E$65,H5,'13.09'!$M$15:$M$65,"&gt;0")+3</f>
        <v>24</v>
      </c>
      <c r="Y5" s="88">
        <f>SUMIF('20.09'!$E$15:$E$67,H5,'20.09'!$M$15:$M$67)</f>
        <v>324</v>
      </c>
      <c r="Z5" s="113">
        <f>COUNTIFS('20.09'!$E$15:$E$67,H5,'20.09'!$M$15:$M$67,"&gt;0")</f>
        <v>22</v>
      </c>
      <c r="AA5" s="88">
        <f>SUMIF('27.09'!$E$15:$E$68,H5,'27.09'!$M$15:$M$68)</f>
        <v>276</v>
      </c>
      <c r="AB5" s="113">
        <f>COUNTIFS('27.09'!$E$15:$E$68,H5,'27.09'!$M$15:$M$68,"&gt;0")</f>
        <v>21</v>
      </c>
      <c r="AC5" s="88">
        <f>SUMIF('04.10'!$E$15:$E$71,H5,'04.10'!$M$15:$M$71)</f>
        <v>244</v>
      </c>
      <c r="AD5" s="113">
        <f>COUNTIFS('04.10'!$E$15:$E$71,H5,'04.10'!$M$15:$M$71,"&gt;0")</f>
        <v>18</v>
      </c>
      <c r="AE5" s="88">
        <f>SUMIF('11.10'!$E$15:$E$76,H5,'11.10'!$M$15:$M$76)</f>
        <v>256</v>
      </c>
      <c r="AF5" s="113">
        <f>COUNTIFS('11.10'!$E$15:$E$76,H5,'11.10'!$L$15:$L$76,"&gt;0")</f>
        <v>20</v>
      </c>
      <c r="AG5" s="113">
        <f>SUMIF('18.10'!$E$15:$E$76,H5,'18.10'!$M$15:$M$76)</f>
        <v>280</v>
      </c>
      <c r="AH5" s="113">
        <f>COUNTIFS('18.10'!$E$15:$E$76,H5,'18.10'!$L$15:$L$76,"&gt;0")</f>
        <v>21</v>
      </c>
      <c r="AI5" s="113">
        <f>SUMIF('25.10'!$E$15:$E$78,H5,'25.10'!$M$15:$M$78)</f>
        <v>232</v>
      </c>
      <c r="AJ5" s="113">
        <f>COUNTIFS('25.10'!$E$15:$E$78,H5,'25.10'!$L$15:$L$78,"&gt;0")</f>
        <v>17</v>
      </c>
      <c r="AK5" s="113">
        <f>SUMIF('01.11'!$E$15:$E$77,H5,'01.11'!$M$15:$M$77)</f>
        <v>228</v>
      </c>
      <c r="AL5" s="113">
        <f>COUNTIFS('01.11'!$E$15:$E$77,H5,'01.11'!$M$15:$M$77,"&gt;0")</f>
        <v>18</v>
      </c>
      <c r="AM5" s="113">
        <f>SUMIF('08.11'!$E$15:$E$67,H5,'08.11'!$M$15:$M$67)</f>
        <v>196</v>
      </c>
      <c r="AN5" s="113">
        <f>COUNTIFS('08.11'!$E$15:$E$67,H5,'08.11'!$M$15:$M$67,"&gt;0")</f>
        <v>18</v>
      </c>
      <c r="AO5" s="113">
        <f>SUMIF('15.11'!$E$15:$E$71,H5,'15.11'!$M$15:$M$71)</f>
        <v>204</v>
      </c>
      <c r="AP5" s="113">
        <f>COUNTIFS('15.11'!$E$15:$E$71,H5,'15.11'!$M$15:$M$71,"&gt;0")</f>
        <v>16</v>
      </c>
      <c r="AQ5" s="113">
        <f>SUMIF('22.11'!$E$15:$E$78,H5,'22.11'!$M$15:$M$78)</f>
        <v>172</v>
      </c>
      <c r="AR5" s="113">
        <f>COUNTIFS('22.11'!$E$15:$E$78,H5,'22.11'!$M$15:$M$78,"&gt;0")</f>
        <v>15</v>
      </c>
      <c r="AS5" s="113">
        <f>SUMIF('29.11'!$E$15:$E$79,H5,'29.11'!$M$15:$M$79)</f>
        <v>228</v>
      </c>
      <c r="AT5" s="113">
        <f>COUNTIFS('29.11'!$E$15:$E$79,H5,'29.11'!$L$15:$L$79,"&gt;0")</f>
        <v>15</v>
      </c>
      <c r="AU5" s="113">
        <f>SUMIF('06.12'!$E$15:$E$82,H5,'06.12'!$M$15:$M$82)</f>
        <v>220</v>
      </c>
      <c r="AV5" s="113">
        <f>COUNTIFS('06.12'!$E$15:$E$82,H5,'06.12'!$M$15:$M$82,"&gt;0")</f>
        <v>16</v>
      </c>
      <c r="AW5" s="113">
        <f>SUMIF('13.12'!$E$15:$E$82,H5,'13.12'!$M$15:$M$82)</f>
        <v>212</v>
      </c>
      <c r="AX5" s="113">
        <f>COUNTIFS('13.12'!$E$15:$E$82,H5,'13.12'!$M$15:$M$82,"&gt;0")</f>
        <v>17</v>
      </c>
      <c r="AY5" s="113">
        <f>SUMIF('20.12'!$E$15:$E$84,H5,'20.12'!$M$15:$M$84)</f>
        <v>152</v>
      </c>
      <c r="AZ5" s="113">
        <f>COUNTIFS('20.12'!$E$15:$E$84,H5,'20.12'!$M$15:$M$84,"&gt;0")</f>
        <v>12</v>
      </c>
      <c r="BA5" s="113">
        <f>SUMIF('27.12'!$E$15:$E$84,H5,'27.12'!$M$15:$M$84)</f>
        <v>120</v>
      </c>
      <c r="BB5" s="113">
        <f>COUNTIFS('27.12'!$E$15:$E$84,H5,'27.12'!$M$15:$M$84,"&gt;0")</f>
        <v>9</v>
      </c>
      <c r="BC5" s="113">
        <f>SUMIF('03.01'!$E$15:$E$88,H5,'03.01'!$M$15:$M$88)</f>
        <v>188</v>
      </c>
      <c r="BD5" s="113">
        <f>COUNTIFS('03.01'!$E$15:$E$88,H5,'03.01'!$M$15:$M$88,"&gt;0")</f>
        <v>15</v>
      </c>
      <c r="BE5" s="113">
        <f>SUMIF('10.01'!$E$15:$E$91,H5,'10.01'!$M$15:$M$91)</f>
        <v>152</v>
      </c>
      <c r="BF5" s="113">
        <f>COUNTIFS('10.01'!$E$15:$E$91,H5,'10.01'!$M$15:$M$91,"&gt;0")</f>
        <v>14</v>
      </c>
      <c r="BG5" s="113">
        <f>SUMIF('17.01'!$E$15:$E$87,H5,'17.01'!$M$15:$M$87)</f>
        <v>180</v>
      </c>
      <c r="BH5" s="113">
        <f>COUNTIFS('17.01'!$E$15:$E$87,H5,'17.01'!$M$15:$M$87,"&gt;0")</f>
        <v>15</v>
      </c>
      <c r="BI5" s="113">
        <f>SUMIF('24.01'!$E$15:$E$86,H5,'24.01'!$M$15:$M$86)</f>
        <v>100</v>
      </c>
      <c r="BJ5" s="113">
        <f>COUNTIFS('24.01'!$E$15:$E$86,H5,'24.01'!$M$15:$M$86,"&gt;0")</f>
        <v>9</v>
      </c>
      <c r="BK5" s="113">
        <f>SUMIF('31.01'!$E$15:$E$75,H5,'31.01'!$M$15:$M$75)</f>
        <v>192</v>
      </c>
      <c r="BL5" s="113">
        <f>COUNTIFS('31.01'!$E$15:$E$75,H5,'31.01'!$M$15:$M$75,"&gt;0")</f>
        <v>18</v>
      </c>
      <c r="BM5" s="113">
        <f>SUMIF('07.02'!$E$15:$E$77,H5,'07.02'!$M$15:$M$77)</f>
        <v>200</v>
      </c>
      <c r="BN5" s="113">
        <f>COUNTIFS('07.02'!$E$15:$E$77,H5,'07.02'!$M$15:$M$77,"&gt;0")</f>
        <v>16</v>
      </c>
      <c r="BO5" s="113">
        <f>SUMIF('14.02'!$E$15:$E$81,H5,'14.02'!$M$15:$M$81)</f>
        <v>204</v>
      </c>
      <c r="BP5" s="113">
        <f>COUNTIFS('14.02'!$E$15:$E$81,H5,'14.02'!$M$15:$M$81,"&gt;0")</f>
        <v>16</v>
      </c>
      <c r="BQ5" s="113">
        <f>SUMIF('21.02'!$E$15:$E$82,H5,'21.02'!$M$15:$M$82)</f>
        <v>184</v>
      </c>
      <c r="BR5" s="113">
        <f>COUNTIFS('21.02'!$E$15:$E$82,H5,'21.02'!$M$15:$M$82,"&gt;0")</f>
        <v>16</v>
      </c>
      <c r="BS5" s="113"/>
      <c r="BT5" s="113"/>
      <c r="BU5" s="113"/>
      <c r="BV5" s="113"/>
      <c r="BW5" s="113"/>
      <c r="BX5" s="113"/>
      <c r="BY5" s="113"/>
      <c r="BZ5" s="113"/>
    </row>
    <row r="6">
      <c r="A6" s="181" t="s">
        <v>489</v>
      </c>
      <c r="B6" s="180">
        <f>I65</f>
        <v>749</v>
      </c>
      <c r="C6" s="148">
        <v>708.0</v>
      </c>
      <c r="D6" s="148">
        <v>435.0</v>
      </c>
      <c r="E6" s="180">
        <f>J65</f>
        <v>51</v>
      </c>
      <c r="F6" s="182">
        <f t="shared" ref="F6:F20" si="1">D6/50</f>
        <v>8.7</v>
      </c>
      <c r="H6" s="171" t="s">
        <v>393</v>
      </c>
      <c r="I6" s="88">
        <f>SUMIF('26.07'!$E$15:$E$74,H6,'26.07'!$M$15:$M$74)</f>
        <v>76</v>
      </c>
      <c r="J6" s="88">
        <f>COUNTIFS('26.07'!$E$15:$E$74,H6,'26.07'!$L$15:$L$74,"&gt;0")</f>
        <v>5</v>
      </c>
      <c r="K6" s="88">
        <f>SUMIF('02.08'!$E$15:$E$73,H6,'02.08'!$M$15:$M$73)</f>
        <v>76</v>
      </c>
      <c r="L6" s="88">
        <f>COUNTIFS('02.08'!$E$15:$E$73,H6,'02.08'!$L$15:$L$73,"&gt;0")</f>
        <v>5</v>
      </c>
      <c r="M6" s="88">
        <f>SUMIF('09.08'!$E$15:$E$71,H6,'09.08'!$M$15:$M$71)</f>
        <v>68</v>
      </c>
      <c r="N6" s="88">
        <f>COUNTIFS('09.08'!$E$15:$E$71,H6,'09.08'!$L$15:$L$71,"&gt;0")</f>
        <v>4</v>
      </c>
      <c r="O6" s="88">
        <f>sumif('16.08 '!$E$15:$E$65,H6,'16.08 '!$M$15:$M$65)</f>
        <v>72</v>
      </c>
      <c r="P6" s="88">
        <f>COUNTIFs('16.08 '!$E$15:$E$65,H6,'16.08 '!$L$15:$L$65,"&gt;0")</f>
        <v>5</v>
      </c>
      <c r="Q6" s="88">
        <f>sumif('23.08'!$E$15:$E$62,H6,'23.08'!$M$15:$M$62)</f>
        <v>68</v>
      </c>
      <c r="R6" s="88">
        <f>COUNTIFS('23.08'!$M$15:$M$62,"&gt;0",'23.08'!$E$15:$E$62,H6)</f>
        <v>4</v>
      </c>
      <c r="S6" s="88">
        <f>SUMIF('30.08'!$E$15:$E$66,H6,'30.08'!$M$15:$M$66)</f>
        <v>68</v>
      </c>
      <c r="T6" s="88">
        <f>COUNTIFS('30.08'!$E$15:$E$66,H6,'30.08'!$M$15:$M$66,"&gt;0")</f>
        <v>5</v>
      </c>
      <c r="U6" s="88">
        <f>sumif('06.09'!$E$15:$E$66,H6,'06.09'!$M$15:$M$66)</f>
        <v>68</v>
      </c>
      <c r="V6" s="113">
        <f>COUNTIFS('06.09'!$E$15:$E$66,H6,'06.09'!$M$15:$M$66,"&gt;0")</f>
        <v>5</v>
      </c>
      <c r="W6" s="88">
        <f>SUMIF('13.09'!$E$15:$E$65,H6,'13.09'!$M$15:$M$65)</f>
        <v>68</v>
      </c>
      <c r="X6" s="113">
        <f>COUNTIFS('13.09'!$E$15:$E$65,H6,'13.09'!$M$15:$M$65,"&gt;0")</f>
        <v>5</v>
      </c>
      <c r="Y6" s="88">
        <f>SUMIF('20.09'!$E$15:$E$67,H6,'20.09'!$M$15:$M$67)</f>
        <v>56</v>
      </c>
      <c r="Z6" s="113">
        <f>COUNTIFS('20.09'!$E$15:$E$67,H6,'20.09'!$M$15:$M$67,"&gt;0")</f>
        <v>4</v>
      </c>
      <c r="AA6" s="88">
        <f>SUMIF('27.09'!$E$15:$E$68,H6,'27.09'!$M$15:$M$68)</f>
        <v>60</v>
      </c>
      <c r="AB6" s="113">
        <f>COUNTIFS('27.09'!$E$15:$E$68,H6,'27.09'!$M$15:$M$68,"&gt;0")</f>
        <v>3</v>
      </c>
      <c r="AC6" s="88">
        <f>SUMIF('04.10'!$E$15:$E$71,H6,'04.10'!$M$15:$M$71)</f>
        <v>0</v>
      </c>
      <c r="AD6" s="113">
        <f>COUNTIFS('04.10'!$E$15:$E$71,H6,'04.10'!$M$15:$M$71,"&gt;0")</f>
        <v>0</v>
      </c>
      <c r="AE6" s="88">
        <f>SUMIF('11.10'!$E$15:$E$76,H6,'11.10'!$M$15:$M$76)</f>
        <v>40</v>
      </c>
      <c r="AF6" s="113">
        <f>COUNTIFS('11.10'!$E$15:$E$76,H6,'11.10'!$L$15:$L$76,"&gt;0")</f>
        <v>3</v>
      </c>
      <c r="AG6" s="113">
        <f>SUMIF('18.10'!$E$15:$E$76,H6,'18.10'!$M$15:$M$76)</f>
        <v>60</v>
      </c>
      <c r="AH6" s="113">
        <f>COUNTIFS('18.10'!$E$15:$E$76,H6,'18.10'!$L$15:$L$76,"&gt;0")</f>
        <v>3</v>
      </c>
      <c r="AI6" s="113">
        <f>SUMIF('25.10'!$E$15:$E$78,H6,'25.10'!$M$15:$M$78)</f>
        <v>8</v>
      </c>
      <c r="AJ6" s="113">
        <f>COUNTIFS('25.10'!$E$15:$E$78,H6,'25.10'!$L$15:$L$78,"&gt;0")</f>
        <v>2</v>
      </c>
      <c r="AK6" s="113">
        <f>SUMIF('01.11'!$E$15:$E$77,H6,'01.11'!$M$15:$M$77)</f>
        <v>0</v>
      </c>
      <c r="AL6" s="113">
        <f>COUNTIFS('01.11'!$E$15:$E$77,H6,'01.11'!$M$15:$M$77,"&gt;0")</f>
        <v>0</v>
      </c>
      <c r="AM6" s="113">
        <f>SUMIF('08.11'!$E$15:$E$67,H6,'08.11'!$M$15:$M$67)</f>
        <v>0</v>
      </c>
      <c r="AN6" s="113">
        <f>COUNTIFS('08.11'!$E$15:$E$67,H6,'08.11'!$M$15:$M$67,"&gt;0")</f>
        <v>0</v>
      </c>
      <c r="AO6" s="113">
        <f>SUMIF('15.11'!$E$15:$E$71,H6,'15.11'!$M$15:$M$71)</f>
        <v>12</v>
      </c>
      <c r="AP6" s="113">
        <f>COUNTIFS('15.11'!$E$15:$E$71,H6,'15.11'!$M$15:$M$71,"&gt;0")</f>
        <v>1</v>
      </c>
      <c r="AQ6" s="113">
        <f>SUMIF('22.11'!$E$15:$E$78,H6,'22.11'!$M$15:$M$78)</f>
        <v>8</v>
      </c>
      <c r="AR6" s="113">
        <f>COUNTIFS('22.11'!$E$15:$E$78,H6,'22.11'!$M$15:$M$78,"&gt;0")</f>
        <v>1</v>
      </c>
      <c r="AS6" s="113">
        <f>SUMIF('29.11'!$E$15:$E$79,H6,'29.11'!$M$15:$M$79)</f>
        <v>0</v>
      </c>
      <c r="AT6" s="113">
        <f>COUNTIFS('29.11'!$E$15:$E$79,H6,'29.11'!$L$15:$L$79,"&gt;0")</f>
        <v>0</v>
      </c>
      <c r="AU6" s="113">
        <f>SUMIF('06.12'!$E$15:$E$82,H6,'06.12'!$M$15:$M$82)</f>
        <v>0</v>
      </c>
      <c r="AV6" s="113">
        <f>COUNTIFS('06.12'!$E$15:$E$82,H6,'06.12'!$M$15:$M$82,"&gt;0")</f>
        <v>0</v>
      </c>
      <c r="AW6" s="113">
        <f>SUMIF('13.12'!$E$15:$E$82,H6,'13.12'!$M$15:$M$82)</f>
        <v>0</v>
      </c>
      <c r="AX6" s="113">
        <f>COUNTIFS('13.12'!$E$15:$E$82,H6,'13.12'!$M$15:$M$82,"&gt;0")</f>
        <v>0</v>
      </c>
      <c r="AY6" s="113">
        <f>SUMIF('20.12'!$E$15:$E$84,H6,'20.12'!$M$15:$M$84)</f>
        <v>0</v>
      </c>
      <c r="AZ6" s="113">
        <f>COUNTIFS('20.12'!$E$15:$E$84,H6,'20.12'!$M$15:$M$84,"&gt;0")</f>
        <v>0</v>
      </c>
      <c r="BA6" s="113">
        <f>SUMIF('27.12'!$E$15:$E$84,H6,'27.12'!$M$15:$M$84)</f>
        <v>0</v>
      </c>
      <c r="BB6" s="113">
        <f>COUNTIFS('27.12'!$E$15:$E$84,H6,'27.12'!$M$15:$M$84,"&gt;0")</f>
        <v>0</v>
      </c>
      <c r="BC6" s="113">
        <f>SUMIF('03.01'!$E$15:$E$88,H6,'03.01'!$M$15:$M$88)</f>
        <v>0</v>
      </c>
      <c r="BD6" s="113">
        <f>COUNTIFS('03.01'!$E$15:$E$88,H6,'03.01'!$M$15:$M$88,"&gt;0")</f>
        <v>0</v>
      </c>
      <c r="BE6" s="113">
        <f>SUMIF('10.01'!$E$15:$E$91,H6,'10.01'!$M$15:$M$91)</f>
        <v>8</v>
      </c>
      <c r="BF6" s="113">
        <f>COUNTIFS('10.01'!$E$15:$E$91,H6,'10.01'!$M$15:$M$91,"&gt;0")</f>
        <v>1</v>
      </c>
      <c r="BG6" s="113">
        <f>SUMIF('17.01'!$E$15:$E$87,H6,'17.01'!$M$15:$M$87)</f>
        <v>4</v>
      </c>
      <c r="BH6" s="113">
        <f>COUNTIFS('17.01'!$E$15:$E$87,H6,'17.01'!$M$15:$M$87,"&gt;0")</f>
        <v>1</v>
      </c>
      <c r="BI6" s="113">
        <f>SUMIF('24.01'!$E$15:$E$86,H6,'24.01'!$M$15:$M$86)</f>
        <v>0</v>
      </c>
      <c r="BJ6" s="113">
        <f>COUNTIFS('24.01'!$E$15:$E$86,H6,'24.01'!$M$15:$M$86,"&gt;0")</f>
        <v>0</v>
      </c>
      <c r="BK6" s="113">
        <f>SUMIF('31.01'!$E$15:$E$75,H6,'31.01'!$M$15:$M$75)</f>
        <v>20</v>
      </c>
      <c r="BL6" s="113">
        <f>COUNTIFS('31.01'!$E$15:$E$75,H6,'31.01'!$M$15:$M$75,"&gt;0")</f>
        <v>1</v>
      </c>
      <c r="BM6" s="113">
        <f>SUMIF('07.02'!$E$15:$E$77,H6,'07.02'!$M$15:$M$77)</f>
        <v>28</v>
      </c>
      <c r="BN6" s="113">
        <f>COUNTIFS('07.02'!$E$15:$E$77,H6,'07.02'!$M$15:$M$77,"&gt;0")</f>
        <v>2</v>
      </c>
      <c r="BO6" s="113">
        <f>SUMIF('14.02'!$E$15:$E$81,H6,'14.02'!$M$15:$M$81)</f>
        <v>8</v>
      </c>
      <c r="BP6" s="113">
        <f>COUNTIFS('14.02'!$E$15:$E$81,H6,'14.02'!$M$15:$M$81,"&gt;0")</f>
        <v>1</v>
      </c>
      <c r="BQ6" s="113">
        <f>SUMIF('21.02'!$E$15:$E$82,H6,'21.02'!$M$15:$M$82)</f>
        <v>4</v>
      </c>
      <c r="BR6" s="113">
        <f>COUNTIFS('21.02'!$E$15:$E$82,H6,'21.02'!$M$15:$M$82,"&gt;0")</f>
        <v>1</v>
      </c>
      <c r="BS6" s="113"/>
      <c r="BT6" s="113"/>
      <c r="BU6" s="113"/>
      <c r="BV6" s="113"/>
      <c r="BW6" s="113"/>
      <c r="BX6" s="113"/>
      <c r="BY6" s="113"/>
      <c r="BZ6" s="113"/>
    </row>
    <row r="7">
      <c r="A7" s="181" t="s">
        <v>490</v>
      </c>
      <c r="B7" s="180">
        <f>K65</f>
        <v>670</v>
      </c>
      <c r="C7" s="148">
        <v>650.0</v>
      </c>
      <c r="D7" s="148">
        <v>434.0</v>
      </c>
      <c r="E7" s="180">
        <f>L65</f>
        <v>46</v>
      </c>
      <c r="F7" s="182">
        <f t="shared" si="1"/>
        <v>8.68</v>
      </c>
      <c r="H7" s="171" t="s">
        <v>129</v>
      </c>
      <c r="I7" s="88">
        <f>SUMIF('26.07'!$E$15:$E$74,H7,'26.07'!$M$15:$M$74)</f>
        <v>60</v>
      </c>
      <c r="J7" s="88">
        <f>COUNTIFS('26.07'!$E$15:$E$74,H7,'26.07'!$L$15:$L$74,"&gt;0")</f>
        <v>4</v>
      </c>
      <c r="K7" s="88">
        <f>SUMIF('02.08'!$E$15:$E$73,H7,'02.08'!$M$15:$M$73)</f>
        <v>40</v>
      </c>
      <c r="L7" s="88">
        <f>COUNTIFS('02.08'!$E$15:$E$73,H7,'02.08'!$L$15:$L$73,"&gt;0")</f>
        <v>3</v>
      </c>
      <c r="M7" s="88">
        <f>SUMIF('09.08'!$E$15:$E$71,H7,'09.08'!$M$15:$M$71)</f>
        <v>28</v>
      </c>
      <c r="N7" s="88">
        <f>COUNTIFS('09.08'!$E$15:$E$71,H7,'09.08'!$L$15:$L$71,"&gt;0")</f>
        <v>2</v>
      </c>
      <c r="O7" s="88">
        <f>sumif('16.08 '!$E$15:$E$65,H7,'16.08 '!$M$15:$M$65)</f>
        <v>24</v>
      </c>
      <c r="P7" s="88">
        <f>COUNTIFs('16.08 '!$E$15:$E$65,H7,'16.08 '!$L$15:$L$65,"&gt;0")</f>
        <v>2</v>
      </c>
      <c r="Q7" s="88">
        <f>sumif('23.08'!$E$15:$E$62,H7,'23.08'!$M$15:$M$62)</f>
        <v>48</v>
      </c>
      <c r="R7" s="88">
        <f>COUNTIFS('23.08'!$M$15:$M$62,"&gt;0",'23.08'!$E$15:$E$62,H7)</f>
        <v>3</v>
      </c>
      <c r="S7" s="88">
        <f>SUMIF('30.08'!$E$15:$E$66,H7,'30.08'!$M$15:$M$66)</f>
        <v>52</v>
      </c>
      <c r="T7" s="88">
        <f>COUNTIFS('30.08'!$E$15:$E$66,H7,'30.08'!$M$15:$M$66,"&gt;0")</f>
        <v>3</v>
      </c>
      <c r="U7" s="88">
        <f>sumif('06.09'!$E$15:$E$66,H7,'06.09'!$M$15:$M$66)</f>
        <v>52</v>
      </c>
      <c r="V7" s="113">
        <f>COUNTIFS('06.09'!$E$15:$E$66,H7,'06.09'!$M$15:$M$66,"&gt;0")</f>
        <v>3</v>
      </c>
      <c r="W7" s="88">
        <f>SUMIF('13.09'!$E$15:$E$65,H7,'13.09'!$M$15:$M$65)</f>
        <v>36</v>
      </c>
      <c r="X7" s="113">
        <f>COUNTIFS('13.09'!$E$15:$E$65,H7,'13.09'!$M$15:$M$65,"&gt;0")</f>
        <v>2</v>
      </c>
      <c r="Y7" s="88">
        <f>SUMIF('20.09'!$E$15:$E$67,H7,'20.09'!$M$15:$M$67)</f>
        <v>32</v>
      </c>
      <c r="Z7" s="113">
        <f>COUNTIFS('20.09'!$E$15:$E$67,H7,'20.09'!$M$15:$M$67,"&gt;0")</f>
        <v>2</v>
      </c>
      <c r="AA7" s="88">
        <f>SUMIF('27.09'!$E$15:$E$68,H7,'27.09'!$M$15:$M$68)</f>
        <v>32</v>
      </c>
      <c r="AB7" s="113">
        <f>COUNTIFS('27.09'!$E$15:$E$68,H7,'27.09'!$M$15:$M$68,"&gt;0")</f>
        <v>2</v>
      </c>
      <c r="AC7" s="88">
        <f>SUMIF('04.10'!$E$15:$E$71,H7,'04.10'!$M$15:$M$71)</f>
        <v>40</v>
      </c>
      <c r="AD7" s="113">
        <f>COUNTIFS('04.10'!$E$15:$E$71,H7,'04.10'!$M$15:$M$71,"&gt;0")</f>
        <v>3</v>
      </c>
      <c r="AE7" s="88">
        <f>SUMIF('11.10'!$E$15:$E$76,H7,'11.10'!$M$15:$M$76)</f>
        <v>40</v>
      </c>
      <c r="AF7" s="113">
        <f>COUNTIFS('11.10'!$E$15:$E$76,H7,'11.10'!$L$15:$L$76,"&gt;0")</f>
        <v>2</v>
      </c>
      <c r="AG7" s="113">
        <f>SUMIF('18.10'!$E$15:$E$76,H7,'18.10'!$M$15:$M$76)</f>
        <v>40</v>
      </c>
      <c r="AH7" s="113">
        <f>COUNTIFS('18.10'!$E$15:$E$76,H7,'18.10'!$L$15:$L$76,"&gt;0")</f>
        <v>3</v>
      </c>
      <c r="AI7" s="113">
        <f>SUMIF('25.10'!$E$15:$E$78,H7,'25.10'!$M$15:$M$78)</f>
        <v>44</v>
      </c>
      <c r="AJ7" s="113">
        <f>COUNTIFS('25.10'!$E$15:$E$78,H7,'25.10'!$L$15:$L$78,"&gt;0")</f>
        <v>3</v>
      </c>
      <c r="AK7" s="113">
        <f>SUMIF('01.11'!$E$15:$E$77,H7,'01.11'!$M$15:$M$77)</f>
        <v>32</v>
      </c>
      <c r="AL7" s="113">
        <f>COUNTIFS('01.11'!$E$15:$E$77,H7,'01.11'!$M$15:$M$77,"&gt;0")</f>
        <v>3</v>
      </c>
      <c r="AM7" s="113">
        <f>SUMIF('08.11'!$E$15:$E$67,H7,'08.11'!$M$15:$M$67)</f>
        <v>48</v>
      </c>
      <c r="AN7" s="113">
        <f>COUNTIFS('08.11'!$E$15:$E$67,H7,'08.11'!$M$15:$M$67,"&gt;0")</f>
        <v>3</v>
      </c>
      <c r="AO7" s="113">
        <f>SUMIF('15.11'!$E$15:$E$71,H7,'15.11'!$M$15:$M$71)</f>
        <v>56</v>
      </c>
      <c r="AP7" s="113">
        <f>COUNTIFS('15.11'!$E$15:$E$71,H7,'15.11'!$M$15:$M$71,"&gt;0")</f>
        <v>3</v>
      </c>
      <c r="AQ7" s="113">
        <f>SUMIF('22.11'!$E$15:$E$78,H7,'22.11'!$M$15:$M$78)</f>
        <v>56</v>
      </c>
      <c r="AR7" s="113">
        <f>COUNTIFS('22.11'!$E$15:$E$78,H7,'22.11'!$M$15:$M$78,"&gt;0")</f>
        <v>3</v>
      </c>
      <c r="AS7" s="113">
        <f>SUMIF('29.11'!$E$15:$E$79,H7,'29.11'!$M$15:$M$79)</f>
        <v>36</v>
      </c>
      <c r="AT7" s="113">
        <f>COUNTIFS('29.11'!$E$15:$E$79,H7,'29.11'!$L$15:$L$79,"&gt;0")</f>
        <v>2</v>
      </c>
      <c r="AU7" s="113">
        <f>SUMIF('06.12'!$E$15:$E$82,H7,'06.12'!$M$15:$M$82)</f>
        <v>20</v>
      </c>
      <c r="AV7" s="113">
        <f>COUNTIFS('06.12'!$E$15:$E$82,H7,'06.12'!$M$15:$M$82,"&gt;0")</f>
        <v>2</v>
      </c>
      <c r="AW7" s="113">
        <f>SUMIF('13.12'!$E$15:$E$82,H7,'13.12'!$M$15:$M$82)</f>
        <v>36</v>
      </c>
      <c r="AX7" s="113">
        <f>COUNTIFS('13.12'!$E$15:$E$82,H7,'13.12'!$M$15:$M$82,"&gt;0")</f>
        <v>2</v>
      </c>
      <c r="AY7" s="113">
        <f>SUMIF('20.12'!$E$15:$E$84,H7,'20.12'!$M$15:$M$84)</f>
        <v>32</v>
      </c>
      <c r="AZ7" s="113">
        <f>COUNTIFS('20.12'!$E$15:$E$84,H7,'20.12'!$M$15:$M$84,"&gt;0")</f>
        <v>2</v>
      </c>
      <c r="BA7" s="113">
        <f>SUMIF('27.12'!$E$15:$E$84,H7,'27.12'!$M$15:$M$84)</f>
        <v>32</v>
      </c>
      <c r="BB7" s="113">
        <f>COUNTIFS('27.12'!$E$15:$E$84,H7,'27.12'!$M$15:$M$84,"&gt;0")</f>
        <v>2</v>
      </c>
      <c r="BC7" s="113">
        <f>SUMIF('03.01'!$E$15:$E$88,H7,'03.01'!$M$15:$M$88)</f>
        <v>32</v>
      </c>
      <c r="BD7" s="113">
        <f>COUNTIFS('03.01'!$E$15:$E$88,H7,'03.01'!$M$15:$M$88,"&gt;0")</f>
        <v>2</v>
      </c>
      <c r="BE7" s="113">
        <f>SUMIF('10.01'!$E$15:$E$91,H7,'10.01'!$M$15:$M$91)</f>
        <v>32</v>
      </c>
      <c r="BF7" s="113">
        <f>COUNTIFS('10.01'!$E$15:$E$91,H7,'10.01'!$M$15:$M$91,"&gt;0")</f>
        <v>2</v>
      </c>
      <c r="BG7" s="113">
        <f>SUMIF('17.01'!$E$15:$E$87,H7,'17.01'!$M$15:$M$87)</f>
        <v>36</v>
      </c>
      <c r="BH7" s="113">
        <f>COUNTIFS('17.01'!$E$15:$E$87,H7,'17.01'!$M$15:$M$87,"&gt;0")</f>
        <v>2</v>
      </c>
      <c r="BI7" s="113">
        <f>SUMIF('24.01'!$E$15:$E$86,H7,'24.01'!$M$15:$M$86)</f>
        <v>40</v>
      </c>
      <c r="BJ7" s="113">
        <f>COUNTIFS('24.01'!$E$15:$E$86,H7,'24.01'!$M$15:$M$86,"&gt;0")</f>
        <v>2</v>
      </c>
      <c r="BK7" s="113">
        <f>SUMIF('31.01'!$E$15:$E$75,H7,'31.01'!$M$15:$M$75)</f>
        <v>32</v>
      </c>
      <c r="BL7" s="113">
        <f>COUNTIFS('31.01'!$E$15:$E$75,H7,'31.01'!$M$15:$M$75,"&gt;0")</f>
        <v>3</v>
      </c>
      <c r="BM7" s="113">
        <f>SUMIF('07.02'!$E$15:$E$77,H7,'07.02'!$M$15:$M$77)</f>
        <v>16</v>
      </c>
      <c r="BN7" s="113">
        <f>COUNTIFS('07.02'!$E$15:$E$77,H7,'07.02'!$M$15:$M$77,"&gt;0")</f>
        <v>2</v>
      </c>
      <c r="BO7" s="113">
        <f>SUMIF('14.02'!$E$15:$E$81,H7,'14.02'!$M$15:$M$81)</f>
        <v>40</v>
      </c>
      <c r="BP7" s="113">
        <f>COUNTIFS('14.02'!$E$15:$E$81,H7,'14.02'!$M$15:$M$81,"&gt;0")</f>
        <v>3</v>
      </c>
      <c r="BQ7" s="113">
        <f>SUMIF('21.02'!$E$15:$E$82,H7,'21.02'!$M$15:$M$82)</f>
        <v>40</v>
      </c>
      <c r="BR7" s="113">
        <f>COUNTIFS('21.02'!$E$15:$E$82,H7,'21.02'!$M$15:$M$82,"&gt;0")</f>
        <v>3</v>
      </c>
      <c r="BS7" s="113"/>
      <c r="BT7" s="113"/>
      <c r="BU7" s="113"/>
      <c r="BV7" s="113"/>
      <c r="BW7" s="113"/>
      <c r="BX7" s="113"/>
      <c r="BY7" s="113"/>
      <c r="BZ7" s="113"/>
    </row>
    <row r="8">
      <c r="A8" s="181" t="s">
        <v>111</v>
      </c>
      <c r="B8" s="180">
        <f>M65</f>
        <v>626</v>
      </c>
      <c r="C8" s="148">
        <v>623.0</v>
      </c>
      <c r="D8" s="148">
        <v>399.0</v>
      </c>
      <c r="E8" s="180">
        <f>N65</f>
        <v>39</v>
      </c>
      <c r="F8" s="182">
        <f t="shared" si="1"/>
        <v>7.98</v>
      </c>
      <c r="H8" s="171" t="s">
        <v>375</v>
      </c>
      <c r="I8" s="88">
        <f>SUMIF('26.07'!$E$15:$E$74,H8,'26.07'!$M$15:$M$74)</f>
        <v>28</v>
      </c>
      <c r="J8" s="88">
        <f>COUNTIFS('26.07'!$E$15:$E$74,H8,'26.07'!$L$15:$L$74,"&gt;0")</f>
        <v>2</v>
      </c>
      <c r="K8" s="88">
        <f>SUMIF('02.08'!$E$15:$E$73,H8,'02.08'!$M$15:$M$73)</f>
        <v>40</v>
      </c>
      <c r="L8" s="88">
        <f>COUNTIFS('02.08'!$E$15:$E$73,H8,'02.08'!$L$15:$L$73,"&gt;0")</f>
        <v>2</v>
      </c>
      <c r="M8" s="88">
        <f>SUMIF('09.08'!$E$15:$E$71,H8,'09.08'!$M$15:$M$71)</f>
        <v>40</v>
      </c>
      <c r="N8" s="88">
        <f>COUNTIFS('09.08'!$E$15:$E$71,H8,'09.08'!$L$15:$L$71,"&gt;0")</f>
        <v>2</v>
      </c>
      <c r="O8" s="88">
        <f>sumif('16.08 '!$E$15:$E$65,H8,'16.08 '!$M$15:$M$65)</f>
        <v>40</v>
      </c>
      <c r="P8" s="88">
        <f>COUNTIFs('16.08 '!$E$15:$E$65,H8,'16.08 '!$L$15:$L$65,"&gt;0")</f>
        <v>2</v>
      </c>
      <c r="Q8" s="88">
        <f>sumif('23.08'!$E$15:$E$62,H8,'23.08'!$M$15:$M$62)</f>
        <v>40</v>
      </c>
      <c r="R8" s="88">
        <f>COUNTIFS('23.08'!$M$15:$M$62,"&gt;0",'23.08'!$E$15:$E$62,H8)</f>
        <v>2</v>
      </c>
      <c r="S8" s="88">
        <f>SUMIF('30.08'!$E$15:$E$66,H8,'30.08'!$M$15:$M$66)</f>
        <v>32</v>
      </c>
      <c r="T8" s="88">
        <f>COUNTIFS('30.08'!$E$15:$E$66,H8,'30.08'!$M$15:$M$66,"&gt;0")</f>
        <v>2</v>
      </c>
      <c r="U8" s="88">
        <f>sumif('06.09'!$E$15:$E$66,H8,'06.09'!$M$15:$M$66)</f>
        <v>32</v>
      </c>
      <c r="V8" s="113">
        <f>COUNTIFS('06.09'!$E$15:$E$66,H8,'06.09'!$M$15:$M$66,"&gt;0")</f>
        <v>2</v>
      </c>
      <c r="W8" s="88">
        <f>SUMIF('13.09'!$E$15:$E$65,H8,'13.09'!$M$15:$M$65)</f>
        <v>40</v>
      </c>
      <c r="X8" s="113">
        <f>COUNTIFS('13.09'!$E$15:$E$65,H8,'13.09'!$M$15:$M$65,"&gt;0")</f>
        <v>2</v>
      </c>
      <c r="Y8" s="88">
        <f>SUMIF('20.09'!$E$15:$E$67,H8,'20.09'!$M$15:$M$67)</f>
        <v>40</v>
      </c>
      <c r="Z8" s="113">
        <f>COUNTIFS('20.09'!$E$15:$E$67,H8,'20.09'!$M$15:$M$67,"&gt;0")</f>
        <v>2</v>
      </c>
      <c r="AA8" s="88">
        <f>SUMIF('27.09'!$E$15:$E$68,H8,'27.09'!$M$15:$M$68)</f>
        <v>40</v>
      </c>
      <c r="AB8" s="113">
        <f>COUNTIFS('27.09'!$E$15:$E$68,H8,'27.09'!$M$15:$M$68,"&gt;0")</f>
        <v>2</v>
      </c>
      <c r="AC8" s="88">
        <f>SUMIF('04.10'!$E$15:$E$71,H8,'04.10'!$M$15:$M$71)</f>
        <v>32</v>
      </c>
      <c r="AD8" s="113">
        <f>COUNTIFS('04.10'!$E$15:$E$71,H8,'04.10'!$M$15:$M$71,"&gt;0")</f>
        <v>2</v>
      </c>
      <c r="AE8" s="88">
        <f>SUMIF('11.10'!$E$15:$E$76,H8,'11.10'!$M$15:$M$76)</f>
        <v>32</v>
      </c>
      <c r="AF8" s="113">
        <f>COUNTIFS('11.10'!$E$15:$E$76,H8,'11.10'!$L$15:$L$76,"&gt;0")</f>
        <v>2</v>
      </c>
      <c r="AG8" s="113">
        <f>SUMIF('18.10'!$E$15:$E$76,H8,'18.10'!$M$15:$M$76)</f>
        <v>32</v>
      </c>
      <c r="AH8" s="113">
        <f>COUNTIFS('18.10'!$E$15:$E$76,H8,'18.10'!$L$15:$L$76,"&gt;0")</f>
        <v>2</v>
      </c>
      <c r="AI8" s="113">
        <f>SUMIF('25.10'!$E$15:$E$78,H8,'25.10'!$M$15:$M$78)</f>
        <v>32</v>
      </c>
      <c r="AJ8" s="113">
        <f>COUNTIFS('25.10'!$E$15:$E$78,H8,'25.10'!$L$15:$L$78,"&gt;0")</f>
        <v>2</v>
      </c>
      <c r="AK8" s="113">
        <f>SUMIF('01.11'!$E$15:$E$77,H8,'01.11'!$M$15:$M$77)</f>
        <v>12</v>
      </c>
      <c r="AL8" s="113">
        <f>COUNTIFS('01.11'!$E$15:$E$77,H8,'01.11'!$M$15:$M$77,"&gt;0")</f>
        <v>2</v>
      </c>
      <c r="AM8" s="113">
        <f>SUMIF('08.11'!$E$15:$E$67,H8,'08.11'!$M$15:$M$67)</f>
        <v>8</v>
      </c>
      <c r="AN8" s="113">
        <f>COUNTIFS('08.11'!$E$15:$E$67,H8,'08.11'!$M$15:$M$67,"&gt;0")</f>
        <v>1</v>
      </c>
      <c r="AO8" s="113">
        <f>SUMIF('15.11'!$E$15:$E$71,H8,'15.11'!$M$15:$M$71)</f>
        <v>16</v>
      </c>
      <c r="AP8" s="113">
        <f>COUNTIFS('15.11'!$E$15:$E$71,H8,'15.11'!$M$15:$M$71,"&gt;0")</f>
        <v>1</v>
      </c>
      <c r="AQ8" s="113">
        <f>SUMIF('22.11'!$E$15:$E$78,H8,'22.11'!$M$15:$M$78)</f>
        <v>16</v>
      </c>
      <c r="AR8" s="113">
        <f>COUNTIFS('22.11'!$E$15:$E$78,H8,'22.11'!$M$15:$M$78,"&gt;0")</f>
        <v>2</v>
      </c>
      <c r="AS8" s="113">
        <f>SUMIF('29.11'!$E$15:$E$79,H8,'29.11'!$M$15:$M$79)</f>
        <v>12</v>
      </c>
      <c r="AT8" s="113">
        <f>COUNTIFS('29.11'!$E$15:$E$79,H8,'29.11'!$L$15:$L$79,"&gt;0")</f>
        <v>1</v>
      </c>
      <c r="AU8" s="113">
        <f>SUMIF('06.12'!$E$15:$E$82,H8,'06.12'!$M$15:$M$82)</f>
        <v>12</v>
      </c>
      <c r="AV8" s="113">
        <f>COUNTIFS('06.12'!$E$15:$E$82,H8,'06.12'!$M$15:$M$82,"&gt;0")</f>
        <v>1</v>
      </c>
      <c r="AW8" s="113">
        <f>SUMIF('13.12'!$E$15:$E$82,H8,'13.12'!$M$15:$M$82)</f>
        <v>12</v>
      </c>
      <c r="AX8" s="113">
        <f>COUNTIFS('13.12'!$E$15:$E$82,H8,'13.12'!$M$15:$M$82,"&gt;0")</f>
        <v>1</v>
      </c>
      <c r="AY8" s="113">
        <f>SUMIF('20.12'!$E$15:$E$84,H8,'20.12'!$M$15:$M$84)</f>
        <v>8</v>
      </c>
      <c r="AZ8" s="113">
        <f>COUNTIFS('20.12'!$E$15:$E$84,H8,'20.12'!$M$15:$M$84,"&gt;0")</f>
        <v>1</v>
      </c>
      <c r="BA8" s="113">
        <f>SUMIF('27.12'!$E$15:$E$84,H8,'27.12'!$M$15:$M$84)</f>
        <v>12</v>
      </c>
      <c r="BB8" s="113">
        <f>COUNTIFS('27.12'!$E$15:$E$84,H8,'27.12'!$M$15:$M$84,"&gt;0")</f>
        <v>1</v>
      </c>
      <c r="BC8" s="113">
        <f>SUMIF('03.01'!$E$15:$E$88,H8,'03.01'!$M$15:$M$88)</f>
        <v>12</v>
      </c>
      <c r="BD8" s="113">
        <f>COUNTIFS('03.01'!$E$15:$E$88,H8,'03.01'!$M$15:$M$88,"&gt;0")</f>
        <v>1</v>
      </c>
      <c r="BE8" s="113">
        <f>SUMIF('10.01'!$E$15:$E$91,H8,'10.01'!$M$15:$M$91)</f>
        <v>0</v>
      </c>
      <c r="BF8" s="113">
        <f>COUNTIFS('10.01'!$E$15:$E$91,H8,'10.01'!$M$15:$M$91,"&gt;0")</f>
        <v>0</v>
      </c>
      <c r="BG8" s="113">
        <f>SUMIF('17.01'!$E$15:$E$87,H8,'17.01'!$M$15:$M$87)</f>
        <v>8</v>
      </c>
      <c r="BH8" s="113">
        <f>COUNTIFS('17.01'!$E$15:$E$87,H8,'17.01'!$M$15:$M$87,"&gt;0")</f>
        <v>1</v>
      </c>
      <c r="BI8" s="113">
        <f>SUMIF('24.01'!$E$15:$E$86,H8,'24.01'!$M$15:$M$86)</f>
        <v>0</v>
      </c>
      <c r="BJ8" s="113">
        <f>COUNTIFS('24.01'!$E$15:$E$86,H8,'24.01'!$M$15:$M$86,"&gt;0")</f>
        <v>0</v>
      </c>
      <c r="BK8" s="113">
        <f>SUMIF('31.01'!$E$15:$E$75,H8,'31.01'!$M$15:$M$75)</f>
        <v>4</v>
      </c>
      <c r="BL8" s="113">
        <f>COUNTIFS('31.01'!$E$15:$E$75,H8,'31.01'!$M$15:$M$75,"&gt;0")</f>
        <v>1</v>
      </c>
      <c r="BM8" s="113">
        <f>SUMIF('07.02'!$E$15:$E$77,H8,'07.02'!$M$15:$M$77)</f>
        <v>0</v>
      </c>
      <c r="BN8" s="113">
        <f>COUNTIFS('07.02'!$E$15:$E$77,H8,'07.02'!$M$15:$M$77,"&gt;0")</f>
        <v>0</v>
      </c>
      <c r="BO8" s="113">
        <f>SUMIF('14.02'!$E$15:$E$81,H8,'14.02'!$M$15:$M$81)</f>
        <v>4</v>
      </c>
      <c r="BP8" s="113">
        <f>COUNTIFS('14.02'!$E$15:$E$81,H8,'14.02'!$M$15:$M$81,"&gt;0")</f>
        <v>1</v>
      </c>
      <c r="BQ8" s="113">
        <f>SUMIF('21.02'!$E$15:$E$82,H8,'21.02'!$M$15:$M$82)</f>
        <v>0</v>
      </c>
      <c r="BR8" s="113">
        <f>COUNTIFS('21.02'!$E$15:$E$82,H8,'21.02'!$M$15:$M$82,"&gt;0")</f>
        <v>0</v>
      </c>
      <c r="BS8" s="113"/>
      <c r="BT8" s="113"/>
      <c r="BU8" s="113"/>
      <c r="BV8" s="113"/>
      <c r="BW8" s="113"/>
      <c r="BX8" s="113"/>
      <c r="BY8" s="113"/>
      <c r="BZ8" s="113"/>
    </row>
    <row r="9">
      <c r="A9" s="181" t="s">
        <v>115</v>
      </c>
      <c r="B9" s="180">
        <f>O65</f>
        <v>664</v>
      </c>
      <c r="C9" s="148">
        <v>644.0</v>
      </c>
      <c r="D9" s="148">
        <v>442.0</v>
      </c>
      <c r="E9" s="180">
        <f>P65</f>
        <v>45</v>
      </c>
      <c r="F9" s="182">
        <f t="shared" si="1"/>
        <v>8.84</v>
      </c>
      <c r="H9" s="171" t="s">
        <v>110</v>
      </c>
      <c r="I9" s="88">
        <f>SUMIF('26.07'!$E$15:$E$74,H9,'26.07'!$M$15:$M$74)</f>
        <v>32</v>
      </c>
      <c r="J9" s="88">
        <f>COUNTIFS('26.07'!$E$15:$E$74,H9,'26.07'!$L$15:$L$74,"&gt;0")</f>
        <v>2</v>
      </c>
      <c r="K9" s="88">
        <f>SUMIF('02.08'!$E$15:$E$73,H9,'02.08'!$M$15:$M$73)</f>
        <v>12</v>
      </c>
      <c r="L9" s="88">
        <f>COUNTIFS('02.08'!$E$15:$E$73,H9,'02.08'!$L$15:$L$73,"&gt;0")</f>
        <v>2</v>
      </c>
      <c r="M9" s="88">
        <f>SUMIF('09.08'!$E$15:$E$71,H9,'09.08'!$M$15:$M$71)</f>
        <v>20</v>
      </c>
      <c r="N9" s="88">
        <f>COUNTIFS('09.08'!$E$15:$E$71,H9,'09.08'!$L$15:$L$71,"&gt;0")</f>
        <v>1</v>
      </c>
      <c r="O9" s="88">
        <f>sumif('16.08 '!$E$15:$E$65,H9,'16.08 '!$M$15:$M$65)</f>
        <v>28</v>
      </c>
      <c r="P9" s="88">
        <f>COUNTIFs('16.08 '!$E$15:$E$65,H9,'16.08 '!$L$15:$L$65,"&gt;0")</f>
        <v>2</v>
      </c>
      <c r="Q9" s="88">
        <f>sumif('23.08'!$E$15:$E$62,H9,'23.08'!$M$15:$M$62)</f>
        <v>40</v>
      </c>
      <c r="R9" s="88">
        <f>COUNTIFS('23.08'!$M$15:$M$62,"&gt;0",'23.08'!$E$15:$E$62,H9)</f>
        <v>2</v>
      </c>
      <c r="S9" s="88">
        <f>SUMIF('30.08'!$E$15:$E$66,H9,'30.08'!$M$15:$M$66)</f>
        <v>40</v>
      </c>
      <c r="T9" s="88">
        <f>COUNTIFS('30.08'!$E$15:$E$66,H9,'30.08'!$M$15:$M$66,"&gt;0")</f>
        <v>2</v>
      </c>
      <c r="U9" s="88">
        <f>sumif('06.09'!$E$15:$E$66,H9,'06.09'!$M$15:$M$66)</f>
        <v>20</v>
      </c>
      <c r="V9" s="113">
        <f>COUNTIFS('06.09'!$E$15:$E$66,H9,'06.09'!$M$15:$M$66,"&gt;0")</f>
        <v>2</v>
      </c>
      <c r="W9" s="88">
        <f>SUMIF('13.09'!$E$15:$E$65,H9,'13.09'!$M$15:$M$65)</f>
        <v>20</v>
      </c>
      <c r="X9" s="113">
        <f>COUNTIFS('13.09'!$E$15:$E$65,H9,'13.09'!$M$15:$M$65,"&gt;0")</f>
        <v>1</v>
      </c>
      <c r="Y9" s="88">
        <f>SUMIF('20.09'!$E$15:$E$67,H9,'20.09'!$M$15:$M$67)</f>
        <v>44</v>
      </c>
      <c r="Z9" s="113">
        <f>COUNTIFS('20.09'!$E$15:$E$67,H9,'20.09'!$M$15:$M$67,"&gt;0")</f>
        <v>3</v>
      </c>
      <c r="AA9" s="88">
        <f>SUMIF('27.09'!$E$15:$E$68,H9,'27.09'!$M$15:$M$68)</f>
        <v>40</v>
      </c>
      <c r="AB9" s="113">
        <f>COUNTIFS('27.09'!$E$15:$E$68,H9,'27.09'!$M$15:$M$68,"&gt;0")</f>
        <v>2</v>
      </c>
      <c r="AC9" s="88">
        <f>SUMIF('04.10'!$E$15:$E$71,H9,'04.10'!$M$15:$M$71)</f>
        <v>40</v>
      </c>
      <c r="AD9" s="113">
        <f>COUNTIFS('04.10'!$E$15:$E$71,H9,'04.10'!$M$15:$M$71,"&gt;0")</f>
        <v>2</v>
      </c>
      <c r="AE9" s="88">
        <f>SUMIF('11.10'!$E$15:$E$76,H9,'11.10'!$M$15:$M$76)</f>
        <v>52</v>
      </c>
      <c r="AF9" s="113">
        <f>COUNTIFS('11.10'!$E$15:$E$76,H9,'11.10'!$L$15:$L$76,"&gt;0")</f>
        <v>3</v>
      </c>
      <c r="AG9" s="113">
        <f>SUMIF('18.10'!$E$15:$E$76,H9,'18.10'!$M$15:$M$76)</f>
        <v>52</v>
      </c>
      <c r="AH9" s="113">
        <f>COUNTIFS('18.10'!$E$15:$E$76,H9,'18.10'!$L$15:$L$76,"&gt;0")</f>
        <v>3</v>
      </c>
      <c r="AI9" s="113">
        <f>SUMIF('25.10'!$E$15:$E$78,H9,'25.10'!$M$15:$M$78)</f>
        <v>52</v>
      </c>
      <c r="AJ9" s="113">
        <f>COUNTIFS('25.10'!$E$15:$E$78,H9,'25.10'!$L$15:$L$78,"&gt;0")</f>
        <v>3</v>
      </c>
      <c r="AK9" s="113">
        <f>SUMIF('01.11'!$E$15:$E$77,H9,'01.11'!$M$15:$M$77)</f>
        <v>52</v>
      </c>
      <c r="AL9" s="113">
        <f>COUNTIFS('01.11'!$E$15:$E$77,H9,'01.11'!$M$15:$M$77,"&gt;0")</f>
        <v>3</v>
      </c>
      <c r="AM9" s="113">
        <f>SUMIF('08.11'!$E$15:$E$67,H9,'08.11'!$M$15:$M$67)</f>
        <v>36</v>
      </c>
      <c r="AN9" s="113">
        <f>COUNTIFS('08.11'!$E$15:$E$67,H9,'08.11'!$M$15:$M$67,"&gt;0")</f>
        <v>2</v>
      </c>
      <c r="AO9" s="113">
        <f>SUMIF('15.11'!$E$15:$E$71,H9,'15.11'!$M$15:$M$71)</f>
        <v>28</v>
      </c>
      <c r="AP9" s="113">
        <f>COUNTIFS('15.11'!$E$15:$E$71,H9,'15.11'!$M$15:$M$71,"&gt;0")</f>
        <v>2</v>
      </c>
      <c r="AQ9" s="113">
        <f>SUMIF('22.11'!$E$15:$E$78,H9,'22.11'!$M$15:$M$78)</f>
        <v>44</v>
      </c>
      <c r="AR9" s="113">
        <f>COUNTIFS('22.11'!$E$15:$E$78,H9,'22.11'!$M$15:$M$78,"&gt;0")</f>
        <v>3</v>
      </c>
      <c r="AS9" s="113">
        <f>SUMIF('29.11'!$E$15:$E$79,H9,'29.11'!$M$15:$M$79)</f>
        <v>20</v>
      </c>
      <c r="AT9" s="113">
        <f>COUNTIFS('29.11'!$E$15:$E$79,H9,'29.11'!$L$15:$L$79,"&gt;0")</f>
        <v>2</v>
      </c>
      <c r="AU9" s="113">
        <f>SUMIF('06.12'!$E$15:$E$82,H9,'06.12'!$M$15:$M$82)</f>
        <v>28</v>
      </c>
      <c r="AV9" s="113">
        <f>COUNTIFS('06.12'!$E$15:$E$82,H9,'06.12'!$M$15:$M$82,"&gt;0")</f>
        <v>2</v>
      </c>
      <c r="AW9" s="113">
        <f>SUMIF('13.12'!$E$15:$E$82,H9,'13.12'!$M$15:$M$82)</f>
        <v>32</v>
      </c>
      <c r="AX9" s="113">
        <f>COUNTIFS('13.12'!$E$15:$E$82,H9,'13.12'!$M$15:$M$82,"&gt;0")</f>
        <v>2</v>
      </c>
      <c r="AY9" s="113">
        <f>SUMIF('20.12'!$E$15:$E$84,H9,'20.12'!$M$15:$M$84)</f>
        <v>16</v>
      </c>
      <c r="AZ9" s="113">
        <f>COUNTIFS('20.12'!$E$15:$E$84,H9,'20.12'!$M$15:$M$84,"&gt;0")</f>
        <v>2</v>
      </c>
      <c r="BA9" s="113">
        <f>SUMIF('27.12'!$E$15:$E$84,H9,'27.12'!$M$15:$M$84)</f>
        <v>12</v>
      </c>
      <c r="BB9" s="113">
        <f>COUNTIFS('27.12'!$E$15:$E$84,H9,'27.12'!$M$15:$M$84,"&gt;0")</f>
        <v>1</v>
      </c>
      <c r="BC9" s="113">
        <f>SUMIF('03.01'!$E$15:$E$88,H9,'03.01'!$M$15:$M$88)</f>
        <v>8</v>
      </c>
      <c r="BD9" s="113">
        <f>COUNTIFS('03.01'!$E$15:$E$88,H9,'03.01'!$M$15:$M$88,"&gt;0")</f>
        <v>1</v>
      </c>
      <c r="BE9" s="113">
        <f>SUMIF('10.01'!$E$15:$E$91,H9,'10.01'!$M$15:$M$91)</f>
        <v>8</v>
      </c>
      <c r="BF9" s="113">
        <f>COUNTIFS('10.01'!$E$15:$E$91,H9,'10.01'!$M$15:$M$91,"&gt;0")</f>
        <v>1</v>
      </c>
      <c r="BG9" s="113">
        <f>SUMIF('17.01'!$E$15:$E$87,H9,'17.01'!$M$15:$M$87)</f>
        <v>20</v>
      </c>
      <c r="BH9" s="113">
        <f>COUNTIFS('17.01'!$E$15:$E$87,H9,'17.01'!$M$15:$M$87,"&gt;0")</f>
        <v>1</v>
      </c>
      <c r="BI9" s="113">
        <f>SUMIF('24.01'!$E$15:$E$86,H9,'24.01'!$M$15:$M$86)</f>
        <v>16</v>
      </c>
      <c r="BJ9" s="113">
        <f>COUNTIFS('24.01'!$E$15:$E$86,H9,'24.01'!$M$15:$M$86,"&gt;0")</f>
        <v>1</v>
      </c>
      <c r="BK9" s="113">
        <f>SUMIF('31.01'!$E$15:$E$75,H9,'31.01'!$M$15:$M$75)</f>
        <v>8</v>
      </c>
      <c r="BL9" s="113">
        <f>COUNTIFS('31.01'!$E$15:$E$75,H9,'31.01'!$M$15:$M$75,"&gt;0")</f>
        <v>1</v>
      </c>
      <c r="BM9" s="113">
        <f>SUMIF('07.02'!$E$15:$E$77,H9,'07.02'!$M$15:$M$77)</f>
        <v>12</v>
      </c>
      <c r="BN9" s="113">
        <f>COUNTIFS('07.02'!$E$15:$E$77,H9,'07.02'!$M$15:$M$77,"&gt;0")</f>
        <v>1</v>
      </c>
      <c r="BO9" s="113">
        <f>SUMIF('14.02'!$E$15:$E$81,H9,'14.02'!$M$15:$M$81)</f>
        <v>16</v>
      </c>
      <c r="BP9" s="113">
        <f>COUNTIFS('14.02'!$E$15:$E$81,H9,'14.02'!$M$15:$M$81,"&gt;0")</f>
        <v>1</v>
      </c>
      <c r="BQ9" s="113">
        <f>SUMIF('21.02'!$E$15:$E$82,H9,'21.02'!$M$15:$M$82)</f>
        <v>16</v>
      </c>
      <c r="BR9" s="113">
        <f>COUNTIFS('21.02'!$E$15:$E$82,H9,'21.02'!$M$15:$M$82,"&gt;0")</f>
        <v>1</v>
      </c>
      <c r="BS9" s="113"/>
      <c r="BT9" s="113"/>
      <c r="BU9" s="113"/>
      <c r="BV9" s="113"/>
      <c r="BW9" s="113"/>
      <c r="BX9" s="113"/>
      <c r="BY9" s="113"/>
      <c r="BZ9" s="113"/>
    </row>
    <row r="10">
      <c r="A10" s="181" t="s">
        <v>121</v>
      </c>
      <c r="B10" s="180">
        <f>Q65</f>
        <v>702</v>
      </c>
      <c r="C10" s="148">
        <v>668.0</v>
      </c>
      <c r="D10" s="148">
        <v>454.0</v>
      </c>
      <c r="E10" s="180">
        <f>R65</f>
        <v>44</v>
      </c>
      <c r="F10" s="182">
        <f t="shared" si="1"/>
        <v>9.08</v>
      </c>
      <c r="H10" s="171" t="s">
        <v>372</v>
      </c>
      <c r="I10" s="88">
        <f>SUMIF('26.07'!$E$15:$E$74,H10,'26.07'!$M$15:$M$74)</f>
        <v>40</v>
      </c>
      <c r="J10" s="88">
        <f>COUNTIFS('26.07'!$E$15:$E$74,H10,'26.07'!$L$15:$L$74,"&gt;0")</f>
        <v>2</v>
      </c>
      <c r="K10" s="88">
        <f>SUMIF('02.08'!$E$15:$E$73,H10,'02.08'!$M$15:$M$73)</f>
        <v>24</v>
      </c>
      <c r="L10" s="88">
        <f>COUNTIFS('02.08'!$E$15:$E$73,H10,'02.08'!$L$15:$L$73,"&gt;0")</f>
        <v>2</v>
      </c>
      <c r="M10" s="88">
        <f>SUMIF('09.08'!$E$15:$E$71,H10,'09.08'!$M$15:$M$71)</f>
        <v>40</v>
      </c>
      <c r="N10" s="88">
        <f>COUNTIFS('09.08'!$E$15:$E$71,H10,'09.08'!$L$15:$L$71,"&gt;0")</f>
        <v>2</v>
      </c>
      <c r="O10" s="88">
        <f>sumif('16.08 '!$E$15:$E$65,H10,'16.08 '!$M$15:$M$65)</f>
        <v>32</v>
      </c>
      <c r="P10" s="88">
        <f>COUNTIFs('16.08 '!$E$15:$E$65,H10,'16.08 '!$L$15:$L$65,"&gt;0")</f>
        <v>2</v>
      </c>
      <c r="Q10" s="88">
        <f>sumif('23.08'!$E$15:$E$62,H10,'23.08'!$M$15:$M$62)</f>
        <v>40</v>
      </c>
      <c r="R10" s="88">
        <f>COUNTIFS('23.08'!$M$15:$M$62,"&gt;0",'23.08'!$E$15:$E$62,H10)</f>
        <v>2</v>
      </c>
      <c r="S10" s="88">
        <f>SUMIF('30.08'!$E$15:$E$66,H10,'30.08'!$M$15:$M$66)</f>
        <v>40</v>
      </c>
      <c r="T10" s="88">
        <f>COUNTIFS('30.08'!$E$15:$E$66,H10,'30.08'!$M$15:$M$66,"&gt;0")</f>
        <v>2</v>
      </c>
      <c r="U10" s="88">
        <f>sumif('06.09'!$E$15:$E$66,H10,'06.09'!$M$15:$M$66)</f>
        <v>40</v>
      </c>
      <c r="V10" s="113">
        <f>COUNTIFS('06.09'!$E$15:$E$66,H10,'06.09'!$M$15:$M$66,"&gt;0")</f>
        <v>2</v>
      </c>
      <c r="W10" s="88">
        <f>SUMIF('13.09'!$E$15:$E$65,H10,'13.09'!$M$15:$M$65)</f>
        <v>40</v>
      </c>
      <c r="X10" s="113">
        <f>COUNTIFS('13.09'!$E$15:$E$65,H10,'13.09'!$M$15:$M$65,"&gt;0")</f>
        <v>2</v>
      </c>
      <c r="Y10" s="88">
        <f>SUMIF('20.09'!$E$15:$E$67,H10,'20.09'!$M$15:$M$67)</f>
        <v>40</v>
      </c>
      <c r="Z10" s="113">
        <f>COUNTIFS('20.09'!$E$15:$E$67,H10,'20.09'!$M$15:$M$67,"&gt;0")</f>
        <v>2</v>
      </c>
      <c r="AA10" s="88">
        <f>SUMIF('27.09'!$E$15:$E$68,H10,'27.09'!$M$15:$M$68)</f>
        <v>32</v>
      </c>
      <c r="AB10" s="113">
        <f>COUNTIFS('27.09'!$E$15:$E$68,H10,'27.09'!$M$15:$M$68,"&gt;0")</f>
        <v>2</v>
      </c>
      <c r="AC10" s="88">
        <f>SUMIF('04.10'!$E$15:$E$71,H10,'04.10'!$M$15:$M$71)</f>
        <v>28</v>
      </c>
      <c r="AD10" s="113">
        <f>COUNTIFS('04.10'!$E$15:$E$71,H10,'04.10'!$M$15:$M$71,"&gt;0")</f>
        <v>2</v>
      </c>
      <c r="AE10" s="88">
        <f>SUMIF('11.10'!$E$15:$E$76,H10,'11.10'!$M$15:$M$76)</f>
        <v>20</v>
      </c>
      <c r="AF10" s="113">
        <f>COUNTIFS('11.10'!$E$15:$E$76,H10,'11.10'!$L$15:$L$76,"&gt;0")</f>
        <v>1</v>
      </c>
      <c r="AG10" s="113">
        <f>SUMIF('18.10'!$E$15:$E$76,H10,'18.10'!$M$15:$M$76)</f>
        <v>20</v>
      </c>
      <c r="AH10" s="113">
        <f>COUNTIFS('18.10'!$E$15:$E$76,H10,'18.10'!$L$15:$L$76,"&gt;0")</f>
        <v>1</v>
      </c>
      <c r="AI10" s="113">
        <f>SUMIF('25.10'!$E$15:$E$78,H10,'25.10'!$M$15:$M$78)</f>
        <v>16</v>
      </c>
      <c r="AJ10" s="113">
        <f>COUNTIFS('25.10'!$E$15:$E$78,H10,'25.10'!$L$15:$L$78,"&gt;0")</f>
        <v>1</v>
      </c>
      <c r="AK10" s="113">
        <f>SUMIF('01.11'!$E$15:$E$77,H10,'01.11'!$M$15:$M$77)</f>
        <v>20</v>
      </c>
      <c r="AL10" s="113">
        <f>COUNTIFS('01.11'!$E$15:$E$77,H10,'01.11'!$M$15:$M$77,"&gt;0")</f>
        <v>1</v>
      </c>
      <c r="AM10" s="113">
        <f>SUMIF('08.11'!$E$15:$E$67,H10,'08.11'!$M$15:$M$67)</f>
        <v>20</v>
      </c>
      <c r="AN10" s="113">
        <f>COUNTIFS('08.11'!$E$15:$E$67,H10,'08.11'!$M$15:$M$67,"&gt;0")</f>
        <v>1</v>
      </c>
      <c r="AO10" s="113">
        <f>SUMIF('15.11'!$E$15:$E$71,H10,'15.11'!$M$15:$M$71)</f>
        <v>8</v>
      </c>
      <c r="AP10" s="113">
        <f>COUNTIFS('15.11'!$E$15:$E$71,H10,'15.11'!$M$15:$M$71,"&gt;0")</f>
        <v>1</v>
      </c>
      <c r="AQ10" s="113">
        <f>SUMIF('22.11'!$E$15:$E$78,H10,'22.11'!$M$15:$M$78)</f>
        <v>8</v>
      </c>
      <c r="AR10" s="113">
        <f>COUNTIFS('22.11'!$E$15:$E$78,H10,'22.11'!$M$15:$M$78,"&gt;0")</f>
        <v>1</v>
      </c>
      <c r="AS10" s="113">
        <f>SUMIF('29.11'!$E$15:$E$79,H10,'29.11'!$M$15:$M$79)</f>
        <v>8</v>
      </c>
      <c r="AT10" s="113">
        <f>COUNTIFS('29.11'!$E$15:$E$79,H10,'29.11'!$L$15:$L$79,"&gt;0")</f>
        <v>1</v>
      </c>
      <c r="AU10" s="113">
        <f>SUMIF('06.12'!$E$15:$E$82,H10,'06.12'!$M$15:$M$82)</f>
        <v>8</v>
      </c>
      <c r="AV10" s="113">
        <f>COUNTIFS('06.12'!$E$15:$E$82,H10,'06.12'!$M$15:$M$82,"&gt;0")</f>
        <v>1</v>
      </c>
      <c r="AW10" s="113">
        <f>SUMIF('13.12'!$E$15:$E$82,H10,'13.12'!$M$15:$M$82)</f>
        <v>8</v>
      </c>
      <c r="AX10" s="113">
        <f>COUNTIFS('13.12'!$E$15:$E$82,H10,'13.12'!$M$15:$M$82,"&gt;0")</f>
        <v>1</v>
      </c>
      <c r="AY10" s="113">
        <f>SUMIF('20.12'!$E$15:$E$84,H10,'20.12'!$M$15:$M$84)</f>
        <v>4</v>
      </c>
      <c r="AZ10" s="113">
        <f>COUNTIFS('20.12'!$E$15:$E$84,H10,'20.12'!$M$15:$M$84,"&gt;0")</f>
        <v>1</v>
      </c>
      <c r="BA10" s="113">
        <f>SUMIF('27.12'!$E$15:$E$84,H10,'27.12'!$M$15:$M$84)</f>
        <v>8</v>
      </c>
      <c r="BB10" s="113">
        <f>COUNTIFS('27.12'!$E$15:$E$84,H10,'27.12'!$M$15:$M$84,"&gt;0")</f>
        <v>1</v>
      </c>
      <c r="BC10" s="113">
        <f>SUMIF('03.01'!$E$15:$E$88,H10,'03.01'!$M$15:$M$88)</f>
        <v>8</v>
      </c>
      <c r="BD10" s="113">
        <f>COUNTIFS('03.01'!$E$15:$E$88,H10,'03.01'!$M$15:$M$88,"&gt;0")</f>
        <v>1</v>
      </c>
      <c r="BE10" s="113">
        <f>SUMIF('10.01'!$E$15:$E$91,H10,'10.01'!$M$15:$M$91)</f>
        <v>0</v>
      </c>
      <c r="BF10" s="113">
        <f>COUNTIFS('10.01'!$E$15:$E$91,H10,'10.01'!$M$15:$M$91,"&gt;0")</f>
        <v>0</v>
      </c>
      <c r="BG10" s="113">
        <f>SUMIF('17.01'!$E$15:$E$87,H10,'17.01'!$M$15:$M$87)</f>
        <v>0</v>
      </c>
      <c r="BH10" s="113">
        <f>COUNTIFS('17.01'!$E$15:$E$87,H10,'17.01'!$M$15:$M$87,"&gt;0")</f>
        <v>0</v>
      </c>
      <c r="BI10" s="113">
        <f>SUMIF('24.01'!$E$15:$E$86,H10,'24.01'!$M$15:$M$86)</f>
        <v>0</v>
      </c>
      <c r="BJ10" s="113">
        <f>COUNTIFS('24.01'!$E$15:$E$86,H10,'24.01'!$M$15:$M$86,"&gt;0")</f>
        <v>0</v>
      </c>
      <c r="BK10" s="113">
        <f>SUMIF('31.01'!$E$15:$E$75,H10,'31.01'!$M$15:$M$75)</f>
        <v>0</v>
      </c>
      <c r="BL10" s="113">
        <f>COUNTIFS('31.01'!$E$15:$E$75,H10,'31.01'!$M$15:$M$75,"&gt;0")</f>
        <v>0</v>
      </c>
      <c r="BM10" s="113">
        <f>SUMIF('07.02'!$E$15:$E$77,H10,'07.02'!$M$15:$M$77)</f>
        <v>0</v>
      </c>
      <c r="BN10" s="113">
        <f>COUNTIFS('07.02'!$E$15:$E$77,H10,'07.02'!$M$15:$M$77,"&gt;0")</f>
        <v>0</v>
      </c>
      <c r="BO10" s="113">
        <f>SUMIF('14.02'!$E$15:$E$81,H10,'14.02'!$M$15:$M$81)</f>
        <v>0</v>
      </c>
      <c r="BP10" s="113">
        <f>COUNTIFS('14.02'!$E$15:$E$81,H10,'14.02'!$M$15:$M$81,"&gt;0")</f>
        <v>0</v>
      </c>
      <c r="BQ10" s="113">
        <f>SUMIF('21.02'!$E$15:$E$82,H10,'21.02'!$M$15:$M$82)</f>
        <v>0</v>
      </c>
      <c r="BR10" s="113">
        <f>COUNTIFS('21.02'!$E$15:$E$82,H10,'21.02'!$M$15:$M$82,"&gt;0")</f>
        <v>0</v>
      </c>
      <c r="BS10" s="113"/>
      <c r="BT10" s="113"/>
      <c r="BU10" s="113"/>
      <c r="BV10" s="113"/>
      <c r="BW10" s="113"/>
      <c r="BX10" s="113"/>
      <c r="BY10" s="113"/>
      <c r="BZ10" s="113"/>
    </row>
    <row r="11">
      <c r="A11" s="181" t="s">
        <v>498</v>
      </c>
      <c r="B11" s="180">
        <f>S65</f>
        <v>662</v>
      </c>
      <c r="C11" s="148">
        <v>559.0</v>
      </c>
      <c r="D11" s="148">
        <v>363.0</v>
      </c>
      <c r="E11" s="180">
        <f>T65</f>
        <v>44</v>
      </c>
      <c r="F11" s="182">
        <f t="shared" si="1"/>
        <v>7.26</v>
      </c>
      <c r="H11" s="171" t="s">
        <v>410</v>
      </c>
      <c r="I11" s="88">
        <f>SUMIF('26.07'!$E$15:$E$74,H11,'26.07'!$M$15:$M$74)</f>
        <v>8</v>
      </c>
      <c r="J11" s="88">
        <f>COUNTIFS('26.07'!$E$15:$E$74,H11,'26.07'!$L$15:$L$74,"&gt;0")</f>
        <v>1</v>
      </c>
      <c r="K11" s="88">
        <f>SUMIF('02.08'!$E$15:$E$73,H11,'02.08'!$M$15:$M$73)</f>
        <v>8</v>
      </c>
      <c r="L11" s="88">
        <f>COUNTIFS('02.08'!$E$15:$E$73,H11,'02.08'!$L$15:$L$73,"&gt;0")</f>
        <v>1</v>
      </c>
      <c r="M11" s="88">
        <f>SUMIF('09.08'!$E$15:$E$71,H11,'09.08'!$M$15:$M$71)</f>
        <v>8</v>
      </c>
      <c r="N11" s="88">
        <f>COUNTIFS('09.08'!$E$15:$E$71,H11,'09.08'!$L$15:$L$71,"&gt;0")</f>
        <v>1</v>
      </c>
      <c r="O11" s="88">
        <f>sumif('16.08 '!$E$15:$E$65,H11,'16.08 '!$M$15:$M$65)</f>
        <v>8</v>
      </c>
      <c r="P11" s="88">
        <f>COUNTIFs('16.08 '!$E$15:$E$65,H11,'16.08 '!$L$15:$L$65,"&gt;0")</f>
        <v>1</v>
      </c>
      <c r="Q11" s="88">
        <f>sumif('23.08'!$E$15:$E$62,H11,'23.08'!$M$15:$M$62)</f>
        <v>8</v>
      </c>
      <c r="R11" s="88">
        <f>COUNTIFS('23.08'!$M$15:$M$62,"&gt;0",'23.08'!$E$15:$E$62,H11)</f>
        <v>1</v>
      </c>
      <c r="S11" s="88">
        <f>SUMIF('30.08'!$E$15:$E$66,H11,'30.08'!$M$15:$M$66)</f>
        <v>8</v>
      </c>
      <c r="T11" s="88">
        <f>COUNTIFS('30.08'!$E$15:$E$66,H11,'30.08'!$M$15:$M$66,"&gt;0")</f>
        <v>1</v>
      </c>
      <c r="U11" s="88">
        <f>sumif('06.09'!$E$15:$E$66,H11,'06.09'!$M$15:$M$66)</f>
        <v>8</v>
      </c>
      <c r="V11" s="113">
        <f>COUNTIFS('06.09'!$E$15:$E$66,H11,'06.09'!$M$15:$M$66,"&gt;0")</f>
        <v>1</v>
      </c>
      <c r="W11" s="88">
        <f>SUMIF('13.09'!$E$15:$E$65,H11,'13.09'!$M$15:$M$65)</f>
        <v>8</v>
      </c>
      <c r="X11" s="113">
        <f>COUNTIFS('13.09'!$E$15:$E$65,H11,'13.09'!$M$15:$M$65,"&gt;0")</f>
        <v>1</v>
      </c>
      <c r="Y11" s="88">
        <f>SUMIF('20.09'!$E$15:$E$67,H11,'20.09'!$M$15:$M$67)</f>
        <v>12</v>
      </c>
      <c r="Z11" s="113">
        <f>COUNTIFS('20.09'!$E$15:$E$67,H11,'20.09'!$M$15:$M$67,"&gt;0")</f>
        <v>1</v>
      </c>
      <c r="AA11" s="88">
        <f>SUMIF('27.09'!$E$15:$E$68,H11,'27.09'!$M$15:$M$68)</f>
        <v>0</v>
      </c>
      <c r="AB11" s="113">
        <f>COUNTIFS('27.09'!$E$15:$E$68,H11,'27.09'!$M$15:$M$68,"&gt;0")</f>
        <v>0</v>
      </c>
      <c r="AC11" s="88">
        <f>SUMIF('04.10'!$E$15:$E$71,H11,'04.10'!$M$15:$M$71)</f>
        <v>8</v>
      </c>
      <c r="AD11" s="113">
        <f>COUNTIFS('04.10'!$E$15:$E$71,H11,'04.10'!$M$15:$M$71,"&gt;0")</f>
        <v>1</v>
      </c>
      <c r="AE11" s="88">
        <f>SUMIF('11.10'!$E$15:$E$76,H11,'11.10'!$M$15:$M$76)</f>
        <v>28</v>
      </c>
      <c r="AF11" s="113">
        <f>COUNTIFS('11.10'!$E$15:$E$76,H11,'11.10'!$L$15:$L$76,"&gt;0")</f>
        <v>2</v>
      </c>
      <c r="AG11" s="113">
        <f>SUMIF('18.10'!$E$15:$E$76,H11,'18.10'!$M$15:$M$76)</f>
        <v>32</v>
      </c>
      <c r="AH11" s="113">
        <f>COUNTIFS('18.10'!$E$15:$E$76,H11,'18.10'!$L$15:$L$76,"&gt;0")</f>
        <v>2</v>
      </c>
      <c r="AI11" s="113">
        <f>SUMIF('25.10'!$E$15:$E$78,H11,'25.10'!$M$15:$M$78)</f>
        <v>32</v>
      </c>
      <c r="AJ11" s="113">
        <f>COUNTIFS('25.10'!$E$15:$E$78,H11,'25.10'!$L$15:$L$78,"&gt;0")</f>
        <v>2</v>
      </c>
      <c r="AK11" s="113">
        <f>SUMIF('01.11'!$E$15:$E$77,H11,'01.11'!$M$15:$M$77)</f>
        <v>16</v>
      </c>
      <c r="AL11" s="113">
        <f>COUNTIFS('01.11'!$E$15:$E$77,H11,'01.11'!$M$15:$M$77,"&gt;0")</f>
        <v>2</v>
      </c>
      <c r="AM11" s="113">
        <f>SUMIF('08.11'!$E$15:$E$67,H11,'08.11'!$M$15:$M$67)</f>
        <v>24</v>
      </c>
      <c r="AN11" s="113">
        <f>COUNTIFS('08.11'!$E$15:$E$67,H11,'08.11'!$M$15:$M$67,"&gt;0")</f>
        <v>2</v>
      </c>
      <c r="AO11" s="113">
        <f>SUMIF('15.11'!$E$15:$E$71,H11,'15.11'!$M$15:$M$71)</f>
        <v>24</v>
      </c>
      <c r="AP11" s="113">
        <f>COUNTIFS('15.11'!$E$15:$E$71,H11,'15.11'!$M$15:$M$71,"&gt;0")</f>
        <v>2</v>
      </c>
      <c r="AQ11" s="113">
        <f>SUMIF('22.11'!$E$15:$E$78,H11,'22.11'!$M$15:$M$78)</f>
        <v>20</v>
      </c>
      <c r="AR11" s="113">
        <f>COUNTIFS('22.11'!$E$15:$E$78,H11,'22.11'!$M$15:$M$78,"&gt;0")</f>
        <v>2</v>
      </c>
      <c r="AS11" s="113">
        <f>SUMIF('29.11'!$E$15:$E$79,H11,'29.11'!$M$15:$M$79)</f>
        <v>16</v>
      </c>
      <c r="AT11" s="113">
        <f>COUNTIFS('29.11'!$E$15:$E$79,H11,'29.11'!$L$15:$L$79,"&gt;0")</f>
        <v>1</v>
      </c>
      <c r="AU11" s="113">
        <f>SUMIF('06.12'!$E$15:$E$82,H11,'06.12'!$M$15:$M$82)</f>
        <v>24</v>
      </c>
      <c r="AV11" s="113">
        <f>COUNTIFS('06.12'!$E$15:$E$82,H11,'06.12'!$M$15:$M$82,"&gt;0")</f>
        <v>2</v>
      </c>
      <c r="AW11" s="113">
        <f>SUMIF('13.12'!$E$15:$E$82,H11,'13.12'!$M$15:$M$82)</f>
        <v>16</v>
      </c>
      <c r="AX11" s="113">
        <f>COUNTIFS('13.12'!$E$15:$E$82,H11,'13.12'!$M$15:$M$82,"&gt;0")</f>
        <v>1</v>
      </c>
      <c r="AY11" s="113">
        <f>SUMIF('20.12'!$E$15:$E$84,H11,'20.12'!$M$15:$M$84)</f>
        <v>28</v>
      </c>
      <c r="AZ11" s="113">
        <f>COUNTIFS('20.12'!$E$15:$E$84,H11,'20.12'!$M$15:$M$84,"&gt;0")</f>
        <v>2</v>
      </c>
      <c r="BA11" s="113">
        <f>SUMIF('27.12'!$E$15:$E$84,H11,'27.12'!$M$15:$M$84)</f>
        <v>28</v>
      </c>
      <c r="BB11" s="113">
        <f>COUNTIFS('27.12'!$E$15:$E$84,H11,'27.12'!$M$15:$M$84,"&gt;0")</f>
        <v>2</v>
      </c>
      <c r="BC11" s="113">
        <f>SUMIF('03.01'!$E$15:$E$88,H11,'03.01'!$M$15:$M$88)</f>
        <v>12</v>
      </c>
      <c r="BD11" s="113">
        <f>COUNTIFS('03.01'!$E$15:$E$88,H11,'03.01'!$M$15:$M$88,"&gt;0")</f>
        <v>1</v>
      </c>
      <c r="BE11" s="113">
        <f>SUMIF('10.01'!$E$15:$E$91,H11,'10.01'!$M$15:$M$91)</f>
        <v>4</v>
      </c>
      <c r="BF11" s="113">
        <f>COUNTIFS('10.01'!$E$15:$E$91,H11,'10.01'!$M$15:$M$91,"&gt;0")</f>
        <v>1</v>
      </c>
      <c r="BG11" s="113">
        <f>SUMIF('17.01'!$E$15:$E$87,H11,'17.01'!$M$15:$M$87)</f>
        <v>0</v>
      </c>
      <c r="BH11" s="113">
        <f>COUNTIFS('17.01'!$E$15:$E$87,H11,'17.01'!$M$15:$M$87,"&gt;0")</f>
        <v>0</v>
      </c>
      <c r="BI11" s="113">
        <f>SUMIF('24.01'!$E$15:$E$86,H11,'24.01'!$M$15:$M$86)</f>
        <v>0</v>
      </c>
      <c r="BJ11" s="113">
        <f>COUNTIFS('24.01'!$E$15:$E$86,H11,'24.01'!$M$15:$M$86,"&gt;0")</f>
        <v>0</v>
      </c>
      <c r="BK11" s="113">
        <f>SUMIF('31.01'!$E$15:$E$75,H11,'31.01'!$M$15:$M$75)</f>
        <v>0</v>
      </c>
      <c r="BL11" s="113">
        <f>COUNTIFS('31.01'!$E$15:$E$75,H11,'31.01'!$M$15:$M$75,"&gt;0")</f>
        <v>0</v>
      </c>
      <c r="BM11" s="113">
        <f>SUMIF('07.02'!$E$15:$E$77,H11,'07.02'!$M$15:$M$77)</f>
        <v>0</v>
      </c>
      <c r="BN11" s="113">
        <f>COUNTIFS('07.02'!$E$15:$E$77,H11,'07.02'!$M$15:$M$77,"&gt;0")</f>
        <v>0</v>
      </c>
      <c r="BO11" s="113">
        <f>SUMIF('14.02'!$E$15:$E$81,H11,'14.02'!$M$15:$M$81)</f>
        <v>0</v>
      </c>
      <c r="BP11" s="113">
        <f>COUNTIFS('14.02'!$E$15:$E$81,H11,'14.02'!$M$15:$M$81,"&gt;0")</f>
        <v>0</v>
      </c>
      <c r="BQ11" s="113">
        <f>SUMIF('21.02'!$E$15:$E$82,H11,'21.02'!$M$15:$M$82)</f>
        <v>0</v>
      </c>
      <c r="BR11" s="113">
        <f>COUNTIFS('21.02'!$E$15:$E$82,H11,'21.02'!$M$15:$M$82,"&gt;0")</f>
        <v>0</v>
      </c>
      <c r="BS11" s="113"/>
      <c r="BT11" s="113"/>
      <c r="BU11" s="113"/>
      <c r="BV11" s="113"/>
      <c r="BW11" s="113"/>
      <c r="BX11" s="113"/>
      <c r="BY11" s="113"/>
      <c r="BZ11" s="113"/>
    </row>
    <row r="12">
      <c r="A12" s="181" t="s">
        <v>140</v>
      </c>
      <c r="B12" s="180">
        <f>U65</f>
        <v>611</v>
      </c>
      <c r="C12" s="148">
        <v>587.0</v>
      </c>
      <c r="D12" s="148">
        <v>387.0</v>
      </c>
      <c r="E12" s="180">
        <f>V65</f>
        <v>43</v>
      </c>
      <c r="F12" s="182">
        <f t="shared" si="1"/>
        <v>7.74</v>
      </c>
      <c r="H12" s="171" t="s">
        <v>411</v>
      </c>
      <c r="I12" s="88">
        <f>SUMIF('26.07'!$E$15:$E$74,H12,'26.07'!$M$15:$M$74)</f>
        <v>20</v>
      </c>
      <c r="J12" s="88">
        <f>COUNTIFS('26.07'!$E$15:$E$74,H12,'26.07'!$L$15:$L$74,"&gt;0")</f>
        <v>2</v>
      </c>
      <c r="K12" s="88">
        <f>SUMIF('02.08'!$E$15:$E$73,H12,'02.08'!$M$15:$M$73)</f>
        <v>12</v>
      </c>
      <c r="L12" s="88">
        <f>COUNTIFS('02.08'!$E$15:$E$73,H12,'02.08'!$L$15:$L$73,"&gt;0")</f>
        <v>1</v>
      </c>
      <c r="M12" s="88">
        <f>SUMIF('09.08'!$E$15:$E$71,H12,'09.08'!$M$15:$M$71)</f>
        <v>12</v>
      </c>
      <c r="N12" s="88">
        <f>COUNTIFS('09.08'!$E$15:$E$71,H12,'09.08'!$L$15:$L$71,"&gt;0")</f>
        <v>1</v>
      </c>
      <c r="O12" s="88">
        <f>sumif('16.08 '!$E$15:$E$65,H12,'16.08 '!$M$15:$M$65)</f>
        <v>0</v>
      </c>
      <c r="P12" s="88">
        <f>COUNTIFs('16.08 '!$E$15:$E$65,H12,'16.08 '!$L$15:$L$65,"&gt;0")</f>
        <v>0</v>
      </c>
      <c r="Q12" s="88">
        <f>sumif('23.08'!$E$15:$E$62,H12,'23.08'!$M$15:$M$62)</f>
        <v>8</v>
      </c>
      <c r="R12" s="88">
        <f>COUNTIFS('23.08'!$M$15:$M$62,"&gt;0",'23.08'!$E$15:$E$62,H12)</f>
        <v>1</v>
      </c>
      <c r="S12" s="88">
        <f>SUMIF('30.08'!$E$15:$E$66,H12,'30.08'!$M$15:$M$66)</f>
        <v>0</v>
      </c>
      <c r="T12" s="88">
        <f>COUNTIFS('30.08'!$E$15:$E$66,H12,'30.08'!$M$15:$M$66,"&gt;0")</f>
        <v>0</v>
      </c>
      <c r="U12" s="88">
        <f>sumif('06.09'!$E$15:$E$66,H12,'06.09'!$M$15:$M$66)</f>
        <v>8</v>
      </c>
      <c r="V12" s="113">
        <f>COUNTIFS('06.09'!$E$15:$E$66,H12,'06.09'!$M$15:$M$66,"&gt;0")</f>
        <v>1</v>
      </c>
      <c r="W12" s="88">
        <f>SUMIF('13.09'!$E$15:$E$65,H12,'13.09'!$M$15:$M$65)</f>
        <v>12</v>
      </c>
      <c r="X12" s="113">
        <f>COUNTIFS('13.09'!$E$15:$E$65,H12,'13.09'!$M$15:$M$65,"&gt;0")</f>
        <v>2</v>
      </c>
      <c r="Y12" s="88">
        <f>SUMIF('20.09'!$E$15:$E$67,H12,'20.09'!$M$15:$M$67)</f>
        <v>24</v>
      </c>
      <c r="Z12" s="113">
        <f>COUNTIFS('20.09'!$E$15:$E$67,H12,'20.09'!$M$15:$M$67,"&gt;0")</f>
        <v>2</v>
      </c>
      <c r="AA12" s="88">
        <f>SUMIF('27.09'!$E$15:$E$68,H12,'27.09'!$M$15:$M$68)</f>
        <v>0</v>
      </c>
      <c r="AB12" s="113">
        <f>COUNTIFS('27.09'!$E$15:$E$68,H12,'27.09'!$M$15:$M$68,"&gt;0")</f>
        <v>0</v>
      </c>
      <c r="AC12" s="88">
        <f>SUMIF('04.10'!$E$15:$E$71,H12,'04.10'!$M$15:$M$71)</f>
        <v>8</v>
      </c>
      <c r="AD12" s="113">
        <f>COUNTIFS('04.10'!$E$15:$E$71,H12,'04.10'!$M$15:$M$71,"&gt;0")</f>
        <v>1</v>
      </c>
      <c r="AE12" s="88">
        <f>SUMIF('11.10'!$E$15:$E$76,H12,'11.10'!$M$15:$M$76)</f>
        <v>4</v>
      </c>
      <c r="AF12" s="113">
        <f>COUNTIFS('11.10'!$E$15:$E$76,H12,'11.10'!$L$15:$L$76,"&gt;0")</f>
        <v>1</v>
      </c>
      <c r="AG12" s="113">
        <f>SUMIF('18.10'!$E$15:$E$76,H12,'18.10'!$M$15:$M$76)</f>
        <v>8</v>
      </c>
      <c r="AH12" s="113">
        <f>COUNTIFS('18.10'!$E$15:$E$76,H12,'18.10'!$L$15:$L$76,"&gt;0")</f>
        <v>1</v>
      </c>
      <c r="AI12" s="113">
        <f>SUMIF('25.10'!$E$15:$E$78,H12,'25.10'!$M$15:$M$78)</f>
        <v>4</v>
      </c>
      <c r="AJ12" s="113">
        <f>COUNTIFS('25.10'!$E$15:$E$78,H12,'25.10'!$L$15:$L$78,"&gt;0")</f>
        <v>1</v>
      </c>
      <c r="AK12" s="113">
        <f>SUMIF('01.11'!$E$15:$E$77,H12,'01.11'!$M$15:$M$77)</f>
        <v>8</v>
      </c>
      <c r="AL12" s="113">
        <f>COUNTIFS('01.11'!$E$15:$E$77,H12,'01.11'!$M$15:$M$77,"&gt;0")</f>
        <v>1</v>
      </c>
      <c r="AM12" s="113">
        <f>SUMIF('08.11'!$E$15:$E$67,H12,'08.11'!$M$15:$M$67)</f>
        <v>8</v>
      </c>
      <c r="AN12" s="113">
        <f>COUNTIFS('08.11'!$E$15:$E$67,H12,'08.11'!$M$15:$M$67,"&gt;0")</f>
        <v>1</v>
      </c>
      <c r="AO12" s="113">
        <f>SUMIF('15.11'!$E$15:$E$71,H12,'15.11'!$M$15:$M$71)</f>
        <v>16</v>
      </c>
      <c r="AP12" s="113">
        <f>COUNTIFS('15.11'!$E$15:$E$71,H12,'15.11'!$M$15:$M$71,"&gt;0")</f>
        <v>1</v>
      </c>
      <c r="AQ12" s="113">
        <f>SUMIF('22.11'!$E$15:$E$78,H12,'22.11'!$M$15:$M$78)</f>
        <v>0</v>
      </c>
      <c r="AR12" s="113">
        <f>COUNTIFS('22.11'!$E$15:$E$78,H12,'22.11'!$M$15:$M$78,"&gt;0")</f>
        <v>0</v>
      </c>
      <c r="AS12" s="113">
        <f>SUMIF('29.11'!$E$15:$E$79,H12,'29.11'!$M$15:$M$79)</f>
        <v>12</v>
      </c>
      <c r="AT12" s="113">
        <f>COUNTIFS('29.11'!$E$15:$E$79,H12,'29.11'!$L$15:$L$79,"&gt;0")</f>
        <v>1</v>
      </c>
      <c r="AU12" s="113">
        <f>SUMIF('06.12'!$E$15:$E$82,H12,'06.12'!$M$15:$M$82)</f>
        <v>12</v>
      </c>
      <c r="AV12" s="113">
        <f>COUNTIFS('06.12'!$E$15:$E$82,H12,'06.12'!$M$15:$M$82,"&gt;0")</f>
        <v>1</v>
      </c>
      <c r="AW12" s="113">
        <f>SUMIF('13.12'!$E$15:$E$82,H12,'13.12'!$M$15:$M$82)</f>
        <v>12</v>
      </c>
      <c r="AX12" s="113">
        <f>COUNTIFS('13.12'!$E$15:$E$82,H12,'13.12'!$M$15:$M$82,"&gt;0")</f>
        <v>1</v>
      </c>
      <c r="AY12" s="113">
        <f>SUMIF('20.12'!$E$15:$E$84,H12,'20.12'!$M$15:$M$84)</f>
        <v>4</v>
      </c>
      <c r="AZ12" s="113">
        <f>COUNTIFS('20.12'!$E$15:$E$84,H12,'20.12'!$M$15:$M$84,"&gt;0")</f>
        <v>1</v>
      </c>
      <c r="BA12" s="113">
        <f>SUMIF('27.12'!$E$15:$E$84,H12,'27.12'!$M$15:$M$84)</f>
        <v>8</v>
      </c>
      <c r="BB12" s="113">
        <f>COUNTIFS('27.12'!$E$15:$E$84,H12,'27.12'!$M$15:$M$84,"&gt;0")</f>
        <v>1</v>
      </c>
      <c r="BC12" s="113">
        <f>SUMIF('03.01'!$E$15:$E$88,H12,'03.01'!$M$15:$M$88)</f>
        <v>4</v>
      </c>
      <c r="BD12" s="113">
        <f>COUNTIFS('03.01'!$E$15:$E$88,H12,'03.01'!$M$15:$M$88,"&gt;0")</f>
        <v>1</v>
      </c>
      <c r="BE12" s="113">
        <f>SUMIF('10.01'!$E$15:$E$91,H12,'10.01'!$M$15:$M$91)</f>
        <v>12</v>
      </c>
      <c r="BF12" s="113">
        <f>COUNTIFS('10.01'!$E$15:$E$91,H12,'10.01'!$M$15:$M$91,"&gt;0")</f>
        <v>2</v>
      </c>
      <c r="BG12" s="113">
        <f>SUMIF('17.01'!$E$15:$E$87,H12,'17.01'!$M$15:$M$87)</f>
        <v>8</v>
      </c>
      <c r="BH12" s="113">
        <f>COUNTIFS('17.01'!$E$15:$E$87,H12,'17.01'!$M$15:$M$87,"&gt;0")</f>
        <v>2</v>
      </c>
      <c r="BI12" s="113">
        <f>SUMIF('24.01'!$E$15:$E$86,H12,'24.01'!$M$15:$M$86)</f>
        <v>0</v>
      </c>
      <c r="BJ12" s="113">
        <f>COUNTIFS('24.01'!$E$15:$E$86,H12,'24.01'!$M$15:$M$86,"&gt;0")</f>
        <v>0</v>
      </c>
      <c r="BK12" s="113">
        <f>SUMIF('31.01'!$E$15:$E$75,H12,'31.01'!$M$15:$M$75)</f>
        <v>8</v>
      </c>
      <c r="BL12" s="113">
        <f>COUNTIFS('31.01'!$E$15:$E$75,H12,'31.01'!$M$15:$M$75,"&gt;0")</f>
        <v>1</v>
      </c>
      <c r="BM12" s="113">
        <f>SUMIF('07.02'!$E$15:$E$77,H12,'07.02'!$M$15:$M$77)</f>
        <v>4</v>
      </c>
      <c r="BN12" s="113">
        <f>COUNTIFS('07.02'!$E$15:$E$77,H12,'07.02'!$M$15:$M$77,"&gt;0")</f>
        <v>1</v>
      </c>
      <c r="BO12" s="113">
        <f>SUMIF('14.02'!$E$15:$E$81,H12,'14.02'!$M$15:$M$81)</f>
        <v>0</v>
      </c>
      <c r="BP12" s="113">
        <f>COUNTIFS('14.02'!$E$15:$E$81,H12,'14.02'!$M$15:$M$81,"&gt;0")</f>
        <v>0</v>
      </c>
      <c r="BQ12" s="113">
        <f>SUMIF('21.02'!$E$15:$E$82,H12,'21.02'!$M$15:$M$82)</f>
        <v>8</v>
      </c>
      <c r="BR12" s="113">
        <f>COUNTIFS('21.02'!$E$15:$E$82,H12,'21.02'!$M$15:$M$82,"&gt;0")</f>
        <v>2</v>
      </c>
      <c r="BS12" s="113"/>
      <c r="BT12" s="113"/>
      <c r="BU12" s="113"/>
      <c r="BV12" s="113"/>
      <c r="BW12" s="113"/>
      <c r="BX12" s="113"/>
      <c r="BY12" s="113"/>
      <c r="BZ12" s="113"/>
    </row>
    <row r="13">
      <c r="A13" s="181" t="s">
        <v>142</v>
      </c>
      <c r="B13" s="180">
        <v>598.0</v>
      </c>
      <c r="C13" s="148">
        <v>461.0</v>
      </c>
      <c r="D13" s="148">
        <v>274.0</v>
      </c>
      <c r="E13" s="180">
        <f>X65</f>
        <v>43</v>
      </c>
      <c r="F13" s="182">
        <f t="shared" si="1"/>
        <v>5.48</v>
      </c>
      <c r="H13" s="171" t="s">
        <v>413</v>
      </c>
      <c r="I13" s="88">
        <f>SUMIF('26.07'!$E$15:$E$74,H13,'26.07'!$M$15:$M$74)</f>
        <v>0</v>
      </c>
      <c r="J13" s="88">
        <f>COUNTIFS('26.07'!$E$15:$E$74,H13,'26.07'!$L$15:$L$74,"&gt;0")</f>
        <v>0</v>
      </c>
      <c r="K13" s="88">
        <f>SUMIF('02.08'!$E$15:$E$73,H13,'02.08'!$M$15:$M$73)</f>
        <v>0</v>
      </c>
      <c r="L13" s="88">
        <f>COUNTIFS('02.08'!$E$15:$E$73,H13,'02.08'!$L$15:$L$73,"&gt;0")</f>
        <v>0</v>
      </c>
      <c r="M13" s="88">
        <f>SUMIF('09.08'!$E$15:$E$71,H13,'09.08'!$M$15:$M$71)</f>
        <v>0</v>
      </c>
      <c r="N13" s="88">
        <f>COUNTIFS('09.08'!$E$15:$E$71,H13,'09.08'!$L$15:$L$71,"&gt;0")</f>
        <v>0</v>
      </c>
      <c r="O13" s="88">
        <f>sumif('16.08 '!$E$15:$E$65,H13,'16.08 '!$M$15:$M$65)</f>
        <v>0</v>
      </c>
      <c r="P13" s="88">
        <f>COUNTIFs('16.08 '!$E$15:$E$65,H13,'16.08 '!$L$15:$L$65,"&gt;0")</f>
        <v>0</v>
      </c>
      <c r="Q13" s="88">
        <f>sumif('23.08'!$E$15:$E$62,H13,'23.08'!$M$15:$M$62)</f>
        <v>0</v>
      </c>
      <c r="R13" s="88">
        <f>COUNTIFS('23.08'!$M$15:$M$62,"&gt;0",'23.08'!$E$15:$E$62,H13)</f>
        <v>0</v>
      </c>
      <c r="S13" s="88">
        <f>SUMIF('30.08'!$E$15:$E$66,H13,'30.08'!$M$15:$M$66)</f>
        <v>0</v>
      </c>
      <c r="T13" s="88">
        <f>COUNTIFS('30.08'!$E$15:$E$66,H13,'30.08'!$M$15:$M$66,"&gt;0")</f>
        <v>0</v>
      </c>
      <c r="U13" s="88">
        <f>sumif('06.09'!$E$15:$E$66,H13,'06.09'!$M$15:$M$66)</f>
        <v>0</v>
      </c>
      <c r="V13" s="113">
        <f>COUNTIFS('06.09'!$E$15:$E$66,H13,'06.09'!$M$15:$M$66,"&gt;0")</f>
        <v>0</v>
      </c>
      <c r="W13" s="88">
        <f>SUMIF('13.09'!$E$15:$E$65,H13,'13.09'!$M$15:$M$65)</f>
        <v>0</v>
      </c>
      <c r="X13" s="113">
        <f>COUNTIFS('13.09'!$E$15:$E$65,H13,'13.09'!$M$15:$M$65,"&gt;0")</f>
        <v>0</v>
      </c>
      <c r="Y13" s="88">
        <f>SUMIF('20.09'!$E$15:$E$67,H13,'20.09'!$M$15:$M$67)</f>
        <v>0</v>
      </c>
      <c r="Z13" s="113">
        <f>COUNTIFS('20.09'!$E$15:$E$67,H13,'20.09'!$M$15:$M$67,"&gt;0")</f>
        <v>0</v>
      </c>
      <c r="AA13" s="88">
        <f>SUMIF('27.09'!$E$15:$E$68,H13,'27.09'!$M$15:$M$68)</f>
        <v>0</v>
      </c>
      <c r="AB13" s="113">
        <f>COUNTIFS('27.09'!$E$15:$E$68,H13,'27.09'!$M$15:$M$68,"&gt;0")</f>
        <v>0</v>
      </c>
      <c r="AC13" s="88">
        <f>SUMIF('04.10'!$E$15:$E$71,H13,'04.10'!$M$15:$M$71)</f>
        <v>0</v>
      </c>
      <c r="AD13" s="113">
        <f>COUNTIFS('04.10'!$E$15:$E$71,H13,'04.10'!$M$15:$M$71,"&gt;0")</f>
        <v>0</v>
      </c>
      <c r="AE13" s="88">
        <f>SUMIF('11.10'!$E$15:$E$76,H13,'11.10'!$M$15:$M$76)</f>
        <v>0</v>
      </c>
      <c r="AF13" s="113">
        <f>COUNTIFS('11.10'!$E$15:$E$76,H13,'11.10'!$L$15:$L$76,"&gt;0")</f>
        <v>0</v>
      </c>
      <c r="AG13" s="113">
        <f>SUMIF('18.10'!$E$15:$E$76,H13,'18.10'!$M$15:$M$76)</f>
        <v>0</v>
      </c>
      <c r="AH13" s="113">
        <f>COUNTIFS('18.10'!$E$15:$E$76,H13,'18.10'!$L$15:$L$76,"&gt;0")</f>
        <v>0</v>
      </c>
      <c r="AI13" s="113">
        <f>SUMIF('25.10'!$E$15:$E$78,H13,'25.10'!$M$15:$M$78)</f>
        <v>0</v>
      </c>
      <c r="AJ13" s="113">
        <f>COUNTIFS('25.10'!$E$15:$E$78,H13,'25.10'!$L$15:$L$78,"&gt;0")</f>
        <v>0</v>
      </c>
      <c r="AK13" s="113">
        <f>SUMIF('01.11'!$E$15:$E$77,H13,'01.11'!$M$15:$M$77)</f>
        <v>0</v>
      </c>
      <c r="AL13" s="113">
        <f>COUNTIFS('01.11'!$E$15:$E$77,H13,'01.11'!$M$15:$M$77,"&gt;0")</f>
        <v>0</v>
      </c>
      <c r="AM13" s="113">
        <f>SUMIF('08.11'!$E$15:$E$67,H13,'08.11'!$M$15:$M$67)</f>
        <v>0</v>
      </c>
      <c r="AN13" s="113">
        <f>COUNTIFS('08.11'!$E$15:$E$67,H13,'08.11'!$M$15:$M$67,"&gt;0")</f>
        <v>0</v>
      </c>
      <c r="AO13" s="113">
        <f>SUMIF('15.11'!$E$15:$E$71,H13,'15.11'!$M$15:$M$71)</f>
        <v>8</v>
      </c>
      <c r="AP13" s="113">
        <f>COUNTIFS('15.11'!$E$15:$E$71,H13,'15.11'!$M$15:$M$71,"&gt;0")</f>
        <v>1</v>
      </c>
      <c r="AQ13" s="113">
        <f>SUMIF('22.11'!$E$15:$E$78,H13,'22.11'!$M$15:$M$78)</f>
        <v>4</v>
      </c>
      <c r="AR13" s="113">
        <f>COUNTIFS('22.11'!$E$15:$E$78,H13,'22.11'!$M$15:$M$78,"&gt;0")</f>
        <v>1</v>
      </c>
      <c r="AS13" s="113">
        <f>SUMIF('29.11'!$E$15:$E$79,H13,'29.11'!$M$15:$M$79)</f>
        <v>12</v>
      </c>
      <c r="AT13" s="113">
        <f>COUNTIFS('29.11'!$E$15:$E$79,H13,'29.11'!$L$15:$L$79,"&gt;0")</f>
        <v>1</v>
      </c>
      <c r="AU13" s="113">
        <f>SUMIF('06.12'!$E$15:$E$82,H13,'06.12'!$M$15:$M$82)</f>
        <v>0</v>
      </c>
      <c r="AV13" s="113">
        <f>COUNTIFS('06.12'!$E$15:$E$82,H13,'06.12'!$M$15:$M$82,"&gt;0")</f>
        <v>0</v>
      </c>
      <c r="AW13" s="113">
        <f>SUMIF('13.12'!$E$15:$E$82,H13,'13.12'!$M$15:$M$82)</f>
        <v>0</v>
      </c>
      <c r="AX13" s="113">
        <f>COUNTIFS('13.12'!$E$15:$E$82,H13,'13.12'!$M$15:$M$82,"&gt;0")</f>
        <v>0</v>
      </c>
      <c r="AY13" s="113">
        <f>SUMIF('20.12'!$E$15:$E$84,H13,'20.12'!$M$15:$M$84)</f>
        <v>0</v>
      </c>
      <c r="AZ13" s="113">
        <f>COUNTIFS('20.12'!$E$15:$E$84,H13,'20.12'!$M$15:$M$84,"&gt;0")</f>
        <v>0</v>
      </c>
      <c r="BA13" s="113">
        <f>SUMIF('27.12'!$E$15:$E$84,H13,'27.12'!$M$15:$M$84)</f>
        <v>0</v>
      </c>
      <c r="BB13" s="113">
        <f>COUNTIFS('27.12'!$E$15:$E$84,H13,'27.12'!$M$15:$M$84,"&gt;0")</f>
        <v>0</v>
      </c>
      <c r="BC13" s="113">
        <f>SUMIF('03.01'!$E$15:$E$88,H13,'03.01'!$M$15:$M$88)</f>
        <v>0</v>
      </c>
      <c r="BD13" s="113">
        <f>COUNTIFS('03.01'!$E$15:$E$88,H13,'03.01'!$M$15:$M$88,"&gt;0")</f>
        <v>0</v>
      </c>
      <c r="BE13" s="113">
        <f>SUMIF('10.01'!$E$15:$E$91,H13,'10.01'!$M$15:$M$91)</f>
        <v>0</v>
      </c>
      <c r="BF13" s="113">
        <f>COUNTIFS('10.01'!$E$15:$E$91,H13,'10.01'!$M$15:$M$91,"&gt;0")</f>
        <v>0</v>
      </c>
      <c r="BG13" s="113">
        <f>SUMIF('17.01'!$E$15:$E$87,H13,'17.01'!$M$15:$M$87)</f>
        <v>0</v>
      </c>
      <c r="BH13" s="113">
        <f>COUNTIFS('17.01'!$E$15:$E$87,H13,'17.01'!$M$15:$M$87,"&gt;0")</f>
        <v>0</v>
      </c>
      <c r="BI13" s="113">
        <f>SUMIF('24.01'!$E$15:$E$86,H13,'24.01'!$M$15:$M$86)</f>
        <v>0</v>
      </c>
      <c r="BJ13" s="113">
        <f>COUNTIFS('24.01'!$E$15:$E$86,H13,'24.01'!$M$15:$M$86,"&gt;0")</f>
        <v>0</v>
      </c>
      <c r="BK13" s="113">
        <f>SUMIF('31.01'!$E$15:$E$75,H13,'31.01'!$M$15:$M$75)</f>
        <v>0</v>
      </c>
      <c r="BL13" s="113">
        <f>COUNTIFS('31.01'!$E$15:$E$75,H13,'31.01'!$M$15:$M$75,"&gt;0")</f>
        <v>0</v>
      </c>
      <c r="BM13" s="113">
        <f>SUMIF('07.02'!$E$15:$E$77,H13,'07.02'!$M$15:$M$77)</f>
        <v>20</v>
      </c>
      <c r="BN13" s="113">
        <f>COUNTIFS('07.02'!$E$15:$E$77,H13,'07.02'!$M$15:$M$77,"&gt;0")</f>
        <v>1</v>
      </c>
      <c r="BO13" s="113">
        <f>SUMIF('14.02'!$E$15:$E$81,H13,'14.02'!$M$15:$M$81)</f>
        <v>12</v>
      </c>
      <c r="BP13" s="113">
        <f>COUNTIFS('14.02'!$E$15:$E$81,H13,'14.02'!$M$15:$M$81,"&gt;0")</f>
        <v>1</v>
      </c>
      <c r="BQ13" s="113">
        <f>SUMIF('21.02'!$E$15:$E$82,H13,'21.02'!$M$15:$M$82)</f>
        <v>20</v>
      </c>
      <c r="BR13" s="113">
        <f>COUNTIFS('21.02'!$E$15:$E$82,H13,'21.02'!$M$15:$M$82,"&gt;0")</f>
        <v>1</v>
      </c>
      <c r="BS13" s="113"/>
      <c r="BT13" s="113"/>
      <c r="BU13" s="113"/>
      <c r="BV13" s="113"/>
      <c r="BW13" s="113"/>
      <c r="BX13" s="113"/>
      <c r="BY13" s="113"/>
      <c r="BZ13" s="113"/>
    </row>
    <row r="14">
      <c r="A14" s="181" t="s">
        <v>149</v>
      </c>
      <c r="B14" s="180">
        <f>Y65</f>
        <v>608</v>
      </c>
      <c r="C14" s="148">
        <v>578.0</v>
      </c>
      <c r="D14" s="148">
        <v>374.0</v>
      </c>
      <c r="E14" s="180">
        <f>Z65</f>
        <v>40</v>
      </c>
      <c r="F14" s="182">
        <f t="shared" si="1"/>
        <v>7.48</v>
      </c>
      <c r="H14" s="171" t="s">
        <v>412</v>
      </c>
      <c r="I14" s="88">
        <f>SUMIF('26.07'!$E$15:$E$74,H14,'26.07'!$M$15:$M$74)</f>
        <v>0</v>
      </c>
      <c r="J14" s="88">
        <f>COUNTIFS('26.07'!$E$15:$E$74,H14,'26.07'!$L$15:$L$74,"&gt;0")</f>
        <v>0</v>
      </c>
      <c r="K14" s="88">
        <f>SUMIF('02.08'!$E$15:$E$73,H14,'02.08'!$M$15:$M$73)</f>
        <v>0</v>
      </c>
      <c r="L14" s="88">
        <f>COUNTIFS('02.08'!$E$15:$E$73,H14,'02.08'!$L$15:$L$73,"&gt;0")</f>
        <v>0</v>
      </c>
      <c r="M14" s="88">
        <f>SUMIF('09.08'!$E$15:$E$71,H14,'09.08'!$M$15:$M$71)</f>
        <v>0</v>
      </c>
      <c r="N14" s="88">
        <f>COUNTIFS('09.08'!$E$15:$E$71,H14,'09.08'!$L$15:$L$71,"&gt;0")</f>
        <v>0</v>
      </c>
      <c r="O14" s="88">
        <f>sumif('16.08 '!$E$15:$E$65,H14,'16.08 '!$M$15:$M$65)</f>
        <v>0</v>
      </c>
      <c r="P14" s="88">
        <f>COUNTIFs('16.08 '!$E$15:$E$65,H14,'16.08 '!$L$15:$L$65,"&gt;0")</f>
        <v>0</v>
      </c>
      <c r="Q14" s="88">
        <f>sumif('23.08'!$E$15:$E$62,H14,'23.08'!$M$15:$M$62)</f>
        <v>0</v>
      </c>
      <c r="R14" s="88">
        <f>COUNTIFS('23.08'!$M$15:$M$62,"&gt;0",'23.08'!$E$15:$E$62,H14)</f>
        <v>0</v>
      </c>
      <c r="S14" s="88">
        <f>SUMIF('30.08'!$E$15:$E$66,H14,'30.08'!$M$15:$M$66)</f>
        <v>0</v>
      </c>
      <c r="T14" s="88">
        <f>COUNTIFS('30.08'!$E$15:$E$66,H14,'30.08'!$M$15:$M$66,"&gt;0")</f>
        <v>0</v>
      </c>
      <c r="U14" s="88">
        <f>sumif('06.09'!$E$15:$E$66,H14,'06.09'!$M$15:$M$66)</f>
        <v>0</v>
      </c>
      <c r="V14" s="113">
        <f>COUNTIFS('06.09'!$E$15:$E$66,H14,'06.09'!$M$15:$M$66,"&gt;0")</f>
        <v>0</v>
      </c>
      <c r="W14" s="88">
        <f>SUMIF('13.09'!$E$15:$E$65,H14,'13.09'!$M$15:$M$65)</f>
        <v>0</v>
      </c>
      <c r="X14" s="113">
        <f>COUNTIFS('13.09'!$E$15:$E$65,H14,'13.09'!$M$15:$M$65,"&gt;0")</f>
        <v>0</v>
      </c>
      <c r="Y14" s="88">
        <f>SUMIF('20.09'!$E$15:$E$67,H14,'20.09'!$M$15:$M$67)</f>
        <v>0</v>
      </c>
      <c r="Z14" s="113">
        <f>COUNTIFS('20.09'!$E$15:$E$67,H14,'20.09'!$M$15:$M$67,"&gt;0")</f>
        <v>0</v>
      </c>
      <c r="AA14" s="88">
        <f>SUMIF('27.09'!$E$15:$E$68,H14,'27.09'!$M$15:$M$68)</f>
        <v>0</v>
      </c>
      <c r="AB14" s="113">
        <f>COUNTIFS('27.09'!$E$15:$E$68,H14,'27.09'!$M$15:$M$68,"&gt;0")</f>
        <v>0</v>
      </c>
      <c r="AC14" s="88">
        <f>SUMIF('04.10'!$E$15:$E$71,H14,'04.10'!$M$15:$M$71)</f>
        <v>0</v>
      </c>
      <c r="AD14" s="113">
        <f>COUNTIFS('04.10'!$E$15:$E$71,H14,'04.10'!$M$15:$M$71,"&gt;0")</f>
        <v>0</v>
      </c>
      <c r="AE14" s="88">
        <f>SUMIF('11.10'!$E$15:$E$76,H14,'11.10'!$M$15:$M$76)</f>
        <v>16</v>
      </c>
      <c r="AF14" s="113">
        <f>COUNTIFS('11.10'!$E$15:$E$76,H14,'11.10'!$L$15:$L$76,"&gt;0")</f>
        <v>1</v>
      </c>
      <c r="AG14" s="113">
        <f>SUMIF('18.10'!$E$15:$E$76,H14,'18.10'!$M$15:$M$76)</f>
        <v>16</v>
      </c>
      <c r="AH14" s="113">
        <f>COUNTIFS('18.10'!$E$15:$E$76,H14,'18.10'!$L$15:$L$76,"&gt;0")</f>
        <v>1</v>
      </c>
      <c r="AI14" s="113">
        <f>SUMIF('25.10'!$E$15:$E$78,H14,'25.10'!$M$15:$M$78)</f>
        <v>12</v>
      </c>
      <c r="AJ14" s="113">
        <f>COUNTIFS('25.10'!$E$15:$E$78,H14,'25.10'!$L$15:$L$78,"&gt;0")</f>
        <v>1</v>
      </c>
      <c r="AK14" s="113">
        <f>SUMIF('01.11'!$E$15:$E$77,H14,'01.11'!$M$15:$M$77)</f>
        <v>20</v>
      </c>
      <c r="AL14" s="113">
        <f>COUNTIFS('01.11'!$E$15:$E$77,H14,'01.11'!$M$15:$M$77,"&gt;0")</f>
        <v>1</v>
      </c>
      <c r="AM14" s="113">
        <f>SUMIF('08.11'!$E$15:$E$67,H14,'08.11'!$M$15:$M$67)</f>
        <v>16</v>
      </c>
      <c r="AN14" s="113">
        <f>COUNTIFS('08.11'!$E$15:$E$67,H14,'08.11'!$M$15:$M$67,"&gt;0")</f>
        <v>1</v>
      </c>
      <c r="AO14" s="113">
        <f>SUMIF('15.11'!$E$15:$E$71,H14,'15.11'!$M$15:$M$71)</f>
        <v>20</v>
      </c>
      <c r="AP14" s="113">
        <f>COUNTIFS('15.11'!$E$15:$E$71,H14,'15.11'!$M$15:$M$71,"&gt;0")</f>
        <v>1</v>
      </c>
      <c r="AQ14" s="113">
        <f>SUMIF('22.11'!$E$15:$E$78,H14,'22.11'!$M$15:$M$78)</f>
        <v>16</v>
      </c>
      <c r="AR14" s="113">
        <f>COUNTIFS('22.11'!$E$15:$E$78,H14,'22.11'!$M$15:$M$78,"&gt;0")</f>
        <v>1</v>
      </c>
      <c r="AS14" s="113">
        <f>SUMIF('29.11'!$E$15:$E$79,H14,'29.11'!$M$15:$M$79)</f>
        <v>16</v>
      </c>
      <c r="AT14" s="113">
        <f>COUNTIFS('29.11'!$E$15:$E$79,H14,'29.11'!$L$15:$L$79,"&gt;0")</f>
        <v>1</v>
      </c>
      <c r="AU14" s="113">
        <f>SUMIF('06.12'!$E$15:$E$82,H14,'06.12'!$M$15:$M$82)</f>
        <v>12</v>
      </c>
      <c r="AV14" s="113">
        <f>COUNTIFS('06.12'!$E$15:$E$82,H14,'06.12'!$M$15:$M$82,"&gt;0")</f>
        <v>1</v>
      </c>
      <c r="AW14" s="113">
        <f>SUMIF('13.12'!$E$15:$E$82,H14,'13.12'!$M$15:$M$82)</f>
        <v>16</v>
      </c>
      <c r="AX14" s="113">
        <f>COUNTIFS('13.12'!$E$15:$E$82,H14,'13.12'!$M$15:$M$82,"&gt;0")</f>
        <v>1</v>
      </c>
      <c r="AY14" s="113">
        <f>SUMIF('20.12'!$E$15:$E$84,H14,'20.12'!$M$15:$M$84)</f>
        <v>16</v>
      </c>
      <c r="AZ14" s="113">
        <f>COUNTIFS('20.12'!$E$15:$E$84,H14,'20.12'!$M$15:$M$84,"&gt;0")</f>
        <v>1</v>
      </c>
      <c r="BA14" s="113">
        <f>SUMIF('27.12'!$E$15:$E$84,H14,'27.12'!$M$15:$M$84)</f>
        <v>12</v>
      </c>
      <c r="BB14" s="113">
        <f>COUNTIFS('27.12'!$E$15:$E$84,H14,'27.12'!$M$15:$M$84,"&gt;0")</f>
        <v>1</v>
      </c>
      <c r="BC14" s="113">
        <f>SUMIF('03.01'!$E$15:$E$88,H14,'03.01'!$M$15:$M$88)</f>
        <v>16</v>
      </c>
      <c r="BD14" s="113">
        <f>COUNTIFS('03.01'!$E$15:$E$88,H14,'03.01'!$M$15:$M$88,"&gt;0")</f>
        <v>1</v>
      </c>
      <c r="BE14" s="113">
        <f>SUMIF('10.01'!$E$15:$E$91,H14,'10.01'!$M$15:$M$91)</f>
        <v>16</v>
      </c>
      <c r="BF14" s="113">
        <f>COUNTIFS('10.01'!$E$15:$E$91,H14,'10.01'!$M$15:$M$91,"&gt;0")</f>
        <v>1</v>
      </c>
      <c r="BG14" s="113">
        <f>SUMIF('17.01'!$E$15:$E$87,H14,'17.01'!$M$15:$M$87)</f>
        <v>12</v>
      </c>
      <c r="BH14" s="113">
        <f>COUNTIFS('17.01'!$E$15:$E$87,H14,'17.01'!$M$15:$M$87,"&gt;0")</f>
        <v>1</v>
      </c>
      <c r="BI14" s="113">
        <f>SUMIF('24.01'!$E$15:$E$86,H14,'24.01'!$M$15:$M$86)</f>
        <v>8</v>
      </c>
      <c r="BJ14" s="113">
        <f>COUNTIFS('24.01'!$E$15:$E$86,H14,'24.01'!$M$15:$M$86,"&gt;0")</f>
        <v>1</v>
      </c>
      <c r="BK14" s="113">
        <f>SUMIF('31.01'!$E$15:$E$75,H14,'31.01'!$M$15:$M$75)</f>
        <v>0</v>
      </c>
      <c r="BL14" s="113">
        <f>COUNTIFS('31.01'!$E$15:$E$75,H14,'31.01'!$M$15:$M$75,"&gt;0")</f>
        <v>0</v>
      </c>
      <c r="BM14" s="113">
        <f>SUMIF('07.02'!$E$15:$E$77,H14,'07.02'!$M$15:$M$77)</f>
        <v>16</v>
      </c>
      <c r="BN14" s="113">
        <f>COUNTIFS('07.02'!$E$15:$E$77,H14,'07.02'!$M$15:$M$77,"&gt;0")</f>
        <v>1</v>
      </c>
      <c r="BO14" s="113">
        <f>SUMIF('14.02'!$E$15:$E$81,H14,'14.02'!$M$15:$M$81)</f>
        <v>0</v>
      </c>
      <c r="BP14" s="113">
        <f>COUNTIFS('14.02'!$E$15:$E$81,H14,'14.02'!$M$15:$M$81,"&gt;0")</f>
        <v>0</v>
      </c>
      <c r="BQ14" s="113">
        <f>SUMIF('21.02'!$E$15:$E$82,H14,'21.02'!$M$15:$M$82)</f>
        <v>12</v>
      </c>
      <c r="BR14" s="113">
        <f>COUNTIFS('21.02'!$E$15:$E$82,H14,'21.02'!$M$15:$M$82,"&gt;0")</f>
        <v>1</v>
      </c>
      <c r="BS14" s="113"/>
      <c r="BT14" s="113"/>
      <c r="BU14" s="113"/>
      <c r="BV14" s="113"/>
      <c r="BW14" s="113"/>
      <c r="BX14" s="113"/>
      <c r="BY14" s="113"/>
      <c r="BZ14" s="113"/>
    </row>
    <row r="15">
      <c r="A15" s="148" t="s">
        <v>499</v>
      </c>
      <c r="B15" s="180">
        <f>AA65</f>
        <v>510</v>
      </c>
      <c r="C15" s="148">
        <v>470.0</v>
      </c>
      <c r="D15" s="148">
        <v>325.0</v>
      </c>
      <c r="E15" s="180">
        <f>AB65</f>
        <v>35</v>
      </c>
      <c r="F15" s="182">
        <f t="shared" si="1"/>
        <v>6.5</v>
      </c>
      <c r="H15" s="171" t="s">
        <v>426</v>
      </c>
      <c r="I15" s="88">
        <f>SUMIF('26.07'!$E$15:$E$74,H15,'26.07'!$M$15:$M$74)</f>
        <v>16</v>
      </c>
      <c r="J15" s="88">
        <f>COUNTIFS('26.07'!$E$15:$E$74,H15,'26.07'!$L$15:$L$74,"&gt;0")</f>
        <v>1</v>
      </c>
      <c r="K15" s="88">
        <f>SUMIF('02.08'!$E$15:$E$73,H15,'02.08'!$M$15:$M$73)</f>
        <v>12</v>
      </c>
      <c r="L15" s="88">
        <f>COUNTIFS('02.08'!$E$15:$E$73,H15,'02.08'!$L$15:$L$73,"&gt;0")</f>
        <v>1</v>
      </c>
      <c r="M15" s="88">
        <f>SUMIF('09.08'!$E$15:$E$71,H15,'09.08'!$M$15:$M$71)</f>
        <v>20</v>
      </c>
      <c r="N15" s="88">
        <f>COUNTIFS('09.08'!$E$15:$E$71,H15,'09.08'!$L$15:$L$71,"&gt;0")</f>
        <v>1</v>
      </c>
      <c r="O15" s="88">
        <f>sumif('16.08 '!$E$15:$E$65,H15,'16.08 '!$M$15:$M$65)</f>
        <v>20</v>
      </c>
      <c r="P15" s="88">
        <f>COUNTIFs('16.08 '!$E$15:$E$65,H15,'16.08 '!$L$15:$L$65,"&gt;0")</f>
        <v>1</v>
      </c>
      <c r="Q15" s="88">
        <f>sumif('23.08'!$E$15:$E$62,H15,'23.08'!$M$15:$M$62)</f>
        <v>20</v>
      </c>
      <c r="R15" s="88">
        <f>COUNTIFS('23.08'!$M$15:$M$62,"&gt;0",'23.08'!$E$15:$E$62,H15)</f>
        <v>1</v>
      </c>
      <c r="S15" s="88">
        <f>SUMIF('30.08'!$E$15:$E$66,H15,'30.08'!$M$15:$M$66)</f>
        <v>16</v>
      </c>
      <c r="T15" s="88">
        <f>COUNTIFS('30.08'!$E$15:$E$66,H15,'30.08'!$M$15:$M$66,"&gt;0")</f>
        <v>1</v>
      </c>
      <c r="U15" s="88">
        <f>sumif('06.09'!$E$15:$E$66,H15,'06.09'!$M$15:$M$66)</f>
        <v>4</v>
      </c>
      <c r="V15" s="113">
        <f>COUNTIFS('06.09'!$E$15:$E$66,H15,'06.09'!$M$15:$M$66,"&gt;0")</f>
        <v>1</v>
      </c>
      <c r="W15" s="88">
        <f>SUMIF('13.09'!$E$15:$E$65,H15,'13.09'!$M$15:$M$65)</f>
        <v>0</v>
      </c>
      <c r="X15" s="113">
        <f>COUNTIFS('13.09'!$E$15:$E$65,H15,'13.09'!$M$15:$M$65,"&gt;0")</f>
        <v>0</v>
      </c>
      <c r="Y15" s="88">
        <f>SUMIF('20.09'!$E$15:$E$67,H15,'20.09'!$M$15:$M$67)</f>
        <v>0</v>
      </c>
      <c r="Z15" s="113">
        <f>COUNTIFS('20.09'!$E$15:$E$67,H15,'20.09'!$M$15:$M$67,"&gt;0")</f>
        <v>0</v>
      </c>
      <c r="AA15" s="88">
        <f>SUMIF('27.09'!$E$15:$E$68,H15,'27.09'!$M$15:$M$68)</f>
        <v>0</v>
      </c>
      <c r="AB15" s="113">
        <f>COUNTIFS('27.09'!$E$15:$E$68,H15,'27.09'!$M$15:$M$68,"&gt;0")</f>
        <v>0</v>
      </c>
      <c r="AC15" s="88">
        <f>SUMIF('04.10'!$E$15:$E$71,H15,'04.10'!$M$15:$M$71)</f>
        <v>0</v>
      </c>
      <c r="AD15" s="113">
        <f>COUNTIFS('04.10'!$E$15:$E$71,H15,'04.10'!$M$15:$M$71,"&gt;0")</f>
        <v>0</v>
      </c>
      <c r="AE15" s="88">
        <f>SUMIF('11.10'!$E$15:$E$76,H15,'11.10'!$M$15:$M$76)</f>
        <v>0</v>
      </c>
      <c r="AF15" s="113">
        <f>COUNTIFS('11.10'!$E$15:$E$76,H15,'11.10'!$L$15:$L$76,"&gt;0")</f>
        <v>0</v>
      </c>
      <c r="AG15" s="113">
        <f>SUMIF('18.10'!$E$15:$E$76,H15,'18.10'!$M$15:$M$76)</f>
        <v>0</v>
      </c>
      <c r="AH15" s="113">
        <f>COUNTIFS('18.10'!$E$15:$E$76,H15,'18.10'!$L$15:$L$76,"&gt;0")</f>
        <v>0</v>
      </c>
      <c r="AI15" s="113">
        <f>SUMIF('25.10'!$E$15:$E$78,H15,'25.10'!$M$15:$M$78)</f>
        <v>0</v>
      </c>
      <c r="AJ15" s="113">
        <f>COUNTIFS('25.10'!$E$15:$E$78,H15,'25.10'!$L$15:$L$78,"&gt;0")</f>
        <v>0</v>
      </c>
      <c r="AK15" s="113">
        <f>SUMIF('01.11'!$E$15:$E$77,H15,'01.11'!$M$15:$M$77)</f>
        <v>0</v>
      </c>
      <c r="AL15" s="113">
        <f>COUNTIFS('01.11'!$E$15:$E$77,H15,'01.11'!$M$15:$M$77,"&gt;0")</f>
        <v>0</v>
      </c>
      <c r="AM15" s="113">
        <f>SUMIF('08.11'!$E$15:$E$67,H15,'08.11'!$M$15:$M$67)</f>
        <v>0</v>
      </c>
      <c r="AN15" s="113">
        <f>COUNTIFS('08.11'!$E$15:$E$67,H15,'08.11'!$M$15:$M$67,"&gt;0")</f>
        <v>0</v>
      </c>
      <c r="AO15" s="113">
        <f>SUMIF('15.11'!$E$15:$E$71,H15,'15.11'!$M$15:$M$71)</f>
        <v>0</v>
      </c>
      <c r="AP15" s="113">
        <f>COUNTIFS('15.11'!$E$15:$E$71,H15,'15.11'!$M$15:$M$71,"&gt;0")</f>
        <v>0</v>
      </c>
      <c r="AQ15" s="113">
        <f>SUMIF('22.11'!$E$15:$E$78,H15,'22.11'!$M$15:$M$78)</f>
        <v>0</v>
      </c>
      <c r="AR15" s="113">
        <f>COUNTIFS('22.11'!$E$15:$E$78,H15,'22.11'!$M$15:$M$78,"&gt;0")</f>
        <v>0</v>
      </c>
      <c r="AS15" s="113">
        <f>SUMIF('29.11'!$E$15:$E$79,H15,'29.11'!$M$15:$M$79)</f>
        <v>0</v>
      </c>
      <c r="AT15" s="113">
        <f>COUNTIFS('29.11'!$E$15:$E$79,H15,'29.11'!$L$15:$L$79,"&gt;0")</f>
        <v>0</v>
      </c>
      <c r="AU15" s="113">
        <f>SUMIF('06.12'!$E$15:$E$82,H15,'06.12'!$M$15:$M$82)</f>
        <v>0</v>
      </c>
      <c r="AV15" s="113">
        <f>COUNTIFS('06.12'!$E$15:$E$82,H15,'06.12'!$M$15:$M$82,"&gt;0")</f>
        <v>0</v>
      </c>
      <c r="AW15" s="113">
        <f>SUMIF('13.12'!$E$15:$E$82,H15,'13.12'!$M$15:$M$82)</f>
        <v>0</v>
      </c>
      <c r="AX15" s="113">
        <f>COUNTIFS('13.12'!$E$15:$E$82,H15,'13.12'!$M$15:$M$82,"&gt;0")</f>
        <v>0</v>
      </c>
      <c r="AY15" s="113">
        <f>SUMIF('20.12'!$E$15:$E$84,H15,'20.12'!$M$15:$M$84)</f>
        <v>0</v>
      </c>
      <c r="AZ15" s="113">
        <f>COUNTIFS('20.12'!$E$15:$E$84,H15,'20.12'!$M$15:$M$84,"&gt;0")</f>
        <v>0</v>
      </c>
      <c r="BA15" s="113">
        <f>SUMIF('27.12'!$E$15:$E$84,H15,'27.12'!$M$15:$M$84)</f>
        <v>0</v>
      </c>
      <c r="BB15" s="113">
        <f>COUNTIFS('27.12'!$E$15:$E$84,H15,'27.12'!$M$15:$M$84,"&gt;0")</f>
        <v>0</v>
      </c>
      <c r="BC15" s="113">
        <f>SUMIF('03.01'!$E$15:$E$88,H15,'03.01'!$M$15:$M$88)</f>
        <v>20</v>
      </c>
      <c r="BD15" s="113">
        <f>COUNTIFS('03.01'!$E$15:$E$88,H15,'03.01'!$M$15:$M$88,"&gt;0")</f>
        <v>1</v>
      </c>
      <c r="BE15" s="113">
        <f>SUMIF('10.01'!$E$15:$E$91,H15,'10.01'!$M$15:$M$91)</f>
        <v>0</v>
      </c>
      <c r="BF15" s="113">
        <f>COUNTIFS('10.01'!$E$15:$E$91,H15,'10.01'!$M$15:$M$91,"&gt;0")</f>
        <v>0</v>
      </c>
      <c r="BG15" s="113">
        <f>SUMIF('17.01'!$E$15:$E$87,H15,'17.01'!$M$15:$M$87)</f>
        <v>12</v>
      </c>
      <c r="BH15" s="113">
        <f>COUNTIFS('17.01'!$E$15:$E$87,H15,'17.01'!$M$15:$M$87,"&gt;0")</f>
        <v>1</v>
      </c>
      <c r="BI15" s="113">
        <f>SUMIF('24.01'!$E$15:$E$86,H15,'24.01'!$M$15:$M$86)</f>
        <v>20</v>
      </c>
      <c r="BJ15" s="113">
        <f>COUNTIFS('24.01'!$E$15:$E$86,H15,'24.01'!$M$15:$M$86,"&gt;0")</f>
        <v>1</v>
      </c>
      <c r="BK15" s="113">
        <f>SUMIF('31.01'!$E$15:$E$75,H15,'31.01'!$M$15:$M$75)</f>
        <v>20</v>
      </c>
      <c r="BL15" s="113">
        <f>COUNTIFS('31.01'!$E$15:$E$75,H15,'31.01'!$M$15:$M$75,"&gt;0")</f>
        <v>1</v>
      </c>
      <c r="BM15" s="113">
        <f>SUMIF('07.02'!$E$15:$E$77,H15,'07.02'!$M$15:$M$77)</f>
        <v>32</v>
      </c>
      <c r="BN15" s="113">
        <f>COUNTIFS('07.02'!$E$15:$E$77,H15,'07.02'!$M$15:$M$77,"&gt;0")</f>
        <v>2</v>
      </c>
      <c r="BO15" s="113">
        <f>SUMIF('14.02'!$E$15:$E$81,H15,'14.02'!$M$15:$M$81)</f>
        <v>24</v>
      </c>
      <c r="BP15" s="113">
        <f>COUNTIFS('14.02'!$E$15:$E$81,H15,'14.02'!$M$15:$M$81,"&gt;0")</f>
        <v>2</v>
      </c>
      <c r="BQ15" s="113">
        <f>SUMIF('21.02'!$E$15:$E$82,H15,'21.02'!$M$15:$M$82)</f>
        <v>28</v>
      </c>
      <c r="BR15" s="113">
        <f>COUNTIFS('21.02'!$E$15:$E$82,H15,'21.02'!$M$15:$M$82,"&gt;0")</f>
        <v>2</v>
      </c>
      <c r="BS15" s="113"/>
      <c r="BT15" s="113"/>
      <c r="BU15" s="113"/>
      <c r="BV15" s="113"/>
      <c r="BW15" s="113"/>
      <c r="BX15" s="113"/>
      <c r="BY15" s="113"/>
      <c r="BZ15" s="113"/>
    </row>
    <row r="16">
      <c r="A16" s="148" t="s">
        <v>500</v>
      </c>
      <c r="B16" s="180">
        <f>AC65</f>
        <v>474</v>
      </c>
      <c r="C16" s="148">
        <v>467.0</v>
      </c>
      <c r="D16" s="148">
        <v>308.0</v>
      </c>
      <c r="E16" s="180">
        <f>AD65</f>
        <v>36</v>
      </c>
      <c r="F16" s="182">
        <f t="shared" si="1"/>
        <v>6.16</v>
      </c>
      <c r="H16" s="171" t="s">
        <v>262</v>
      </c>
      <c r="I16" s="88">
        <f>SUMIF('26.07'!$E$15:$E$74,H16,'26.07'!$M$15:$M$74)</f>
        <v>0</v>
      </c>
      <c r="J16" s="88">
        <f>COUNTIFS('26.07'!$E$15:$E$74,H16,'26.07'!$L$15:$L$74,"&gt;0")</f>
        <v>0</v>
      </c>
      <c r="K16" s="88">
        <f>SUMIF('02.08'!$E$15:$E$73,H16,'02.08'!$M$15:$M$73)</f>
        <v>8</v>
      </c>
      <c r="L16" s="88">
        <f>COUNTIFS('02.08'!$E$15:$E$73,H16,'02.08'!$L$15:$L$73,"&gt;0")</f>
        <v>1</v>
      </c>
      <c r="M16" s="88">
        <f>SUMIF('09.08'!$E$15:$E$71,H16,'09.08'!$M$15:$M$71)</f>
        <v>0</v>
      </c>
      <c r="N16" s="88">
        <f>COUNTIFS('09.08'!$E$15:$E$71,H16,'09.08'!$L$15:$L$71,"&gt;0")</f>
        <v>0</v>
      </c>
      <c r="O16" s="88">
        <f>sumif('16.08 '!$E$15:$E$65,H16,'16.08 '!$M$15:$M$65)</f>
        <v>0</v>
      </c>
      <c r="P16" s="88">
        <f>COUNTIFs('16.08 '!$E$15:$E$65,H16,'16.08 '!$L$15:$L$65,"&gt;0")</f>
        <v>0</v>
      </c>
      <c r="Q16" s="88">
        <f>sumif('23.08'!$E$15:$E$62,H16,'23.08'!$M$15:$M$62)</f>
        <v>0</v>
      </c>
      <c r="R16" s="88">
        <f>COUNTIFS('23.08'!$M$15:$M$62,"&gt;0",'23.08'!$E$15:$E$62,H16)</f>
        <v>0</v>
      </c>
      <c r="S16" s="88">
        <f>SUMIF('30.08'!$E$15:$E$66,H16,'30.08'!$M$15:$M$66)</f>
        <v>0</v>
      </c>
      <c r="T16" s="88">
        <f>COUNTIFS('30.08'!$E$15:$E$66,H16,'30.08'!$M$15:$M$66,"&gt;0")</f>
        <v>0</v>
      </c>
      <c r="U16" s="88">
        <f>sumif('06.09'!$E$15:$E$66,H16,'06.09'!$M$15:$M$66)</f>
        <v>0</v>
      </c>
      <c r="V16" s="113">
        <f>COUNTIFS('06.09'!$E$15:$E$66,H16,'06.09'!$M$15:$M$66,"&gt;0")</f>
        <v>0</v>
      </c>
      <c r="W16" s="88">
        <f>SUMIF('13.09'!$E$15:$E$65,H16,'13.09'!$M$15:$M$65)</f>
        <v>0</v>
      </c>
      <c r="X16" s="113">
        <f>COUNTIFS('13.09'!$E$15:$E$65,H16,'13.09'!$M$15:$M$65,"&gt;0")</f>
        <v>0</v>
      </c>
      <c r="Y16" s="88">
        <f>SUMIF('20.09'!$E$15:$E$67,H16,'20.09'!$M$15:$M$67)</f>
        <v>0</v>
      </c>
      <c r="Z16" s="113">
        <f>COUNTIFS('20.09'!$E$15:$E$67,H16,'20.09'!$M$15:$M$67,"&gt;0")</f>
        <v>0</v>
      </c>
      <c r="AA16" s="88">
        <f>SUMIF('27.09'!$E$15:$E$68,H16,'27.09'!$M$15:$M$68)</f>
        <v>0</v>
      </c>
      <c r="AB16" s="113">
        <f>COUNTIFS('27.09'!$E$15:$E$68,H16,'27.09'!$M$15:$M$68,"&gt;0")</f>
        <v>0</v>
      </c>
      <c r="AC16" s="88">
        <f>SUMIF('04.10'!$E$15:$E$71,H16,'04.10'!$M$15:$M$71)</f>
        <v>8</v>
      </c>
      <c r="AD16" s="113">
        <f>COUNTIFS('04.10'!$E$15:$E$71,H16,'04.10'!$M$15:$M$71,"&gt;0")</f>
        <v>1</v>
      </c>
      <c r="AE16" s="88">
        <f>SUMIF('11.10'!$E$15:$E$76,H16,'11.10'!$M$15:$M$76)</f>
        <v>16</v>
      </c>
      <c r="AF16" s="113">
        <f>COUNTIFS('11.10'!$E$15:$E$76,H16,'11.10'!$L$15:$L$76,"&gt;0")</f>
        <v>1</v>
      </c>
      <c r="AG16" s="113">
        <f>SUMIF('18.10'!$E$15:$E$76,H16,'18.10'!$M$15:$M$76)</f>
        <v>12</v>
      </c>
      <c r="AH16" s="113">
        <f>COUNTIFS('18.10'!$E$15:$E$76,H16,'18.10'!$L$15:$L$76,"&gt;0")</f>
        <v>1</v>
      </c>
      <c r="AI16" s="113">
        <f>SUMIF('25.10'!$E$15:$E$78,H16,'25.10'!$M$15:$M$78)</f>
        <v>20</v>
      </c>
      <c r="AJ16" s="113">
        <f>COUNTIFS('25.10'!$E$15:$E$78,H16,'25.10'!$L$15:$L$78,"&gt;0")</f>
        <v>1</v>
      </c>
      <c r="AK16" s="113">
        <f>SUMIF('01.11'!$E$15:$E$77,H16,'01.11'!$M$15:$M$77)</f>
        <v>16</v>
      </c>
      <c r="AL16" s="113">
        <f>COUNTIFS('01.11'!$E$15:$E$77,H16,'01.11'!$M$15:$M$77,"&gt;0")</f>
        <v>1</v>
      </c>
      <c r="AM16" s="113">
        <f>SUMIF('08.11'!$E$15:$E$67,H16,'08.11'!$M$15:$M$67)</f>
        <v>4</v>
      </c>
      <c r="AN16" s="113">
        <f>COUNTIFS('08.11'!$E$15:$E$67,H16,'08.11'!$M$15:$M$67,"&gt;0")</f>
        <v>1</v>
      </c>
      <c r="AO16" s="113">
        <f>SUMIF('15.11'!$E$15:$E$71,H16,'15.11'!$M$15:$M$71)</f>
        <v>0</v>
      </c>
      <c r="AP16" s="113">
        <f>COUNTIFS('15.11'!$E$15:$E$71,H16,'15.11'!$M$15:$M$71,"&gt;0")</f>
        <v>0</v>
      </c>
      <c r="AQ16" s="113">
        <f>SUMIF('22.11'!$E$15:$E$78,H16,'22.11'!$M$15:$M$78)</f>
        <v>24</v>
      </c>
      <c r="AR16" s="113">
        <f>COUNTIFS('22.11'!$E$15:$E$78,H16,'22.11'!$M$15:$M$78,"&gt;0")</f>
        <v>2</v>
      </c>
      <c r="AS16" s="113">
        <f>SUMIF('29.11'!$E$15:$E$79,H16,'29.11'!$M$15:$M$79)</f>
        <v>20</v>
      </c>
      <c r="AT16" s="113">
        <f>COUNTIFS('29.11'!$E$15:$E$79,H16,'29.11'!$L$15:$L$79,"&gt;0")</f>
        <v>1</v>
      </c>
      <c r="AU16" s="113">
        <f>SUMIF('06.12'!$E$15:$E$82,H16,'06.12'!$M$15:$M$82)</f>
        <v>16</v>
      </c>
      <c r="AV16" s="113">
        <f>COUNTIFS('06.12'!$E$15:$E$82,H16,'06.12'!$M$15:$M$82,"&gt;0")</f>
        <v>1</v>
      </c>
      <c r="AW16" s="113">
        <f>SUMIF('13.12'!$E$15:$E$82,H16,'13.12'!$M$15:$M$82)</f>
        <v>20</v>
      </c>
      <c r="AX16" s="113">
        <f>COUNTIFS('13.12'!$E$15:$E$82,H16,'13.12'!$M$15:$M$82,"&gt;0")</f>
        <v>1</v>
      </c>
      <c r="AY16" s="113">
        <f>SUMIF('20.12'!$E$15:$E$84,H16,'20.12'!$M$15:$M$84)</f>
        <v>8</v>
      </c>
      <c r="AZ16" s="113">
        <f>COUNTIFS('20.12'!$E$15:$E$84,H16,'20.12'!$M$15:$M$84,"&gt;0")</f>
        <v>1</v>
      </c>
      <c r="BA16" s="113">
        <f>SUMIF('27.12'!$E$15:$E$84,H16,'27.12'!$M$15:$M$84)</f>
        <v>20</v>
      </c>
      <c r="BB16" s="113">
        <f>COUNTIFS('27.12'!$E$15:$E$84,H16,'27.12'!$M$15:$M$84,"&gt;0")</f>
        <v>1</v>
      </c>
      <c r="BC16" s="113">
        <f>SUMIF('03.01'!$E$15:$E$88,H16,'03.01'!$M$15:$M$88)</f>
        <v>20</v>
      </c>
      <c r="BD16" s="113">
        <f>COUNTIFS('03.01'!$E$15:$E$88,H16,'03.01'!$M$15:$M$88,"&gt;0")</f>
        <v>1</v>
      </c>
      <c r="BE16" s="113">
        <f>SUMIF('10.01'!$E$15:$E$91,H16,'10.01'!$M$15:$M$91)</f>
        <v>0</v>
      </c>
      <c r="BF16" s="113">
        <f>COUNTIFS('10.01'!$E$15:$E$91,H16,'10.01'!$M$15:$M$91,"&gt;0")</f>
        <v>0</v>
      </c>
      <c r="BG16" s="113">
        <f>SUMIF('17.01'!$E$15:$E$87,H16,'17.01'!$M$15:$M$87)</f>
        <v>0</v>
      </c>
      <c r="BH16" s="113">
        <f>COUNTIFS('17.01'!$E$15:$E$87,H16,'17.01'!$M$15:$M$87,"&gt;0")</f>
        <v>0</v>
      </c>
      <c r="BI16" s="113">
        <f>SUMIF('24.01'!$E$15:$E$86,H16,'24.01'!$M$15:$M$86)</f>
        <v>0</v>
      </c>
      <c r="BJ16" s="113">
        <f>COUNTIFS('24.01'!$E$15:$E$86,H16,'24.01'!$M$15:$M$86,"&gt;0")</f>
        <v>0</v>
      </c>
      <c r="BK16" s="113">
        <f>SUMIF('31.01'!$E$15:$E$75,H16,'31.01'!$M$15:$M$75)</f>
        <v>0</v>
      </c>
      <c r="BL16" s="113">
        <f>COUNTIFS('31.01'!$E$15:$E$75,H16,'31.01'!$M$15:$M$75,"&gt;0")</f>
        <v>0</v>
      </c>
      <c r="BM16" s="113">
        <f>SUMIF('07.02'!$E$15:$E$77,H16,'07.02'!$M$15:$M$77)</f>
        <v>16</v>
      </c>
      <c r="BN16" s="113">
        <f>COUNTIFS('07.02'!$E$15:$E$77,H16,'07.02'!$M$15:$M$77,"&gt;0")</f>
        <v>1</v>
      </c>
      <c r="BO16" s="113">
        <f>SUMIF('14.02'!$E$15:$E$81,H16,'14.02'!$M$15:$M$81)</f>
        <v>12</v>
      </c>
      <c r="BP16" s="113">
        <f>COUNTIFS('14.02'!$E$15:$E$81,H16,'14.02'!$M$15:$M$81,"&gt;0")</f>
        <v>1</v>
      </c>
      <c r="BQ16" s="113">
        <f>SUMIF('21.02'!$E$15:$E$82,H16,'21.02'!$M$15:$M$82)</f>
        <v>12</v>
      </c>
      <c r="BR16" s="113">
        <f>COUNTIFS('21.02'!$E$15:$E$82,H16,'21.02'!$M$15:$M$82,"&gt;0")</f>
        <v>1</v>
      </c>
      <c r="BS16" s="113"/>
      <c r="BT16" s="113"/>
      <c r="BU16" s="113"/>
      <c r="BV16" s="113"/>
      <c r="BW16" s="113"/>
      <c r="BX16" s="113"/>
      <c r="BY16" s="113"/>
      <c r="BZ16" s="113"/>
    </row>
    <row r="17">
      <c r="A17" s="148" t="s">
        <v>501</v>
      </c>
      <c r="B17" s="180">
        <f>AE65</f>
        <v>558</v>
      </c>
      <c r="C17" s="148">
        <v>556.0</v>
      </c>
      <c r="D17" s="148">
        <v>360.0</v>
      </c>
      <c r="E17" s="180">
        <f>AF65</f>
        <v>42</v>
      </c>
      <c r="F17" s="182">
        <f t="shared" si="1"/>
        <v>7.2</v>
      </c>
      <c r="H17" s="171" t="s">
        <v>414</v>
      </c>
      <c r="I17" s="88">
        <f>SUMIF('26.07'!$E$15:$E$74,H17,'26.07'!$M$15:$M$74)</f>
        <v>16</v>
      </c>
      <c r="J17" s="88">
        <f>COUNTIFS('26.07'!$E$15:$E$74,H17,'26.07'!$L$15:$L$74,"&gt;0")</f>
        <v>1</v>
      </c>
      <c r="K17" s="88">
        <f>SUMIF('02.08'!$E$15:$E$73,H17,'02.08'!$M$15:$M$73)</f>
        <v>0</v>
      </c>
      <c r="L17" s="88">
        <f>COUNTIFS('02.08'!$E$15:$E$73,H17,'02.08'!$L$15:$L$73,"&gt;0")</f>
        <v>0</v>
      </c>
      <c r="M17" s="88">
        <f>SUMIF('09.08'!$E$15:$E$71,H17,'09.08'!$M$15:$M$71)</f>
        <v>16</v>
      </c>
      <c r="N17" s="88">
        <f>COUNTIFS('09.08'!$E$15:$E$71,H17,'09.08'!$L$15:$L$71,"&gt;0")</f>
        <v>1</v>
      </c>
      <c r="O17" s="88">
        <f>sumif('16.08 '!$E$15:$E$65,H17,'16.08 '!$M$15:$M$65)</f>
        <v>0</v>
      </c>
      <c r="P17" s="88">
        <f>COUNTIFs('16.08 '!$E$15:$E$65,H17,'16.08 '!$L$15:$L$65,"&gt;0")</f>
        <v>0</v>
      </c>
      <c r="Q17" s="88">
        <f>sumif('23.08'!$E$15:$E$62,H17,'23.08'!$M$15:$M$62)</f>
        <v>16</v>
      </c>
      <c r="R17" s="88">
        <f>COUNTIFS('23.08'!$M$15:$M$62,"&gt;0",'23.08'!$E$15:$E$62,H17)</f>
        <v>1</v>
      </c>
      <c r="S17" s="88">
        <f>SUMIF('30.08'!$E$15:$E$66,H17,'30.08'!$M$15:$M$66)</f>
        <v>0</v>
      </c>
      <c r="T17" s="88">
        <f>COUNTIFS('30.08'!$E$15:$E$66,H17,'30.08'!$M$15:$M$66,"&gt;0")</f>
        <v>0</v>
      </c>
      <c r="U17" s="88">
        <f>sumif('06.09'!$E$15:$E$66,H17,'06.09'!$M$15:$M$66)</f>
        <v>0</v>
      </c>
      <c r="V17" s="113">
        <f>COUNTIFS('06.09'!$E$15:$E$66,H17,'06.09'!$M$15:$M$66,"&gt;0")</f>
        <v>0</v>
      </c>
      <c r="W17" s="88">
        <f>SUMIF('13.09'!$E$15:$E$65,H17,'13.09'!$M$15:$M$65)</f>
        <v>20</v>
      </c>
      <c r="X17" s="113">
        <f>COUNTIFS('13.09'!$E$15:$E$65,H17,'13.09'!$M$15:$M$65,"&gt;0")</f>
        <v>1</v>
      </c>
      <c r="Y17" s="88">
        <f>SUMIF('20.09'!$E$15:$E$67,H17,'20.09'!$M$15:$M$67)</f>
        <v>16</v>
      </c>
      <c r="Z17" s="113">
        <f>COUNTIFS('20.09'!$E$15:$E$67,H17,'20.09'!$M$15:$M$67,"&gt;0")</f>
        <v>1</v>
      </c>
      <c r="AA17" s="88">
        <f>SUMIF('27.09'!$E$15:$E$68,H17,'27.09'!$M$15:$M$68)</f>
        <v>12</v>
      </c>
      <c r="AB17" s="113">
        <f>COUNTIFS('27.09'!$E$15:$E$68,H17,'27.09'!$M$15:$M$68,"&gt;0")</f>
        <v>1</v>
      </c>
      <c r="AC17" s="88">
        <f>SUMIF('04.10'!$E$15:$E$71,H17,'04.10'!$M$15:$M$71)</f>
        <v>20</v>
      </c>
      <c r="AD17" s="113">
        <f>COUNTIFS('04.10'!$E$15:$E$71,H17,'04.10'!$M$15:$M$71,"&gt;0")</f>
        <v>1</v>
      </c>
      <c r="AE17" s="88">
        <f>SUMIF('11.10'!$E$15:$E$76,H17,'11.10'!$M$15:$M$76)</f>
        <v>16</v>
      </c>
      <c r="AF17" s="113">
        <f>COUNTIFS('11.10'!$E$15:$E$76,H17,'11.10'!$L$15:$L$76,"&gt;0")</f>
        <v>1</v>
      </c>
      <c r="AG17" s="113">
        <f>SUMIF('18.10'!$E$15:$E$76,H17,'18.10'!$M$15:$M$76)</f>
        <v>12</v>
      </c>
      <c r="AH17" s="113">
        <f>COUNTIFS('18.10'!$E$15:$E$76,H17,'18.10'!$L$15:$L$76,"&gt;0")</f>
        <v>1</v>
      </c>
      <c r="AI17" s="113">
        <f>SUMIF('25.10'!$E$15:$E$78,H17,'25.10'!$M$15:$M$78)</f>
        <v>0</v>
      </c>
      <c r="AJ17" s="113">
        <f>COUNTIFS('25.10'!$E$15:$E$78,H17,'25.10'!$L$15:$L$78,"&gt;0")</f>
        <v>0</v>
      </c>
      <c r="AK17" s="113">
        <f>SUMIF('01.11'!$E$15:$E$77,H17,'01.11'!$M$15:$M$77)</f>
        <v>8</v>
      </c>
      <c r="AL17" s="113">
        <f>COUNTIFS('01.11'!$E$15:$E$77,H17,'01.11'!$M$15:$M$77,"&gt;0")</f>
        <v>1</v>
      </c>
      <c r="AM17" s="113">
        <f>SUMIF('08.11'!$E$15:$E$67,H17,'08.11'!$M$15:$M$67)</f>
        <v>8</v>
      </c>
      <c r="AN17" s="113">
        <f>COUNTIFS('08.11'!$E$15:$E$67,H17,'08.11'!$M$15:$M$67,"&gt;0")</f>
        <v>1</v>
      </c>
      <c r="AO17" s="113">
        <f>SUMIF('15.11'!$E$15:$E$71,H17,'15.11'!$M$15:$M$71)</f>
        <v>8</v>
      </c>
      <c r="AP17" s="113">
        <f>COUNTIFS('15.11'!$E$15:$E$71,H17,'15.11'!$M$15:$M$71,"&gt;0")</f>
        <v>1</v>
      </c>
      <c r="AQ17" s="113">
        <f>SUMIF('22.11'!$E$15:$E$78,H17,'22.11'!$M$15:$M$78)</f>
        <v>8</v>
      </c>
      <c r="AR17" s="113">
        <f>COUNTIFS('22.11'!$E$15:$E$78,H17,'22.11'!$M$15:$M$78,"&gt;0")</f>
        <v>1</v>
      </c>
      <c r="AS17" s="113">
        <f>SUMIF('29.11'!$E$15:$E$79,H17,'29.11'!$M$15:$M$79)</f>
        <v>0</v>
      </c>
      <c r="AT17" s="113">
        <f>COUNTIFS('29.11'!$E$15:$E$79,H17,'29.11'!$L$15:$L$79,"&gt;0")</f>
        <v>0</v>
      </c>
      <c r="AU17" s="113">
        <f>SUMIF('06.12'!$E$15:$E$82,H17,'06.12'!$M$15:$M$82)</f>
        <v>0</v>
      </c>
      <c r="AV17" s="113">
        <f>COUNTIFS('06.12'!$E$15:$E$82,H17,'06.12'!$M$15:$M$82,"&gt;0")</f>
        <v>0</v>
      </c>
      <c r="AW17" s="113">
        <f>SUMIF('13.12'!$E$15:$E$82,H17,'13.12'!$M$15:$M$82)</f>
        <v>0</v>
      </c>
      <c r="AX17" s="113">
        <f>COUNTIFS('13.12'!$E$15:$E$82,H17,'13.12'!$M$15:$M$82,"&gt;0")</f>
        <v>0</v>
      </c>
      <c r="AY17" s="113">
        <f>SUMIF('20.12'!$E$15:$E$84,H17,'20.12'!$M$15:$M$84)</f>
        <v>0</v>
      </c>
      <c r="AZ17" s="113">
        <f>COUNTIFS('20.12'!$E$15:$E$84,H17,'20.12'!$M$15:$M$84,"&gt;0")</f>
        <v>0</v>
      </c>
      <c r="BA17" s="113">
        <f>SUMIF('27.12'!$E$15:$E$84,H17,'27.12'!$M$15:$M$84)</f>
        <v>0</v>
      </c>
      <c r="BB17" s="113">
        <f>COUNTIFS('27.12'!$E$15:$E$84,H17,'27.12'!$M$15:$M$84,"&gt;0")</f>
        <v>0</v>
      </c>
      <c r="BC17" s="113">
        <f>SUMIF('03.01'!$E$15:$E$88,H17,'03.01'!$M$15:$M$88)</f>
        <v>0</v>
      </c>
      <c r="BD17" s="113">
        <f>COUNTIFS('03.01'!$E$15:$E$88,H17,'03.01'!$M$15:$M$88,"&gt;0")</f>
        <v>0</v>
      </c>
      <c r="BE17" s="113">
        <f>SUMIF('10.01'!$E$15:$E$91,H17,'10.01'!$M$15:$M$91)</f>
        <v>0</v>
      </c>
      <c r="BF17" s="113">
        <f>COUNTIFS('10.01'!$E$15:$E$91,H17,'10.01'!$M$15:$M$91,"&gt;0")</f>
        <v>0</v>
      </c>
      <c r="BG17" s="113">
        <f>SUMIF('17.01'!$E$15:$E$87,H17,'17.01'!$M$15:$M$87)</f>
        <v>8</v>
      </c>
      <c r="BH17" s="113">
        <f>COUNTIFS('17.01'!$E$15:$E$87,H17,'17.01'!$M$15:$M$87,"&gt;0")</f>
        <v>1</v>
      </c>
      <c r="BI17" s="113">
        <f>SUMIF('24.01'!$E$15:$E$86,H17,'24.01'!$M$15:$M$86)</f>
        <v>0</v>
      </c>
      <c r="BJ17" s="113">
        <f>COUNTIFS('24.01'!$E$15:$E$86,H17,'24.01'!$M$15:$M$86,"&gt;0")</f>
        <v>0</v>
      </c>
      <c r="BK17" s="113">
        <f>SUMIF('31.01'!$E$15:$E$75,H17,'31.01'!$M$15:$M$75)</f>
        <v>8</v>
      </c>
      <c r="BL17" s="113">
        <f>COUNTIFS('31.01'!$E$15:$E$75,H17,'31.01'!$M$15:$M$75,"&gt;0")</f>
        <v>1</v>
      </c>
      <c r="BM17" s="113">
        <f>SUMIF('07.02'!$E$15:$E$77,H17,'07.02'!$M$15:$M$77)</f>
        <v>4</v>
      </c>
      <c r="BN17" s="113">
        <f>COUNTIFS('07.02'!$E$15:$E$77,H17,'07.02'!$M$15:$M$77,"&gt;0")</f>
        <v>1</v>
      </c>
      <c r="BO17" s="113">
        <f>SUMIF('14.02'!$E$15:$E$81,H17,'14.02'!$M$15:$M$81)</f>
        <v>4</v>
      </c>
      <c r="BP17" s="113">
        <f>COUNTIFS('14.02'!$E$15:$E$81,H17,'14.02'!$M$15:$M$81,"&gt;0")</f>
        <v>1</v>
      </c>
      <c r="BQ17" s="113">
        <f>SUMIF('21.02'!$E$15:$E$82,H17,'21.02'!$M$15:$M$82)</f>
        <v>4</v>
      </c>
      <c r="BR17" s="113">
        <f>COUNTIFS('21.02'!$E$15:$E$82,H17,'21.02'!$M$15:$M$82,"&gt;0")</f>
        <v>1</v>
      </c>
      <c r="BS17" s="113"/>
      <c r="BT17" s="113"/>
      <c r="BU17" s="113"/>
      <c r="BV17" s="113"/>
      <c r="BW17" s="113"/>
      <c r="BX17" s="113"/>
      <c r="BY17" s="113"/>
      <c r="BZ17" s="113"/>
    </row>
    <row r="18">
      <c r="A18" s="148" t="s">
        <v>502</v>
      </c>
      <c r="B18" s="180">
        <f>AG65</f>
        <v>614</v>
      </c>
      <c r="C18" s="148">
        <v>602.0</v>
      </c>
      <c r="D18" s="148">
        <v>422.0</v>
      </c>
      <c r="E18" s="180">
        <f>AH65</f>
        <v>45</v>
      </c>
      <c r="F18" s="182">
        <f t="shared" si="1"/>
        <v>8.44</v>
      </c>
      <c r="H18" s="171" t="s">
        <v>416</v>
      </c>
      <c r="I18" s="88">
        <f>SUMIF('26.07'!$E$15:$E$74,H18,'26.07'!$M$15:$M$74)</f>
        <v>4</v>
      </c>
      <c r="J18" s="88">
        <f>COUNTIFS('26.07'!$E$15:$E$74,H18,'26.07'!$L$15:$L$74,"&gt;0")</f>
        <v>1</v>
      </c>
      <c r="K18" s="88">
        <f>SUMIF('02.08'!$E$15:$E$73,H18,'02.08'!$M$15:$M$73)</f>
        <v>0</v>
      </c>
      <c r="L18" s="88">
        <f>COUNTIFS('02.08'!$E$15:$E$73,H18,'02.08'!$L$15:$L$73,"&gt;0")</f>
        <v>0</v>
      </c>
      <c r="M18" s="88">
        <f>SUMIF('09.08'!$E$15:$E$71,H18,'09.08'!$M$15:$M$71)</f>
        <v>0</v>
      </c>
      <c r="N18" s="88">
        <f>COUNTIFS('09.08'!$E$15:$E$71,H18,'09.08'!$L$15:$L$71,"&gt;0")</f>
        <v>0</v>
      </c>
      <c r="O18" s="88">
        <f>sumif('16.08 '!$E$15:$E$65,H18,'16.08 '!$M$15:$M$65)</f>
        <v>0</v>
      </c>
      <c r="P18" s="88">
        <f>COUNTIFs('16.08 '!$E$15:$E$65,H18,'16.08 '!$L$15:$L$65,"&gt;0")</f>
        <v>0</v>
      </c>
      <c r="Q18" s="88">
        <f>sumif('23.08'!$E$15:$E$62,H18,'23.08'!$M$15:$M$62)</f>
        <v>0</v>
      </c>
      <c r="R18" s="88">
        <f>COUNTIFS('23.08'!$M$15:$M$62,"&gt;0",'23.08'!$E$15:$E$62,H18)</f>
        <v>0</v>
      </c>
      <c r="S18" s="88">
        <f>SUMIF('30.08'!$E$15:$E$66,H18,'30.08'!$M$15:$M$66)</f>
        <v>0</v>
      </c>
      <c r="T18" s="88">
        <f>COUNTIFS('30.08'!$E$15:$E$66,H18,'30.08'!$M$15:$M$66,"&gt;0")</f>
        <v>0</v>
      </c>
      <c r="U18" s="88">
        <f>sumif('06.09'!$E$15:$E$66,H18,'06.09'!$M$15:$M$66)</f>
        <v>0</v>
      </c>
      <c r="V18" s="113">
        <f>COUNTIFS('06.09'!$E$15:$E$66,H18,'06.09'!$M$15:$M$66,"&gt;0")</f>
        <v>0</v>
      </c>
      <c r="W18" s="88">
        <f>SUMIF('13.09'!$E$15:$E$65,H18,'13.09'!$M$15:$M$65)</f>
        <v>4</v>
      </c>
      <c r="X18" s="113">
        <f>COUNTIFS('13.09'!$E$15:$E$65,H18,'13.09'!$M$15:$M$65,"&gt;0")</f>
        <v>1</v>
      </c>
      <c r="Y18" s="88">
        <f>SUMIF('20.09'!$E$15:$E$67,H18,'20.09'!$M$15:$M$67)</f>
        <v>0</v>
      </c>
      <c r="Z18" s="113">
        <f>COUNTIFS('20.09'!$E$15:$E$67,H18,'20.09'!$M$15:$M$67,"&gt;0")</f>
        <v>0</v>
      </c>
      <c r="AA18" s="88">
        <f>SUMIF('27.09'!$E$15:$E$68,H18,'27.09'!$M$15:$M$68)</f>
        <v>0</v>
      </c>
      <c r="AB18" s="113">
        <f>COUNTIFS('27.09'!$E$15:$E$68,H18,'27.09'!$M$15:$M$68,"&gt;0")</f>
        <v>0</v>
      </c>
      <c r="AC18" s="88">
        <f>SUMIF('04.10'!$E$15:$E$71,H18,'04.10'!$M$15:$M$71)</f>
        <v>0</v>
      </c>
      <c r="AD18" s="113">
        <f>COUNTIFS('04.10'!$E$15:$E$71,H18,'04.10'!$M$15:$M$71,"&gt;0")</f>
        <v>0</v>
      </c>
      <c r="AE18" s="88">
        <f>SUMIF('11.10'!$E$15:$E$76,H18,'11.10'!$M$15:$M$76)</f>
        <v>0</v>
      </c>
      <c r="AF18" s="113">
        <f>COUNTIFS('11.10'!$E$15:$E$76,H18,'11.10'!$L$15:$L$76,"&gt;0")</f>
        <v>0</v>
      </c>
      <c r="AG18" s="113">
        <f>SUMIF('18.10'!$E$15:$E$76,H18,'18.10'!$M$15:$M$76)</f>
        <v>0</v>
      </c>
      <c r="AH18" s="113">
        <f>COUNTIFS('18.10'!$E$15:$E$76,H18,'18.10'!$L$15:$L$76,"&gt;0")</f>
        <v>0</v>
      </c>
      <c r="AI18" s="113">
        <f>SUMIF('25.10'!$E$15:$E$78,H18,'25.10'!$M$15:$M$78)</f>
        <v>0</v>
      </c>
      <c r="AJ18" s="113">
        <f>COUNTIFS('25.10'!$E$15:$E$78,H18,'25.10'!$L$15:$L$78,"&gt;0")</f>
        <v>0</v>
      </c>
      <c r="AK18" s="113">
        <f>SUMIF('01.11'!$E$15:$E$77,H18,'01.11'!$M$15:$M$77)</f>
        <v>12</v>
      </c>
      <c r="AL18" s="113">
        <f>COUNTIFS('01.11'!$E$15:$E$77,H18,'01.11'!$M$15:$M$77,"&gt;0")</f>
        <v>1</v>
      </c>
      <c r="AM18" s="113">
        <f>SUMIF('08.11'!$E$15:$E$67,H18,'08.11'!$M$15:$M$67)</f>
        <v>20</v>
      </c>
      <c r="AN18" s="113">
        <f>COUNTIFS('08.11'!$E$15:$E$67,H18,'08.11'!$M$15:$M$67,"&gt;0")</f>
        <v>1</v>
      </c>
      <c r="AO18" s="113">
        <f>SUMIF('15.11'!$E$15:$E$71,H18,'15.11'!$M$15:$M$71)</f>
        <v>20</v>
      </c>
      <c r="AP18" s="113">
        <f>COUNTIFS('15.11'!$E$15:$E$71,H18,'15.11'!$M$15:$M$71,"&gt;0")</f>
        <v>1</v>
      </c>
      <c r="AQ18" s="113">
        <f>SUMIF('22.11'!$E$15:$E$78,H18,'22.11'!$M$15:$M$78)</f>
        <v>20</v>
      </c>
      <c r="AR18" s="113">
        <f>COUNTIFS('22.11'!$E$15:$E$78,H18,'22.11'!$M$15:$M$78,"&gt;0")</f>
        <v>1</v>
      </c>
      <c r="AS18" s="113">
        <f>SUMIF('29.11'!$E$15:$E$79,H18,'29.11'!$M$15:$M$79)</f>
        <v>12</v>
      </c>
      <c r="AT18" s="113">
        <f>COUNTIFS('29.11'!$E$15:$E$79,H18,'29.11'!$L$15:$L$79,"&gt;0")</f>
        <v>1</v>
      </c>
      <c r="AU18" s="113">
        <f>SUMIF('06.12'!$E$15:$E$82,H18,'06.12'!$M$15:$M$82)</f>
        <v>20</v>
      </c>
      <c r="AV18" s="113">
        <f>COUNTIFS('06.12'!$E$15:$E$82,H18,'06.12'!$M$15:$M$82,"&gt;0")</f>
        <v>1</v>
      </c>
      <c r="AW18" s="113">
        <f>SUMIF('13.12'!$E$15:$E$82,H18,'13.12'!$M$15:$M$82)</f>
        <v>20</v>
      </c>
      <c r="AX18" s="113">
        <f>COUNTIFS('13.12'!$E$15:$E$82,H18,'13.12'!$M$15:$M$82,"&gt;0")</f>
        <v>1</v>
      </c>
      <c r="AY18" s="113">
        <f>SUMIF('20.12'!$E$15:$E$84,H18,'20.12'!$M$15:$M$84)</f>
        <v>16</v>
      </c>
      <c r="AZ18" s="113">
        <f>COUNTIFS('20.12'!$E$15:$E$84,H18,'20.12'!$M$15:$M$84,"&gt;0")</f>
        <v>1</v>
      </c>
      <c r="BA18" s="113">
        <f>SUMIF('27.12'!$E$15:$E$84,H18,'27.12'!$M$15:$M$84)</f>
        <v>16</v>
      </c>
      <c r="BB18" s="113">
        <f>COUNTIFS('27.12'!$E$15:$E$84,H18,'27.12'!$M$15:$M$84,"&gt;0")</f>
        <v>1</v>
      </c>
      <c r="BC18" s="113">
        <f>SUMIF('03.01'!$E$15:$E$88,H18,'03.01'!$M$15:$M$88)</f>
        <v>12</v>
      </c>
      <c r="BD18" s="113">
        <f>COUNTIFS('03.01'!$E$15:$E$88,H18,'03.01'!$M$15:$M$88,"&gt;0")</f>
        <v>1</v>
      </c>
      <c r="BE18" s="113">
        <f>SUMIF('10.01'!$E$15:$E$91,H18,'10.01'!$M$15:$M$91)</f>
        <v>16</v>
      </c>
      <c r="BF18" s="113">
        <f>COUNTIFS('10.01'!$E$15:$E$91,H18,'10.01'!$M$15:$M$91,"&gt;0")</f>
        <v>1</v>
      </c>
      <c r="BG18" s="113">
        <f>SUMIF('17.01'!$E$15:$E$87,H18,'17.01'!$M$15:$M$87)</f>
        <v>12</v>
      </c>
      <c r="BH18" s="113">
        <f>COUNTIFS('17.01'!$E$15:$E$87,H18,'17.01'!$M$15:$M$87,"&gt;0")</f>
        <v>1</v>
      </c>
      <c r="BI18" s="113">
        <f>SUMIF('24.01'!$E$15:$E$86,H18,'24.01'!$M$15:$M$86)</f>
        <v>0</v>
      </c>
      <c r="BJ18" s="113">
        <f>COUNTIFS('24.01'!$E$15:$E$86,H18,'24.01'!$M$15:$M$86,"&gt;0")</f>
        <v>0</v>
      </c>
      <c r="BK18" s="113">
        <f>SUMIF('31.01'!$E$15:$E$75,H18,'31.01'!$M$15:$M$75)</f>
        <v>0</v>
      </c>
      <c r="BL18" s="113">
        <f>COUNTIFS('31.01'!$E$15:$E$75,H18,'31.01'!$M$15:$M$75,"&gt;0")</f>
        <v>0</v>
      </c>
      <c r="BM18" s="113">
        <f>SUMIF('07.02'!$E$15:$E$77,H18,'07.02'!$M$15:$M$77)</f>
        <v>8</v>
      </c>
      <c r="BN18" s="113">
        <f>COUNTIFS('07.02'!$E$15:$E$77,H18,'07.02'!$M$15:$M$77,"&gt;0")</f>
        <v>1</v>
      </c>
      <c r="BO18" s="113">
        <f>SUMIF('14.02'!$E$15:$E$81,H18,'14.02'!$M$15:$M$81)</f>
        <v>8</v>
      </c>
      <c r="BP18" s="113">
        <f>COUNTIFS('14.02'!$E$15:$E$81,H18,'14.02'!$M$15:$M$81,"&gt;0")</f>
        <v>1</v>
      </c>
      <c r="BQ18" s="113">
        <f>SUMIF('21.02'!$E$15:$E$82,H18,'21.02'!$M$15:$M$82)</f>
        <v>4</v>
      </c>
      <c r="BR18" s="113">
        <f>COUNTIFS('21.02'!$E$15:$E$82,H18,'21.02'!$M$15:$M$82,"&gt;0")</f>
        <v>1</v>
      </c>
      <c r="BS18" s="113"/>
      <c r="BT18" s="113"/>
      <c r="BU18" s="113"/>
      <c r="BV18" s="113"/>
      <c r="BW18" s="113"/>
      <c r="BX18" s="113"/>
      <c r="BY18" s="113"/>
      <c r="BZ18" s="113"/>
    </row>
    <row r="19">
      <c r="A19" s="148" t="s">
        <v>503</v>
      </c>
      <c r="B19" s="180">
        <f>AI65</f>
        <v>506</v>
      </c>
      <c r="C19" s="148">
        <v>511.0</v>
      </c>
      <c r="D19" s="148">
        <v>333.0</v>
      </c>
      <c r="E19" s="180">
        <f>AJ65</f>
        <v>40</v>
      </c>
      <c r="F19" s="182">
        <f t="shared" si="1"/>
        <v>6.66</v>
      </c>
      <c r="H19" s="171" t="s">
        <v>428</v>
      </c>
      <c r="I19" s="88">
        <f>SUMIF('26.07'!$E$15:$E$74,H19,'26.07'!$M$15:$M$74)</f>
        <v>0</v>
      </c>
      <c r="J19" s="88">
        <f>COUNTIFS('26.07'!$E$15:$E$74,H19,'26.07'!$L$15:$L$74,"&gt;0")</f>
        <v>0</v>
      </c>
      <c r="K19" s="88">
        <f>SUMIF('02.08'!$E$15:$E$73,H19,'02.08'!$M$15:$M$73)</f>
        <v>8</v>
      </c>
      <c r="L19" s="88">
        <f>COUNTIFS('02.08'!$E$15:$E$73,H19,'02.08'!$L$15:$L$73,"&gt;0")</f>
        <v>1</v>
      </c>
      <c r="M19" s="88">
        <f>SUMIF('09.08'!$E$15:$E$71,H19,'09.08'!$M$15:$M$71)</f>
        <v>0</v>
      </c>
      <c r="N19" s="88">
        <f>COUNTIFS('09.08'!$E$15:$E$71,H19,'09.08'!$L$15:$L$71,"&gt;0")</f>
        <v>0</v>
      </c>
      <c r="O19" s="88">
        <f>sumif('16.08 '!$E$15:$E$65,H19,'16.08 '!$M$15:$M$65)</f>
        <v>8</v>
      </c>
      <c r="P19" s="88">
        <f>COUNTIFs('16.08 '!$E$15:$E$65,H19,'16.08 '!$L$15:$L$65,"&gt;0")</f>
        <v>1</v>
      </c>
      <c r="Q19" s="88">
        <f>sumif('23.08'!$E$15:$E$62,H19,'23.08'!$M$15:$M$62)</f>
        <v>4</v>
      </c>
      <c r="R19" s="88">
        <f>COUNTIFS('23.08'!$M$15:$M$62,"&gt;0",'23.08'!$E$15:$E$62,H19)</f>
        <v>1</v>
      </c>
      <c r="S19" s="88">
        <f>SUMIF('30.08'!$E$15:$E$66,H19,'30.08'!$M$15:$M$66)</f>
        <v>0</v>
      </c>
      <c r="T19" s="88">
        <f>COUNTIFS('30.08'!$E$15:$E$66,H19,'30.08'!$M$15:$M$66,"&gt;0")</f>
        <v>0</v>
      </c>
      <c r="U19" s="88">
        <f>sumif('06.09'!$E$15:$E$66,H19,'06.09'!$M$15:$M$66)</f>
        <v>0</v>
      </c>
      <c r="V19" s="113">
        <f>COUNTIFS('06.09'!$E$15:$E$66,H19,'06.09'!$M$15:$M$66,"&gt;0")</f>
        <v>0</v>
      </c>
      <c r="W19" s="88">
        <f>SUMIF('13.09'!$E$15:$E$65,H19,'13.09'!$M$15:$M$65)</f>
        <v>4</v>
      </c>
      <c r="X19" s="113">
        <f>COUNTIFS('13.09'!$E$15:$E$65,H19,'13.09'!$M$15:$M$65,"&gt;0")</f>
        <v>1</v>
      </c>
      <c r="Y19" s="88">
        <f>SUMIF('20.09'!$E$15:$E$67,H19,'20.09'!$M$15:$M$67)</f>
        <v>0</v>
      </c>
      <c r="Z19" s="113">
        <f>COUNTIFS('20.09'!$E$15:$E$67,H19,'20.09'!$M$15:$M$67,"&gt;0")</f>
        <v>0</v>
      </c>
      <c r="AA19" s="88">
        <f>SUMIF('27.09'!$E$15:$E$68,H19,'27.09'!$M$15:$M$68)</f>
        <v>0</v>
      </c>
      <c r="AB19" s="113">
        <f>COUNTIFS('27.09'!$E$15:$E$68,H19,'27.09'!$M$15:$M$68,"&gt;0")</f>
        <v>0</v>
      </c>
      <c r="AC19" s="88">
        <f>SUMIF('04.10'!$E$15:$E$71,H19,'04.10'!$M$15:$M$71)</f>
        <v>4</v>
      </c>
      <c r="AD19" s="113">
        <f>COUNTIFS('04.10'!$E$15:$E$71,H19,'04.10'!$M$15:$M$71,"&gt;0")</f>
        <v>1</v>
      </c>
      <c r="AE19" s="88">
        <f>SUMIF('11.10'!$E$15:$E$76,H19,'11.10'!$M$15:$M$76)</f>
        <v>4</v>
      </c>
      <c r="AF19" s="113">
        <f>COUNTIFS('11.10'!$E$15:$E$76,H19,'11.10'!$L$15:$L$76,"&gt;0")</f>
        <v>1</v>
      </c>
      <c r="AG19" s="113">
        <f>SUMIF('18.10'!$E$15:$E$76,H19,'18.10'!$M$15:$M$76)</f>
        <v>0</v>
      </c>
      <c r="AH19" s="113">
        <f>COUNTIFS('18.10'!$E$15:$E$76,H19,'18.10'!$L$15:$L$76,"&gt;0")</f>
        <v>0</v>
      </c>
      <c r="AI19" s="113">
        <f>SUMIF('25.10'!$E$15:$E$78,H19,'25.10'!$M$15:$M$78)</f>
        <v>0</v>
      </c>
      <c r="AJ19" s="113">
        <f>COUNTIFS('25.10'!$E$15:$E$78,H19,'25.10'!$L$15:$L$78,"&gt;0")</f>
        <v>0</v>
      </c>
      <c r="AK19" s="113">
        <f>SUMIF('01.11'!$E$15:$E$77,H19,'01.11'!$M$15:$M$77)</f>
        <v>0</v>
      </c>
      <c r="AL19" s="113">
        <f>COUNTIFS('01.11'!$E$15:$E$77,H19,'01.11'!$M$15:$M$77,"&gt;0")</f>
        <v>0</v>
      </c>
      <c r="AM19" s="113">
        <f>SUMIF('08.11'!$E$15:$E$67,H19,'08.11'!$M$15:$M$67)</f>
        <v>0</v>
      </c>
      <c r="AN19" s="113">
        <f>COUNTIFS('08.11'!$E$15:$E$67,H19,'08.11'!$M$15:$M$67,"&gt;0")</f>
        <v>0</v>
      </c>
      <c r="AO19" s="113">
        <f>SUMIF('15.11'!$E$15:$E$71,H19,'15.11'!$M$15:$M$71)</f>
        <v>0</v>
      </c>
      <c r="AP19" s="113">
        <f>COUNTIFS('15.11'!$E$15:$E$71,H19,'15.11'!$M$15:$M$71,"&gt;0")</f>
        <v>0</v>
      </c>
      <c r="AQ19" s="113">
        <f>SUMIF('22.11'!$E$15:$E$78,H19,'22.11'!$M$15:$M$78)</f>
        <v>0</v>
      </c>
      <c r="AR19" s="113">
        <f>COUNTIFS('22.11'!$E$15:$E$78,H19,'22.11'!$M$15:$M$78,"&gt;0")</f>
        <v>0</v>
      </c>
      <c r="AS19" s="113">
        <f>SUMIF('29.11'!$E$15:$E$79,H19,'29.11'!$M$15:$M$79)</f>
        <v>0</v>
      </c>
      <c r="AT19" s="113">
        <f>COUNTIFS('29.11'!$E$15:$E$79,H19,'29.11'!$L$15:$L$79,"&gt;0")</f>
        <v>0</v>
      </c>
      <c r="AU19" s="113">
        <f>SUMIF('06.12'!$E$15:$E$82,H19,'06.12'!$M$15:$M$82)</f>
        <v>0</v>
      </c>
      <c r="AV19" s="113">
        <f>COUNTIFS('06.12'!$E$15:$E$82,H19,'06.12'!$M$15:$M$82,"&gt;0")</f>
        <v>0</v>
      </c>
      <c r="AW19" s="113">
        <f>SUMIF('13.12'!$E$15:$E$82,H19,'13.12'!$M$15:$M$82)</f>
        <v>0</v>
      </c>
      <c r="AX19" s="113">
        <f>COUNTIFS('13.12'!$E$15:$E$82,H19,'13.12'!$M$15:$M$82,"&gt;0")</f>
        <v>0</v>
      </c>
      <c r="AY19" s="113">
        <f>SUMIF('20.12'!$E$15:$E$84,H19,'20.12'!$M$15:$M$84)</f>
        <v>0</v>
      </c>
      <c r="AZ19" s="113">
        <f>COUNTIFS('20.12'!$E$15:$E$84,H19,'20.12'!$M$15:$M$84,"&gt;0")</f>
        <v>0</v>
      </c>
      <c r="BA19" s="113">
        <f>SUMIF('27.12'!$E$15:$E$84,H19,'27.12'!$M$15:$M$84)</f>
        <v>0</v>
      </c>
      <c r="BB19" s="113">
        <f>COUNTIFS('27.12'!$E$15:$E$84,H19,'27.12'!$M$15:$M$84,"&gt;0")</f>
        <v>0</v>
      </c>
      <c r="BC19" s="113">
        <f>SUMIF('03.01'!$E$15:$E$88,H19,'03.01'!$M$15:$M$88)</f>
        <v>0</v>
      </c>
      <c r="BD19" s="113">
        <f>COUNTIFS('03.01'!$E$15:$E$88,H19,'03.01'!$M$15:$M$88,"&gt;0")</f>
        <v>0</v>
      </c>
      <c r="BE19" s="113">
        <f>SUMIF('10.01'!$E$15:$E$91,H19,'10.01'!$M$15:$M$91)</f>
        <v>0</v>
      </c>
      <c r="BF19" s="113">
        <f>COUNTIFS('10.01'!$E$15:$E$91,H19,'10.01'!$M$15:$M$91,"&gt;0")</f>
        <v>0</v>
      </c>
      <c r="BG19" s="113">
        <f>SUMIF('17.01'!$E$15:$E$87,H19,'17.01'!$M$15:$M$87)</f>
        <v>0</v>
      </c>
      <c r="BH19" s="113">
        <f>COUNTIFS('17.01'!$E$15:$E$87,H19,'17.01'!$M$15:$M$87,"&gt;0")</f>
        <v>0</v>
      </c>
      <c r="BI19" s="113">
        <f>SUMIF('24.01'!$E$15:$E$86,H19,'24.01'!$M$15:$M$86)</f>
        <v>0</v>
      </c>
      <c r="BJ19" s="113">
        <f>COUNTIFS('24.01'!$E$15:$E$86,H19,'24.01'!$M$15:$M$86,"&gt;0")</f>
        <v>0</v>
      </c>
      <c r="BK19" s="113">
        <f>SUMIF('31.01'!$E$15:$E$75,H19,'31.01'!$M$15:$M$75)</f>
        <v>20</v>
      </c>
      <c r="BL19" s="113">
        <f>COUNTIFS('31.01'!$E$15:$E$75,H19,'31.01'!$M$15:$M$75,"&gt;0")</f>
        <v>1</v>
      </c>
      <c r="BM19" s="113">
        <f>SUMIF('07.02'!$E$15:$E$77,H19,'07.02'!$M$15:$M$77)</f>
        <v>8</v>
      </c>
      <c r="BN19" s="113">
        <f>COUNTIFS('07.02'!$E$15:$E$77,H19,'07.02'!$M$15:$M$77,"&gt;0")</f>
        <v>1</v>
      </c>
      <c r="BO19" s="113">
        <f>SUMIF('14.02'!$E$15:$E$81,H19,'14.02'!$M$15:$M$81)</f>
        <v>0</v>
      </c>
      <c r="BP19" s="113">
        <f>COUNTIFS('14.02'!$E$15:$E$81,H19,'14.02'!$M$15:$M$81,"&gt;0")</f>
        <v>0</v>
      </c>
      <c r="BQ19" s="113">
        <f>SUMIF('21.02'!$E$15:$E$82,H19,'21.02'!$M$15:$M$82)</f>
        <v>20</v>
      </c>
      <c r="BR19" s="113">
        <f>COUNTIFS('21.02'!$E$15:$E$82,H19,'21.02'!$M$15:$M$82,"&gt;0")</f>
        <v>1</v>
      </c>
      <c r="BS19" s="113"/>
      <c r="BT19" s="113"/>
      <c r="BU19" s="113"/>
      <c r="BV19" s="113"/>
      <c r="BW19" s="113"/>
      <c r="BX19" s="113"/>
      <c r="BY19" s="113"/>
      <c r="BZ19" s="113"/>
    </row>
    <row r="20">
      <c r="A20" s="148" t="s">
        <v>504</v>
      </c>
      <c r="B20" s="180">
        <f>AK65</f>
        <v>482</v>
      </c>
      <c r="C20" s="148">
        <v>480.0</v>
      </c>
      <c r="D20" s="148">
        <v>297.0</v>
      </c>
      <c r="E20" s="180">
        <f>AL65</f>
        <v>42</v>
      </c>
      <c r="F20" s="182">
        <f t="shared" si="1"/>
        <v>5.94</v>
      </c>
      <c r="H20" s="171" t="s">
        <v>427</v>
      </c>
      <c r="I20" s="88">
        <f>SUMIF('26.07'!$E$15:$E$74,H20,'26.07'!$M$15:$M$74)</f>
        <v>0</v>
      </c>
      <c r="J20" s="88">
        <f>COUNTIFS('26.07'!$E$15:$E$74,H20,'26.07'!$L$15:$L$74,"&gt;0")</f>
        <v>0</v>
      </c>
      <c r="K20" s="88">
        <f>SUMIF('02.08'!$E$15:$E$73,H20,'02.08'!$M$15:$M$73)</f>
        <v>0</v>
      </c>
      <c r="L20" s="88">
        <f>COUNTIFS('02.08'!$E$15:$E$73,H20,'02.08'!$L$15:$L$73,"&gt;0")</f>
        <v>0</v>
      </c>
      <c r="M20" s="88">
        <f>SUMIF('09.08'!$E$15:$E$71,H20,'09.08'!$M$15:$M$71)</f>
        <v>0</v>
      </c>
      <c r="N20" s="88">
        <f>COUNTIFS('09.08'!$E$15:$E$71,H20,'09.08'!$L$15:$L$71,"&gt;0")</f>
        <v>0</v>
      </c>
      <c r="O20" s="88">
        <f>sumif('16.08 '!$E$15:$E$65,H20,'16.08 '!$M$15:$M$65)</f>
        <v>0</v>
      </c>
      <c r="P20" s="88">
        <f>COUNTIFs('16.08 '!$E$15:$E$65,H20,'16.08 '!$L$15:$L$65,"&gt;0")</f>
        <v>0</v>
      </c>
      <c r="Q20" s="88">
        <f>sumif('23.08'!$E$15:$E$62,H20,'23.08'!$M$15:$M$62)</f>
        <v>0</v>
      </c>
      <c r="R20" s="88">
        <f>COUNTIFS('23.08'!$M$15:$M$62,"&gt;0",'23.08'!$E$15:$E$62,H20)</f>
        <v>0</v>
      </c>
      <c r="S20" s="88">
        <f>SUMIF('30.08'!$E$15:$E$66,H20,'30.08'!$M$15:$M$66)</f>
        <v>0</v>
      </c>
      <c r="T20" s="88">
        <f>COUNTIFS('30.08'!$E$15:$E$66,H20,'30.08'!$M$15:$M$66,"&gt;0")</f>
        <v>0</v>
      </c>
      <c r="U20" s="88">
        <f>sumif('06.09'!$E$15:$E$66,H20,'06.09'!$M$15:$M$66)</f>
        <v>0</v>
      </c>
      <c r="V20" s="113">
        <f>COUNTIFS('06.09'!$E$15:$E$66,H20,'06.09'!$M$15:$M$66,"&gt;0")</f>
        <v>0</v>
      </c>
      <c r="W20" s="88">
        <f>SUMIF('13.09'!$E$15:$E$65,H20,'13.09'!$M$15:$M$65)</f>
        <v>0</v>
      </c>
      <c r="X20" s="113">
        <f>COUNTIFS('13.09'!$E$15:$E$65,H20,'13.09'!$M$15:$M$65,"&gt;0")</f>
        <v>0</v>
      </c>
      <c r="Y20" s="88">
        <f>SUMIF('20.09'!$E$15:$E$67,H20,'20.09'!$M$15:$M$67)</f>
        <v>0</v>
      </c>
      <c r="Z20" s="113">
        <f>COUNTIFS('20.09'!$E$15:$E$67,H20,'20.09'!$M$15:$M$67,"&gt;0")</f>
        <v>0</v>
      </c>
      <c r="AA20" s="88">
        <f>SUMIF('27.09'!$E$15:$E$68,H20,'27.09'!$M$15:$M$68)</f>
        <v>0</v>
      </c>
      <c r="AB20" s="113">
        <f>COUNTIFS('27.09'!$E$15:$E$68,H20,'27.09'!$M$15:$M$68,"&gt;0")</f>
        <v>0</v>
      </c>
      <c r="AC20" s="88">
        <f>SUMIF('04.10'!$E$15:$E$71,H20,'04.10'!$M$15:$M$71)</f>
        <v>0</v>
      </c>
      <c r="AD20" s="113">
        <f>COUNTIFS('04.10'!$E$15:$E$71,H20,'04.10'!$M$15:$M$71,"&gt;0")</f>
        <v>0</v>
      </c>
      <c r="AE20" s="88">
        <f>SUMIF('11.10'!$E$15:$E$76,H20,'11.10'!$M$15:$M$76)</f>
        <v>0</v>
      </c>
      <c r="AF20" s="113">
        <f>COUNTIFS('11.10'!$E$15:$E$76,H20,'11.10'!$L$15:$L$76,"&gt;0")</f>
        <v>0</v>
      </c>
      <c r="AG20" s="113">
        <f>SUMIF('18.10'!$E$15:$E$76,H20,'18.10'!$M$15:$M$76)</f>
        <v>0</v>
      </c>
      <c r="AH20" s="113">
        <f>COUNTIFS('18.10'!$E$15:$E$76,H20,'18.10'!$L$15:$L$76,"&gt;0")</f>
        <v>0</v>
      </c>
      <c r="AI20" s="113">
        <f>SUMIF('25.10'!$E$15:$E$78,H20,'25.10'!$M$15:$M$78)</f>
        <v>0</v>
      </c>
      <c r="AJ20" s="113">
        <f>COUNTIFS('25.10'!$E$15:$E$78,H20,'25.10'!$L$15:$L$78,"&gt;0")</f>
        <v>0</v>
      </c>
      <c r="AK20" s="113">
        <f>SUMIF('01.11'!$E$15:$E$77,H20,'01.11'!$M$15:$M$77)</f>
        <v>0</v>
      </c>
      <c r="AL20" s="113">
        <f>COUNTIFS('01.11'!$E$15:$E$77,H20,'01.11'!$M$15:$M$77,"&gt;0")</f>
        <v>0</v>
      </c>
      <c r="AM20" s="113">
        <f>SUMIF('08.11'!$E$15:$E$67,H20,'08.11'!$M$15:$M$67)</f>
        <v>0</v>
      </c>
      <c r="AN20" s="113">
        <f>COUNTIFS('08.11'!$E$15:$E$67,H20,'08.11'!$M$15:$M$67,"&gt;0")</f>
        <v>0</v>
      </c>
      <c r="AO20" s="113">
        <f>SUMIF('15.11'!$E$15:$E$71,H20,'15.11'!$M$15:$M$71)</f>
        <v>0</v>
      </c>
      <c r="AP20" s="113">
        <f>COUNTIFS('15.11'!$E$15:$E$71,H20,'15.11'!$M$15:$M$71,"&gt;0")</f>
        <v>0</v>
      </c>
      <c r="AQ20" s="113">
        <f>SUMIF('22.11'!$E$15:$E$78,H20,'22.11'!$M$15:$M$78)</f>
        <v>0</v>
      </c>
      <c r="AR20" s="113">
        <f>COUNTIFS('22.11'!$E$15:$E$78,H20,'22.11'!$M$15:$M$78,"&gt;0")</f>
        <v>0</v>
      </c>
      <c r="AS20" s="113">
        <f>SUMIF('29.11'!$E$15:$E$79,H20,'29.11'!$M$15:$M$79)</f>
        <v>0</v>
      </c>
      <c r="AT20" s="113">
        <f>COUNTIFS('29.11'!$E$15:$E$79,H20,'29.11'!$L$15:$L$79,"&gt;0")</f>
        <v>0</v>
      </c>
      <c r="AU20" s="113">
        <f>SUMIF('06.12'!$E$15:$E$82,H20,'06.12'!$M$15:$M$82)</f>
        <v>0</v>
      </c>
      <c r="AV20" s="113">
        <f>COUNTIFS('06.12'!$E$15:$E$82,H20,'06.12'!$M$15:$M$82,"&gt;0")</f>
        <v>0</v>
      </c>
      <c r="AW20" s="113">
        <f>SUMIF('13.12'!$E$15:$E$82,H20,'13.12'!$M$15:$M$82)</f>
        <v>0</v>
      </c>
      <c r="AX20" s="113">
        <f>COUNTIFS('13.12'!$E$15:$E$82,H20,'13.12'!$M$15:$M$82,"&gt;0")</f>
        <v>0</v>
      </c>
      <c r="AY20" s="113">
        <f>SUMIF('20.12'!$E$15:$E$84,H20,'20.12'!$M$15:$M$84)</f>
        <v>0</v>
      </c>
      <c r="AZ20" s="113">
        <f>COUNTIFS('20.12'!$E$15:$E$84,H20,'20.12'!$M$15:$M$84,"&gt;0")</f>
        <v>0</v>
      </c>
      <c r="BA20" s="113">
        <f>SUMIF('27.12'!$E$15:$E$84,H20,'27.12'!$M$15:$M$84)</f>
        <v>0</v>
      </c>
      <c r="BB20" s="113">
        <f>COUNTIFS('27.12'!$E$15:$E$84,H20,'27.12'!$M$15:$M$84,"&gt;0")</f>
        <v>0</v>
      </c>
      <c r="BC20" s="113">
        <f>SUMIF('03.01'!$E$15:$E$88,H20,'03.01'!$M$15:$M$88)</f>
        <v>0</v>
      </c>
      <c r="BD20" s="113">
        <f>COUNTIFS('03.01'!$E$15:$E$88,H20,'03.01'!$M$15:$M$88,"&gt;0")</f>
        <v>0</v>
      </c>
      <c r="BE20" s="113">
        <f>SUMIF('10.01'!$E$15:$E$91,H20,'10.01'!$M$15:$M$91)</f>
        <v>4</v>
      </c>
      <c r="BF20" s="113">
        <f>COUNTIFS('10.01'!$E$15:$E$91,H20,'10.01'!$M$15:$M$91,"&gt;0")</f>
        <v>1</v>
      </c>
      <c r="BG20" s="113">
        <f>SUMIF('17.01'!$E$15:$E$87,H20,'17.01'!$M$15:$M$87)</f>
        <v>4</v>
      </c>
      <c r="BH20" s="113">
        <f>COUNTIFS('17.01'!$E$15:$E$87,H20,'17.01'!$M$15:$M$87,"&gt;0")</f>
        <v>1</v>
      </c>
      <c r="BI20" s="113">
        <f>SUMIF('24.01'!$E$15:$E$86,H20,'24.01'!$M$15:$M$86)</f>
        <v>12</v>
      </c>
      <c r="BJ20" s="113">
        <f>COUNTIFS('24.01'!$E$15:$E$86,H20,'24.01'!$M$15:$M$86,"&gt;0")</f>
        <v>1</v>
      </c>
      <c r="BK20" s="113">
        <f>SUMIF('31.01'!$E$15:$E$75,H20,'31.01'!$M$15:$M$75)</f>
        <v>20</v>
      </c>
      <c r="BL20" s="113">
        <f>COUNTIFS('31.01'!$E$15:$E$75,H20,'31.01'!$M$15:$M$75,"&gt;0")</f>
        <v>1</v>
      </c>
      <c r="BM20" s="113">
        <f>SUMIF('07.02'!$E$15:$E$77,H20,'07.02'!$M$15:$M$77)</f>
        <v>20</v>
      </c>
      <c r="BN20" s="113">
        <f>COUNTIFS('07.02'!$E$15:$E$77,H20,'07.02'!$M$15:$M$77,"&gt;0")</f>
        <v>1</v>
      </c>
      <c r="BO20" s="113">
        <f>SUMIF('14.02'!$E$15:$E$81,H20,'14.02'!$M$15:$M$81)</f>
        <v>20</v>
      </c>
      <c r="BP20" s="113">
        <f>COUNTIFS('14.02'!$E$15:$E$81,H20,'14.02'!$M$15:$M$81,"&gt;0")</f>
        <v>1</v>
      </c>
      <c r="BQ20" s="113">
        <f>SUMIF('21.02'!$E$15:$E$82,H20,'21.02'!$M$15:$M$82)</f>
        <v>20</v>
      </c>
      <c r="BR20" s="113">
        <f>COUNTIFS('21.02'!$E$15:$E$82,H20,'21.02'!$M$15:$M$82,"&gt;0")</f>
        <v>1</v>
      </c>
      <c r="BS20" s="113"/>
      <c r="BT20" s="113"/>
      <c r="BU20" s="113"/>
      <c r="BV20" s="113"/>
      <c r="BW20" s="113"/>
      <c r="BX20" s="113"/>
      <c r="BY20" s="113"/>
      <c r="BZ20" s="113"/>
    </row>
    <row r="21">
      <c r="A21" s="148" t="s">
        <v>505</v>
      </c>
      <c r="B21" s="180">
        <f>AM65</f>
        <v>450</v>
      </c>
      <c r="C21" s="148">
        <v>465.0</v>
      </c>
      <c r="D21" s="148">
        <v>288.0</v>
      </c>
      <c r="E21" s="180">
        <f>AN65</f>
        <v>41</v>
      </c>
      <c r="F21" s="182">
        <f t="shared" ref="F21:F31" si="2">D21/45</f>
        <v>6.4</v>
      </c>
      <c r="H21" s="171" t="s">
        <v>184</v>
      </c>
      <c r="I21" s="88">
        <f>SUMIF('26.07'!$E$15:$E$74,H21,'26.07'!$M$15:$M$74)</f>
        <v>0</v>
      </c>
      <c r="J21" s="88">
        <f>COUNTIFS('26.07'!$E$15:$E$74,H21,'26.07'!$L$15:$L$74,"&gt;0")</f>
        <v>0</v>
      </c>
      <c r="K21" s="88">
        <f>SUMIF('02.08'!$E$15:$E$73,H21,'02.08'!$M$15:$M$73)</f>
        <v>0</v>
      </c>
      <c r="L21" s="88">
        <f>COUNTIFS('02.08'!$E$15:$E$73,H21,'02.08'!$L$15:$L$73,"&gt;0")</f>
        <v>0</v>
      </c>
      <c r="M21" s="88">
        <f>SUMIF('09.08'!$E$15:$E$71,H21,'09.08'!$M$15:$M$71)</f>
        <v>0</v>
      </c>
      <c r="N21" s="88">
        <f>COUNTIFS('09.08'!$E$15:$E$71,H21,'09.08'!$L$15:$L$71,"&gt;0")</f>
        <v>0</v>
      </c>
      <c r="O21" s="88">
        <f>sumif('16.08 '!$E$15:$E$65,H21,'16.08 '!$M$15:$M$65)</f>
        <v>0</v>
      </c>
      <c r="P21" s="88">
        <f>COUNTIFs('16.08 '!$E$15:$E$65,H21,'16.08 '!$L$15:$L$65,"&gt;0")</f>
        <v>0</v>
      </c>
      <c r="Q21" s="88">
        <f>sumif('23.08'!$E$15:$E$62,H21,'23.08'!$M$15:$M$62)</f>
        <v>0</v>
      </c>
      <c r="R21" s="88">
        <f>COUNTIFS('23.08'!$M$15:$M$62,"&gt;0",'23.08'!$E$15:$E$62,H21)</f>
        <v>0</v>
      </c>
      <c r="S21" s="88">
        <f>SUMIF('30.08'!$E$15:$E$66,H21,'30.08'!$M$15:$M$66)</f>
        <v>0</v>
      </c>
      <c r="T21" s="88">
        <f>COUNTIFS('30.08'!$E$15:$E$66,H21,'30.08'!$M$15:$M$66,"&gt;0")</f>
        <v>0</v>
      </c>
      <c r="U21" s="88">
        <f>sumif('06.09'!$E$15:$E$66,H21,'06.09'!$M$15:$M$66)</f>
        <v>0</v>
      </c>
      <c r="V21" s="113">
        <f>COUNTIFS('06.09'!$E$15:$E$66,H21,'06.09'!$M$15:$M$66,"&gt;0")</f>
        <v>0</v>
      </c>
      <c r="W21" s="88">
        <f>SUMIF('13.09'!$E$15:$E$65,H21,'13.09'!$M$15:$M$65)</f>
        <v>8</v>
      </c>
      <c r="X21" s="113">
        <f>COUNTIFS('13.09'!$E$15:$E$65,H21,'13.09'!$M$15:$M$65,"&gt;0")</f>
        <v>1</v>
      </c>
      <c r="Y21" s="88">
        <f>SUMIF('20.09'!$E$15:$E$67,H21,'20.09'!$M$15:$M$67)</f>
        <v>0</v>
      </c>
      <c r="Z21" s="113">
        <f>COUNTIFS('20.09'!$E$15:$E$67,H21,'20.09'!$M$15:$M$67,"&gt;0")</f>
        <v>0</v>
      </c>
      <c r="AA21" s="88">
        <f>SUMIF('27.09'!$E$15:$E$68,H21,'27.09'!$M$15:$M$68)</f>
        <v>0</v>
      </c>
      <c r="AB21" s="113">
        <f>COUNTIFS('27.09'!$E$15:$E$68,H21,'27.09'!$M$15:$M$68,"&gt;0")</f>
        <v>0</v>
      </c>
      <c r="AC21" s="88">
        <f>SUMIF('04.10'!$E$15:$E$71,H21,'04.10'!$M$15:$M$71)</f>
        <v>0</v>
      </c>
      <c r="AD21" s="113">
        <f>COUNTIFS('04.10'!$E$15:$E$71,H21,'04.10'!$M$15:$M$71,"&gt;0")</f>
        <v>0</v>
      </c>
      <c r="AE21" s="88">
        <f>SUMIF('11.10'!$E$15:$E$76,H21,'11.10'!$M$15:$M$76)</f>
        <v>0</v>
      </c>
      <c r="AF21" s="113">
        <f>COUNTIFS('11.10'!$E$15:$E$76,H21,'11.10'!$L$15:$L$76,"&gt;0")</f>
        <v>0</v>
      </c>
      <c r="AG21" s="113">
        <f>SUMIF('18.10'!$E$15:$E$76,H21,'18.10'!$M$15:$M$76)</f>
        <v>0</v>
      </c>
      <c r="AH21" s="113">
        <f>COUNTIFS('18.10'!$E$15:$E$76,H21,'18.10'!$L$15:$L$76,"&gt;0")</f>
        <v>0</v>
      </c>
      <c r="AI21" s="113">
        <f>SUMIF('25.10'!$E$15:$E$78,H21,'25.10'!$M$15:$M$78)</f>
        <v>0</v>
      </c>
      <c r="AJ21" s="113">
        <f>COUNTIFS('25.10'!$E$15:$E$78,H21,'25.10'!$L$15:$L$78,"&gt;0")</f>
        <v>0</v>
      </c>
      <c r="AK21" s="113">
        <f>SUMIF('01.11'!$E$15:$E$77,H21,'01.11'!$M$15:$M$77)</f>
        <v>0</v>
      </c>
      <c r="AL21" s="113">
        <f>COUNTIFS('01.11'!$E$15:$E$77,H21,'01.11'!$M$15:$M$77,"&gt;0")</f>
        <v>0</v>
      </c>
      <c r="AM21" s="113">
        <f>SUMIF('08.11'!$E$15:$E$67,H21,'08.11'!$M$15:$M$67)</f>
        <v>4</v>
      </c>
      <c r="AN21" s="113">
        <f>COUNTIFS('08.11'!$E$15:$E$67,H21,'08.11'!$M$15:$M$67,"&gt;0")</f>
        <v>1</v>
      </c>
      <c r="AO21" s="113">
        <f>SUMIF('15.11'!$E$15:$E$71,H21,'15.11'!$M$15:$M$71)</f>
        <v>8</v>
      </c>
      <c r="AP21" s="113">
        <f>COUNTIFS('15.11'!$E$15:$E$71,H21,'15.11'!$M$15:$M$71,"&gt;0")</f>
        <v>1</v>
      </c>
      <c r="AQ21" s="113">
        <f>SUMIF('22.11'!$E$15:$E$78,H21,'22.11'!$M$15:$M$78)</f>
        <v>8</v>
      </c>
      <c r="AR21" s="113">
        <f>COUNTIFS('22.11'!$E$15:$E$78,H21,'22.11'!$M$15:$M$78,"&gt;0")</f>
        <v>1</v>
      </c>
      <c r="AS21" s="113">
        <f>SUMIF('29.11'!$E$15:$E$79,H21,'29.11'!$M$15:$M$79)</f>
        <v>0</v>
      </c>
      <c r="AT21" s="113">
        <f>COUNTIFS('29.11'!$E$15:$E$79,H21,'29.11'!$L$15:$L$79,"&gt;0")</f>
        <v>0</v>
      </c>
      <c r="AU21" s="113">
        <f>SUMIF('06.12'!$E$15:$E$82,H21,'06.12'!$M$15:$M$82)</f>
        <v>0</v>
      </c>
      <c r="AV21" s="113">
        <f>COUNTIFS('06.12'!$E$15:$E$82,H21,'06.12'!$M$15:$M$82,"&gt;0")</f>
        <v>0</v>
      </c>
      <c r="AW21" s="113">
        <f>SUMIF('13.12'!$E$15:$E$82,H21,'13.12'!$M$15:$M$82)</f>
        <v>0</v>
      </c>
      <c r="AX21" s="113">
        <f>COUNTIFS('13.12'!$E$15:$E$82,H21,'13.12'!$M$15:$M$82,"&gt;0")</f>
        <v>0</v>
      </c>
      <c r="AY21" s="113">
        <f>SUMIF('20.12'!$E$15:$E$84,H21,'20.12'!$M$15:$M$84)</f>
        <v>0</v>
      </c>
      <c r="AZ21" s="113">
        <f>COUNTIFS('20.12'!$E$15:$E$84,H21,'20.12'!$M$15:$M$84,"&gt;0")</f>
        <v>0</v>
      </c>
      <c r="BA21" s="113">
        <f>SUMIF('27.12'!$E$15:$E$84,H21,'27.12'!$M$15:$M$84)</f>
        <v>0</v>
      </c>
      <c r="BB21" s="113">
        <f>COUNTIFS('27.12'!$E$15:$E$84,H21,'27.12'!$M$15:$M$84,"&gt;0")</f>
        <v>0</v>
      </c>
      <c r="BC21" s="113">
        <f>SUMIF('03.01'!$E$15:$E$88,H21,'03.01'!$M$15:$M$88)</f>
        <v>0</v>
      </c>
      <c r="BD21" s="113">
        <f>COUNTIFS('03.01'!$E$15:$E$88,H21,'03.01'!$M$15:$M$88,"&gt;0")</f>
        <v>0</v>
      </c>
      <c r="BE21" s="113">
        <f>SUMIF('10.01'!$E$15:$E$91,H21,'10.01'!$M$15:$M$91)</f>
        <v>0</v>
      </c>
      <c r="BF21" s="113">
        <f>COUNTIFS('10.01'!$E$15:$E$91,H21,'10.01'!$M$15:$M$91,"&gt;0")</f>
        <v>0</v>
      </c>
      <c r="BG21" s="113">
        <f>SUMIF('17.01'!$E$15:$E$87,H21,'17.01'!$M$15:$M$87)</f>
        <v>0</v>
      </c>
      <c r="BH21" s="113">
        <f>COUNTIFS('17.01'!$E$15:$E$87,H21,'17.01'!$M$15:$M$87,"&gt;0")</f>
        <v>0</v>
      </c>
      <c r="BI21" s="113">
        <f>SUMIF('24.01'!$E$15:$E$86,H21,'24.01'!$M$15:$M$86)</f>
        <v>12</v>
      </c>
      <c r="BJ21" s="113">
        <f>COUNTIFS('24.01'!$E$15:$E$86,H21,'24.01'!$M$15:$M$86,"&gt;0")</f>
        <v>1</v>
      </c>
      <c r="BK21" s="113">
        <f>SUMIF('31.01'!$E$15:$E$75,H21,'31.01'!$M$15:$M$75)</f>
        <v>20</v>
      </c>
      <c r="BL21" s="113">
        <f>COUNTIFS('31.01'!$E$15:$E$75,H21,'31.01'!$M$15:$M$75,"&gt;0")</f>
        <v>1</v>
      </c>
      <c r="BM21" s="113">
        <f>SUMIF('07.02'!$E$15:$E$77,H21,'07.02'!$M$15:$M$77)</f>
        <v>20</v>
      </c>
      <c r="BN21" s="113">
        <f>COUNTIFS('07.02'!$E$15:$E$77,H21,'07.02'!$M$15:$M$77,"&gt;0")</f>
        <v>1</v>
      </c>
      <c r="BO21" s="113">
        <f>SUMIF('14.02'!$E$15:$E$81,H21,'14.02'!$M$15:$M$81)</f>
        <v>20</v>
      </c>
      <c r="BP21" s="113">
        <f>COUNTIFS('14.02'!$E$15:$E$81,H21,'14.02'!$M$15:$M$81,"&gt;0")</f>
        <v>1</v>
      </c>
      <c r="BQ21" s="113">
        <f>SUMIF('21.02'!$E$15:$E$82,H21,'21.02'!$M$15:$M$82)</f>
        <v>20</v>
      </c>
      <c r="BR21" s="113">
        <f>COUNTIFS('21.02'!$E$15:$E$82,H21,'21.02'!$M$15:$M$82,"&gt;0")</f>
        <v>1</v>
      </c>
      <c r="BS21" s="113"/>
      <c r="BT21" s="113"/>
      <c r="BU21" s="113"/>
      <c r="BV21" s="113"/>
      <c r="BW21" s="113"/>
      <c r="BX21" s="113"/>
      <c r="BY21" s="113"/>
      <c r="BZ21" s="113"/>
    </row>
    <row r="22">
      <c r="A22" s="148" t="s">
        <v>506</v>
      </c>
      <c r="B22" s="180">
        <f>AO65</f>
        <v>492</v>
      </c>
      <c r="C22" s="148">
        <v>519.0</v>
      </c>
      <c r="D22" s="148">
        <v>312.0</v>
      </c>
      <c r="E22" s="180">
        <f>AP65</f>
        <v>37</v>
      </c>
      <c r="F22" s="182">
        <f t="shared" si="2"/>
        <v>6.933333333</v>
      </c>
      <c r="H22" s="171" t="s">
        <v>383</v>
      </c>
      <c r="I22" s="88">
        <f>SUMIF('26.07'!$E$15:$E$74,H22,'26.07'!$M$15:$M$74)</f>
        <v>12</v>
      </c>
      <c r="J22" s="88">
        <f>COUNTIFS('26.07'!$E$15:$E$74,H22,'26.07'!$L$15:$L$74,"&gt;0")</f>
        <v>1</v>
      </c>
      <c r="K22" s="88">
        <f>SUMIF('02.08'!$E$15:$E$73,H22,'02.08'!$M$15:$M$73)</f>
        <v>0</v>
      </c>
      <c r="L22" s="88">
        <f>COUNTIFS('02.08'!$E$15:$E$73,H22,'02.08'!$L$15:$L$73,"&gt;0")</f>
        <v>0</v>
      </c>
      <c r="M22" s="88">
        <f>SUMIF('09.08'!$E$15:$E$71,H22,'09.08'!$M$15:$M$71)</f>
        <v>0</v>
      </c>
      <c r="N22" s="88">
        <f>COUNTIFS('09.08'!$E$15:$E$71,H22,'09.08'!$L$15:$L$71,"&gt;0")</f>
        <v>0</v>
      </c>
      <c r="O22" s="88">
        <f>sumif('16.08 '!$E$15:$E$65,H22,'16.08 '!$M$15:$M$65)</f>
        <v>0</v>
      </c>
      <c r="P22" s="88">
        <f>COUNTIFs('16.08 '!$E$15:$E$65,H22,'16.08 '!$L$15:$L$65,"&gt;0")</f>
        <v>0</v>
      </c>
      <c r="Q22" s="88">
        <f>sumif('23.08'!$E$15:$E$62,H22,'23.08'!$M$15:$M$62)</f>
        <v>0</v>
      </c>
      <c r="R22" s="88">
        <f>COUNTIFS('23.08'!$M$15:$M$62,"&gt;0",'23.08'!$E$15:$E$62,H22)</f>
        <v>0</v>
      </c>
      <c r="S22" s="88">
        <f>SUMIF('30.08'!$E$15:$E$66,H22,'30.08'!$M$15:$M$66)</f>
        <v>0</v>
      </c>
      <c r="T22" s="88">
        <f>COUNTIFS('30.08'!$E$15:$E$66,H22,'30.08'!$M$15:$M$66,"&gt;0")</f>
        <v>0</v>
      </c>
      <c r="U22" s="88">
        <f>sumif('06.09'!$E$15:$E$66,H22,'06.09'!$M$15:$M$66)</f>
        <v>0</v>
      </c>
      <c r="V22" s="113">
        <f>COUNTIFS('06.09'!$E$15:$E$66,H22,'06.09'!$M$15:$M$66,"&gt;0")</f>
        <v>0</v>
      </c>
      <c r="W22" s="88">
        <f>SUMIF('13.09'!$E$15:$E$65,H22,'13.09'!$M$15:$M$65)</f>
        <v>0</v>
      </c>
      <c r="X22" s="113">
        <f>COUNTIFS('13.09'!$E$15:$E$65,H22,'13.09'!$M$15:$M$65,"&gt;0")</f>
        <v>0</v>
      </c>
      <c r="Y22" s="88">
        <f>SUMIF('20.09'!$E$15:$E$67,H22,'20.09'!$M$15:$M$67)</f>
        <v>0</v>
      </c>
      <c r="Z22" s="113">
        <f>COUNTIFS('20.09'!$E$15:$E$67,H22,'20.09'!$M$15:$M$67,"&gt;0")</f>
        <v>0</v>
      </c>
      <c r="AA22" s="88">
        <f>SUMIF('27.09'!$E$15:$E$68,H22,'27.09'!$M$15:$M$68)</f>
        <v>0</v>
      </c>
      <c r="AB22" s="113">
        <f>COUNTIFS('27.09'!$E$15:$E$68,H22,'27.09'!$M$15:$M$68,"&gt;0")</f>
        <v>0</v>
      </c>
      <c r="AC22" s="88">
        <f>SUMIF('04.10'!$E$15:$E$71,H22,'04.10'!$M$15:$M$71)</f>
        <v>0</v>
      </c>
      <c r="AD22" s="113">
        <f>COUNTIFS('04.10'!$E$15:$E$71,H22,'04.10'!$M$15:$M$71,"&gt;0")</f>
        <v>0</v>
      </c>
      <c r="AE22" s="88">
        <f>SUMIF('11.10'!$E$15:$E$76,H22,'11.10'!$M$15:$M$76)</f>
        <v>0</v>
      </c>
      <c r="AF22" s="113">
        <f>COUNTIFS('11.10'!$E$15:$E$76,H22,'11.10'!$L$15:$L$76,"&gt;0")</f>
        <v>0</v>
      </c>
      <c r="AG22" s="113">
        <f>SUMIF('18.10'!$E$15:$E$76,H22,'18.10'!$M$15:$M$76)</f>
        <v>0</v>
      </c>
      <c r="AH22" s="113">
        <f>COUNTIFS('18.10'!$E$15:$E$76,H22,'18.10'!$L$15:$L$76,"&gt;0")</f>
        <v>0</v>
      </c>
      <c r="AI22" s="113">
        <f>SUMIF('25.10'!$E$15:$E$78,H22,'25.10'!$M$15:$M$78)</f>
        <v>0</v>
      </c>
      <c r="AJ22" s="113">
        <f>COUNTIFS('25.10'!$E$15:$E$78,H22,'25.10'!$L$15:$L$78,"&gt;0")</f>
        <v>0</v>
      </c>
      <c r="AK22" s="113">
        <f>SUMIF('01.11'!$E$15:$E$77,H22,'01.11'!$M$15:$M$77)</f>
        <v>0</v>
      </c>
      <c r="AL22" s="113">
        <f>COUNTIFS('01.11'!$E$15:$E$77,H22,'01.11'!$M$15:$M$77,"&gt;0")</f>
        <v>0</v>
      </c>
      <c r="AM22" s="113">
        <f>SUMIF('08.11'!$E$15:$E$67,H22,'08.11'!$M$15:$M$67)</f>
        <v>0</v>
      </c>
      <c r="AN22" s="113">
        <f>COUNTIFS('08.11'!$E$15:$E$67,H22,'08.11'!$M$15:$M$67,"&gt;0")</f>
        <v>0</v>
      </c>
      <c r="AO22" s="113">
        <f>SUMIF('15.11'!$E$15:$E$71,H22,'15.11'!$M$15:$M$71)</f>
        <v>20</v>
      </c>
      <c r="AP22" s="113">
        <f>COUNTIFS('15.11'!$E$15:$E$71,H22,'15.11'!$M$15:$M$71,"&gt;0")</f>
        <v>1</v>
      </c>
      <c r="AQ22" s="113">
        <f>SUMIF('22.11'!$E$15:$E$78,H22,'22.11'!$M$15:$M$78)</f>
        <v>20</v>
      </c>
      <c r="AR22" s="113">
        <f>COUNTIFS('22.11'!$E$15:$E$78,H22,'22.11'!$M$15:$M$78,"&gt;0")</f>
        <v>1</v>
      </c>
      <c r="AS22" s="113">
        <f>SUMIF('29.11'!$E$15:$E$79,H22,'29.11'!$M$15:$M$79)</f>
        <v>20</v>
      </c>
      <c r="AT22" s="113">
        <f>COUNTIFS('29.11'!$E$15:$E$79,H22,'29.11'!$L$15:$L$79,"&gt;0")</f>
        <v>1</v>
      </c>
      <c r="AU22" s="113">
        <f>SUMIF('06.12'!$E$15:$E$82,H22,'06.12'!$M$15:$M$82)</f>
        <v>12</v>
      </c>
      <c r="AV22" s="113">
        <f>COUNTIFS('06.12'!$E$15:$E$82,H22,'06.12'!$M$15:$M$82,"&gt;0")</f>
        <v>1</v>
      </c>
      <c r="AW22" s="113">
        <f>SUMIF('13.12'!$E$15:$E$82,H22,'13.12'!$M$15:$M$82)</f>
        <v>12</v>
      </c>
      <c r="AX22" s="113">
        <f>COUNTIFS('13.12'!$E$15:$E$82,H22,'13.12'!$M$15:$M$82,"&gt;0")</f>
        <v>1</v>
      </c>
      <c r="AY22" s="113">
        <f>SUMIF('20.12'!$E$15:$E$84,H22,'20.12'!$M$15:$M$84)</f>
        <v>12</v>
      </c>
      <c r="AZ22" s="113">
        <f>COUNTIFS('20.12'!$E$15:$E$84,H22,'20.12'!$M$15:$M$84,"&gt;0")</f>
        <v>1</v>
      </c>
      <c r="BA22" s="113">
        <f>SUMIF('27.12'!$E$15:$E$84,H22,'27.12'!$M$15:$M$84)</f>
        <v>12</v>
      </c>
      <c r="BB22" s="113">
        <f>COUNTIFS('27.12'!$E$15:$E$84,H22,'27.12'!$M$15:$M$84,"&gt;0")</f>
        <v>1</v>
      </c>
      <c r="BC22" s="113">
        <f>SUMIF('03.01'!$E$15:$E$88,H22,'03.01'!$M$15:$M$88)</f>
        <v>12</v>
      </c>
      <c r="BD22" s="113">
        <f>COUNTIFS('03.01'!$E$15:$E$88,H22,'03.01'!$M$15:$M$88,"&gt;0")</f>
        <v>1</v>
      </c>
      <c r="BE22" s="113">
        <f>SUMIF('10.01'!$E$15:$E$91,H22,'10.01'!$M$15:$M$91)</f>
        <v>8</v>
      </c>
      <c r="BF22" s="113">
        <f>COUNTIFS('10.01'!$E$15:$E$91,H22,'10.01'!$M$15:$M$91,"&gt;0")</f>
        <v>1</v>
      </c>
      <c r="BG22" s="113">
        <f>SUMIF('17.01'!$E$15:$E$87,H22,'17.01'!$M$15:$M$87)</f>
        <v>0</v>
      </c>
      <c r="BH22" s="113">
        <f>COUNTIFS('17.01'!$E$15:$E$87,H22,'17.01'!$M$15:$M$87,"&gt;0")</f>
        <v>0</v>
      </c>
      <c r="BI22" s="113">
        <f>SUMIF('24.01'!$E$15:$E$86,H22,'24.01'!$M$15:$M$86)</f>
        <v>0</v>
      </c>
      <c r="BJ22" s="113">
        <f>COUNTIFS('24.01'!$E$15:$E$86,H22,'24.01'!$M$15:$M$86,"&gt;0")</f>
        <v>0</v>
      </c>
      <c r="BK22" s="113">
        <f>SUMIF('31.01'!$E$15:$E$75,H22,'31.01'!$M$15:$M$75)</f>
        <v>16</v>
      </c>
      <c r="BL22" s="113">
        <f>COUNTIFS('31.01'!$E$15:$E$75,H22,'31.01'!$M$15:$M$75,"&gt;0")</f>
        <v>1</v>
      </c>
      <c r="BM22" s="113">
        <f>SUMIF('07.02'!$E$15:$E$77,H22,'07.02'!$M$15:$M$77)</f>
        <v>16</v>
      </c>
      <c r="BN22" s="113">
        <f>COUNTIFS('07.02'!$E$15:$E$77,H22,'07.02'!$M$15:$M$77,"&gt;0")</f>
        <v>1</v>
      </c>
      <c r="BO22" s="113">
        <f>SUMIF('14.02'!$E$15:$E$81,H22,'14.02'!$M$15:$M$81)</f>
        <v>8</v>
      </c>
      <c r="BP22" s="113">
        <f>COUNTIFS('14.02'!$E$15:$E$81,H22,'14.02'!$M$15:$M$81,"&gt;0")</f>
        <v>1</v>
      </c>
      <c r="BQ22" s="113">
        <f>SUMIF('21.02'!$E$15:$E$82,H22,'21.02'!$M$15:$M$82)</f>
        <v>4</v>
      </c>
      <c r="BR22" s="113">
        <f>COUNTIFS('21.02'!$E$15:$E$82,H22,'21.02'!$M$15:$M$82,"&gt;0")</f>
        <v>1</v>
      </c>
      <c r="BS22" s="113"/>
      <c r="BT22" s="113"/>
      <c r="BU22" s="113"/>
      <c r="BV22" s="113"/>
      <c r="BW22" s="113"/>
      <c r="BX22" s="113"/>
      <c r="BY22" s="113"/>
      <c r="BZ22" s="113"/>
    </row>
    <row r="23">
      <c r="A23" s="148" t="s">
        <v>507</v>
      </c>
      <c r="B23" s="180">
        <f>AQ65</f>
        <v>512</v>
      </c>
      <c r="C23" s="148">
        <v>579.0</v>
      </c>
      <c r="D23" s="148">
        <v>351.0</v>
      </c>
      <c r="E23" s="180">
        <f>AR65</f>
        <v>44</v>
      </c>
      <c r="F23" s="182">
        <f t="shared" si="2"/>
        <v>7.8</v>
      </c>
      <c r="H23" s="171" t="s">
        <v>417</v>
      </c>
      <c r="I23" s="88">
        <f>SUMIF('26.07'!$E$15:$E$74,H23,'26.07'!$M$15:$M$74)</f>
        <v>20</v>
      </c>
      <c r="J23" s="88">
        <f>COUNTIFS('26.07'!$E$15:$E$74,H23,'26.07'!$L$15:$L$74,"&gt;0")</f>
        <v>1</v>
      </c>
      <c r="K23" s="88">
        <f>SUMIF('02.08'!$E$15:$E$73,H23,'02.08'!$M$15:$M$73)</f>
        <v>20</v>
      </c>
      <c r="L23" s="88">
        <f>COUNTIFS('02.08'!$E$15:$E$73,H23,'02.08'!$L$15:$L$73,"&gt;0")</f>
        <v>1</v>
      </c>
      <c r="M23" s="88">
        <f>SUMIF('09.08'!$E$15:$E$71,H23,'09.08'!$M$15:$M$71)</f>
        <v>8</v>
      </c>
      <c r="N23" s="88">
        <f>COUNTIFS('09.08'!$E$15:$E$71,H23,'09.08'!$L$15:$L$71,"&gt;0")</f>
        <v>1</v>
      </c>
      <c r="O23" s="88">
        <f>sumif('16.08 '!$E$15:$E$65,H23,'16.08 '!$M$15:$M$65)</f>
        <v>0</v>
      </c>
      <c r="P23" s="88">
        <f>COUNTIFs('16.08 '!$E$15:$E$65,H23,'16.08 '!$L$15:$L$65,"&gt;0")</f>
        <v>0</v>
      </c>
      <c r="Q23" s="88">
        <f>sumif('23.08'!$E$15:$E$62,H23,'23.08'!$M$15:$M$62)</f>
        <v>0</v>
      </c>
      <c r="R23" s="88">
        <f>COUNTIFS('23.08'!$M$15:$M$62,"&gt;0",'23.08'!$E$15:$E$62,H23)</f>
        <v>0</v>
      </c>
      <c r="S23" s="88">
        <f>SUMIF('30.08'!$E$15:$E$66,H23,'30.08'!$M$15:$M$66)</f>
        <v>0</v>
      </c>
      <c r="T23" s="88">
        <f>COUNTIFS('30.08'!$E$15:$E$66,H23,'30.08'!$M$15:$M$66,"&gt;0")</f>
        <v>0</v>
      </c>
      <c r="U23" s="88">
        <f>sumif('06.09'!$E$15:$E$66,H23,'06.09'!$M$15:$M$66)</f>
        <v>0</v>
      </c>
      <c r="V23" s="113">
        <f>COUNTIFS('06.09'!$E$15:$E$66,H23,'06.09'!$M$15:$M$66,"&gt;0")</f>
        <v>0</v>
      </c>
      <c r="W23" s="88">
        <f>SUMIF('13.09'!$E$15:$E$65,H23,'13.09'!$M$15:$M$65)</f>
        <v>0</v>
      </c>
      <c r="X23" s="113">
        <f>COUNTIFS('13.09'!$E$15:$E$65,H23,'13.09'!$M$15:$M$65,"&gt;0")</f>
        <v>0</v>
      </c>
      <c r="Y23" s="88">
        <f>SUMIF('20.09'!$E$15:$E$67,H23,'20.09'!$M$15:$M$67)</f>
        <v>0</v>
      </c>
      <c r="Z23" s="113">
        <f>COUNTIFS('20.09'!$E$15:$E$67,H23,'20.09'!$M$15:$M$67,"&gt;0")</f>
        <v>0</v>
      </c>
      <c r="AA23" s="88">
        <f>SUMIF('27.09'!$E$15:$E$68,H23,'27.09'!$M$15:$M$68)</f>
        <v>0</v>
      </c>
      <c r="AB23" s="113">
        <f>COUNTIFS('27.09'!$E$15:$E$68,H23,'27.09'!$M$15:$M$68,"&gt;0")</f>
        <v>0</v>
      </c>
      <c r="AC23" s="88">
        <f>SUMIF('04.10'!$E$15:$E$71,H23,'04.10'!$M$15:$M$71)</f>
        <v>0</v>
      </c>
      <c r="AD23" s="113">
        <f>COUNTIFS('04.10'!$E$15:$E$71,H23,'04.10'!$M$15:$M$71,"&gt;0")</f>
        <v>0</v>
      </c>
      <c r="AE23" s="88">
        <f>SUMIF('11.10'!$E$15:$E$76,H23,'11.10'!$M$15:$M$76)</f>
        <v>0</v>
      </c>
      <c r="AF23" s="113">
        <f>COUNTIFS('11.10'!$E$15:$E$76,H23,'11.10'!$L$15:$L$76,"&gt;0")</f>
        <v>0</v>
      </c>
      <c r="AG23" s="113">
        <f>SUMIF('18.10'!$E$15:$E$76,H23,'18.10'!$M$15:$M$76)</f>
        <v>0</v>
      </c>
      <c r="AH23" s="113">
        <f>COUNTIFS('18.10'!$E$15:$E$76,H23,'18.10'!$L$15:$L$76,"&gt;0")</f>
        <v>0</v>
      </c>
      <c r="AI23" s="113">
        <f>SUMIF('25.10'!$E$15:$E$78,H23,'25.10'!$M$15:$M$78)</f>
        <v>0</v>
      </c>
      <c r="AJ23" s="113">
        <f>COUNTIFS('25.10'!$E$15:$E$78,H23,'25.10'!$L$15:$L$78,"&gt;0")</f>
        <v>0</v>
      </c>
      <c r="AK23" s="113">
        <f>SUMIF('01.11'!$E$15:$E$77,H23,'01.11'!$M$15:$M$77)</f>
        <v>0</v>
      </c>
      <c r="AL23" s="113">
        <f>COUNTIFS('01.11'!$E$15:$E$77,H23,'01.11'!$M$15:$M$77,"&gt;0")</f>
        <v>0</v>
      </c>
      <c r="AM23" s="113">
        <f>SUMIF('08.11'!$E$15:$E$67,H23,'08.11'!$M$15:$M$67)</f>
        <v>0</v>
      </c>
      <c r="AN23" s="113">
        <f>COUNTIFS('08.11'!$E$15:$E$67,H23,'08.11'!$M$15:$M$67,"&gt;0")</f>
        <v>0</v>
      </c>
      <c r="AO23" s="113">
        <f>SUMIF('15.11'!$E$15:$E$71,H23,'15.11'!$M$15:$M$71)</f>
        <v>0</v>
      </c>
      <c r="AP23" s="113">
        <f>COUNTIFS('15.11'!$E$15:$E$71,H23,'15.11'!$M$15:$M$71,"&gt;0")</f>
        <v>0</v>
      </c>
      <c r="AQ23" s="113">
        <f>SUMIF('22.11'!$E$15:$E$78,H23,'22.11'!$M$15:$M$78)</f>
        <v>0</v>
      </c>
      <c r="AR23" s="113">
        <f>COUNTIFS('22.11'!$E$15:$E$78,H23,'22.11'!$M$15:$M$78,"&gt;0")</f>
        <v>0</v>
      </c>
      <c r="AS23" s="113">
        <f>SUMIF('29.11'!$E$15:$E$79,H23,'29.11'!$M$15:$M$79)</f>
        <v>0</v>
      </c>
      <c r="AT23" s="113">
        <f>COUNTIFS('29.11'!$E$15:$E$79,H23,'29.11'!$L$15:$L$79,"&gt;0")</f>
        <v>0</v>
      </c>
      <c r="AU23" s="113">
        <f>SUMIF('06.12'!$E$15:$E$82,H23,'06.12'!$M$15:$M$82)</f>
        <v>0</v>
      </c>
      <c r="AV23" s="113">
        <f>COUNTIFS('06.12'!$E$15:$E$82,H23,'06.12'!$M$15:$M$82,"&gt;0")</f>
        <v>0</v>
      </c>
      <c r="AW23" s="113">
        <f>SUMIF('13.12'!$E$15:$E$82,H23,'13.12'!$M$15:$M$82)</f>
        <v>0</v>
      </c>
      <c r="AX23" s="113">
        <f>COUNTIFS('13.12'!$E$15:$E$82,H23,'13.12'!$M$15:$M$82,"&gt;0")</f>
        <v>0</v>
      </c>
      <c r="AY23" s="113">
        <f>SUMIF('20.12'!$E$15:$E$84,H23,'20.12'!$M$15:$M$84)</f>
        <v>0</v>
      </c>
      <c r="AZ23" s="113">
        <f>COUNTIFS('20.12'!$E$15:$E$84,H23,'20.12'!$M$15:$M$84,"&gt;0")</f>
        <v>0</v>
      </c>
      <c r="BA23" s="113">
        <f>SUMIF('27.12'!$E$15:$E$84,H23,'27.12'!$M$15:$M$84)</f>
        <v>0</v>
      </c>
      <c r="BB23" s="113">
        <f>COUNTIFS('27.12'!$E$15:$E$84,H23,'27.12'!$M$15:$M$84,"&gt;0")</f>
        <v>0</v>
      </c>
      <c r="BC23" s="113">
        <f>SUMIF('03.01'!$E$15:$E$88,H23,'03.01'!$M$15:$M$88)</f>
        <v>0</v>
      </c>
      <c r="BD23" s="113">
        <f>COUNTIFS('03.01'!$E$15:$E$88,H23,'03.01'!$M$15:$M$88,"&gt;0")</f>
        <v>0</v>
      </c>
      <c r="BE23" s="113">
        <f>SUMIF('10.01'!$E$15:$E$91,H23,'10.01'!$M$15:$M$91)</f>
        <v>0</v>
      </c>
      <c r="BF23" s="113">
        <f>COUNTIFS('10.01'!$E$15:$E$91,H23,'10.01'!$M$15:$M$91,"&gt;0")</f>
        <v>0</v>
      </c>
      <c r="BG23" s="113">
        <f>SUMIF('17.01'!$E$15:$E$87,H23,'17.01'!$M$15:$M$87)</f>
        <v>0</v>
      </c>
      <c r="BH23" s="113">
        <f>COUNTIFS('17.01'!$E$15:$E$87,H23,'17.01'!$M$15:$M$87,"&gt;0")</f>
        <v>0</v>
      </c>
      <c r="BI23" s="113">
        <f>SUMIF('24.01'!$E$15:$E$86,H23,'24.01'!$M$15:$M$86)</f>
        <v>0</v>
      </c>
      <c r="BJ23" s="113">
        <f>COUNTIFS('24.01'!$E$15:$E$86,H23,'24.01'!$M$15:$M$86,"&gt;0")</f>
        <v>0</v>
      </c>
      <c r="BK23" s="113">
        <f>SUMIF('31.01'!$E$15:$E$75,H23,'31.01'!$M$15:$M$75)</f>
        <v>0</v>
      </c>
      <c r="BL23" s="113">
        <f>COUNTIFS('31.01'!$E$15:$E$75,H23,'31.01'!$M$15:$M$75,"&gt;0")</f>
        <v>0</v>
      </c>
      <c r="BM23" s="113">
        <f>SUMIF('07.02'!$E$15:$E$77,H23,'07.02'!$M$15:$M$77)</f>
        <v>0</v>
      </c>
      <c r="BN23" s="113">
        <f>COUNTIFS('07.02'!$E$15:$E$77,H23,'07.02'!$M$15:$M$77,"&gt;0")</f>
        <v>0</v>
      </c>
      <c r="BO23" s="113">
        <f>SUMIF('14.02'!$E$15:$E$81,H23,'14.02'!$M$15:$M$81)</f>
        <v>20</v>
      </c>
      <c r="BP23" s="113">
        <f>COUNTIFS('14.02'!$E$15:$E$81,H23,'14.02'!$M$15:$M$81,"&gt;0")</f>
        <v>1</v>
      </c>
      <c r="BQ23" s="113">
        <f>SUMIF('21.02'!$E$15:$E$82,H23,'21.02'!$M$15:$M$82)</f>
        <v>20</v>
      </c>
      <c r="BR23" s="113">
        <f>COUNTIFS('21.02'!$E$15:$E$82,H23,'21.02'!$M$15:$M$82,"&gt;0")</f>
        <v>1</v>
      </c>
      <c r="BS23" s="113"/>
      <c r="BT23" s="113"/>
      <c r="BU23" s="113"/>
      <c r="BV23" s="113"/>
      <c r="BW23" s="113"/>
      <c r="BX23" s="113"/>
      <c r="BY23" s="113"/>
      <c r="BZ23" s="113"/>
    </row>
    <row r="24">
      <c r="A24" s="148" t="s">
        <v>508</v>
      </c>
      <c r="B24" s="180">
        <f>AS65</f>
        <v>452</v>
      </c>
      <c r="C24" s="148">
        <v>492.0</v>
      </c>
      <c r="D24" s="148">
        <v>340.0</v>
      </c>
      <c r="E24" s="180">
        <f>AT65</f>
        <v>33</v>
      </c>
      <c r="F24" s="182">
        <f t="shared" si="2"/>
        <v>7.555555556</v>
      </c>
      <c r="H24" s="171" t="s">
        <v>326</v>
      </c>
      <c r="I24" s="88">
        <f>SUMIF('26.07'!$E$15:$E$74,H24,'26.07'!$M$15:$M$74)</f>
        <v>0</v>
      </c>
      <c r="J24" s="88">
        <f>COUNTIFS('26.07'!$E$15:$E$74,H24,'26.07'!$L$15:$L$74,"&gt;0")</f>
        <v>0</v>
      </c>
      <c r="K24" s="88">
        <f>SUMIF('02.08'!$E$15:$E$73,H24,'02.08'!$M$15:$M$73)</f>
        <v>0</v>
      </c>
      <c r="L24" s="88">
        <f>COUNTIFS('02.08'!$E$15:$E$73,H24,'02.08'!$L$15:$L$73,"&gt;0")</f>
        <v>0</v>
      </c>
      <c r="M24" s="88">
        <f>SUMIF('09.08'!$E$15:$E$71,H24,'09.08'!$M$15:$M$71)</f>
        <v>0</v>
      </c>
      <c r="N24" s="88">
        <f>COUNTIFS('09.08'!$E$15:$E$71,H24,'09.08'!$L$15:$L$71,"&gt;0")</f>
        <v>0</v>
      </c>
      <c r="O24" s="88">
        <f>sumif('16.08 '!$E$15:$E$65,H24,'16.08 '!$M$15:$M$65)</f>
        <v>0</v>
      </c>
      <c r="P24" s="88">
        <f>COUNTIFs('16.08 '!$E$15:$E$65,H24,'16.08 '!$L$15:$L$65,"&gt;0")</f>
        <v>0</v>
      </c>
      <c r="Q24" s="88">
        <f>sumif('23.08'!$E$15:$E$62,H24,'23.08'!$M$15:$M$62)</f>
        <v>0</v>
      </c>
      <c r="R24" s="88">
        <f>COUNTIFS('23.08'!$M$15:$M$62,"&gt;0",'23.08'!$E$15:$E$62,H24)</f>
        <v>0</v>
      </c>
      <c r="S24" s="88">
        <f>SUMIF('30.08'!$E$15:$E$66,H24,'30.08'!$M$15:$M$66)</f>
        <v>0</v>
      </c>
      <c r="T24" s="88">
        <f>COUNTIFS('30.08'!$E$15:$E$66,H24,'30.08'!$M$15:$M$66,"&gt;0")</f>
        <v>0</v>
      </c>
      <c r="U24" s="88">
        <f>sumif('06.09'!$E$15:$E$66,H24,'06.09'!$M$15:$M$66)</f>
        <v>0</v>
      </c>
      <c r="V24" s="113">
        <f>COUNTIFS('06.09'!$E$15:$E$66,H24,'06.09'!$M$15:$M$66,"&gt;0")</f>
        <v>0</v>
      </c>
      <c r="W24" s="88">
        <f>SUMIF('13.09'!$E$15:$E$65,H24,'13.09'!$M$15:$M$65)</f>
        <v>0</v>
      </c>
      <c r="X24" s="113">
        <f>COUNTIFS('13.09'!$E$15:$E$65,H24,'13.09'!$M$15:$M$65,"&gt;0")</f>
        <v>0</v>
      </c>
      <c r="Y24" s="88">
        <f>SUMIF('20.09'!$E$15:$E$67,H24,'20.09'!$M$15:$M$67)</f>
        <v>0</v>
      </c>
      <c r="Z24" s="113">
        <f>COUNTIFS('20.09'!$E$15:$E$67,H24,'20.09'!$M$15:$M$67,"&gt;0")</f>
        <v>0</v>
      </c>
      <c r="AA24" s="88">
        <f>SUMIF('27.09'!$E$15:$E$68,H24,'27.09'!$M$15:$M$68)</f>
        <v>0</v>
      </c>
      <c r="AB24" s="113">
        <f>COUNTIFS('27.09'!$E$15:$E$68,H24,'27.09'!$M$15:$M$68,"&gt;0")</f>
        <v>0</v>
      </c>
      <c r="AC24" s="88">
        <f>SUMIF('04.10'!$E$15:$E$71,H24,'04.10'!$M$15:$M$71)</f>
        <v>0</v>
      </c>
      <c r="AD24" s="113">
        <f>COUNTIFS('04.10'!$E$15:$E$71,H24,'04.10'!$M$15:$M$71,"&gt;0")</f>
        <v>0</v>
      </c>
      <c r="AE24" s="88">
        <f>SUMIF('11.10'!$E$15:$E$76,H24,'11.10'!$M$15:$M$76)</f>
        <v>0</v>
      </c>
      <c r="AF24" s="113">
        <f>COUNTIFS('11.10'!$E$15:$E$76,H24,'11.10'!$L$15:$L$76,"&gt;0")</f>
        <v>0</v>
      </c>
      <c r="AG24" s="113">
        <f>SUMIF('18.10'!$E$15:$E$76,H24,'18.10'!$M$15:$M$76)</f>
        <v>0</v>
      </c>
      <c r="AH24" s="113">
        <f>COUNTIFS('18.10'!$E$15:$E$76,H24,'18.10'!$L$15:$L$76,"&gt;0")</f>
        <v>0</v>
      </c>
      <c r="AI24" s="113">
        <f>SUMIF('25.10'!$E$15:$E$78,H24,'25.10'!$M$15:$M$78)</f>
        <v>0</v>
      </c>
      <c r="AJ24" s="113">
        <f>COUNTIFS('25.10'!$E$15:$E$78,H24,'25.10'!$L$15:$L$78,"&gt;0")</f>
        <v>0</v>
      </c>
      <c r="AK24" s="113">
        <f>SUMIF('01.11'!$E$15:$E$77,H24,'01.11'!$M$15:$M$77)</f>
        <v>0</v>
      </c>
      <c r="AL24" s="113">
        <f>COUNTIFS('01.11'!$E$15:$E$77,H24,'01.11'!$M$15:$M$77,"&gt;0")</f>
        <v>0</v>
      </c>
      <c r="AM24" s="113">
        <f>SUMIF('08.11'!$E$15:$E$67,H24,'08.11'!$M$15:$M$67)</f>
        <v>0</v>
      </c>
      <c r="AN24" s="113">
        <f>COUNTIFS('08.11'!$E$15:$E$67,H24,'08.11'!$M$15:$M$67,"&gt;0")</f>
        <v>0</v>
      </c>
      <c r="AO24" s="113">
        <f>SUMIF('15.11'!$E$15:$E$71,H24,'15.11'!$M$15:$M$71)</f>
        <v>0</v>
      </c>
      <c r="AP24" s="113">
        <f>COUNTIFS('15.11'!$E$15:$E$71,H24,'15.11'!$M$15:$M$71,"&gt;0")</f>
        <v>0</v>
      </c>
      <c r="AQ24" s="113">
        <f>SUMIF('22.11'!$E$15:$E$78,H24,'22.11'!$M$15:$M$78)</f>
        <v>0</v>
      </c>
      <c r="AR24" s="113">
        <f>COUNTIFS('22.11'!$E$15:$E$78,H24,'22.11'!$M$15:$M$78,"&gt;0")</f>
        <v>0</v>
      </c>
      <c r="AS24" s="113">
        <f>SUMIF('29.11'!$E$15:$E$79,H24,'29.11'!$M$15:$M$79)</f>
        <v>0</v>
      </c>
      <c r="AT24" s="113">
        <f>COUNTIFS('29.11'!$E$15:$E$79,H24,'29.11'!$L$15:$L$79,"&gt;0")</f>
        <v>0</v>
      </c>
      <c r="AU24" s="113">
        <f>SUMIF('06.12'!$E$15:$E$82,H24,'06.12'!$M$15:$M$82)</f>
        <v>0</v>
      </c>
      <c r="AV24" s="113">
        <f>COUNTIFS('06.12'!$E$15:$E$82,H24,'06.12'!$M$15:$M$82,"&gt;0")</f>
        <v>0</v>
      </c>
      <c r="AW24" s="113">
        <f>SUMIF('13.12'!$E$15:$E$82,H24,'13.12'!$M$15:$M$82)</f>
        <v>0</v>
      </c>
      <c r="AX24" s="113">
        <f>COUNTIFS('13.12'!$E$15:$E$82,H24,'13.12'!$M$15:$M$82,"&gt;0")</f>
        <v>0</v>
      </c>
      <c r="AY24" s="113">
        <f>SUMIF('20.12'!$E$15:$E$84,H24,'20.12'!$M$15:$M$84)</f>
        <v>0</v>
      </c>
      <c r="AZ24" s="113">
        <f>COUNTIFS('20.12'!$E$15:$E$84,H24,'20.12'!$M$15:$M$84,"&gt;0")</f>
        <v>0</v>
      </c>
      <c r="BA24" s="113">
        <f>SUMIF('27.12'!$E$15:$E$84,H24,'27.12'!$M$15:$M$84)</f>
        <v>0</v>
      </c>
      <c r="BB24" s="113">
        <f>COUNTIFS('27.12'!$E$15:$E$84,H24,'27.12'!$M$15:$M$84,"&gt;0")</f>
        <v>0</v>
      </c>
      <c r="BC24" s="113">
        <f>SUMIF('03.01'!$E$15:$E$88,H24,'03.01'!$M$15:$M$88)</f>
        <v>0</v>
      </c>
      <c r="BD24" s="113">
        <f>COUNTIFS('03.01'!$E$15:$E$88,H24,'03.01'!$M$15:$M$88,"&gt;0")</f>
        <v>0</v>
      </c>
      <c r="BE24" s="113">
        <f>SUMIF('10.01'!$E$15:$E$91,H24,'10.01'!$M$15:$M$91)</f>
        <v>0</v>
      </c>
      <c r="BF24" s="113">
        <f>COUNTIFS('10.01'!$E$15:$E$91,H24,'10.01'!$M$15:$M$91,"&gt;0")</f>
        <v>0</v>
      </c>
      <c r="BG24" s="113">
        <f>SUMIF('17.01'!$E$15:$E$87,H24,'17.01'!$M$15:$M$87)</f>
        <v>0</v>
      </c>
      <c r="BH24" s="113">
        <f>COUNTIFS('17.01'!$E$15:$E$87,H24,'17.01'!$M$15:$M$87,"&gt;0")</f>
        <v>0</v>
      </c>
      <c r="BI24" s="113">
        <f>SUMIF('24.01'!$E$15:$E$86,H24,'24.01'!$M$15:$M$86)</f>
        <v>0</v>
      </c>
      <c r="BJ24" s="113">
        <f>COUNTIFS('24.01'!$E$15:$E$86,H24,'24.01'!$M$15:$M$86,"&gt;0")</f>
        <v>0</v>
      </c>
      <c r="BK24" s="113">
        <f>SUMIF('31.01'!$E$15:$E$75,H24,'31.01'!$M$15:$M$75)</f>
        <v>20</v>
      </c>
      <c r="BL24" s="113">
        <f>COUNTIFS('31.01'!$E$15:$E$75,H24,'31.01'!$M$15:$M$75,"&gt;0")</f>
        <v>1</v>
      </c>
      <c r="BM24" s="113">
        <f>SUMIF('07.02'!$E$15:$E$77,H24,'07.02'!$M$15:$M$77)</f>
        <v>16</v>
      </c>
      <c r="BN24" s="113">
        <f>COUNTIFS('07.02'!$E$15:$E$77,H24,'07.02'!$M$15:$M$77,"&gt;0")</f>
        <v>1</v>
      </c>
      <c r="BO24" s="113">
        <f>SUMIF('14.02'!$E$15:$E$81,H24,'14.02'!$M$15:$M$81)</f>
        <v>20</v>
      </c>
      <c r="BP24" s="113">
        <f>COUNTIFS('14.02'!$E$15:$E$81,H24,'14.02'!$M$15:$M$81,"&gt;0")</f>
        <v>1</v>
      </c>
      <c r="BQ24" s="113">
        <f>SUMIF('21.02'!$E$15:$E$82,H24,'21.02'!$M$15:$M$82)</f>
        <v>20</v>
      </c>
      <c r="BR24" s="113">
        <f>COUNTIFS('21.02'!$E$15:$E$82,H24,'21.02'!$M$15:$M$82,"&gt;0")</f>
        <v>1</v>
      </c>
      <c r="BS24" s="113"/>
      <c r="BT24" s="113"/>
      <c r="BU24" s="113"/>
      <c r="BV24" s="113"/>
      <c r="BW24" s="113"/>
      <c r="BX24" s="113"/>
      <c r="BY24" s="113"/>
      <c r="BZ24" s="113"/>
    </row>
    <row r="25">
      <c r="A25" s="148" t="s">
        <v>509</v>
      </c>
      <c r="B25" s="180">
        <f>AU65</f>
        <v>428</v>
      </c>
      <c r="C25" s="148">
        <v>502.0</v>
      </c>
      <c r="D25" s="148">
        <v>353.0</v>
      </c>
      <c r="E25" s="181">
        <f>AV65</f>
        <v>35</v>
      </c>
      <c r="F25" s="182">
        <f t="shared" si="2"/>
        <v>7.844444444</v>
      </c>
      <c r="H25" s="171" t="s">
        <v>103</v>
      </c>
      <c r="I25" s="88">
        <f>SUMIF('26.07'!$E$15:$E$74,H25,'26.07'!$M$15:$M$74)</f>
        <v>4</v>
      </c>
      <c r="J25" s="88">
        <f>COUNTIFS('26.07'!$E$15:$E$74,H25,'26.07'!$L$15:$L$74,"&gt;0")</f>
        <v>1</v>
      </c>
      <c r="K25" s="88">
        <f>SUMIF('02.08'!$E$15:$E$73,H25,'02.08'!$M$15:$M$73)</f>
        <v>0</v>
      </c>
      <c r="L25" s="88">
        <f>COUNTIFS('02.08'!$E$15:$E$73,H25,'02.08'!$L$15:$L$73,"&gt;0")</f>
        <v>0</v>
      </c>
      <c r="M25" s="88">
        <f>SUMIF('09.08'!$E$15:$E$71,H25,'09.08'!$M$15:$M$71)</f>
        <v>0</v>
      </c>
      <c r="N25" s="88">
        <f>COUNTIFS('09.08'!$E$15:$E$71,H25,'09.08'!$L$15:$L$71,"&gt;0")</f>
        <v>0</v>
      </c>
      <c r="O25" s="88">
        <f>sumif('16.08 '!$E$15:$E$65,H25,'16.08 '!$M$15:$M$65)</f>
        <v>0</v>
      </c>
      <c r="P25" s="88">
        <f>COUNTIFs('16.08 '!$E$15:$E$65,H25,'16.08 '!$L$15:$L$65,"&gt;0")</f>
        <v>0</v>
      </c>
      <c r="Q25" s="88">
        <f>sumif('23.08'!$E$15:$E$62,H25,'23.08'!$M$15:$M$62)</f>
        <v>0</v>
      </c>
      <c r="R25" s="88">
        <f>COUNTIFS('23.08'!$M$15:$M$62,"&gt;0",'23.08'!$E$15:$E$62,H25)</f>
        <v>0</v>
      </c>
      <c r="S25" s="88">
        <f>SUMIF('30.08'!$E$15:$E$66,H25,'30.08'!$M$15:$M$66)</f>
        <v>0</v>
      </c>
      <c r="T25" s="88">
        <f>COUNTIFS('30.08'!$E$15:$E$66,H25,'30.08'!$M$15:$M$66,"&gt;0")</f>
        <v>0</v>
      </c>
      <c r="U25" s="88">
        <f>sumif('06.09'!$E$15:$E$66,H25,'06.09'!$M$15:$M$66)</f>
        <v>0</v>
      </c>
      <c r="V25" s="113">
        <f>COUNTIFS('06.09'!$E$15:$E$66,H25,'06.09'!$M$15:$M$66,"&gt;0")</f>
        <v>0</v>
      </c>
      <c r="W25" s="88">
        <f>SUMIF('13.09'!$E$15:$E$65,H25,'13.09'!$M$15:$M$65)</f>
        <v>0</v>
      </c>
      <c r="X25" s="113">
        <f>COUNTIFS('13.09'!$E$15:$E$65,H25,'13.09'!$M$15:$M$65,"&gt;0")</f>
        <v>0</v>
      </c>
      <c r="Y25" s="88">
        <f>SUMIF('20.09'!$E$15:$E$67,H25,'20.09'!$M$15:$M$67)</f>
        <v>0</v>
      </c>
      <c r="Z25" s="113">
        <f>COUNTIFS('20.09'!$E$15:$E$67,H25,'20.09'!$M$15:$M$67,"&gt;0")</f>
        <v>0</v>
      </c>
      <c r="AA25" s="88">
        <f>SUMIF('27.09'!$E$15:$E$68,H25,'27.09'!$M$15:$M$68)</f>
        <v>0</v>
      </c>
      <c r="AB25" s="113">
        <f>COUNTIFS('27.09'!$E$15:$E$68,H25,'27.09'!$M$15:$M$68,"&gt;0")</f>
        <v>0</v>
      </c>
      <c r="AC25" s="88">
        <f>SUMIF('04.10'!$E$15:$E$71,H25,'04.10'!$M$15:$M$71)</f>
        <v>0</v>
      </c>
      <c r="AD25" s="113">
        <f>COUNTIFS('04.10'!$E$15:$E$71,H25,'04.10'!$M$15:$M$71,"&gt;0")</f>
        <v>0</v>
      </c>
      <c r="AE25" s="88">
        <f>SUMIF('11.10'!$E$15:$E$76,H25,'11.10'!$M$15:$M$76)</f>
        <v>0</v>
      </c>
      <c r="AF25" s="113">
        <f>COUNTIFS('11.10'!$E$15:$E$76,H25,'11.10'!$L$15:$L$76,"&gt;0")</f>
        <v>0</v>
      </c>
      <c r="AG25" s="113">
        <f>SUMIF('18.10'!$E$15:$E$76,H25,'18.10'!$M$15:$M$76)</f>
        <v>0</v>
      </c>
      <c r="AH25" s="113">
        <f>COUNTIFS('18.10'!$E$15:$E$76,H25,'18.10'!$L$15:$L$76,"&gt;0")</f>
        <v>0</v>
      </c>
      <c r="AI25" s="113">
        <f>SUMIF('25.10'!$E$15:$E$78,H25,'25.10'!$M$15:$M$78)</f>
        <v>0</v>
      </c>
      <c r="AJ25" s="113">
        <f>COUNTIFS('25.10'!$E$15:$E$78,H25,'25.10'!$L$15:$L$78,"&gt;0")</f>
        <v>0</v>
      </c>
      <c r="AK25" s="113">
        <f>SUMIF('01.11'!$E$15:$E$77,H25,'01.11'!$M$15:$M$77)</f>
        <v>0</v>
      </c>
      <c r="AL25" s="113">
        <f>COUNTIFS('01.11'!$E$15:$E$77,H25,'01.11'!$M$15:$M$77,"&gt;0")</f>
        <v>0</v>
      </c>
      <c r="AM25" s="113">
        <f>SUMIF('08.11'!$E$15:$E$67,H25,'08.11'!$M$15:$M$67)</f>
        <v>0</v>
      </c>
      <c r="AN25" s="113">
        <f>COUNTIFS('08.11'!$E$15:$E$67,H25,'08.11'!$M$15:$M$67,"&gt;0")</f>
        <v>0</v>
      </c>
      <c r="AO25" s="113">
        <f>SUMIF('15.11'!$E$15:$E$71,H25,'15.11'!$M$15:$M$71)</f>
        <v>0</v>
      </c>
      <c r="AP25" s="113">
        <f>COUNTIFS('15.11'!$E$15:$E$71,H25,'15.11'!$M$15:$M$71,"&gt;0")</f>
        <v>0</v>
      </c>
      <c r="AQ25" s="113">
        <f>SUMIF('22.11'!$E$15:$E$78,H25,'22.11'!$M$15:$M$78)</f>
        <v>0</v>
      </c>
      <c r="AR25" s="113">
        <f>COUNTIFS('22.11'!$E$15:$E$78,H25,'22.11'!$M$15:$M$78,"&gt;0")</f>
        <v>0</v>
      </c>
      <c r="AS25" s="113">
        <f>SUMIF('29.11'!$E$15:$E$79,H25,'29.11'!$M$15:$M$79)</f>
        <v>0</v>
      </c>
      <c r="AT25" s="113">
        <f>COUNTIFS('29.11'!$E$15:$E$79,H25,'29.11'!$L$15:$L$79,"&gt;0")</f>
        <v>0</v>
      </c>
      <c r="AU25" s="113">
        <f>SUMIF('06.12'!$E$15:$E$82,H25,'06.12'!$M$15:$M$82)</f>
        <v>0</v>
      </c>
      <c r="AV25" s="113">
        <f>COUNTIFS('06.12'!$E$15:$E$82,H25,'06.12'!$M$15:$M$82,"&gt;0")</f>
        <v>0</v>
      </c>
      <c r="AW25" s="113">
        <f>SUMIF('13.12'!$E$15:$E$82,H25,'13.12'!$M$15:$M$82)</f>
        <v>0</v>
      </c>
      <c r="AX25" s="113">
        <f>COUNTIFS('13.12'!$E$15:$E$82,H25,'13.12'!$M$15:$M$82,"&gt;0")</f>
        <v>0</v>
      </c>
      <c r="AY25" s="113">
        <f>SUMIF('20.12'!$E$15:$E$84,H25,'20.12'!$M$15:$M$84)</f>
        <v>0</v>
      </c>
      <c r="AZ25" s="113">
        <f>COUNTIFS('20.12'!$E$15:$E$84,H25,'20.12'!$M$15:$M$84,"&gt;0")</f>
        <v>0</v>
      </c>
      <c r="BA25" s="113">
        <f>SUMIF('27.12'!$E$15:$E$84,H25,'27.12'!$M$15:$M$84)</f>
        <v>0</v>
      </c>
      <c r="BB25" s="113">
        <f>COUNTIFS('27.12'!$E$15:$E$84,H25,'27.12'!$M$15:$M$84,"&gt;0")</f>
        <v>0</v>
      </c>
      <c r="BC25" s="113">
        <f>SUMIF('03.01'!$E$15:$E$88,H25,'03.01'!$M$15:$M$88)</f>
        <v>0</v>
      </c>
      <c r="BD25" s="113">
        <f>COUNTIFS('03.01'!$E$15:$E$88,H25,'03.01'!$M$15:$M$88,"&gt;0")</f>
        <v>0</v>
      </c>
      <c r="BE25" s="113">
        <f>SUMIF('10.01'!$E$15:$E$91,H25,'10.01'!$M$15:$M$91)</f>
        <v>0</v>
      </c>
      <c r="BF25" s="113">
        <f>COUNTIFS('10.01'!$E$15:$E$91,H25,'10.01'!$M$15:$M$91,"&gt;0")</f>
        <v>0</v>
      </c>
      <c r="BG25" s="113">
        <f>SUMIF('17.01'!$E$15:$E$87,H25,'17.01'!$M$15:$M$87)</f>
        <v>0</v>
      </c>
      <c r="BH25" s="113">
        <f>COUNTIFS('17.01'!$E$15:$E$87,H25,'17.01'!$M$15:$M$87,"&gt;0")</f>
        <v>0</v>
      </c>
      <c r="BI25" s="113">
        <f>SUMIF('24.01'!$E$15:$E$86,H25,'24.01'!$M$15:$M$86)</f>
        <v>0</v>
      </c>
      <c r="BJ25" s="113">
        <f>COUNTIFS('24.01'!$E$15:$E$86,H25,'24.01'!$M$15:$M$86,"&gt;0")</f>
        <v>0</v>
      </c>
      <c r="BK25" s="113">
        <f>SUMIF('31.01'!$E$15:$E$75,H25,'31.01'!$M$15:$M$75)</f>
        <v>0</v>
      </c>
      <c r="BL25" s="113">
        <f>COUNTIFS('31.01'!$E$15:$E$75,H25,'31.01'!$M$15:$M$75,"&gt;0")</f>
        <v>0</v>
      </c>
      <c r="BM25" s="113">
        <f>SUMIF('07.02'!$E$15:$E$77,H25,'07.02'!$M$15:$M$77)</f>
        <v>0</v>
      </c>
      <c r="BN25" s="113">
        <f>COUNTIFS('07.02'!$E$15:$E$77,H25,'07.02'!$M$15:$M$77,"&gt;0")</f>
        <v>0</v>
      </c>
      <c r="BO25" s="113">
        <f>SUMIF('14.02'!$E$15:$E$81,H25,'14.02'!$M$15:$M$81)</f>
        <v>20</v>
      </c>
      <c r="BP25" s="113">
        <f>COUNTIFS('14.02'!$E$15:$E$81,H25,'14.02'!$M$15:$M$81,"&gt;0")</f>
        <v>1</v>
      </c>
      <c r="BQ25" s="113">
        <f>SUMIF('21.02'!$E$15:$E$82,H25,'21.02'!$M$15:$M$82)</f>
        <v>8</v>
      </c>
      <c r="BR25" s="113">
        <f>COUNTIFS('21.02'!$E$15:$E$82,H25,'21.02'!$M$15:$M$82,"&gt;0")</f>
        <v>1</v>
      </c>
      <c r="BS25" s="113"/>
      <c r="BT25" s="113"/>
      <c r="BU25" s="113"/>
      <c r="BV25" s="113"/>
      <c r="BW25" s="113"/>
      <c r="BX25" s="113"/>
      <c r="BY25" s="113"/>
      <c r="BZ25" s="113"/>
    </row>
    <row r="26">
      <c r="A26" s="148" t="s">
        <v>510</v>
      </c>
      <c r="B26" s="180">
        <f>AW65</f>
        <v>444</v>
      </c>
      <c r="C26" s="148">
        <v>490.0</v>
      </c>
      <c r="D26" s="148">
        <v>326.0</v>
      </c>
      <c r="E26" s="180">
        <f>AX65</f>
        <v>33</v>
      </c>
      <c r="F26" s="182">
        <f t="shared" si="2"/>
        <v>7.244444444</v>
      </c>
      <c r="H26" s="171" t="s">
        <v>419</v>
      </c>
      <c r="I26" s="88">
        <f>SUMIF('26.07'!$E$15:$E$74,H26,'26.07'!$M$15:$M$74)</f>
        <v>0</v>
      </c>
      <c r="J26" s="88">
        <f>COUNTIFS('26.07'!$E$15:$E$74,H26,'26.07'!$L$15:$L$74,"&gt;0")</f>
        <v>0</v>
      </c>
      <c r="K26" s="88">
        <f>SUMIF('02.08'!$E$15:$E$73,H26,'02.08'!$M$15:$M$73)</f>
        <v>0</v>
      </c>
      <c r="L26" s="88">
        <f>COUNTIFS('02.08'!$E$15:$E$73,H26,'02.08'!$L$15:$L$73,"&gt;0")</f>
        <v>0</v>
      </c>
      <c r="M26" s="88">
        <f>SUMIF('09.08'!$E$15:$E$71,H26,'09.08'!$M$15:$M$71)</f>
        <v>0</v>
      </c>
      <c r="N26" s="88">
        <f>COUNTIFS('09.08'!$E$15:$E$71,H26,'09.08'!$L$15:$L$71,"&gt;0")</f>
        <v>0</v>
      </c>
      <c r="O26" s="88">
        <f>sumif('16.08 '!$E$15:$E$65,H26,'16.08 '!$M$15:$M$65)</f>
        <v>0</v>
      </c>
      <c r="P26" s="88">
        <f>COUNTIFs('16.08 '!$E$15:$E$65,H26,'16.08 '!$L$15:$L$65,"&gt;0")</f>
        <v>0</v>
      </c>
      <c r="Q26" s="88">
        <f>sumif('23.08'!$E$15:$E$62,H26,'23.08'!$M$15:$M$62)</f>
        <v>0</v>
      </c>
      <c r="R26" s="88">
        <f>COUNTIFS('23.08'!$M$15:$M$62,"&gt;0",'23.08'!$E$15:$E$62,H26)</f>
        <v>0</v>
      </c>
      <c r="S26" s="88">
        <f>SUMIF('30.08'!$E$15:$E$66,H26,'30.08'!$M$15:$M$66)</f>
        <v>0</v>
      </c>
      <c r="T26" s="88">
        <f>COUNTIFS('30.08'!$E$15:$E$66,H26,'30.08'!$M$15:$M$66,"&gt;0")</f>
        <v>0</v>
      </c>
      <c r="U26" s="88">
        <f>sumif('06.09'!$E$15:$E$66,H26,'06.09'!$M$15:$M$66)</f>
        <v>0</v>
      </c>
      <c r="V26" s="113">
        <f>COUNTIFS('06.09'!$E$15:$E$66,H26,'06.09'!$M$15:$M$66,"&gt;0")</f>
        <v>0</v>
      </c>
      <c r="W26" s="88">
        <f>SUMIF('13.09'!$E$15:$E$65,H26,'13.09'!$M$15:$M$65)</f>
        <v>0</v>
      </c>
      <c r="X26" s="113">
        <f>COUNTIFS('13.09'!$E$15:$E$65,H26,'13.09'!$M$15:$M$65,"&gt;0")</f>
        <v>0</v>
      </c>
      <c r="Y26" s="88">
        <f>SUMIF('20.09'!$E$15:$E$67,H26,'20.09'!$M$15:$M$67)</f>
        <v>0</v>
      </c>
      <c r="Z26" s="113">
        <f>COUNTIFS('20.09'!$E$15:$E$67,H26,'20.09'!$M$15:$M$67,"&gt;0")</f>
        <v>0</v>
      </c>
      <c r="AA26" s="88">
        <f>SUMIF('27.09'!$E$15:$E$68,H26,'27.09'!$M$15:$M$68)</f>
        <v>2</v>
      </c>
      <c r="AB26" s="113">
        <f>COUNTIFS('27.09'!$E$15:$E$68,H26,'27.09'!$M$15:$M$68,"&gt;0")</f>
        <v>1</v>
      </c>
      <c r="AC26" s="88">
        <f>SUMIF('04.10'!$E$15:$E$71,H26,'04.10'!$M$15:$M$71)</f>
        <v>2</v>
      </c>
      <c r="AD26" s="113">
        <f>COUNTIFS('04.10'!$E$15:$E$71,H26,'04.10'!$M$15:$M$71,"&gt;0")</f>
        <v>1</v>
      </c>
      <c r="AE26" s="88">
        <f>SUMIF('11.10'!$E$15:$E$76,H26,'11.10'!$M$15:$M$76)</f>
        <v>2</v>
      </c>
      <c r="AF26" s="113">
        <f>COUNTIFS('11.10'!$E$15:$E$76,H26,'11.10'!$L$15:$L$76,"&gt;0")</f>
        <v>1</v>
      </c>
      <c r="AG26" s="113">
        <f>SUMIF('18.10'!$E$15:$E$76,H26,'18.10'!$M$15:$M$76)</f>
        <v>2</v>
      </c>
      <c r="AH26" s="113">
        <f>COUNTIFS('18.10'!$E$15:$E$76,H26,'18.10'!$L$15:$L$76,"&gt;0")</f>
        <v>1</v>
      </c>
      <c r="AI26" s="113">
        <f>SUMIF('25.10'!$E$15:$E$78,H26,'25.10'!$M$15:$M$78)</f>
        <v>2</v>
      </c>
      <c r="AJ26" s="113">
        <f>COUNTIFS('25.10'!$E$15:$E$78,H26,'25.10'!$L$15:$L$78,"&gt;0")</f>
        <v>1</v>
      </c>
      <c r="AK26" s="113">
        <f>SUMIF('01.11'!$E$15:$E$77,H26,'01.11'!$M$15:$M$77)</f>
        <v>2</v>
      </c>
      <c r="AL26" s="113">
        <f>COUNTIFS('01.11'!$E$15:$E$77,H26,'01.11'!$M$15:$M$77,"&gt;0")</f>
        <v>1</v>
      </c>
      <c r="AM26" s="113">
        <f>SUMIF('08.11'!$E$15:$E$67,H26,'08.11'!$M$15:$M$67)</f>
        <v>2</v>
      </c>
      <c r="AN26" s="113">
        <f>COUNTIFS('08.11'!$E$15:$E$67,H26,'08.11'!$M$15:$M$67,"&gt;0")</f>
        <v>1</v>
      </c>
      <c r="AO26" s="113">
        <f>SUMIF('15.11'!$E$15:$E$71,H26,'15.11'!$M$15:$M$71)</f>
        <v>0</v>
      </c>
      <c r="AP26" s="113">
        <f>COUNTIFS('15.11'!$E$15:$E$71,H26,'15.11'!$M$15:$M$71,"&gt;0")</f>
        <v>0</v>
      </c>
      <c r="AQ26" s="113">
        <f>SUMIF('22.11'!$E$15:$E$78,H26,'22.11'!$M$15:$M$78)</f>
        <v>4</v>
      </c>
      <c r="AR26" s="113">
        <f>COUNTIFS('22.11'!$E$15:$E$78,H26,'22.11'!$M$15:$M$78,"&gt;0")</f>
        <v>1</v>
      </c>
      <c r="AS26" s="113">
        <f>SUMIF('29.11'!$E$15:$E$79,H26,'29.11'!$M$15:$M$79)</f>
        <v>4</v>
      </c>
      <c r="AT26" s="113">
        <f>COUNTIFS('29.11'!$E$15:$E$79,H26,'29.11'!$L$15:$L$79,"&gt;0")</f>
        <v>1</v>
      </c>
      <c r="AU26" s="113">
        <f>SUMIF('06.12'!$E$15:$E$82,H26,'06.12'!$M$15:$M$82)</f>
        <v>0</v>
      </c>
      <c r="AV26" s="113">
        <f>COUNTIFS('06.12'!$E$15:$E$82,H26,'06.12'!$M$15:$M$82,"&gt;0")</f>
        <v>0</v>
      </c>
      <c r="AW26" s="113">
        <f>SUMIF('13.12'!$E$15:$E$82,H26,'13.12'!$M$15:$M$82)</f>
        <v>4</v>
      </c>
      <c r="AX26" s="113">
        <f>COUNTIFS('13.12'!$E$15:$E$82,H26,'13.12'!$M$15:$M$82,"&gt;0")</f>
        <v>1</v>
      </c>
      <c r="AY26" s="113">
        <f>SUMIF('20.12'!$E$15:$E$84,H26,'20.12'!$M$15:$M$84)</f>
        <v>4</v>
      </c>
      <c r="AZ26" s="113">
        <f>COUNTIFS('20.12'!$E$15:$E$84,H26,'20.12'!$M$15:$M$84,"&gt;0")</f>
        <v>1</v>
      </c>
      <c r="BA26" s="113">
        <f>SUMIF('27.12'!$E$15:$E$84,H26,'27.12'!$M$15:$M$84)</f>
        <v>0</v>
      </c>
      <c r="BB26" s="113">
        <f>COUNTIFS('27.12'!$E$15:$E$84,H26,'27.12'!$M$15:$M$84,"&gt;0")</f>
        <v>0</v>
      </c>
      <c r="BC26" s="113">
        <f>SUMIF('03.01'!$E$15:$E$88,H26,'03.01'!$M$15:$M$88)</f>
        <v>4</v>
      </c>
      <c r="BD26" s="113">
        <f>COUNTIFS('03.01'!$E$15:$E$88,H26,'03.01'!$M$15:$M$88,"&gt;0")</f>
        <v>1</v>
      </c>
      <c r="BE26" s="113">
        <f>SUMIF('10.01'!$E$15:$E$91,H26,'10.01'!$M$15:$M$91)</f>
        <v>4</v>
      </c>
      <c r="BF26" s="113">
        <f>COUNTIFS('10.01'!$E$15:$E$91,H26,'10.01'!$M$15:$M$91,"&gt;0")</f>
        <v>1</v>
      </c>
      <c r="BG26" s="113">
        <f>SUMIF('17.01'!$E$15:$E$87,H26,'17.01'!$M$15:$M$87)</f>
        <v>4</v>
      </c>
      <c r="BH26" s="113">
        <f>COUNTIFS('17.01'!$E$15:$E$87,H26,'17.01'!$M$15:$M$87,"&gt;0")</f>
        <v>1</v>
      </c>
      <c r="BI26" s="113">
        <f>SUMIF('24.01'!$E$15:$E$86,H26,'24.01'!$M$15:$M$86)</f>
        <v>4</v>
      </c>
      <c r="BJ26" s="113">
        <f>COUNTIFS('24.01'!$E$15:$E$86,H26,'24.01'!$M$15:$M$86,"&gt;0")</f>
        <v>1</v>
      </c>
      <c r="BK26" s="113">
        <f>SUMIF('31.01'!$E$15:$E$75,H26,'31.01'!$M$15:$M$75)</f>
        <v>4</v>
      </c>
      <c r="BL26" s="113">
        <f>COUNTIFS('31.01'!$E$15:$E$75,H26,'31.01'!$M$15:$M$75,"&gt;0")</f>
        <v>1</v>
      </c>
      <c r="BM26" s="113">
        <f>SUMIF('07.02'!$E$15:$E$77,H26,'07.02'!$M$15:$M$77)</f>
        <v>4</v>
      </c>
      <c r="BN26" s="113">
        <f>COUNTIFS('07.02'!$E$15:$E$77,H26,'07.02'!$M$15:$M$77,"&gt;0")</f>
        <v>1</v>
      </c>
      <c r="BO26" s="113">
        <f>SUMIF('14.02'!$E$15:$E$81,H26,'14.02'!$M$15:$M$81)</f>
        <v>4</v>
      </c>
      <c r="BP26" s="113">
        <f>COUNTIFS('14.02'!$E$15:$E$81,H26,'14.02'!$M$15:$M$81,"&gt;0")</f>
        <v>1</v>
      </c>
      <c r="BQ26" s="113">
        <f>SUMIF('21.02'!$E$15:$E$82,H26,'21.02'!$M$15:$M$82)</f>
        <v>4</v>
      </c>
      <c r="BR26" s="113">
        <f>COUNTIFS('21.02'!$E$15:$E$82,H26,'21.02'!$M$15:$M$82,"&gt;0")</f>
        <v>1</v>
      </c>
      <c r="BS26" s="113"/>
      <c r="BT26" s="113"/>
      <c r="BU26" s="113"/>
      <c r="BV26" s="113"/>
      <c r="BW26" s="113"/>
      <c r="BX26" s="113"/>
      <c r="BY26" s="113"/>
      <c r="BZ26" s="113"/>
    </row>
    <row r="27">
      <c r="A27" s="148" t="s">
        <v>511</v>
      </c>
      <c r="B27" s="180">
        <f>AY65</f>
        <v>340</v>
      </c>
      <c r="C27" s="148">
        <v>426.0</v>
      </c>
      <c r="D27" s="148">
        <v>267.0</v>
      </c>
      <c r="E27" s="181">
        <f>AZ65</f>
        <v>30</v>
      </c>
      <c r="F27" s="182">
        <f t="shared" si="2"/>
        <v>5.933333333</v>
      </c>
      <c r="H27" s="171" t="s">
        <v>444</v>
      </c>
      <c r="I27" s="88">
        <f>SUMIF('26.07'!$E$15:$E$74,H27,'26.07'!$M$15:$M$74)</f>
        <v>0</v>
      </c>
      <c r="J27" s="88">
        <f>COUNTIFS('26.07'!$E$15:$E$74,H27,'26.07'!$L$15:$L$74,"&gt;0")</f>
        <v>0</v>
      </c>
      <c r="K27" s="88">
        <f>SUMIF('02.08'!$E$15:$E$73,H27,'02.08'!$M$15:$M$73)</f>
        <v>0</v>
      </c>
      <c r="L27" s="88">
        <f>COUNTIFS('02.08'!$E$15:$E$73,H27,'02.08'!$L$15:$L$73,"&gt;0")</f>
        <v>0</v>
      </c>
      <c r="M27" s="88">
        <f>SUMIF('09.08'!$E$15:$E$71,H27,'09.08'!$M$15:$M$71)</f>
        <v>0</v>
      </c>
      <c r="N27" s="88">
        <f>COUNTIFS('09.08'!$E$15:$E$71,H27,'09.08'!$L$15:$L$71,"&gt;0")</f>
        <v>0</v>
      </c>
      <c r="O27" s="88">
        <f>sumif('16.08 '!$E$15:$E$65,H27,'16.08 '!$M$15:$M$65)</f>
        <v>0</v>
      </c>
      <c r="P27" s="88">
        <f>COUNTIFs('16.08 '!$E$15:$E$65,H27,'16.08 '!$L$15:$L$65,"&gt;0")</f>
        <v>0</v>
      </c>
      <c r="Q27" s="88">
        <f>sumif('23.08'!$E$15:$E$62,H27,'23.08'!$M$15:$M$62)</f>
        <v>0</v>
      </c>
      <c r="R27" s="88">
        <f>COUNTIFS('23.08'!$M$15:$M$62,"&gt;0",'23.08'!$E$15:$E$62,H27)</f>
        <v>0</v>
      </c>
      <c r="S27" s="88">
        <f>SUMIF('30.08'!$E$15:$E$66,H27,'30.08'!$M$15:$M$66)</f>
        <v>0</v>
      </c>
      <c r="T27" s="88">
        <f>COUNTIFS('30.08'!$E$15:$E$66,H27,'30.08'!$M$15:$M$66,"&gt;0")</f>
        <v>0</v>
      </c>
      <c r="U27" s="88">
        <f>sumif('06.09'!$E$15:$E$66,H27,'06.09'!$M$15:$M$66)</f>
        <v>0</v>
      </c>
      <c r="V27" s="113">
        <f>COUNTIFS('06.09'!$E$15:$E$66,H27,'06.09'!$M$15:$M$66,"&gt;0")</f>
        <v>0</v>
      </c>
      <c r="W27" s="88">
        <f>SUMIF('13.09'!$E$15:$E$65,H27,'13.09'!$M$15:$M$65)</f>
        <v>0</v>
      </c>
      <c r="X27" s="113">
        <f>COUNTIFS('13.09'!$E$15:$E$65,H27,'13.09'!$M$15:$M$65,"&gt;0")</f>
        <v>0</v>
      </c>
      <c r="Y27" s="88">
        <f>SUMIF('20.09'!$E$15:$E$67,H27,'20.09'!$M$15:$M$67)</f>
        <v>0</v>
      </c>
      <c r="Z27" s="113">
        <f>COUNTIFS('20.09'!$E$15:$E$67,H27,'20.09'!$M$15:$M$67,"&gt;0")</f>
        <v>0</v>
      </c>
      <c r="AA27" s="88">
        <f>SUMIF('27.09'!$E$15:$E$68,H27,'27.09'!$M$15:$M$68)</f>
        <v>0</v>
      </c>
      <c r="AB27" s="113">
        <f>COUNTIFS('27.09'!$E$15:$E$68,H27,'27.09'!$M$15:$M$68,"&gt;0")</f>
        <v>0</v>
      </c>
      <c r="AC27" s="88">
        <f>SUMIF('04.10'!$E$15:$E$71,H27,'04.10'!$M$15:$M$71)</f>
        <v>0</v>
      </c>
      <c r="AD27" s="113">
        <f>COUNTIFS('04.10'!$E$15:$E$71,H27,'04.10'!$M$15:$M$71,"&gt;0")</f>
        <v>0</v>
      </c>
      <c r="AE27" s="88">
        <f>SUMIF('11.10'!$E$15:$E$76,H27,'11.10'!$M$15:$M$76)</f>
        <v>0</v>
      </c>
      <c r="AF27" s="113">
        <f>COUNTIFS('11.10'!$E$15:$E$76,H27,'11.10'!$L$15:$L$76,"&gt;0")</f>
        <v>0</v>
      </c>
      <c r="AG27" s="113">
        <f>SUMIF('18.10'!$E$15:$E$76,H27,'18.10'!$M$15:$M$76)</f>
        <v>0</v>
      </c>
      <c r="AH27" s="113">
        <f>COUNTIFS('18.10'!$E$15:$E$76,H27,'18.10'!$L$15:$L$76,"&gt;0")</f>
        <v>0</v>
      </c>
      <c r="AI27" s="113">
        <f>SUMIF('25.10'!$E$15:$E$78,H27,'25.10'!$M$15:$M$78)</f>
        <v>0</v>
      </c>
      <c r="AJ27" s="113">
        <f>COUNTIFS('25.10'!$E$15:$E$78,H27,'25.10'!$L$15:$L$78,"&gt;0")</f>
        <v>0</v>
      </c>
      <c r="AK27" s="113">
        <f>SUMIF('01.11'!$E$15:$E$77,H27,'01.11'!$M$15:$M$77)</f>
        <v>0</v>
      </c>
      <c r="AL27" s="113">
        <f>COUNTIFS('01.11'!$E$15:$E$77,H27,'01.11'!$M$15:$M$77,"&gt;0")</f>
        <v>0</v>
      </c>
      <c r="AM27" s="113">
        <f>SUMIF('08.11'!$E$15:$E$67,H27,'08.11'!$M$15:$M$67)</f>
        <v>0</v>
      </c>
      <c r="AN27" s="113">
        <f>COUNTIFS('08.11'!$E$15:$E$67,H27,'08.11'!$M$15:$M$67,"&gt;0")</f>
        <v>0</v>
      </c>
      <c r="AO27" s="113">
        <f>SUMIF('15.11'!$E$15:$E$71,H27,'15.11'!$M$15:$M$71)</f>
        <v>0</v>
      </c>
      <c r="AP27" s="113">
        <f>COUNTIFS('15.11'!$E$15:$E$71,H27,'15.11'!$M$15:$M$71,"&gt;0")</f>
        <v>0</v>
      </c>
      <c r="AQ27" s="113">
        <f>SUMIF('22.11'!$E$15:$E$78,H27,'22.11'!$M$15:$M$78)</f>
        <v>0</v>
      </c>
      <c r="AR27" s="113">
        <f>COUNTIFS('22.11'!$E$15:$E$78,H27,'22.11'!$M$15:$M$78,"&gt;0")</f>
        <v>0</v>
      </c>
      <c r="AS27" s="113">
        <f>SUMIF('29.11'!$E$15:$E$79,H27,'29.11'!$M$15:$M$79)</f>
        <v>0</v>
      </c>
      <c r="AT27" s="113">
        <f>COUNTIFS('29.11'!$E$15:$E$79,H27,'29.11'!$L$15:$L$79,"&gt;0")</f>
        <v>0</v>
      </c>
      <c r="AU27" s="113">
        <f>SUMIF('06.12'!$E$15:$E$82,H27,'06.12'!$M$15:$M$82)</f>
        <v>0</v>
      </c>
      <c r="AV27" s="113">
        <f>COUNTIFS('06.12'!$E$15:$E$82,H27,'06.12'!$M$15:$M$82,"&gt;0")</f>
        <v>0</v>
      </c>
      <c r="AW27" s="113">
        <f>SUMIF('13.12'!$E$15:$E$82,H27,'13.12'!$M$15:$M$82)</f>
        <v>0</v>
      </c>
      <c r="AX27" s="113">
        <f>COUNTIFS('13.12'!$E$15:$E$82,H27,'13.12'!$M$15:$M$82,"&gt;0")</f>
        <v>0</v>
      </c>
      <c r="AY27" s="113">
        <f>SUMIF('20.12'!$E$15:$E$84,H27,'20.12'!$M$15:$M$84)</f>
        <v>12</v>
      </c>
      <c r="AZ27" s="113">
        <f>COUNTIFS('20.12'!$E$15:$E$84,H27,'20.12'!$M$15:$M$84,"&gt;0")</f>
        <v>1</v>
      </c>
      <c r="BA27" s="113">
        <f>SUMIF('27.12'!$E$15:$E$84,H27,'27.12'!$M$15:$M$84)</f>
        <v>20</v>
      </c>
      <c r="BB27" s="113">
        <f>COUNTIFS('27.12'!$E$15:$E$84,H27,'27.12'!$M$15:$M$84,"&gt;0")</f>
        <v>1</v>
      </c>
      <c r="BC27" s="113">
        <f>SUMIF('03.01'!$E$15:$E$88,H27,'03.01'!$M$15:$M$88)</f>
        <v>20</v>
      </c>
      <c r="BD27" s="113">
        <f>COUNTIFS('03.01'!$E$15:$E$88,H27,'03.01'!$M$15:$M$88,"&gt;0")</f>
        <v>1</v>
      </c>
      <c r="BE27" s="113">
        <f>SUMIF('10.01'!$E$15:$E$91,H27,'10.01'!$M$15:$M$91)</f>
        <v>4</v>
      </c>
      <c r="BF27" s="113">
        <f>COUNTIFS('10.01'!$E$15:$E$91,H27,'10.01'!$M$15:$M$91,"&gt;0")</f>
        <v>1</v>
      </c>
      <c r="BG27" s="113">
        <f>SUMIF('17.01'!$E$15:$E$87,H27,'17.01'!$M$15:$M$87)</f>
        <v>12</v>
      </c>
      <c r="BH27" s="113">
        <f>COUNTIFS('17.01'!$E$15:$E$87,H27,'17.01'!$M$15:$M$87,"&gt;0")</f>
        <v>1</v>
      </c>
      <c r="BI27" s="113">
        <f>SUMIF('24.01'!$E$15:$E$86,H27,'24.01'!$M$15:$M$86)</f>
        <v>0</v>
      </c>
      <c r="BJ27" s="113">
        <f>COUNTIFS('24.01'!$E$15:$E$86,H27,'24.01'!$M$15:$M$86,"&gt;0")</f>
        <v>0</v>
      </c>
      <c r="BK27" s="113">
        <f>SUMIF('31.01'!$E$15:$E$75,H27,'31.01'!$M$15:$M$75)</f>
        <v>4</v>
      </c>
      <c r="BL27" s="113">
        <f>COUNTIFS('31.01'!$E$15:$E$75,H27,'31.01'!$M$15:$M$75,"&gt;0")</f>
        <v>1</v>
      </c>
      <c r="BM27" s="113">
        <f>SUMIF('07.02'!$E$15:$E$77,H27,'07.02'!$M$15:$M$77)</f>
        <v>0</v>
      </c>
      <c r="BN27" s="113">
        <f>COUNTIFS('07.02'!$E$15:$E$77,H27,'07.02'!$M$15:$M$77,"&gt;0")</f>
        <v>0</v>
      </c>
      <c r="BO27" s="113">
        <f>SUMIF('14.02'!$E$15:$E$81,H27,'14.02'!$M$15:$M$81)</f>
        <v>0</v>
      </c>
      <c r="BP27" s="113">
        <f>COUNTIFS('14.02'!$E$15:$E$81,H27,'14.02'!$M$15:$M$81,"&gt;0")</f>
        <v>0</v>
      </c>
      <c r="BQ27" s="113">
        <f>SUMIF('21.02'!$E$15:$E$82,H27,'21.02'!$M$15:$M$82)</f>
        <v>4</v>
      </c>
      <c r="BR27" s="113">
        <f>COUNTIFS('21.02'!$E$15:$E$82,H27,'21.02'!$M$15:$M$82,"&gt;0")</f>
        <v>1</v>
      </c>
      <c r="BS27" s="113"/>
      <c r="BT27" s="113"/>
      <c r="BU27" s="113"/>
      <c r="BV27" s="113"/>
      <c r="BW27" s="113"/>
      <c r="BX27" s="113"/>
      <c r="BY27" s="113"/>
      <c r="BZ27" s="113"/>
    </row>
    <row r="28">
      <c r="A28" s="148" t="s">
        <v>512</v>
      </c>
      <c r="B28" s="180">
        <f>BA65</f>
        <v>320</v>
      </c>
      <c r="C28" s="148">
        <v>343.0</v>
      </c>
      <c r="D28" s="148">
        <v>213.0</v>
      </c>
      <c r="E28" s="180">
        <f>BB65</f>
        <v>25</v>
      </c>
      <c r="F28" s="182">
        <f t="shared" si="2"/>
        <v>4.733333333</v>
      </c>
      <c r="H28" s="171" t="s">
        <v>206</v>
      </c>
      <c r="I28" s="88">
        <f>SUMIF('26.07'!$E$15:$E$74,H28,'26.07'!$M$15:$M$74)</f>
        <v>0</v>
      </c>
      <c r="J28" s="88">
        <f>COUNTIFS('26.07'!$E$15:$E$74,H28,'26.07'!$L$15:$L$74,"&gt;0")</f>
        <v>0</v>
      </c>
      <c r="K28" s="88">
        <f>SUMIF('02.08'!$E$15:$E$73,H28,'02.08'!$M$15:$M$73)</f>
        <v>0</v>
      </c>
      <c r="L28" s="88">
        <f>COUNTIFS('02.08'!$E$15:$E$73,H28,'02.08'!$L$15:$L$73,"&gt;0")</f>
        <v>0</v>
      </c>
      <c r="M28" s="88">
        <f>SUMIF('09.08'!$E$15:$E$71,H28,'09.08'!$M$15:$M$71)</f>
        <v>0</v>
      </c>
      <c r="N28" s="88">
        <f>COUNTIFS('09.08'!$E$15:$E$71,H28,'09.08'!$L$15:$L$71,"&gt;0")</f>
        <v>0</v>
      </c>
      <c r="O28" s="88">
        <f>sumif('16.08 '!$E$15:$E$65,H28,'16.08 '!$M$15:$M$65)</f>
        <v>0</v>
      </c>
      <c r="P28" s="88">
        <f>COUNTIFs('16.08 '!$E$15:$E$65,H28,'16.08 '!$L$15:$L$65,"&gt;0")</f>
        <v>0</v>
      </c>
      <c r="Q28" s="88">
        <f>sumif('23.08'!$E$15:$E$62,H28,'23.08'!$M$15:$M$62)</f>
        <v>0</v>
      </c>
      <c r="R28" s="88">
        <f>COUNTIFS('23.08'!$M$15:$M$62,"&gt;0",'23.08'!$E$15:$E$62,H28)</f>
        <v>0</v>
      </c>
      <c r="S28" s="88">
        <f>SUMIF('30.08'!$E$15:$E$66,H28,'30.08'!$M$15:$M$66)</f>
        <v>0</v>
      </c>
      <c r="T28" s="88">
        <f>COUNTIFS('30.08'!$E$15:$E$66,H28,'30.08'!$M$15:$M$66,"&gt;0")</f>
        <v>0</v>
      </c>
      <c r="U28" s="88">
        <f>sumif('06.09'!$E$15:$E$66,H28,'06.09'!$M$15:$M$66)</f>
        <v>0</v>
      </c>
      <c r="V28" s="113">
        <f>COUNTIFS('06.09'!$E$15:$E$66,H28,'06.09'!$M$15:$M$66,"&gt;0")</f>
        <v>0</v>
      </c>
      <c r="W28" s="88">
        <f>SUMIF('13.09'!$E$15:$E$65,H28,'13.09'!$M$15:$M$65)</f>
        <v>0</v>
      </c>
      <c r="X28" s="113">
        <f>COUNTIFS('13.09'!$E$15:$E$65,H28,'13.09'!$M$15:$M$65,"&gt;0")</f>
        <v>0</v>
      </c>
      <c r="Y28" s="88">
        <f>SUMIF('20.09'!$E$15:$E$68,H28,'20.09'!$M$15:$M$68)</f>
        <v>0</v>
      </c>
      <c r="Z28" s="113">
        <f>COUNTIFS('20.09'!$E$15:$E$67,H28,'20.09'!$M$15:$M$67,"&gt;0")</f>
        <v>0</v>
      </c>
      <c r="AA28" s="88">
        <f>SUMIF('27.09'!$E$15:$E$68,H28,'27.09'!$M$15:$M$68)</f>
        <v>0</v>
      </c>
      <c r="AB28" s="113">
        <f>COUNTIFS('27.09'!$E$15:$E$68,H28,'27.09'!$M$15:$M$68,"&gt;0")</f>
        <v>0</v>
      </c>
      <c r="AC28" s="88">
        <f>SUMIF('04.10'!$E$15:$E$71,H28,'04.10'!$M$15:$M$71)</f>
        <v>0</v>
      </c>
      <c r="AD28" s="113">
        <f>COUNTIFS('04.10'!$E$15:$E$71,H28,'04.10'!$M$15:$M$71,"&gt;0")</f>
        <v>0</v>
      </c>
      <c r="AE28" s="88">
        <f>SUMIF('11.10'!$E$15:$E$76,H28,'11.10'!$M$15:$M$76)</f>
        <v>0</v>
      </c>
      <c r="AF28" s="113">
        <f>COUNTIFS('11.10'!$E$15:$E$76,H28,'11.10'!$L$15:$L$76,"&gt;0")</f>
        <v>0</v>
      </c>
      <c r="AG28" s="113">
        <f>SUMIF('18.10'!$E$15:$E$76,H28,'18.10'!$M$15:$M$76)</f>
        <v>0</v>
      </c>
      <c r="AH28" s="113">
        <f>COUNTIFS('18.10'!$E$15:$E$76,H28,'18.10'!$L$15:$L$76,"&gt;0")</f>
        <v>0</v>
      </c>
      <c r="AI28" s="113">
        <f>SUMIF('25.10'!$E$15:$E$78,H28,'25.10'!$M$15:$M$78)</f>
        <v>0</v>
      </c>
      <c r="AJ28" s="113">
        <f>COUNTIFS('25.10'!$E$15:$E$78,H28,'25.10'!$L$15:$L$78,"&gt;0")</f>
        <v>0</v>
      </c>
      <c r="AK28" s="113">
        <f>SUMIF('01.11'!$E$15:$E$77,H28,'01.11'!$M$15:$M$77)</f>
        <v>0</v>
      </c>
      <c r="AL28" s="113">
        <f>COUNTIFS('01.11'!$E$15:$E$77,H28,'01.11'!$M$15:$M$77,"&gt;0")</f>
        <v>0</v>
      </c>
      <c r="AM28" s="113">
        <f>SUMIF('08.11'!$E$15:$E$67,H28,'08.11'!$M$15:$M$67)</f>
        <v>0</v>
      </c>
      <c r="AN28" s="113">
        <f>COUNTIFS('08.11'!$E$15:$E$67,H28,'08.11'!$M$15:$M$67,"&gt;0")</f>
        <v>0</v>
      </c>
      <c r="AO28" s="113">
        <f>SUMIF('15.11'!$E$15:$E$71,H28,'15.11'!$M$15:$M$71)</f>
        <v>0</v>
      </c>
      <c r="AP28" s="113">
        <f>COUNTIFS('15.11'!$E$15:$E$71,H28,'15.11'!$M$15:$M$71,"&gt;0")</f>
        <v>0</v>
      </c>
      <c r="AQ28" s="113">
        <f>SUMIF('22.11'!$E$15:$E$78,H28,'22.11'!$M$15:$M$78)</f>
        <v>0</v>
      </c>
      <c r="AR28" s="113">
        <f>COUNTIFS('22.11'!$E$15:$E$78,H28,'22.11'!$M$15:$M$78,"&gt;0")</f>
        <v>0</v>
      </c>
      <c r="AS28" s="113">
        <f>SUMIF('29.11'!$E$15:$E$79,H28,'29.11'!$M$15:$M$79)</f>
        <v>12</v>
      </c>
      <c r="AT28" s="113">
        <f>COUNTIFS('29.11'!$E$15:$E$79,H28,'29.11'!$L$15:$L$79,"&gt;0")</f>
        <v>1</v>
      </c>
      <c r="AU28" s="113">
        <f>SUMIF('06.12'!$E$15:$E$82,H28,'06.12'!$M$15:$M$82)</f>
        <v>4</v>
      </c>
      <c r="AV28" s="113">
        <f>COUNTIFS('06.12'!$E$15:$E$82,H28,'06.12'!$M$15:$M$82,"&gt;0")</f>
        <v>1</v>
      </c>
      <c r="AW28" s="113">
        <f>SUMIF('13.12'!$E$15:$E$82,H28,'13.12'!$M$15:$M$82)</f>
        <v>0</v>
      </c>
      <c r="AX28" s="113">
        <f>COUNTIFS('13.12'!$E$15:$E$82,H28,'13.12'!$M$15:$M$82,"&gt;0")</f>
        <v>0</v>
      </c>
      <c r="AY28" s="113">
        <f>SUMIF('20.12'!$E$15:$E$84,H28,'20.12'!$M$15:$M$84)</f>
        <v>0</v>
      </c>
      <c r="AZ28" s="113">
        <f>COUNTIFS('20.12'!$E$15:$E$84,H28,'20.12'!$M$15:$M$84,"&gt;0")</f>
        <v>0</v>
      </c>
      <c r="BA28" s="113">
        <f>SUMIF('27.12'!$E$15:$E$84,H28,'27.12'!$M$15:$M$84)</f>
        <v>0</v>
      </c>
      <c r="BB28" s="113">
        <f>COUNTIFS('27.12'!$E$15:$E$84,H28,'27.12'!$M$15:$M$84,"&gt;0")</f>
        <v>0</v>
      </c>
      <c r="BC28" s="113">
        <f>SUMIF('03.01'!$E$15:$E$88,H28,'03.01'!$M$15:$M$88)</f>
        <v>0</v>
      </c>
      <c r="BD28" s="113">
        <f>COUNTIFS('03.01'!$E$15:$E$88,H28,'03.01'!$M$15:$M$88,"&gt;0")</f>
        <v>0</v>
      </c>
      <c r="BE28" s="113">
        <f>SUMIF('10.01'!$E$15:$E$91,H28,'10.01'!$M$15:$M$91)</f>
        <v>0</v>
      </c>
      <c r="BF28" s="113">
        <f>COUNTIFS('10.01'!$E$15:$E$91,H28,'10.01'!$M$15:$M$91,"&gt;0")</f>
        <v>0</v>
      </c>
      <c r="BG28" s="113">
        <f>SUMIF('17.01'!$E$15:$E$87,H28,'17.01'!$M$15:$M$87)</f>
        <v>0</v>
      </c>
      <c r="BH28" s="113">
        <f>COUNTIFS('17.01'!$E$15:$E$87,H28,'17.01'!$M$15:$M$87,"&gt;0")</f>
        <v>0</v>
      </c>
      <c r="BI28" s="113">
        <f>SUMIF('24.01'!$E$15:$E$86,H28,'24.01'!$M$15:$M$86)</f>
        <v>0</v>
      </c>
      <c r="BJ28" s="113">
        <f>COUNTIFS('24.01'!$E$15:$E$86,H28,'24.01'!$M$15:$M$86,"&gt;0")</f>
        <v>0</v>
      </c>
      <c r="BK28" s="113">
        <f>SUMIF('31.01'!$E$15:$E$75,H28,'31.01'!$M$15:$M$75)</f>
        <v>0</v>
      </c>
      <c r="BL28" s="113">
        <f>COUNTIFS('31.01'!$E$15:$E$75,H28,'31.01'!$M$15:$M$75,"&gt;0")</f>
        <v>0</v>
      </c>
      <c r="BM28" s="113">
        <f>SUMIF('07.02'!$E$15:$E$77,H28,'07.02'!$M$15:$M$77)</f>
        <v>0</v>
      </c>
      <c r="BN28" s="113">
        <f>COUNTIFS('07.02'!$E$15:$E$77,H28,'07.02'!$M$15:$M$77,"&gt;0")</f>
        <v>0</v>
      </c>
      <c r="BO28" s="113">
        <f>SUMIF('14.02'!$E$15:$E$81,H28,'14.02'!$M$15:$M$81)</f>
        <v>12</v>
      </c>
      <c r="BP28" s="113">
        <f>COUNTIFS('14.02'!$E$15:$E$81,H28,'14.02'!$M$15:$M$81,"&gt;0")</f>
        <v>1</v>
      </c>
      <c r="BQ28" s="113">
        <f>SUMIF('21.02'!$E$15:$E$82,H28,'21.02'!$M$15:$M$82)</f>
        <v>4</v>
      </c>
      <c r="BR28" s="113">
        <f>COUNTIFS('21.02'!$E$15:$E$82,H28,'21.02'!$M$15:$M$82,"&gt;0")</f>
        <v>1</v>
      </c>
      <c r="BS28" s="113"/>
      <c r="BT28" s="113"/>
      <c r="BU28" s="113"/>
      <c r="BV28" s="113"/>
      <c r="BW28" s="113"/>
      <c r="BX28" s="113"/>
      <c r="BY28" s="113"/>
      <c r="BZ28" s="113"/>
    </row>
    <row r="29">
      <c r="A29" s="148" t="s">
        <v>513</v>
      </c>
      <c r="B29" s="180">
        <f>BC65</f>
        <v>404</v>
      </c>
      <c r="C29" s="148">
        <v>416.0</v>
      </c>
      <c r="D29" s="148">
        <v>298.0</v>
      </c>
      <c r="E29" s="180">
        <f>BD65</f>
        <v>32</v>
      </c>
      <c r="F29" s="182">
        <f t="shared" si="2"/>
        <v>6.622222222</v>
      </c>
      <c r="H29" s="171" t="s">
        <v>424</v>
      </c>
      <c r="I29" s="88">
        <f>SUMIF('26.07'!$E$15:$E$74,H29,'26.07'!$M$15:$M$74)</f>
        <v>0</v>
      </c>
      <c r="J29" s="88">
        <f>COUNTIFS('26.07'!$E$15:$E$74,H29,'26.07'!$L$15:$L$74,"&gt;0")</f>
        <v>0</v>
      </c>
      <c r="K29" s="88">
        <f>SUMIF('02.08'!$E$15:$E$73,H29,'02.08'!$M$15:$M$73)</f>
        <v>0</v>
      </c>
      <c r="L29" s="88">
        <f>COUNTIFS('02.08'!$E$15:$E$73,H29,'02.08'!$L$15:$L$73,"&gt;0")</f>
        <v>0</v>
      </c>
      <c r="M29" s="88">
        <f>SUMIF('09.08'!$E$15:$E$71,H29,'09.08'!$M$15:$M$71)</f>
        <v>0</v>
      </c>
      <c r="N29" s="88">
        <f>COUNTIFS('09.08'!$E$15:$E$71,H29,'09.08'!$L$15:$L$71,"&gt;0")</f>
        <v>0</v>
      </c>
      <c r="O29" s="88">
        <f>sumif('16.08 '!$E$15:$E$65,H29,'16.08 '!$M$15:$M$65)</f>
        <v>0</v>
      </c>
      <c r="P29" s="88">
        <f>COUNTIFs('16.08 '!$E$15:$E$65,H29,'16.08 '!$L$15:$L$65,"&gt;0")</f>
        <v>0</v>
      </c>
      <c r="Q29" s="88">
        <f>sumif('23.08'!$E$15:$E$62,H29,'23.08'!$M$15:$M$62)</f>
        <v>0</v>
      </c>
      <c r="R29" s="88">
        <f>COUNTIFS('23.08'!$M$15:$M$62,"&gt;0",'23.08'!$E$15:$E$62,H29)</f>
        <v>0</v>
      </c>
      <c r="S29" s="88">
        <f>SUMIF('30.08'!$E$15:$E$66,H29,'30.08'!$M$15:$M$66)</f>
        <v>0</v>
      </c>
      <c r="T29" s="88">
        <f>COUNTIFS('30.08'!$E$15:$E$66,H29,'30.08'!$M$15:$M$66,"&gt;0")</f>
        <v>0</v>
      </c>
      <c r="U29" s="88">
        <f>sumif('06.09'!$E$15:$E$66,H29,'06.09'!$M$15:$M$66)</f>
        <v>0</v>
      </c>
      <c r="V29" s="113">
        <f>COUNTIFS('06.09'!$E$15:$E$66,H29,'06.09'!$M$15:$M$66,"&gt;0")</f>
        <v>0</v>
      </c>
      <c r="W29" s="88">
        <f>SUMIF('13.09'!$E$15:$E$65,H29,'13.09'!$M$15:$M$65)</f>
        <v>0</v>
      </c>
      <c r="X29" s="113">
        <f>COUNTIFS('13.09'!$E$15:$E$65,H29,'13.09'!$M$15:$M$65,"&gt;0")</f>
        <v>0</v>
      </c>
      <c r="Y29" s="88">
        <f>SUMIF('20.09'!$E$15:$E$68,H29,'20.09'!$M$15:$M$68)</f>
        <v>0</v>
      </c>
      <c r="Z29" s="113">
        <f>COUNTIFS('20.09'!$E$15:$E$67,H29,'20.09'!$M$15:$M$67,"&gt;0")</f>
        <v>0</v>
      </c>
      <c r="AA29" s="88">
        <f>SUMIF('27.09'!$E$15:$E$68,H29,'27.09'!$M$15:$M$68)</f>
        <v>0</v>
      </c>
      <c r="AB29" s="113">
        <f>COUNTIFS('27.09'!$E$15:$E$68,H29,'27.09'!$M$15:$M$68,"&gt;0")</f>
        <v>0</v>
      </c>
      <c r="AC29" s="88">
        <f>SUMIF('04.10'!$E$15:$E$71,H29,'04.10'!$M$15:$M$71)</f>
        <v>12</v>
      </c>
      <c r="AD29" s="113">
        <f>COUNTIFS('04.10'!$E$15:$E$71,H29,'04.10'!$M$15:$M$71,"&gt;0")</f>
        <v>1</v>
      </c>
      <c r="AE29" s="88">
        <f>SUMIF('11.10'!$E$15:$E$76,H29,'11.10'!$M$15:$M$76)</f>
        <v>8</v>
      </c>
      <c r="AF29" s="113">
        <f>COUNTIFS('11.10'!$E$15:$E$76,H29,'11.10'!$L$15:$L$76,"&gt;0")</f>
        <v>1</v>
      </c>
      <c r="AG29" s="113">
        <f>SUMIF('18.10'!$E$15:$E$76,H29,'18.10'!$M$15:$M$76)</f>
        <v>8</v>
      </c>
      <c r="AH29" s="113">
        <f>COUNTIFS('18.10'!$E$15:$E$76,H29,'18.10'!$L$15:$L$76,"&gt;0")</f>
        <v>1</v>
      </c>
      <c r="AI29" s="113">
        <f>SUMIF('25.10'!$E$15:$E$78,H29,'25.10'!$M$15:$M$78)</f>
        <v>8</v>
      </c>
      <c r="AJ29" s="113">
        <f>COUNTIFS('25.10'!$E$15:$E$78,H29,'25.10'!$L$15:$L$78,"&gt;0")</f>
        <v>1</v>
      </c>
      <c r="AK29" s="113">
        <f>SUMIF('01.11'!$E$15:$E$77,H29,'01.11'!$M$15:$M$77)</f>
        <v>8</v>
      </c>
      <c r="AL29" s="113">
        <f>COUNTIFS('01.11'!$E$15:$E$77,H29,'01.11'!$M$15:$M$77,"&gt;0")</f>
        <v>1</v>
      </c>
      <c r="AM29" s="113">
        <f>SUMIF('08.11'!$E$15:$E$67,H29,'08.11'!$M$15:$M$67)</f>
        <v>8</v>
      </c>
      <c r="AN29" s="113">
        <f>COUNTIFS('08.11'!$E$15:$E$67,H29,'08.11'!$M$15:$M$67,"&gt;0")</f>
        <v>1</v>
      </c>
      <c r="AO29" s="113">
        <f>SUMIF('15.11'!$E$15:$E$71,H29,'15.11'!$M$15:$M$71)</f>
        <v>8</v>
      </c>
      <c r="AP29" s="113">
        <f>COUNTIFS('15.11'!$E$15:$E$71,H29,'15.11'!$M$15:$M$71,"&gt;0")</f>
        <v>1</v>
      </c>
      <c r="AQ29" s="113">
        <f>SUMIF('22.11'!$E$15:$E$78,H29,'22.11'!$M$15:$M$78)</f>
        <v>8</v>
      </c>
      <c r="AR29" s="113">
        <f>COUNTIFS('22.11'!$E$15:$E$78,H29,'22.11'!$M$15:$M$78,"&gt;0")</f>
        <v>1</v>
      </c>
      <c r="AS29" s="113">
        <f>SUMIF('29.11'!$E$15:$E$79,H29,'29.11'!$M$15:$M$79)</f>
        <v>0</v>
      </c>
      <c r="AT29" s="113">
        <f>COUNTIFS('29.11'!$E$15:$E$79,H29,'29.11'!$L$15:$L$79,"&gt;0")</f>
        <v>0</v>
      </c>
      <c r="AU29" s="113">
        <f>SUMIF('06.12'!$E$15:$E$82,H29,'06.12'!$M$15:$M$82)</f>
        <v>0</v>
      </c>
      <c r="AV29" s="113">
        <f>COUNTIFS('06.12'!$E$15:$E$82,H29,'06.12'!$M$15:$M$82,"&gt;0")</f>
        <v>0</v>
      </c>
      <c r="AW29" s="113">
        <f>SUMIF('13.12'!$E$15:$E$82,H29,'13.12'!$M$15:$M$82)</f>
        <v>8</v>
      </c>
      <c r="AX29" s="113">
        <f>COUNTIFS('13.12'!$E$15:$E$82,H29,'13.12'!$M$15:$M$82,"&gt;0")</f>
        <v>1</v>
      </c>
      <c r="AY29" s="113">
        <f>SUMIF('20.12'!$E$15:$E$84,H29,'20.12'!$M$15:$M$84)</f>
        <v>4</v>
      </c>
      <c r="AZ29" s="113">
        <f>COUNTIFS('20.12'!$E$15:$E$84,H29,'20.12'!$M$15:$M$84,"&gt;0")</f>
        <v>1</v>
      </c>
      <c r="BA29" s="113">
        <f>SUMIF('27.12'!$E$15:$E$84,H29,'27.12'!$M$15:$M$84)</f>
        <v>4</v>
      </c>
      <c r="BB29" s="113">
        <f>COUNTIFS('27.12'!$E$15:$E$84,H29,'27.12'!$M$15:$M$84,"&gt;0")</f>
        <v>1</v>
      </c>
      <c r="BC29" s="113">
        <f>SUMIF('03.01'!$E$15:$E$88,H29,'03.01'!$M$15:$M$88)</f>
        <v>8</v>
      </c>
      <c r="BD29" s="113">
        <f>COUNTIFS('03.01'!$E$15:$E$88,H29,'03.01'!$M$15:$M$88,"&gt;0")</f>
        <v>1</v>
      </c>
      <c r="BE29" s="113">
        <f>SUMIF('10.01'!$E$15:$E$91,H29,'10.01'!$M$15:$M$91)</f>
        <v>8</v>
      </c>
      <c r="BF29" s="113">
        <f>COUNTIFS('10.01'!$E$15:$E$91,H29,'10.01'!$M$15:$M$91,"&gt;0")</f>
        <v>1</v>
      </c>
      <c r="BG29" s="113">
        <f>SUMIF('17.01'!$E$15:$E$87,H29,'17.01'!$M$15:$M$87)</f>
        <v>8</v>
      </c>
      <c r="BH29" s="113">
        <f>COUNTIFS('17.01'!$E$15:$E$87,H29,'17.01'!$M$15:$M$87,"&gt;0")</f>
        <v>1</v>
      </c>
      <c r="BI29" s="113">
        <f>SUMIF('24.01'!$E$15:$E$86,H29,'24.01'!$M$15:$M$86)</f>
        <v>0</v>
      </c>
      <c r="BJ29" s="113">
        <f>COUNTIFS('24.01'!$E$15:$E$86,H29,'24.01'!$M$15:$M$86,"&gt;0")</f>
        <v>0</v>
      </c>
      <c r="BK29" s="113">
        <f>SUMIF('31.01'!$E$15:$E$75,H29,'31.01'!$M$15:$M$75)</f>
        <v>4</v>
      </c>
      <c r="BL29" s="113">
        <f>COUNTIFS('31.01'!$E$15:$E$75,H29,'31.01'!$M$15:$M$75,"&gt;0")</f>
        <v>1</v>
      </c>
      <c r="BM29" s="113">
        <f>SUMIF('07.02'!$E$15:$E$77,H29,'07.02'!$M$15:$M$77)</f>
        <v>4</v>
      </c>
      <c r="BN29" s="113">
        <f>COUNTIFS('07.02'!$E$15:$E$77,H29,'07.02'!$M$15:$M$77,"&gt;0")</f>
        <v>1</v>
      </c>
      <c r="BO29" s="113">
        <f>SUMIF('14.02'!$E$15:$E$81,H29,'14.02'!$M$15:$M$81)</f>
        <v>8</v>
      </c>
      <c r="BP29" s="113">
        <f>COUNTIFS('14.02'!$E$15:$E$81,H29,'14.02'!$M$15:$M$81,"&gt;0")</f>
        <v>1</v>
      </c>
      <c r="BQ29" s="113">
        <f>SUMIF('21.02'!$E$15:$E$82,H29,'21.02'!$M$15:$M$82)</f>
        <v>0</v>
      </c>
      <c r="BR29" s="113">
        <f>COUNTIFS('21.02'!$E$15:$E$82,H29,'21.02'!$M$15:$M$82,"&gt;0")</f>
        <v>0</v>
      </c>
      <c r="BS29" s="113"/>
      <c r="BT29" s="113"/>
      <c r="BU29" s="113"/>
      <c r="BV29" s="113"/>
      <c r="BW29" s="113"/>
      <c r="BX29" s="113"/>
      <c r="BY29" s="113"/>
      <c r="BZ29" s="113"/>
    </row>
    <row r="30">
      <c r="A30" s="148" t="s">
        <v>514</v>
      </c>
      <c r="B30" s="180">
        <f>BE65</f>
        <v>304</v>
      </c>
      <c r="C30" s="148">
        <v>352.0</v>
      </c>
      <c r="D30" s="148">
        <v>247.0</v>
      </c>
      <c r="E30" s="180">
        <f>BF65</f>
        <v>31</v>
      </c>
      <c r="F30" s="182">
        <f t="shared" si="2"/>
        <v>5.488888889</v>
      </c>
      <c r="H30" s="183" t="s">
        <v>449</v>
      </c>
      <c r="I30" s="88">
        <f>SUMIF('26.07'!$E$15:$E$74,H30,'26.07'!$M$15:$M$74)</f>
        <v>0</v>
      </c>
      <c r="J30" s="88">
        <f>COUNTIFS('26.07'!$E$15:$E$74,H30,'26.07'!$L$15:$L$74,"&gt;0")</f>
        <v>0</v>
      </c>
      <c r="K30" s="88">
        <f>SUMIF('02.08'!$E$15:$E$73,H30,'02.08'!$M$15:$M$73)</f>
        <v>0</v>
      </c>
      <c r="L30" s="88">
        <f>COUNTIFS('02.08'!$E$15:$E$73,H30,'02.08'!$L$15:$L$73,"&gt;0")</f>
        <v>0</v>
      </c>
      <c r="M30" s="88">
        <f>SUMIF('09.08'!$E$15:$E$71,H30,'09.08'!$M$15:$M$71)</f>
        <v>0</v>
      </c>
      <c r="N30" s="88">
        <f>COUNTIFS('09.08'!$E$15:$E$71,H30,'09.08'!$L$15:$L$71,"&gt;0")</f>
        <v>0</v>
      </c>
      <c r="O30" s="88">
        <f>sumif('16.08 '!$E$15:$E$65,H30,'16.08 '!$M$15:$M$65)</f>
        <v>0</v>
      </c>
      <c r="P30" s="88">
        <f>COUNTIFs('16.08 '!$E$15:$E$65,H30,'16.08 '!$L$15:$L$65,"&gt;0")</f>
        <v>0</v>
      </c>
      <c r="Q30" s="88">
        <f>sumif('23.08'!$E$15:$E$62,H30,'23.08'!$M$15:$M$62)</f>
        <v>0</v>
      </c>
      <c r="R30" s="88">
        <f>COUNTIFS('23.08'!$M$15:$M$62,"&gt;0",'23.08'!$E$15:$E$62,H30)</f>
        <v>0</v>
      </c>
      <c r="S30" s="88">
        <f>SUMIF('30.08'!$E$15:$E$66,H30,'30.08'!$M$15:$M$66)</f>
        <v>0</v>
      </c>
      <c r="T30" s="88">
        <f>COUNTIFS('30.08'!$E$15:$E$66,H30,'30.08'!$M$15:$M$66,"&gt;0")</f>
        <v>0</v>
      </c>
      <c r="U30" s="88">
        <f>sumif('06.09'!$E$15:$E$66,H30,'06.09'!$M$15:$M$66)</f>
        <v>0</v>
      </c>
      <c r="V30" s="113">
        <f>COUNTIFS('06.09'!$E$15:$E$66,H30,'06.09'!$M$15:$M$66,"&gt;0")</f>
        <v>0</v>
      </c>
      <c r="W30" s="88">
        <f>SUMIF('13.09'!$E$15:$E$65,H30,'13.09'!$M$15:$M$65)</f>
        <v>0</v>
      </c>
      <c r="X30" s="113">
        <f>COUNTIFS('13.09'!$E$15:$E$65,H30,'13.09'!$M$15:$M$65,"&gt;0")</f>
        <v>0</v>
      </c>
      <c r="Y30" s="88">
        <f>SUMIF('20.09'!$E$15:$E$68,H30,'20.09'!$M$15:$M$68)</f>
        <v>0</v>
      </c>
      <c r="Z30" s="113">
        <f>COUNTIFS('20.09'!$E$15:$E$68,H30,'20.09'!$M$15:$M$68,"&gt;0")</f>
        <v>0</v>
      </c>
      <c r="AA30" s="88">
        <f>SUMIF('27.09'!$E$15:$E$68,H30,'27.09'!$M$15:$M$68)</f>
        <v>0</v>
      </c>
      <c r="AB30" s="113">
        <f>COUNTIFS('27.09'!$E$15:$E$68,H30,'27.09'!$M$15:$M$68,"&gt;0")</f>
        <v>0</v>
      </c>
      <c r="AC30" s="88">
        <f>SUMIF('04.10'!$E$15:$E$71,H30,'04.10'!$M$15:$M$71)</f>
        <v>0</v>
      </c>
      <c r="AD30" s="113">
        <f>COUNTIFS('04.10'!$E$15:$E$71,H30,'04.10'!$M$15:$M$71,"&gt;0")</f>
        <v>0</v>
      </c>
      <c r="AE30" s="88">
        <f>SUMIF('11.10'!$E$15:$E$76,H30,'11.10'!$M$15:$M$76)</f>
        <v>0</v>
      </c>
      <c r="AF30" s="113">
        <f>COUNTIFS('11.10'!$E$15:$E$76,H30,'11.10'!$L$15:$L$76,"&gt;0")</f>
        <v>0</v>
      </c>
      <c r="AG30" s="113">
        <f>SUMIF('18.10'!$E$15:$E$76,H30,'18.10'!$M$15:$M$76)</f>
        <v>0</v>
      </c>
      <c r="AH30" s="113">
        <f>COUNTIFS('18.10'!$E$15:$E$76,H30,'18.10'!$L$15:$L$76,"&gt;0")</f>
        <v>0</v>
      </c>
      <c r="AI30" s="113">
        <f>SUMIF('25.10'!$E$15:$E$78,H30,'25.10'!$M$15:$M$78)</f>
        <v>0</v>
      </c>
      <c r="AJ30" s="113">
        <f>COUNTIFS('25.10'!$E$15:$E$78,H30,'25.10'!$L$15:$L$78,"&gt;0")</f>
        <v>0</v>
      </c>
      <c r="AK30" s="113">
        <f>SUMIF('01.11'!$E$15:$E$77,H30,'01.11'!$M$15:$M$77)</f>
        <v>0</v>
      </c>
      <c r="AL30" s="113">
        <f>COUNTIFS('01.11'!$E$15:$E$77,H30,'01.11'!$M$15:$M$77,"&gt;0")</f>
        <v>0</v>
      </c>
      <c r="AM30" s="113">
        <f>SUMIF('08.11'!$E$15:$E$67,H30,'08.11'!$M$15:$M$67)</f>
        <v>0</v>
      </c>
      <c r="AN30" s="113">
        <f>COUNTIFS('08.11'!$E$15:$E$67,H30,'08.11'!$M$15:$M$67,"&gt;0")</f>
        <v>0</v>
      </c>
      <c r="AO30" s="113">
        <f>SUMIF('15.11'!$E$15:$E$71,H30,'15.11'!$M$15:$M$71)</f>
        <v>0</v>
      </c>
      <c r="AP30" s="113">
        <f>COUNTIFS('15.11'!$E$15:$E$71,H30,'15.11'!$M$15:$M$71,"&gt;0")</f>
        <v>0</v>
      </c>
      <c r="AQ30" s="113">
        <f>SUMIF('22.11'!$E$15:$E$78,H30,'22.11'!$M$15:$M$78)</f>
        <v>0</v>
      </c>
      <c r="AR30" s="113">
        <f>COUNTIFS('22.11'!$E$15:$E$78,H30,'22.11'!$M$15:$M$78,"&gt;0")</f>
        <v>0</v>
      </c>
      <c r="AS30" s="113">
        <f>SUMIF('29.11'!$E$15:$E$79,H30,'29.11'!$M$15:$M$79)</f>
        <v>0</v>
      </c>
      <c r="AT30" s="113">
        <f>COUNTIFS('29.11'!$E$15:$E$79,H30,'29.11'!$L$15:$L$79,"&gt;0")</f>
        <v>0</v>
      </c>
      <c r="AU30" s="113">
        <f>SUMIF('06.12'!$E$15:$E$82,H30,'06.12'!$M$15:$M$82)</f>
        <v>0</v>
      </c>
      <c r="AV30" s="113">
        <f>COUNTIFS('06.12'!$E$15:$E$82,H30,'06.12'!$M$15:$M$82,"&gt;0")</f>
        <v>0</v>
      </c>
      <c r="AW30" s="113">
        <f>SUMIF('13.12'!$E$15:$E$82,H30,'13.12'!$M$15:$M$82)</f>
        <v>0</v>
      </c>
      <c r="AX30" s="113">
        <f>COUNTIFS('13.12'!$E$15:$E$82,H30,'13.12'!$M$15:$M$82,"&gt;0")</f>
        <v>0</v>
      </c>
      <c r="AY30" s="113">
        <f>SUMIF('20.12'!$E$15:$E$84,H30,'20.12'!$M$15:$M$84)</f>
        <v>0</v>
      </c>
      <c r="AZ30" s="113">
        <f>COUNTIFS('20.12'!$E$15:$E$84,H30,'20.12'!$M$15:$M$84,"&gt;0")</f>
        <v>0</v>
      </c>
      <c r="BA30" s="113">
        <f>SUMIF('27.12'!$E$15:$E$84,H30,'27.12'!$M$15:$M$84)</f>
        <v>0</v>
      </c>
      <c r="BB30" s="113">
        <f>COUNTIFS('27.12'!$E$15:$E$84,H30,'27.12'!$M$15:$M$84,"&gt;0")</f>
        <v>0</v>
      </c>
      <c r="BC30" s="113">
        <f>SUMIF('03.01'!$E$15:$E$88,H30,'03.01'!$M$15:$M$88)</f>
        <v>0</v>
      </c>
      <c r="BD30" s="113">
        <f>COUNTIFS('03.01'!$E$15:$E$88,H30,'03.01'!$M$15:$M$88,"&gt;0")</f>
        <v>0</v>
      </c>
      <c r="BE30" s="113">
        <f>SUMIF('10.01'!$E$15:$E$91,H30,'10.01'!$M$15:$M$91)</f>
        <v>0</v>
      </c>
      <c r="BF30" s="113">
        <f>COUNTIFS('10.01'!$E$15:$E$91,H30,'10.01'!$M$15:$M$91,"&gt;0")</f>
        <v>0</v>
      </c>
      <c r="BG30" s="113">
        <f>SUMIF('17.01'!$E$15:$E$87,H30,'17.01'!$M$15:$M$87)</f>
        <v>0</v>
      </c>
      <c r="BH30" s="113">
        <f>COUNTIFS('17.01'!$E$15:$E$87,H30,'17.01'!$M$15:$M$87,"&gt;0")</f>
        <v>0</v>
      </c>
      <c r="BI30" s="113">
        <f>SUMIF('24.01'!$E$15:$E$86,H30,'24.01'!$M$15:$M$86)</f>
        <v>0</v>
      </c>
      <c r="BJ30" s="113">
        <f>COUNTIFS('24.01'!$E$15:$E$86,H30,'24.01'!$M$15:$M$86,"&gt;0")</f>
        <v>0</v>
      </c>
      <c r="BK30" s="113">
        <f>SUMIF('31.01'!$E$15:$E$75,H30,'31.01'!$M$15:$M$75)</f>
        <v>0</v>
      </c>
      <c r="BL30" s="113">
        <f>COUNTIFS('31.01'!$E$15:$E$75,H30,'31.01'!$M$15:$M$75,"&gt;0")</f>
        <v>0</v>
      </c>
      <c r="BM30" s="113">
        <f>SUMIF('07.02'!$E$15:$E$77,H30,'07.02'!$M$15:$M$77)</f>
        <v>0</v>
      </c>
      <c r="BN30" s="113">
        <f>COUNTIFS('07.02'!$E$15:$E$77,H30,'07.02'!$M$15:$M$77,"&gt;0")</f>
        <v>0</v>
      </c>
      <c r="BO30" s="113">
        <f>SUMIF('14.02'!$E$15:$E$81,H30,'14.02'!$M$15:$M$81)</f>
        <v>0</v>
      </c>
      <c r="BP30" s="113">
        <f>COUNTIFS('14.02'!$E$15:$E$81,H30,'14.02'!$M$15:$M$81,"&gt;0")</f>
        <v>0</v>
      </c>
      <c r="BQ30" s="113">
        <f>SUMIF('21.02'!$E$15:$E$82,H30,'21.02'!$M$15:$M$82)</f>
        <v>0</v>
      </c>
      <c r="BR30" s="113">
        <f>COUNTIFS('21.02'!$E$15:$E$82,H30,'21.02'!$M$15:$M$82,"&gt;0")</f>
        <v>0</v>
      </c>
      <c r="BS30" s="113"/>
      <c r="BT30" s="113"/>
      <c r="BU30" s="113"/>
      <c r="BV30" s="113"/>
      <c r="BW30" s="113"/>
      <c r="BX30" s="113"/>
      <c r="BY30" s="113"/>
      <c r="BZ30" s="113"/>
    </row>
    <row r="31">
      <c r="A31" s="148" t="s">
        <v>515</v>
      </c>
      <c r="B31" s="180">
        <f>BG65</f>
        <v>332</v>
      </c>
      <c r="C31" s="148">
        <v>361.0</v>
      </c>
      <c r="D31" s="148">
        <v>249.0</v>
      </c>
      <c r="E31" s="180">
        <f>BH65</f>
        <v>31</v>
      </c>
      <c r="F31" s="182">
        <f t="shared" si="2"/>
        <v>5.533333333</v>
      </c>
      <c r="H31" s="171" t="s">
        <v>437</v>
      </c>
      <c r="I31" s="88">
        <f>SUMIF('26.07'!$E$15:$E$74,H31,'26.07'!$M$15:$M$74)</f>
        <v>0</v>
      </c>
      <c r="J31" s="88">
        <f>COUNTIFS('26.07'!$E$15:$E$74,H31,'26.07'!$L$15:$L$74,"&gt;0")</f>
        <v>0</v>
      </c>
      <c r="K31" s="88">
        <f>SUMIF('02.08'!$E$15:$E$73,H31,'02.08'!$M$15:$M$73)</f>
        <v>0</v>
      </c>
      <c r="L31" s="88">
        <f>COUNTIFS('02.08'!$E$15:$E$73,H31,'02.08'!$L$15:$L$73,"&gt;0")</f>
        <v>0</v>
      </c>
      <c r="M31" s="88">
        <f>SUMIF('09.08'!$E$15:$E$71,H31,'09.08'!$M$15:$M$71)</f>
        <v>0</v>
      </c>
      <c r="N31" s="88">
        <f>COUNTIFS('09.08'!$E$15:$E$71,H31,'09.08'!$L$15:$L$71,"&gt;0")</f>
        <v>0</v>
      </c>
      <c r="O31" s="88">
        <f>sumif('16.08 '!$E$15:$E$65,H31,'16.08 '!$M$15:$M$65)</f>
        <v>0</v>
      </c>
      <c r="P31" s="88">
        <f>COUNTIFs('16.08 '!$E$15:$E$65,H31,'16.08 '!$L$15:$L$65,"&gt;0")</f>
        <v>0</v>
      </c>
      <c r="Q31" s="88">
        <f>sumif('23.08'!$E$15:$E$62,H31,'23.08'!$M$15:$M$62)</f>
        <v>0</v>
      </c>
      <c r="R31" s="88">
        <f>COUNTIFS('23.08'!$M$15:$M$62,"&gt;0",'23.08'!$E$15:$E$62,H31)</f>
        <v>0</v>
      </c>
      <c r="S31" s="88">
        <f>SUMIF('30.08'!$E$15:$E$66,H31,'30.08'!$M$15:$M$66)</f>
        <v>0</v>
      </c>
      <c r="T31" s="88">
        <f>COUNTIFS('30.08'!$E$15:$E$66,H31,'30.08'!$M$15:$M$66,"&gt;0")</f>
        <v>0</v>
      </c>
      <c r="U31" s="88">
        <f>sumif('06.09'!$E$15:$E$66,H31,'06.09'!$M$15:$M$66)</f>
        <v>0</v>
      </c>
      <c r="V31" s="113">
        <f>COUNTIFS('06.09'!$E$15:$E$66,H31,'06.09'!$M$15:$M$66,"&gt;0")</f>
        <v>0</v>
      </c>
      <c r="W31" s="88">
        <f>SUMIF('13.09'!$E$15:$E$65,H31,'13.09'!$M$15:$M$65)</f>
        <v>0</v>
      </c>
      <c r="X31" s="113">
        <f>COUNTIFS('13.09'!$E$15:$E$65,H31,'13.09'!$M$15:$M$65,"&gt;0")</f>
        <v>0</v>
      </c>
      <c r="Y31" s="88">
        <f>SUMIF('20.09'!$E$15:$E$68,H31,'20.09'!$M$15:$M$68)</f>
        <v>0</v>
      </c>
      <c r="Z31" s="113">
        <f>COUNTIFS('20.09'!$E$15:$E$68,H31,'20.09'!$M$15:$M$68,"&gt;0")</f>
        <v>0</v>
      </c>
      <c r="AA31" s="88">
        <f>SUMIF('27.09'!$E$15:$E$68,H31,'27.09'!$M$15:$M$68)</f>
        <v>0</v>
      </c>
      <c r="AB31" s="113">
        <f>COUNTIFS('27.09'!$E$15:$E$68,H31,'27.09'!$M$15:$M$68,"&gt;0")</f>
        <v>0</v>
      </c>
      <c r="AC31" s="88">
        <f>SUMIF('04.10'!$E$15:$E$71,H31,'04.10'!$M$15:$M$71)</f>
        <v>0</v>
      </c>
      <c r="AD31" s="113">
        <f>COUNTIFS('04.10'!$E$15:$E$71,H31,'04.10'!$M$15:$M$71,"&gt;0")</f>
        <v>0</v>
      </c>
      <c r="AE31" s="88">
        <f>SUMIF('11.10'!$E$15:$E$76,H31,'11.10'!$M$15:$M$76)</f>
        <v>0</v>
      </c>
      <c r="AF31" s="113">
        <f>COUNTIFS('11.10'!$E$15:$E$76,H31,'11.10'!$L$15:$L$76,"&gt;0")</f>
        <v>0</v>
      </c>
      <c r="AG31" s="113">
        <f>SUMIF('18.10'!$E$15:$E$76,H31,'18.10'!$M$15:$M$76)</f>
        <v>0</v>
      </c>
      <c r="AH31" s="113">
        <f>COUNTIFS('18.10'!$E$15:$E$76,H31,'18.10'!$L$15:$L$76,"&gt;0")</f>
        <v>0</v>
      </c>
      <c r="AI31" s="113">
        <f>SUMIF('25.10'!$E$15:$E$78,H31,'25.10'!$M$15:$M$78)</f>
        <v>0</v>
      </c>
      <c r="AJ31" s="113">
        <f>COUNTIFS('25.10'!$E$15:$E$78,H31,'25.10'!$L$15:$L$78,"&gt;0")</f>
        <v>0</v>
      </c>
      <c r="AK31" s="113">
        <f>SUMIF('01.11'!$E$15:$E$77,H31,'01.11'!$M$15:$M$77)</f>
        <v>0</v>
      </c>
      <c r="AL31" s="113">
        <f>COUNTIFS('01.11'!$E$15:$E$77,H31,'01.11'!$M$15:$M$77,"&gt;0")</f>
        <v>0</v>
      </c>
      <c r="AM31" s="113">
        <f>SUMIF('08.11'!$E$15:$E$67,H31,'08.11'!$M$15:$M$67)</f>
        <v>0</v>
      </c>
      <c r="AN31" s="113">
        <f>COUNTIFS('08.11'!$E$15:$E$67,H31,'08.11'!$M$15:$M$67,"&gt;0")</f>
        <v>0</v>
      </c>
      <c r="AO31" s="113">
        <f>SUMIF('15.11'!$E$15:$E$71,H31,'15.11'!$M$15:$M$71)</f>
        <v>0</v>
      </c>
      <c r="AP31" s="113">
        <f>COUNTIFS('15.11'!$E$15:$E$71,H31,'15.11'!$M$15:$M$71,"&gt;0")</f>
        <v>0</v>
      </c>
      <c r="AQ31" s="113">
        <f>SUMIF('22.11'!$E$15:$E$78,H31,'22.11'!$M$15:$M$78)</f>
        <v>0</v>
      </c>
      <c r="AR31" s="113">
        <f>COUNTIFS('22.11'!$E$15:$E$78,H31,'22.11'!$M$15:$M$78,"&gt;0")</f>
        <v>0</v>
      </c>
      <c r="AS31" s="113">
        <f>SUMIF('29.11'!$E$15:$E$79,H31,'29.11'!$M$15:$M$79)</f>
        <v>0</v>
      </c>
      <c r="AT31" s="113">
        <f>COUNTIFS('29.11'!$E$15:$E$79,H31,'29.11'!$L$15:$L$79,"&gt;0")</f>
        <v>0</v>
      </c>
      <c r="AU31" s="113">
        <f>SUMIF('06.12'!$E$15:$E$82,H31,'06.12'!$M$15:$M$82)</f>
        <v>0</v>
      </c>
      <c r="AV31" s="113">
        <f>COUNTIFS('06.12'!$E$15:$E$82,H31,'06.12'!$M$15:$M$82,"&gt;0")</f>
        <v>0</v>
      </c>
      <c r="AW31" s="113">
        <f>SUMIF('13.12'!$E$15:$E$82,H31,'13.12'!$M$15:$M$82)</f>
        <v>0</v>
      </c>
      <c r="AX31" s="113">
        <f>COUNTIFS('13.12'!$E$15:$E$82,H31,'13.12'!$M$15:$M$82,"&gt;0")</f>
        <v>0</v>
      </c>
      <c r="AY31" s="113">
        <f>SUMIF('20.12'!$E$15:$E$84,H31,'20.12'!$M$15:$M$84)</f>
        <v>0</v>
      </c>
      <c r="AZ31" s="113">
        <f>COUNTIFS('20.12'!$E$15:$E$84,H31,'20.12'!$M$15:$M$84,"&gt;0")</f>
        <v>0</v>
      </c>
      <c r="BA31" s="113">
        <f>SUMIF('27.12'!$E$15:$E$84,H31,'27.12'!$M$15:$M$84)</f>
        <v>0</v>
      </c>
      <c r="BB31" s="113">
        <f>COUNTIFS('27.12'!$E$15:$E$84,H31,'27.12'!$M$15:$M$84,"&gt;0")</f>
        <v>0</v>
      </c>
      <c r="BC31" s="113">
        <f>SUMIF('03.01'!$E$15:$E$88,H31,'03.01'!$M$15:$M$88)</f>
        <v>0</v>
      </c>
      <c r="BD31" s="113">
        <f>COUNTIFS('03.01'!$E$15:$E$88,H31,'03.01'!$M$15:$M$88,"&gt;0")</f>
        <v>0</v>
      </c>
      <c r="BE31" s="113">
        <f>SUMIF('10.01'!$E$15:$E$91,H31,'10.01'!$M$15:$M$91)</f>
        <v>0</v>
      </c>
      <c r="BF31" s="113">
        <f>COUNTIFS('10.01'!$E$15:$E$91,H31,'10.01'!$M$15:$M$91,"&gt;0")</f>
        <v>0</v>
      </c>
      <c r="BG31" s="113">
        <f>SUMIF('17.01'!$E$15:$E$87,H31,'17.01'!$M$15:$M$87)</f>
        <v>0</v>
      </c>
      <c r="BH31" s="113">
        <f>COUNTIFS('17.01'!$E$15:$E$87,H31,'17.01'!$M$15:$M$87,"&gt;0")</f>
        <v>0</v>
      </c>
      <c r="BI31" s="113">
        <f>SUMIF('24.01'!$E$15:$E$86,H31,'24.01'!$M$15:$M$86)</f>
        <v>0</v>
      </c>
      <c r="BJ31" s="113">
        <f>COUNTIFS('24.01'!$E$15:$E$86,H31,'24.01'!$M$15:$M$86,"&gt;0")</f>
        <v>0</v>
      </c>
      <c r="BK31" s="113">
        <f>SUMIF('31.01'!$E$15:$E$75,H31,'31.01'!$M$15:$M$75)</f>
        <v>0</v>
      </c>
      <c r="BL31" s="113">
        <f>COUNTIFS('31.01'!$E$15:$E$75,H31,'31.01'!$M$15:$M$75,"&gt;0")</f>
        <v>0</v>
      </c>
      <c r="BM31" s="113">
        <f>SUMIF('07.02'!$E$15:$E$77,H31,'07.02'!$M$15:$M$77)</f>
        <v>16</v>
      </c>
      <c r="BN31" s="113">
        <f>COUNTIFS('07.02'!$E$15:$E$77,H31,'07.02'!$M$15:$M$77,"&gt;0")</f>
        <v>1</v>
      </c>
      <c r="BO31" s="113">
        <f>SUMIF('14.02'!$E$15:$E$81,H31,'14.02'!$M$15:$M$81)</f>
        <v>16</v>
      </c>
      <c r="BP31" s="113">
        <f>COUNTIFS('14.02'!$E$15:$E$81,H31,'14.02'!$M$15:$M$81,"&gt;0")</f>
        <v>1</v>
      </c>
      <c r="BQ31" s="113">
        <f>SUMIF('21.02'!$E$15:$E$82,H31,'21.02'!$M$15:$M$82)</f>
        <v>0</v>
      </c>
      <c r="BR31" s="113">
        <f>COUNTIFS('21.02'!$E$15:$E$82,H31,'21.02'!$M$15:$M$82,"&gt;0")</f>
        <v>0</v>
      </c>
      <c r="BS31" s="113"/>
      <c r="BT31" s="113"/>
      <c r="BU31" s="113"/>
      <c r="BV31" s="113"/>
      <c r="BW31" s="113"/>
      <c r="BX31" s="113"/>
      <c r="BY31" s="113"/>
      <c r="BZ31" s="113"/>
    </row>
    <row r="32">
      <c r="A32" s="177" t="s">
        <v>516</v>
      </c>
      <c r="B32" s="180">
        <f>BI65</f>
        <v>212</v>
      </c>
      <c r="C32" s="148">
        <v>217.0</v>
      </c>
      <c r="D32" s="148">
        <v>140.0</v>
      </c>
      <c r="E32" s="180">
        <f>BJ65</f>
        <v>17</v>
      </c>
      <c r="F32" s="182">
        <f t="shared" ref="F32:F35" si="3">D32/40</f>
        <v>3.5</v>
      </c>
      <c r="H32" s="184" t="s">
        <v>456</v>
      </c>
      <c r="I32" s="88">
        <f>SUMIF('26.07'!$E$15:$E$74,H32,'26.07'!$M$15:$M$74)</f>
        <v>0</v>
      </c>
      <c r="J32" s="88">
        <f>COUNTIFS('26.07'!$E$15:$E$74,H32,'26.07'!$L$15:$L$74,"&gt;0")</f>
        <v>0</v>
      </c>
      <c r="K32" s="88">
        <f>SUMIF('02.08'!$E$15:$E$73,H32,'02.08'!$M$15:$M$73)</f>
        <v>0</v>
      </c>
      <c r="L32" s="88">
        <f>COUNTIFS('02.08'!$E$15:$E$73,H32,'02.08'!$L$15:$L$73,"&gt;0")</f>
        <v>0</v>
      </c>
      <c r="M32" s="88">
        <f>SUMIF('09.08'!$E$15:$E$71,H32,'09.08'!$M$15:$M$71)</f>
        <v>0</v>
      </c>
      <c r="N32" s="88">
        <f>COUNTIFS('09.08'!$E$15:$E$71,H32,'09.08'!$L$15:$L$71,"&gt;0")</f>
        <v>0</v>
      </c>
      <c r="O32" s="88">
        <f>sumif('16.08 '!$E$15:$E$65,H32,'16.08 '!$M$15:$M$65)</f>
        <v>0</v>
      </c>
      <c r="P32" s="88">
        <f>COUNTIFs('16.08 '!$E$15:$E$65,H32,'16.08 '!$L$15:$L$65,"&gt;0")</f>
        <v>0</v>
      </c>
      <c r="Q32" s="88">
        <f>sumif('23.08'!$E$15:$E$62,H32,'23.08'!$M$15:$M$62)</f>
        <v>0</v>
      </c>
      <c r="R32" s="88">
        <f>COUNTIFS('23.08'!$M$15:$M$62,"&gt;0",'23.08'!$E$15:$E$62,H32)</f>
        <v>0</v>
      </c>
      <c r="S32" s="88">
        <f>SUMIF('30.08'!$E$15:$E$66,H32,'30.08'!$M$15:$M$66)</f>
        <v>0</v>
      </c>
      <c r="T32" s="88">
        <f>COUNTIFS('30.08'!$E$15:$E$66,H32,'30.08'!$M$15:$M$66,"&gt;0")</f>
        <v>0</v>
      </c>
      <c r="U32" s="88">
        <f>sumif('06.09'!$E$15:$E$66,H32,'06.09'!$M$15:$M$66)</f>
        <v>0</v>
      </c>
      <c r="V32" s="113">
        <f>COUNTIFS('06.09'!$E$15:$E$66,H32,'06.09'!$M$15:$M$66,"&gt;0")</f>
        <v>0</v>
      </c>
      <c r="W32" s="88">
        <f>SUMIF('13.09'!$E$15:$E$65,H32,'13.09'!$M$15:$M$65)</f>
        <v>0</v>
      </c>
      <c r="X32" s="113">
        <f>COUNTIFS('13.09'!$E$15:$E$65,H32,'13.09'!$M$15:$M$65,"&gt;0")</f>
        <v>0</v>
      </c>
      <c r="Y32" s="88">
        <f>SUMIF('20.09'!$E$15:$E$68,H32,'20.09'!$M$15:$M$68)</f>
        <v>0</v>
      </c>
      <c r="Z32" s="113">
        <f>COUNTIFS('20.09'!$E$15:$E$68,H32,'20.09'!$M$15:$M$68,"&gt;0")</f>
        <v>0</v>
      </c>
      <c r="AA32" s="88">
        <f>SUMIF('27.09'!$E$15:$E$68,H32,'27.09'!$M$15:$M$68)</f>
        <v>0</v>
      </c>
      <c r="AB32" s="113">
        <f>COUNTIFS('27.09'!$E$15:$E$68,H32,'27.09'!$M$15:$M$68,"&gt;0")</f>
        <v>0</v>
      </c>
      <c r="AC32" s="88">
        <f>SUMIF('04.10'!$E$15:$E$71,H32,'04.10'!$M$15:$M$71)</f>
        <v>0</v>
      </c>
      <c r="AD32" s="113">
        <f>COUNTIFS('04.10'!$E$15:$E$71,H32,'04.10'!$M$15:$M$71,"&gt;0")</f>
        <v>0</v>
      </c>
      <c r="AE32" s="88">
        <f>SUMIF('11.10'!$E$15:$E$76,H32,'11.10'!$M$15:$M$76)</f>
        <v>0</v>
      </c>
      <c r="AF32" s="113">
        <f>COUNTIFS('11.10'!$E$15:$E$76,H32,'11.10'!$L$15:$L$76,"&gt;0")</f>
        <v>0</v>
      </c>
      <c r="AG32" s="113">
        <f>SUMIF('18.10'!$E$15:$E$76,H32,'18.10'!$M$15:$M$76)</f>
        <v>0</v>
      </c>
      <c r="AH32" s="113">
        <f>COUNTIFS('18.10'!$E$15:$E$76,H32,'18.10'!$L$15:$L$76,"&gt;0")</f>
        <v>0</v>
      </c>
      <c r="AI32" s="113">
        <f>SUMIF('25.10'!$E$15:$E$78,H32,'25.10'!$M$15:$M$78)</f>
        <v>0</v>
      </c>
      <c r="AJ32" s="113">
        <f>COUNTIFS('25.10'!$E$15:$E$78,H32,'25.10'!$L$15:$L$78,"&gt;0")</f>
        <v>0</v>
      </c>
      <c r="AK32" s="113">
        <f>SUMIF('01.11'!$E$15:$E$77,H32,'01.11'!$M$15:$M$77)</f>
        <v>0</v>
      </c>
      <c r="AL32" s="113">
        <f>COUNTIFS('01.11'!$E$15:$E$77,H32,'01.11'!$M$15:$M$77,"&gt;0")</f>
        <v>0</v>
      </c>
      <c r="AM32" s="113">
        <f>SUMIF('08.11'!$E$15:$E$67,H32,'08.11'!$M$15:$M$67)</f>
        <v>0</v>
      </c>
      <c r="AN32" s="113">
        <f>COUNTIFS('08.11'!$E$15:$E$67,H32,'08.11'!$M$15:$M$67,"&gt;0")</f>
        <v>0</v>
      </c>
      <c r="AO32" s="113">
        <f>SUMIF('15.11'!$E$15:$E$71,H32,'15.11'!$M$15:$M$71)</f>
        <v>0</v>
      </c>
      <c r="AP32" s="113">
        <f>COUNTIFS('15.11'!$E$15:$E$71,H32,'15.11'!$M$15:$M$71,"&gt;0")</f>
        <v>0</v>
      </c>
      <c r="AQ32" s="113">
        <f>SUMIF('22.11'!$E$15:$E$78,H32,'22.11'!$M$15:$M$78)</f>
        <v>0</v>
      </c>
      <c r="AR32" s="113">
        <f>COUNTIFS('22.11'!$E$15:$E$78,H32,'22.11'!$M$15:$M$78,"&gt;0")</f>
        <v>0</v>
      </c>
      <c r="AS32" s="113">
        <f>SUMIF('29.11'!$E$15:$E$79,H32,'29.11'!$M$15:$M$79)</f>
        <v>0</v>
      </c>
      <c r="AT32" s="113">
        <f>COUNTIFS('29.11'!$E$15:$E$79,H32,'29.11'!$L$15:$L$79,"&gt;0")</f>
        <v>0</v>
      </c>
      <c r="AU32" s="113">
        <f>SUMIF('06.12'!$E$15:$E$82,H32,'06.12'!$M$15:$M$82)</f>
        <v>0</v>
      </c>
      <c r="AV32" s="113">
        <f>COUNTIFS('06.12'!$E$15:$E$82,H32,'06.12'!$M$15:$M$82,"&gt;0")</f>
        <v>0</v>
      </c>
      <c r="AW32" s="113">
        <f>SUMIF('13.12'!$E$15:$E$82,H32,'13.12'!$M$15:$M$82)</f>
        <v>0</v>
      </c>
      <c r="AX32" s="113">
        <f>COUNTIFS('13.12'!$E$15:$E$82,H32,'13.12'!$M$15:$M$82,"&gt;0")</f>
        <v>0</v>
      </c>
      <c r="AY32" s="113">
        <f>SUMIF('20.12'!$E$15:$E$84,H32,'20.12'!$M$15:$M$84)</f>
        <v>0</v>
      </c>
      <c r="AZ32" s="113">
        <f>COUNTIFS('20.12'!$E$15:$E$84,H32,'20.12'!$M$15:$M$84,"&gt;0")</f>
        <v>0</v>
      </c>
      <c r="BA32" s="113">
        <f>SUMIF('27.12'!$E$15:$E$84,H32,'27.12'!$M$15:$M$84)</f>
        <v>0</v>
      </c>
      <c r="BB32" s="113">
        <f>COUNTIFS('27.12'!$E$15:$E$84,H32,'27.12'!$M$15:$M$84,"&gt;0")</f>
        <v>0</v>
      </c>
      <c r="BC32" s="113">
        <f>SUMIF('03.01'!$E$15:$E$88,H32,'03.01'!$M$15:$M$88)</f>
        <v>0</v>
      </c>
      <c r="BD32" s="113">
        <f>COUNTIFS('03.01'!$E$15:$E$88,H32,'03.01'!$M$15:$M$88,"&gt;0")</f>
        <v>0</v>
      </c>
      <c r="BE32" s="113">
        <f>SUMIF('10.01'!$E$15:$E$91,H32,'10.01'!$M$15:$M$91)</f>
        <v>0</v>
      </c>
      <c r="BF32" s="113">
        <f>COUNTIFS('10.01'!$E$15:$E$91,H32,'10.01'!$M$15:$M$91,"&gt;0")</f>
        <v>0</v>
      </c>
      <c r="BG32" s="113">
        <f>SUMIF('17.01'!$E$15:$E$87,H32,'17.01'!$M$15:$M$87)</f>
        <v>0</v>
      </c>
      <c r="BH32" s="113">
        <f>COUNTIFS('17.01'!$E$15:$E$87,H32,'17.01'!$M$15:$M$87,"&gt;0")</f>
        <v>0</v>
      </c>
      <c r="BI32" s="113">
        <f>SUMIF('24.01'!$E$15:$E$86,H32,'24.01'!$M$15:$M$86)</f>
        <v>0</v>
      </c>
      <c r="BJ32" s="113">
        <f>COUNTIFS('24.01'!$E$15:$E$86,H32,'24.01'!$M$15:$M$86,"&gt;0")</f>
        <v>0</v>
      </c>
      <c r="BK32" s="113">
        <f>SUMIF('31.01'!$E$15:$E$75,H32,'31.01'!$M$15:$M$75)</f>
        <v>0</v>
      </c>
      <c r="BL32" s="113">
        <f>COUNTIFS('31.01'!$E$15:$E$75,H32,'31.01'!$M$15:$M$75,"&gt;0")</f>
        <v>0</v>
      </c>
      <c r="BM32" s="113">
        <f>SUMIF('07.02'!$E$15:$E$77,H32,'07.02'!$M$15:$M$77)</f>
        <v>0</v>
      </c>
      <c r="BN32" s="113">
        <f>COUNTIFS('07.02'!$E$15:$E$77,H32,'07.02'!$M$15:$M$77,"&gt;0")</f>
        <v>0</v>
      </c>
      <c r="BO32" s="113">
        <f>SUMIF('14.02'!$E$15:$E$81,H32,'14.02'!$M$15:$M$81)</f>
        <v>0</v>
      </c>
      <c r="BP32" s="113">
        <f>COUNTIFS('14.02'!$E$15:$E$81,H32,'14.02'!$M$15:$M$81,"&gt;0")</f>
        <v>0</v>
      </c>
      <c r="BQ32" s="113">
        <f>SUMIF('21.02'!$E$15:$E$82,H32,'21.02'!$M$15:$M$82)</f>
        <v>0</v>
      </c>
      <c r="BR32" s="113">
        <f>COUNTIFS('21.02'!$E$15:$E$82,H32,'21.02'!$M$15:$M$82,"&gt;0")</f>
        <v>0</v>
      </c>
      <c r="BS32" s="113"/>
      <c r="BT32" s="113"/>
      <c r="BU32" s="113"/>
      <c r="BV32" s="113"/>
      <c r="BW32" s="113"/>
      <c r="BX32" s="113"/>
      <c r="BY32" s="113"/>
      <c r="BZ32" s="113"/>
    </row>
    <row r="33">
      <c r="A33" s="148" t="s">
        <v>517</v>
      </c>
      <c r="B33" s="180">
        <f>BK65</f>
        <v>460</v>
      </c>
      <c r="C33" s="148">
        <v>545.0</v>
      </c>
      <c r="D33" s="148">
        <v>378.0</v>
      </c>
      <c r="E33" s="180">
        <f>BL65</f>
        <v>39</v>
      </c>
      <c r="F33" s="182">
        <f t="shared" si="3"/>
        <v>9.45</v>
      </c>
      <c r="H33" s="184" t="s">
        <v>450</v>
      </c>
      <c r="I33" s="88">
        <f>SUMIF('26.07'!$E$15:$E$74,H33,'26.07'!$M$15:$M$74)</f>
        <v>0</v>
      </c>
      <c r="J33" s="88">
        <f>COUNTIFS('26.07'!$E$15:$E$74,H33,'26.07'!$L$15:$L$74,"&gt;0")</f>
        <v>0</v>
      </c>
      <c r="K33" s="88">
        <f>SUMIF('02.08'!$E$15:$E$73,H33,'02.08'!$M$15:$M$73)</f>
        <v>0</v>
      </c>
      <c r="L33" s="88">
        <f>COUNTIFS('02.08'!$E$15:$E$73,H33,'02.08'!$L$15:$L$73,"&gt;0")</f>
        <v>0</v>
      </c>
      <c r="M33" s="88">
        <f>SUMIF('09.08'!$E$15:$E$71,H33,'09.08'!$M$15:$M$71)</f>
        <v>0</v>
      </c>
      <c r="N33" s="88">
        <f>COUNTIFS('09.08'!$E$15:$E$71,H33,'09.08'!$L$15:$L$71,"&gt;0")</f>
        <v>0</v>
      </c>
      <c r="O33" s="88">
        <f>sumif('16.08 '!$E$15:$E$65,H33,'16.08 '!$M$15:$M$65)</f>
        <v>0</v>
      </c>
      <c r="P33" s="88">
        <f>COUNTIFs('16.08 '!$E$15:$E$65,H33,'16.08 '!$L$15:$L$65,"&gt;0")</f>
        <v>0</v>
      </c>
      <c r="Q33" s="88">
        <f>sumif('23.08'!$E$15:$E$62,H33,'23.08'!$M$15:$M$62)</f>
        <v>0</v>
      </c>
      <c r="R33" s="88">
        <f>COUNTIFS('23.08'!$M$15:$M$62,"&gt;0",'23.08'!$E$15:$E$62,H33)</f>
        <v>0</v>
      </c>
      <c r="S33" s="88">
        <f>SUMIF('30.08'!$E$15:$E$66,H33,'30.08'!$M$15:$M$66)</f>
        <v>0</v>
      </c>
      <c r="T33" s="88">
        <f>COUNTIFS('30.08'!$E$15:$E$66,H33,'30.08'!$M$15:$M$66,"&gt;0")</f>
        <v>0</v>
      </c>
      <c r="U33" s="88">
        <f>sumif('06.09'!$E$15:$E$66,H33,'06.09'!$M$15:$M$66)</f>
        <v>0</v>
      </c>
      <c r="V33" s="113">
        <f>COUNTIFS('06.09'!$E$15:$E$66,H33,'06.09'!$M$15:$M$66,"&gt;0")</f>
        <v>0</v>
      </c>
      <c r="W33" s="88">
        <f>SUMIF('13.09'!$E$15:$E$65,H33,'13.09'!$M$15:$M$65)</f>
        <v>0</v>
      </c>
      <c r="X33" s="113">
        <f>COUNTIFS('13.09'!$E$15:$E$65,H33,'13.09'!$M$15:$M$65,"&gt;0")</f>
        <v>0</v>
      </c>
      <c r="Y33" s="88">
        <f>SUMIF('20.09'!$E$15:$E$68,H33,'20.09'!$M$15:$M$68)</f>
        <v>0</v>
      </c>
      <c r="Z33" s="113">
        <f>COUNTIFS('20.09'!$E$15:$E$68,H33,'20.09'!$M$15:$M$68,"&gt;0")</f>
        <v>0</v>
      </c>
      <c r="AA33" s="88">
        <f>SUMIF('27.09'!$E$15:$E$68,H33,'27.09'!$M$15:$M$68)</f>
        <v>0</v>
      </c>
      <c r="AB33" s="113">
        <f>COUNTIFS('27.09'!$E$15:$E$68,H33,'27.09'!$M$15:$M$68,"&gt;0")</f>
        <v>0</v>
      </c>
      <c r="AC33" s="88">
        <f>SUMIF('04.10'!$E$15:$E$71,H33,'04.10'!$M$15:$M$71)</f>
        <v>0</v>
      </c>
      <c r="AD33" s="113">
        <f>COUNTIFS('04.10'!$E$15:$E$71,H33,'04.10'!$M$15:$M$71,"&gt;0")</f>
        <v>0</v>
      </c>
      <c r="AE33" s="88">
        <f>SUMIF('11.10'!$E$15:$E$76,H33,'11.10'!$M$15:$M$76)</f>
        <v>0</v>
      </c>
      <c r="AF33" s="113">
        <f>COUNTIFS('11.10'!$E$15:$E$76,H33,'11.10'!$L$15:$L$76,"&gt;0")</f>
        <v>0</v>
      </c>
      <c r="AG33" s="113">
        <f>SUMIF('18.10'!$E$15:$E$76,H33,'18.10'!$M$15:$M$76)</f>
        <v>0</v>
      </c>
      <c r="AH33" s="113">
        <f>COUNTIFS('18.10'!$E$15:$E$76,H33,'18.10'!$L$15:$L$76,"&gt;0")</f>
        <v>0</v>
      </c>
      <c r="AI33" s="113">
        <f>SUMIF('25.10'!$E$15:$E$78,H33,'25.10'!$M$15:$M$78)</f>
        <v>0</v>
      </c>
      <c r="AJ33" s="113">
        <f>COUNTIFS('25.10'!$E$15:$E$78,H33,'25.10'!$L$15:$L$78,"&gt;0")</f>
        <v>0</v>
      </c>
      <c r="AK33" s="113">
        <f>SUMIF('01.11'!$E$15:$E$77,H33,'01.11'!$M$15:$M$77)</f>
        <v>0</v>
      </c>
      <c r="AL33" s="113">
        <f>COUNTIFS('01.11'!$E$15:$E$77,H33,'01.11'!$M$15:$M$77,"&gt;0")</f>
        <v>0</v>
      </c>
      <c r="AM33" s="113">
        <f>SUMIF('08.11'!$E$15:$E$67,H33,'08.11'!$M$15:$M$67)</f>
        <v>0</v>
      </c>
      <c r="AN33" s="113">
        <f>COUNTIFS('08.11'!$E$15:$E$67,H33,'08.11'!$M$15:$M$67,"&gt;0")</f>
        <v>0</v>
      </c>
      <c r="AO33" s="113">
        <f>SUMIF('15.11'!$E$15:$E$71,H33,'15.11'!$M$15:$M$71)</f>
        <v>0</v>
      </c>
      <c r="AP33" s="113">
        <f>COUNTIFS('15.11'!$E$15:$E$71,H33,'15.11'!$M$15:$M$71,"&gt;0")</f>
        <v>0</v>
      </c>
      <c r="AQ33" s="113">
        <f>SUMIF('22.11'!$E$15:$E$78,H33,'22.11'!$M$15:$M$78)</f>
        <v>0</v>
      </c>
      <c r="AR33" s="113">
        <f>COUNTIFS('22.11'!$E$15:$E$78,H33,'22.11'!$M$15:$M$78,"&gt;0")</f>
        <v>0</v>
      </c>
      <c r="AS33" s="113">
        <f>SUMIF('29.11'!$E$15:$E$79,H33,'29.11'!$M$15:$M$79)</f>
        <v>0</v>
      </c>
      <c r="AT33" s="113">
        <f>COUNTIFS('29.11'!$E$15:$E$79,H33,'29.11'!$L$15:$L$79,"&gt;0")</f>
        <v>0</v>
      </c>
      <c r="AU33" s="113">
        <f>SUMIF('06.12'!$E$15:$E$82,H33,'06.12'!$M$15:$M$82)</f>
        <v>0</v>
      </c>
      <c r="AV33" s="113">
        <f>COUNTIFS('06.12'!$E$15:$E$82,H33,'06.12'!$M$15:$M$82,"&gt;0")</f>
        <v>0</v>
      </c>
      <c r="AW33" s="113">
        <f>SUMIF('13.12'!$E$15:$E$82,H33,'13.12'!$M$15:$M$82)</f>
        <v>0</v>
      </c>
      <c r="AX33" s="113">
        <f>COUNTIFS('13.12'!$E$15:$E$82,H33,'13.12'!$M$15:$M$82,"&gt;0")</f>
        <v>0</v>
      </c>
      <c r="AY33" s="113">
        <f>SUMIF('20.12'!$E$15:$E$84,H33,'20.12'!$M$15:$M$84)</f>
        <v>0</v>
      </c>
      <c r="AZ33" s="113">
        <f>COUNTIFS('20.12'!$E$15:$E$84,H33,'20.12'!$M$15:$M$84,"&gt;0")</f>
        <v>0</v>
      </c>
      <c r="BA33" s="113">
        <f>SUMIF('27.12'!$E$15:$E$84,H33,'27.12'!$M$15:$M$84)</f>
        <v>0</v>
      </c>
      <c r="BB33" s="113">
        <f>COUNTIFS('27.12'!$E$15:$E$84,H33,'27.12'!$M$15:$M$84,"&gt;0")</f>
        <v>0</v>
      </c>
      <c r="BC33" s="113">
        <f>SUMIF('03.01'!$E$15:$E$88,H33,'03.01'!$M$15:$M$88)</f>
        <v>0</v>
      </c>
      <c r="BD33" s="113">
        <f>COUNTIFS('03.01'!$E$15:$E$88,H33,'03.01'!$M$15:$M$88,"&gt;0")</f>
        <v>0</v>
      </c>
      <c r="BE33" s="113">
        <f>SUMIF('10.01'!$E$15:$E$91,H33,'10.01'!$M$15:$M$91)</f>
        <v>0</v>
      </c>
      <c r="BF33" s="113">
        <f>COUNTIFS('10.01'!$E$15:$E$91,H33,'10.01'!$M$15:$M$91,"&gt;0")</f>
        <v>0</v>
      </c>
      <c r="BG33" s="113">
        <f>SUMIF('17.01'!$E$15:$E$87,H33,'17.01'!$M$15:$M$87)</f>
        <v>0</v>
      </c>
      <c r="BH33" s="113">
        <f>COUNTIFS('17.01'!$E$15:$E$87,H33,'17.01'!$M$15:$M$87,"&gt;0")</f>
        <v>0</v>
      </c>
      <c r="BI33" s="113">
        <f>SUMIF('24.01'!$E$15:$E$86,H33,'24.01'!$M$15:$M$86)</f>
        <v>0</v>
      </c>
      <c r="BJ33" s="113">
        <f>COUNTIFS('24.01'!$E$15:$E$86,H33,'24.01'!$M$15:$M$86,"&gt;0")</f>
        <v>0</v>
      </c>
      <c r="BK33" s="113">
        <f>SUMIF('31.01'!$E$15:$E$75,H33,'31.01'!$M$15:$M$75)</f>
        <v>16</v>
      </c>
      <c r="BL33" s="113">
        <f>COUNTIFS('31.01'!$E$15:$E$75,H33,'31.01'!$M$15:$M$75,"&gt;0")</f>
        <v>1</v>
      </c>
      <c r="BM33" s="113">
        <f>SUMIF('07.02'!$E$15:$E$77,H33,'07.02'!$M$15:$M$77)</f>
        <v>12</v>
      </c>
      <c r="BN33" s="113">
        <f>COUNTIFS('07.02'!$E$15:$E$77,H33,'07.02'!$M$15:$M$77,"&gt;0")</f>
        <v>1</v>
      </c>
      <c r="BO33" s="113">
        <f>SUMIF('14.02'!$E$15:$E$81,H33,'14.02'!$M$15:$M$81)</f>
        <v>8</v>
      </c>
      <c r="BP33" s="113">
        <f>COUNTIFS('14.02'!$E$15:$E$81,H33,'14.02'!$M$15:$M$81,"&gt;0")</f>
        <v>1</v>
      </c>
      <c r="BQ33" s="113">
        <f>SUMIF('21.02'!$E$15:$E$82,H33,'21.02'!$M$15:$M$82)</f>
        <v>0</v>
      </c>
      <c r="BR33" s="113">
        <f>COUNTIFS('21.02'!$E$15:$E$82,H33,'21.02'!$M$15:$M$82,"&gt;0")</f>
        <v>0</v>
      </c>
      <c r="BS33" s="113"/>
      <c r="BT33" s="113"/>
      <c r="BU33" s="113"/>
      <c r="BV33" s="113"/>
      <c r="BW33" s="113"/>
      <c r="BX33" s="113"/>
      <c r="BY33" s="113"/>
      <c r="BZ33" s="113"/>
    </row>
    <row r="34">
      <c r="A34" s="148" t="s">
        <v>518</v>
      </c>
      <c r="B34" s="180">
        <f>BM65</f>
        <v>552</v>
      </c>
      <c r="C34" s="148">
        <v>585.0</v>
      </c>
      <c r="D34" s="148">
        <v>441.0</v>
      </c>
      <c r="E34" s="180">
        <f>BN65</f>
        <v>45</v>
      </c>
      <c r="F34" s="182">
        <f t="shared" si="3"/>
        <v>11.025</v>
      </c>
      <c r="H34" s="171" t="s">
        <v>447</v>
      </c>
      <c r="I34" s="88">
        <f>SUMIF('26.07'!$E$15:$E$74,H34,'26.07'!$M$15:$M$74)</f>
        <v>0</v>
      </c>
      <c r="J34" s="88">
        <f>COUNTIFS('26.07'!$E$15:$E$74,H34,'26.07'!$L$15:$L$74,"&gt;0")</f>
        <v>0</v>
      </c>
      <c r="K34" s="88">
        <f>SUMIF('02.08'!$E$15:$E$73,H34,'02.08'!$M$15:$M$73)</f>
        <v>0</v>
      </c>
      <c r="L34" s="88">
        <f>COUNTIFS('02.08'!$E$15:$E$73,H34,'02.08'!$L$15:$L$73,"&gt;0")</f>
        <v>0</v>
      </c>
      <c r="M34" s="88">
        <f>SUMIF('09.08'!$E$15:$E$71,H34,'09.08'!$M$15:$M$71)</f>
        <v>0</v>
      </c>
      <c r="N34" s="88">
        <f>COUNTIFS('09.08'!$E$15:$E$71,H34,'09.08'!$L$15:$L$71,"&gt;0")</f>
        <v>0</v>
      </c>
      <c r="O34" s="88">
        <f>sumif('16.08 '!$E$15:$E$65,H34,'16.08 '!$M$15:$M$65)</f>
        <v>0</v>
      </c>
      <c r="P34" s="88">
        <f>COUNTIFs('16.08 '!$E$15:$E$65,H34,'16.08 '!$L$15:$L$65,"&gt;0")</f>
        <v>0</v>
      </c>
      <c r="Q34" s="88">
        <f>sumif('23.08'!$E$15:$E$62,H34,'23.08'!$M$15:$M$62)</f>
        <v>0</v>
      </c>
      <c r="R34" s="88">
        <f>COUNTIFS('23.08'!$M$15:$M$62,"&gt;0",'23.08'!$E$15:$E$62,H34)</f>
        <v>0</v>
      </c>
      <c r="S34" s="88">
        <f>SUMIF('30.08'!$E$15:$E$66,H34,'30.08'!$M$15:$M$66)</f>
        <v>0</v>
      </c>
      <c r="T34" s="88">
        <f>COUNTIFS('30.08'!$E$15:$E$66,H34,'30.08'!$M$15:$M$66,"&gt;0")</f>
        <v>0</v>
      </c>
      <c r="U34" s="88">
        <f>sumif('06.09'!$E$15:$E$66,H34,'06.09'!$M$15:$M$66)</f>
        <v>0</v>
      </c>
      <c r="V34" s="113">
        <f>COUNTIFS('06.09'!$E$15:$E$66,H34,'06.09'!$M$15:$M$66,"&gt;0")</f>
        <v>0</v>
      </c>
      <c r="W34" s="88">
        <f>SUMIF('13.09'!$E$15:$E$65,H34,'13.09'!$M$15:$M$65)</f>
        <v>0</v>
      </c>
      <c r="X34" s="113">
        <f>COUNTIFS('13.09'!$E$15:$E$65,H34,'13.09'!$M$15:$M$65,"&gt;0")</f>
        <v>0</v>
      </c>
      <c r="Y34" s="88">
        <f>SUMIF('20.09'!$E$15:$E$68,H34,'20.09'!$M$15:$M$68)</f>
        <v>0</v>
      </c>
      <c r="Z34" s="113">
        <f>COUNTIFS('20.09'!$E$15:$E$68,H34,'20.09'!$M$15:$M$68,"&gt;0")</f>
        <v>0</v>
      </c>
      <c r="AA34" s="88">
        <f>SUMIF('27.09'!$E$15:$E$68,H34,'27.09'!$M$15:$M$68)</f>
        <v>0</v>
      </c>
      <c r="AB34" s="113">
        <f>COUNTIFS('27.09'!$E$15:$E$68,H34,'27.09'!$M$15:$M$68,"&gt;0")</f>
        <v>0</v>
      </c>
      <c r="AC34" s="88">
        <f>SUMIF('04.10'!$E$15:$E$71,H34,'04.10'!$M$15:$M$71)</f>
        <v>0</v>
      </c>
      <c r="AD34" s="113">
        <f>COUNTIFS('04.10'!$E$15:$E$71,H34,'04.10'!$M$15:$M$71,"&gt;0")</f>
        <v>0</v>
      </c>
      <c r="AE34" s="88">
        <f>SUMIF('11.10'!$E$15:$E$76,H34,'11.10'!$M$15:$M$76)</f>
        <v>0</v>
      </c>
      <c r="AF34" s="113">
        <f>COUNTIFS('11.10'!$E$15:$E$76,H34,'11.10'!$L$15:$L$76,"&gt;0")</f>
        <v>0</v>
      </c>
      <c r="AG34" s="113">
        <f>SUMIF('18.10'!$E$15:$E$76,H34,'18.10'!$M$15:$M$76)</f>
        <v>0</v>
      </c>
      <c r="AH34" s="113">
        <f>COUNTIFS('18.10'!$E$15:$E$76,H34,'18.10'!$L$15:$L$76,"&gt;0")</f>
        <v>0</v>
      </c>
      <c r="AI34" s="113">
        <f>SUMIF('25.10'!$E$15:$E$78,H34,'25.10'!$M$15:$M$78)</f>
        <v>0</v>
      </c>
      <c r="AJ34" s="113">
        <f>COUNTIFS('25.10'!$E$15:$E$78,H34,'25.10'!$L$15:$L$78,"&gt;0")</f>
        <v>0</v>
      </c>
      <c r="AK34" s="113">
        <f>SUMIF('01.11'!$E$15:$E$77,H34,'01.11'!$M$15:$M$77)</f>
        <v>0</v>
      </c>
      <c r="AL34" s="113">
        <f>COUNTIFS('01.11'!$E$15:$E$77,H34,'01.11'!$M$15:$M$77,"&gt;0")</f>
        <v>0</v>
      </c>
      <c r="AM34" s="113">
        <f>SUMIF('08.11'!$E$15:$E$67,H34,'08.11'!$M$15:$M$67)</f>
        <v>0</v>
      </c>
      <c r="AN34" s="113">
        <f>COUNTIFS('08.11'!$E$15:$E$67,H34,'08.11'!$M$15:$M$67,"&gt;0")</f>
        <v>0</v>
      </c>
      <c r="AO34" s="113">
        <f>SUMIF('15.11'!$E$15:$E$71,H34,'15.11'!$M$15:$M$71)</f>
        <v>0</v>
      </c>
      <c r="AP34" s="113">
        <f>COUNTIFS('15.11'!$E$15:$E$71,H34,'15.11'!$M$15:$M$71,"&gt;0")</f>
        <v>0</v>
      </c>
      <c r="AQ34" s="113">
        <f>SUMIF('22.11'!$E$15:$E$78,H34,'22.11'!$M$15:$M$78)</f>
        <v>0</v>
      </c>
      <c r="AR34" s="113">
        <f>COUNTIFS('22.11'!$E$15:$E$78,H34,'22.11'!$M$15:$M$78,"&gt;0")</f>
        <v>0</v>
      </c>
      <c r="AS34" s="113">
        <f>SUMIF('29.11'!$E$15:$E$79,H34,'29.11'!$M$15:$M$79)</f>
        <v>0</v>
      </c>
      <c r="AT34" s="113">
        <f>COUNTIFS('29.11'!$E$15:$E$79,H34,'29.11'!$L$15:$L$79,"&gt;0")</f>
        <v>0</v>
      </c>
      <c r="AU34" s="113">
        <f>SUMIF('06.12'!$E$15:$E$82,H34,'06.12'!$M$15:$M$82)</f>
        <v>0</v>
      </c>
      <c r="AV34" s="113">
        <f>COUNTIFS('06.12'!$E$15:$E$82,H34,'06.12'!$M$15:$M$82,"&gt;0")</f>
        <v>0</v>
      </c>
      <c r="AW34" s="113">
        <f>SUMIF('13.12'!$E$15:$E$82,H34,'13.12'!$M$15:$M$82)</f>
        <v>0</v>
      </c>
      <c r="AX34" s="113">
        <f>COUNTIFS('13.12'!$E$15:$E$82,H34,'13.12'!$M$15:$M$82,"&gt;0")</f>
        <v>0</v>
      </c>
      <c r="AY34" s="113">
        <f>SUMIF('20.12'!$E$15:$E$84,H34,'20.12'!$M$15:$M$84)</f>
        <v>0</v>
      </c>
      <c r="AZ34" s="113">
        <f>COUNTIFS('20.12'!$E$15:$E$84,H34,'20.12'!$M$15:$M$84,"&gt;0")</f>
        <v>0</v>
      </c>
      <c r="BA34" s="113">
        <f>SUMIF('27.12'!$E$15:$E$84,H34,'27.12'!$M$15:$M$84)</f>
        <v>0</v>
      </c>
      <c r="BB34" s="113">
        <f>COUNTIFS('27.12'!$E$15:$E$84,H34,'27.12'!$M$15:$M$84,"&gt;0")</f>
        <v>0</v>
      </c>
      <c r="BC34" s="113">
        <f>SUMIF('03.01'!$E$15:$E$88,H34,'03.01'!$M$15:$M$88)</f>
        <v>0</v>
      </c>
      <c r="BD34" s="113">
        <f>COUNTIFS('03.01'!$E$15:$E$88,H34,'03.01'!$M$15:$M$88,"&gt;0")</f>
        <v>0</v>
      </c>
      <c r="BE34" s="113">
        <f>SUMIF('10.01'!$E$15:$E$91,H34,'10.01'!$M$15:$M$91)</f>
        <v>0</v>
      </c>
      <c r="BF34" s="113">
        <f>COUNTIFS('10.01'!$E$15:$E$91,H34,'10.01'!$M$15:$M$91,"&gt;0")</f>
        <v>0</v>
      </c>
      <c r="BG34" s="113">
        <f>SUMIF('17.01'!$E$15:$E$87,H34,'17.01'!$M$15:$M$87)</f>
        <v>0</v>
      </c>
      <c r="BH34" s="113">
        <f>COUNTIFS('17.01'!$E$15:$E$87,H34,'17.01'!$M$15:$M$87,"&gt;0")</f>
        <v>0</v>
      </c>
      <c r="BI34" s="113">
        <f>SUMIF('24.01'!$E$15:$E$86,H34,'24.01'!$M$15:$M$86)</f>
        <v>0</v>
      </c>
      <c r="BJ34" s="113">
        <f>COUNTIFS('24.01'!$E$15:$E$86,H34,'24.01'!$M$15:$M$86,"&gt;0")</f>
        <v>0</v>
      </c>
      <c r="BK34" s="113">
        <f>SUMIF('31.01'!$E$15:$E$75,H34,'31.01'!$M$15:$M$75)</f>
        <v>0</v>
      </c>
      <c r="BL34" s="113">
        <f>COUNTIFS('31.01'!$E$15:$E$75,H34,'31.01'!$M$15:$M$75,"&gt;0")</f>
        <v>0</v>
      </c>
      <c r="BM34" s="113">
        <f>SUMIF('07.02'!$E$15:$E$77,H34,'07.02'!$M$15:$M$77)</f>
        <v>0</v>
      </c>
      <c r="BN34" s="113">
        <f>COUNTIFS('07.02'!$E$15:$E$77,H34,'07.02'!$M$15:$M$77,"&gt;0")</f>
        <v>0</v>
      </c>
      <c r="BO34" s="113">
        <f>SUMIF('14.02'!$E$15:$E$81,H34,'14.02'!$M$15:$M$81)</f>
        <v>0</v>
      </c>
      <c r="BP34" s="113">
        <f>COUNTIFS('14.02'!$E$15:$E$81,H34,'14.02'!$M$15:$M$81,"&gt;0")</f>
        <v>0</v>
      </c>
      <c r="BQ34" s="113">
        <f>SUMIF('21.02'!$E$15:$E$82,H34,'21.02'!$M$15:$M$82)</f>
        <v>0</v>
      </c>
      <c r="BR34" s="113">
        <f>COUNTIFS('21.02'!$E$15:$E$82,H34,'21.02'!$M$15:$M$82,"&gt;0")</f>
        <v>0</v>
      </c>
      <c r="BS34" s="113"/>
      <c r="BT34" s="113"/>
      <c r="BU34" s="113"/>
      <c r="BV34" s="113"/>
      <c r="BW34" s="113"/>
      <c r="BX34" s="113"/>
      <c r="BY34" s="113"/>
      <c r="BZ34" s="113"/>
    </row>
    <row r="35">
      <c r="A35" s="148" t="s">
        <v>519</v>
      </c>
      <c r="B35" s="180">
        <f>BO65</f>
        <v>544</v>
      </c>
      <c r="C35" s="148">
        <v>522.0</v>
      </c>
      <c r="D35" s="148">
        <v>368.0</v>
      </c>
      <c r="E35" s="180">
        <f>BP65</f>
        <v>44</v>
      </c>
      <c r="F35" s="182">
        <f t="shared" si="3"/>
        <v>9.2</v>
      </c>
      <c r="H35" s="184" t="s">
        <v>457</v>
      </c>
      <c r="I35" s="88">
        <f>SUMIF('26.07'!$E$15:$E$74,H35,'26.07'!$M$15:$M$74)</f>
        <v>0</v>
      </c>
      <c r="J35" s="88">
        <f>COUNTIFS('26.07'!$E$15:$E$74,H35,'26.07'!$L$15:$L$74,"&gt;0")</f>
        <v>0</v>
      </c>
      <c r="K35" s="88">
        <f>SUMIF('02.08'!$E$15:$E$73,H35,'02.08'!$M$15:$M$73)</f>
        <v>0</v>
      </c>
      <c r="L35" s="88">
        <f>COUNTIFS('02.08'!$E$15:$E$73,H35,'02.08'!$L$15:$L$73,"&gt;0")</f>
        <v>0</v>
      </c>
      <c r="M35" s="88">
        <f>SUMIF('09.08'!$E$15:$E$71,H35,'09.08'!$M$15:$M$71)</f>
        <v>0</v>
      </c>
      <c r="N35" s="88">
        <f>COUNTIFS('09.08'!$E$15:$E$71,H35,'09.08'!$L$15:$L$71,"&gt;0")</f>
        <v>0</v>
      </c>
      <c r="O35" s="88">
        <f>sumif('16.08 '!$E$15:$E$65,H35,'16.08 '!$M$15:$M$65)</f>
        <v>0</v>
      </c>
      <c r="P35" s="88">
        <f>COUNTIFs('16.08 '!$E$15:$E$65,H35,'16.08 '!$L$15:$L$65,"&gt;0")</f>
        <v>0</v>
      </c>
      <c r="Q35" s="88">
        <f>sumif('23.08'!$E$15:$E$62,H35,'23.08'!$M$15:$M$62)</f>
        <v>0</v>
      </c>
      <c r="R35" s="88">
        <f>COUNTIFS('23.08'!$M$15:$M$62,"&gt;0",'23.08'!$E$15:$E$62,H35)</f>
        <v>0</v>
      </c>
      <c r="S35" s="88">
        <f>SUMIF('30.08'!$E$15:$E$66,H35,'30.08'!$M$15:$M$66)</f>
        <v>0</v>
      </c>
      <c r="T35" s="88">
        <f>COUNTIFS('30.08'!$E$15:$E$66,H35,'30.08'!$M$15:$M$66,"&gt;0")</f>
        <v>0</v>
      </c>
      <c r="U35" s="88">
        <f>sumif('06.09'!$E$15:$E$66,H35,'06.09'!$M$15:$M$66)</f>
        <v>0</v>
      </c>
      <c r="V35" s="113">
        <f>COUNTIFS('06.09'!$E$15:$E$66,H35,'06.09'!$M$15:$M$66,"&gt;0")</f>
        <v>0</v>
      </c>
      <c r="W35" s="88">
        <f>SUMIF('13.09'!$E$15:$E$65,H35,'13.09'!$M$15:$M$65)</f>
        <v>0</v>
      </c>
      <c r="X35" s="113">
        <f>COUNTIFS('13.09'!$E$15:$E$65,H35,'13.09'!$M$15:$M$65,"&gt;0")</f>
        <v>0</v>
      </c>
      <c r="Y35" s="88">
        <f>SUMIF('20.09'!$E$15:$E$68,H35,'20.09'!$M$15:$M$68)</f>
        <v>0</v>
      </c>
      <c r="Z35" s="113">
        <f>COUNTIFS('20.09'!$E$15:$E$68,H35,'20.09'!$M$15:$M$68,"&gt;0")</f>
        <v>0</v>
      </c>
      <c r="AA35" s="88">
        <f>SUMIF('27.09'!$E$15:$E$68,H35,'27.09'!$M$15:$M$68)</f>
        <v>0</v>
      </c>
      <c r="AB35" s="113">
        <f>COUNTIFS('27.09'!$E$15:$E$68,H35,'27.09'!$M$15:$M$68,"&gt;0")</f>
        <v>0</v>
      </c>
      <c r="AC35" s="88">
        <f>SUMIF('04.10'!$E$15:$E$71,H35,'04.10'!$M$15:$M$71)</f>
        <v>0</v>
      </c>
      <c r="AD35" s="113">
        <f>COUNTIFS('04.10'!$E$15:$E$71,H35,'04.10'!$M$15:$M$71,"&gt;0")</f>
        <v>0</v>
      </c>
      <c r="AE35" s="88">
        <f>SUMIF('11.10'!$E$15:$E$76,H35,'11.10'!$M$15:$M$76)</f>
        <v>0</v>
      </c>
      <c r="AF35" s="113">
        <f>COUNTIFS('11.10'!$E$15:$E$76,H35,'11.10'!$L$15:$L$76,"&gt;0")</f>
        <v>0</v>
      </c>
      <c r="AG35" s="113">
        <f>SUMIF('18.10'!$E$15:$E$76,H35,'18.10'!$M$15:$M$76)</f>
        <v>0</v>
      </c>
      <c r="AH35" s="113">
        <f>COUNTIFS('18.10'!$E$15:$E$76,H35,'18.10'!$L$15:$L$76,"&gt;0")</f>
        <v>0</v>
      </c>
      <c r="AI35" s="113">
        <f>SUMIF('25.10'!$E$15:$E$78,H35,'25.10'!$M$15:$M$78)</f>
        <v>0</v>
      </c>
      <c r="AJ35" s="113">
        <f>COUNTIFS('25.10'!$E$15:$E$78,H35,'25.10'!$L$15:$L$78,"&gt;0")</f>
        <v>0</v>
      </c>
      <c r="AK35" s="113">
        <f>SUMIF('01.11'!$E$15:$E$77,H35,'01.11'!$M$15:$M$77)</f>
        <v>0</v>
      </c>
      <c r="AL35" s="113">
        <f>COUNTIFS('01.11'!$E$15:$E$77,H35,'01.11'!$M$15:$M$77,"&gt;0")</f>
        <v>0</v>
      </c>
      <c r="AM35" s="113">
        <f>SUMIF('08.11'!$E$15:$E$67,H35,'08.11'!$M$15:$M$67)</f>
        <v>0</v>
      </c>
      <c r="AN35" s="113">
        <f>COUNTIFS('08.11'!$E$15:$E$67,H35,'08.11'!$M$15:$M$67,"&gt;0")</f>
        <v>0</v>
      </c>
      <c r="AO35" s="113">
        <f>SUMIF('15.11'!$E$15:$E$71,H35,'15.11'!$M$15:$M$71)</f>
        <v>0</v>
      </c>
      <c r="AP35" s="113">
        <f>COUNTIFS('15.11'!$E$15:$E$71,H35,'15.11'!$M$15:$M$71,"&gt;0")</f>
        <v>0</v>
      </c>
      <c r="AQ35" s="113">
        <f>SUMIF('22.11'!$E$15:$E$78,H35,'22.11'!$M$15:$M$78)</f>
        <v>0</v>
      </c>
      <c r="AR35" s="113">
        <f>COUNTIFS('22.11'!$E$15:$E$78,H35,'22.11'!$M$15:$M$78,"&gt;0")</f>
        <v>0</v>
      </c>
      <c r="AS35" s="113">
        <f>SUMIF('29.11'!$E$15:$E$79,H35,'29.11'!$M$15:$M$79)</f>
        <v>0</v>
      </c>
      <c r="AT35" s="113">
        <f>COUNTIFS('29.11'!$E$15:$E$79,H35,'29.11'!$L$15:$L$79,"&gt;0")</f>
        <v>0</v>
      </c>
      <c r="AU35" s="113">
        <f>SUMIF('06.12'!$E$15:$E$82,H35,'06.12'!$M$15:$M$82)</f>
        <v>0</v>
      </c>
      <c r="AV35" s="113">
        <f>COUNTIFS('06.12'!$E$15:$E$82,H35,'06.12'!$M$15:$M$82,"&gt;0")</f>
        <v>0</v>
      </c>
      <c r="AW35" s="113">
        <f>SUMIF('13.12'!$E$15:$E$82,H35,'13.12'!$M$15:$M$82)</f>
        <v>0</v>
      </c>
      <c r="AX35" s="113">
        <f>COUNTIFS('13.12'!$E$15:$E$82,H35,'13.12'!$M$15:$M$82,"&gt;0")</f>
        <v>0</v>
      </c>
      <c r="AY35" s="113">
        <f>SUMIF('20.12'!$E$15:$E$84,H35,'20.12'!$M$15:$M$84)</f>
        <v>0</v>
      </c>
      <c r="AZ35" s="113">
        <f>COUNTIFS('20.12'!$E$15:$E$84,H35,'20.12'!$M$15:$M$84,"&gt;0")</f>
        <v>0</v>
      </c>
      <c r="BA35" s="113">
        <f>SUMIF('27.12'!$E$15:$E$84,H35,'27.12'!$M$15:$M$84)</f>
        <v>0</v>
      </c>
      <c r="BB35" s="113">
        <f>COUNTIFS('27.12'!$E$15:$E$84,H35,'27.12'!$M$15:$M$84,"&gt;0")</f>
        <v>0</v>
      </c>
      <c r="BC35" s="113">
        <f>SUMIF('03.01'!$E$15:$E$88,H35,'03.01'!$M$15:$M$88)</f>
        <v>0</v>
      </c>
      <c r="BD35" s="113">
        <f>COUNTIFS('03.01'!$E$15:$E$88,H35,'03.01'!$M$15:$M$88,"&gt;0")</f>
        <v>0</v>
      </c>
      <c r="BE35" s="113">
        <f>SUMIF('10.01'!$E$15:$E$91,H35,'10.01'!$M$15:$M$91)</f>
        <v>0</v>
      </c>
      <c r="BF35" s="113">
        <f>COUNTIFS('10.01'!$E$15:$E$91,H35,'10.01'!$M$15:$M$91,"&gt;0")</f>
        <v>0</v>
      </c>
      <c r="BG35" s="113">
        <f>SUMIF('17.01'!$E$15:$E$87,H35,'17.01'!$M$15:$M$87)</f>
        <v>0</v>
      </c>
      <c r="BH35" s="113">
        <f>COUNTIFS('17.01'!$E$15:$E$87,H35,'17.01'!$M$15:$M$87,"&gt;0")</f>
        <v>0</v>
      </c>
      <c r="BI35" s="113">
        <f>SUMIF('24.01'!$E$15:$E$86,H35,'24.01'!$M$15:$M$86)</f>
        <v>0</v>
      </c>
      <c r="BJ35" s="113">
        <f>COUNTIFS('24.01'!$E$15:$E$86,H35,'24.01'!$M$15:$M$86,"&gt;0")</f>
        <v>0</v>
      </c>
      <c r="BK35" s="113">
        <f>SUMIF('31.01'!$E$15:$E$75,H35,'31.01'!$M$15:$M$75)</f>
        <v>0</v>
      </c>
      <c r="BL35" s="113">
        <f>COUNTIFS('31.01'!$E$15:$E$75,H35,'31.01'!$M$15:$M$75,"&gt;0")</f>
        <v>0</v>
      </c>
      <c r="BM35" s="113">
        <f>SUMIF('07.02'!$E$15:$E$77,H35,'07.02'!$M$15:$M$77)</f>
        <v>0</v>
      </c>
      <c r="BN35" s="113">
        <f>COUNTIFS('07.02'!$E$15:$E$77,H35,'07.02'!$M$15:$M$77,"&gt;0")</f>
        <v>0</v>
      </c>
      <c r="BO35" s="113">
        <f>SUMIF('14.02'!$E$15:$E$81,H35,'14.02'!$M$15:$M$81)</f>
        <v>0</v>
      </c>
      <c r="BP35" s="113">
        <f>COUNTIFS('14.02'!$E$15:$E$81,H35,'14.02'!$M$15:$M$81,"&gt;0")</f>
        <v>0</v>
      </c>
      <c r="BQ35" s="113">
        <f>SUMIF('21.02'!$E$15:$E$82,H35,'21.02'!$M$15:$M$82)</f>
        <v>8</v>
      </c>
      <c r="BR35" s="113">
        <f>COUNTIFS('21.02'!$E$15:$E$82,H35,'21.02'!$M$15:$M$82,"&gt;0")</f>
        <v>1</v>
      </c>
      <c r="BS35" s="113"/>
      <c r="BT35" s="113"/>
      <c r="BU35" s="113"/>
      <c r="BV35" s="113"/>
      <c r="BW35" s="113"/>
      <c r="BX35" s="113"/>
      <c r="BY35" s="113"/>
      <c r="BZ35" s="113"/>
    </row>
    <row r="36">
      <c r="A36" s="148" t="s">
        <v>520</v>
      </c>
      <c r="B36" s="180">
        <f>BQ65</f>
        <v>480</v>
      </c>
      <c r="C36" s="148"/>
      <c r="D36" s="148"/>
      <c r="E36" s="180">
        <f>BR65</f>
        <v>44</v>
      </c>
      <c r="F36" s="182"/>
      <c r="H36" s="184" t="s">
        <v>451</v>
      </c>
      <c r="I36" s="88">
        <f>SUMIF('26.07'!$E$15:$E$74,H36,'26.07'!$M$15:$M$74)</f>
        <v>0</v>
      </c>
      <c r="J36" s="88">
        <f>COUNTIFS('26.07'!$E$15:$E$74,H36,'26.07'!$L$15:$L$74,"&gt;0")</f>
        <v>0</v>
      </c>
      <c r="K36" s="88">
        <f>SUMIF('02.08'!$E$15:$E$73,H36,'02.08'!$M$15:$M$73)</f>
        <v>0</v>
      </c>
      <c r="L36" s="88">
        <f>COUNTIFS('02.08'!$E$15:$E$73,H36,'02.08'!$L$15:$L$73,"&gt;0")</f>
        <v>0</v>
      </c>
      <c r="M36" s="88">
        <f>SUMIF('09.08'!$E$15:$E$71,H36,'09.08'!$M$15:$M$71)</f>
        <v>0</v>
      </c>
      <c r="N36" s="88">
        <f>COUNTIFS('09.08'!$E$15:$E$71,H36,'09.08'!$L$15:$L$71,"&gt;0")</f>
        <v>0</v>
      </c>
      <c r="O36" s="88">
        <f>sumif('16.08 '!$E$15:$E$65,H36,'16.08 '!$M$15:$M$65)</f>
        <v>0</v>
      </c>
      <c r="P36" s="88">
        <f>COUNTIFs('16.08 '!$E$15:$E$65,H36,'16.08 '!$L$15:$L$65,"&gt;0")</f>
        <v>0</v>
      </c>
      <c r="Q36" s="88">
        <f>sumif('23.08'!$E$15:$E$62,H36,'23.08'!$M$15:$M$62)</f>
        <v>0</v>
      </c>
      <c r="R36" s="88">
        <f>COUNTIFS('23.08'!$M$15:$M$62,"&gt;0",'23.08'!$E$15:$E$62,H36)</f>
        <v>0</v>
      </c>
      <c r="S36" s="88">
        <f>SUMIF('30.08'!$E$15:$E$66,H36,'30.08'!$M$15:$M$66)</f>
        <v>0</v>
      </c>
      <c r="T36" s="88">
        <f>COUNTIFS('30.08'!$E$15:$E$66,H36,'30.08'!$M$15:$M$66,"&gt;0")</f>
        <v>0</v>
      </c>
      <c r="U36" s="88">
        <f>sumif('06.09'!$E$15:$E$66,H36,'06.09'!$M$15:$M$66)</f>
        <v>0</v>
      </c>
      <c r="V36" s="113">
        <f>COUNTIFS('06.09'!$E$15:$E$66,H36,'06.09'!$M$15:$M$66,"&gt;0")</f>
        <v>0</v>
      </c>
      <c r="W36" s="88">
        <f>SUMIF('13.09'!$E$15:$E$65,H36,'13.09'!$M$15:$M$65)</f>
        <v>0</v>
      </c>
      <c r="X36" s="113">
        <f>COUNTIFS('13.09'!$E$15:$E$65,H36,'13.09'!$M$15:$M$65,"&gt;0")</f>
        <v>0</v>
      </c>
      <c r="Y36" s="88">
        <f>SUMIF('20.09'!$E$15:$E$68,H36,'20.09'!$M$15:$M$68)</f>
        <v>0</v>
      </c>
      <c r="Z36" s="113">
        <f>COUNTIFS('20.09'!$E$15:$E$68,H36,'20.09'!$M$15:$M$68,"&gt;0")</f>
        <v>0</v>
      </c>
      <c r="AA36" s="88">
        <f>SUMIF('27.09'!$E$15:$E$68,H36,'27.09'!$M$15:$M$68)</f>
        <v>0</v>
      </c>
      <c r="AB36" s="113">
        <f>COUNTIFS('27.09'!$E$15:$E$68,H36,'27.09'!$M$15:$M$68,"&gt;0")</f>
        <v>0</v>
      </c>
      <c r="AC36" s="88">
        <f>SUMIF('04.10'!$E$15:$E$71,H36,'04.10'!$M$15:$M$71)</f>
        <v>0</v>
      </c>
      <c r="AD36" s="113">
        <f>COUNTIFS('04.10'!$E$15:$E$71,H36,'04.10'!$M$15:$M$71,"&gt;0")</f>
        <v>0</v>
      </c>
      <c r="AE36" s="88">
        <f>SUMIF('11.10'!$E$15:$E$76,H36,'11.10'!$M$15:$M$76)</f>
        <v>0</v>
      </c>
      <c r="AF36" s="113">
        <f>COUNTIFS('11.10'!$E$15:$E$76,H36,'11.10'!$L$15:$L$76,"&gt;0")</f>
        <v>0</v>
      </c>
      <c r="AG36" s="113">
        <f>SUMIF('18.10'!$E$15:$E$76,H36,'18.10'!$M$15:$M$76)</f>
        <v>0</v>
      </c>
      <c r="AH36" s="113">
        <f>COUNTIFS('18.10'!$E$15:$E$76,H36,'18.10'!$L$15:$L$76,"&gt;0")</f>
        <v>0</v>
      </c>
      <c r="AI36" s="113">
        <f>SUMIF('25.10'!$E$15:$E$78,H36,'25.10'!$M$15:$M$78)</f>
        <v>0</v>
      </c>
      <c r="AJ36" s="113">
        <f>COUNTIFS('25.10'!$E$15:$E$78,H36,'25.10'!$L$15:$L$78,"&gt;0")</f>
        <v>0</v>
      </c>
      <c r="AK36" s="113">
        <f>SUMIF('01.11'!$E$15:$E$77,H36,'01.11'!$M$15:$M$77)</f>
        <v>0</v>
      </c>
      <c r="AL36" s="113">
        <f>COUNTIFS('01.11'!$E$15:$E$77,H36,'01.11'!$M$15:$M$77,"&gt;0")</f>
        <v>0</v>
      </c>
      <c r="AM36" s="113">
        <f>SUMIF('08.11'!$E$15:$E$67,H36,'08.11'!$M$15:$M$67)</f>
        <v>0</v>
      </c>
      <c r="AN36" s="113">
        <f>COUNTIFS('08.11'!$E$15:$E$67,H36,'08.11'!$M$15:$M$67,"&gt;0")</f>
        <v>0</v>
      </c>
      <c r="AO36" s="113">
        <f>SUMIF('15.11'!$E$15:$E$71,H36,'15.11'!$M$15:$M$71)</f>
        <v>0</v>
      </c>
      <c r="AP36" s="113">
        <f>COUNTIFS('15.11'!$E$15:$E$71,H36,'15.11'!$M$15:$M$71,"&gt;0")</f>
        <v>0</v>
      </c>
      <c r="AQ36" s="113">
        <f>SUMIF('22.11'!$E$15:$E$78,H36,'22.11'!$M$15:$M$78)</f>
        <v>0</v>
      </c>
      <c r="AR36" s="113">
        <f>COUNTIFS('22.11'!$E$15:$E$78,H36,'22.11'!$M$15:$M$78,"&gt;0")</f>
        <v>0</v>
      </c>
      <c r="AS36" s="113">
        <f>SUMIF('29.11'!$E$15:$E$79,H36,'29.11'!$M$15:$M$79)</f>
        <v>0</v>
      </c>
      <c r="AT36" s="113">
        <f>COUNTIFS('29.11'!$E$15:$E$79,H36,'29.11'!$L$15:$L$79,"&gt;0")</f>
        <v>0</v>
      </c>
      <c r="AU36" s="113">
        <f>SUMIF('06.12'!$E$15:$E$82,H36,'06.12'!$M$15:$M$82)</f>
        <v>0</v>
      </c>
      <c r="AV36" s="113">
        <f>COUNTIFS('06.12'!$E$15:$E$82,H36,'06.12'!$M$15:$M$82,"&gt;0")</f>
        <v>0</v>
      </c>
      <c r="AW36" s="113">
        <f>SUMIF('13.12'!$E$15:$E$82,H36,'13.12'!$M$15:$M$82)</f>
        <v>0</v>
      </c>
      <c r="AX36" s="113">
        <f>COUNTIFS('13.12'!$E$15:$E$82,H36,'13.12'!$M$15:$M$82,"&gt;0")</f>
        <v>0</v>
      </c>
      <c r="AY36" s="113">
        <f>SUMIF('20.12'!$E$15:$E$84,H36,'20.12'!$M$15:$M$84)</f>
        <v>0</v>
      </c>
      <c r="AZ36" s="113">
        <f>COUNTIFS('20.12'!$E$15:$E$84,H36,'20.12'!$M$15:$M$84,"&gt;0")</f>
        <v>0</v>
      </c>
      <c r="BA36" s="113">
        <f>SUMIF('27.12'!$E$15:$E$84,H36,'27.12'!$M$15:$M$84)</f>
        <v>0</v>
      </c>
      <c r="BB36" s="113">
        <f>COUNTIFS('27.12'!$E$15:$E$84,H36,'27.12'!$M$15:$M$84,"&gt;0")</f>
        <v>0</v>
      </c>
      <c r="BC36" s="113">
        <f>SUMIF('03.01'!$E$15:$E$88,H36,'03.01'!$M$15:$M$88)</f>
        <v>0</v>
      </c>
      <c r="BD36" s="113">
        <f>COUNTIFS('03.01'!$E$15:$E$88,H36,'03.01'!$M$15:$M$88,"&gt;0")</f>
        <v>0</v>
      </c>
      <c r="BE36" s="113">
        <f>SUMIF('10.01'!$E$15:$E$91,H36,'10.01'!$M$15:$M$91)</f>
        <v>0</v>
      </c>
      <c r="BF36" s="113">
        <f>COUNTIFS('10.01'!$E$15:$E$91,H36,'10.01'!$M$15:$M$91,"&gt;0")</f>
        <v>0</v>
      </c>
      <c r="BG36" s="113">
        <f>SUMIF('17.01'!$E$15:$E$87,H36,'17.01'!$M$15:$M$87)</f>
        <v>0</v>
      </c>
      <c r="BH36" s="113">
        <f>COUNTIFS('17.01'!$E$15:$E$87,H36,'17.01'!$M$15:$M$87,"&gt;0")</f>
        <v>0</v>
      </c>
      <c r="BI36" s="113">
        <f>SUMIF('24.01'!$E$15:$E$86,H36,'24.01'!$M$15:$M$86)</f>
        <v>0</v>
      </c>
      <c r="BJ36" s="113">
        <f>COUNTIFS('24.01'!$E$15:$E$86,H36,'24.01'!$M$15:$M$86,"&gt;0")</f>
        <v>0</v>
      </c>
      <c r="BK36" s="113">
        <f>SUMIF('31.01'!$E$15:$E$75,H36,'31.01'!$M$15:$M$75)</f>
        <v>0</v>
      </c>
      <c r="BL36" s="113">
        <f>COUNTIFS('31.01'!$E$15:$E$75,H36,'31.01'!$M$15:$M$75,"&gt;0")</f>
        <v>0</v>
      </c>
      <c r="BM36" s="113">
        <f>SUMIF('07.02'!$E$15:$E$77,H36,'07.02'!$M$15:$M$77)</f>
        <v>0</v>
      </c>
      <c r="BN36" s="113">
        <f>COUNTIFS('07.02'!$E$15:$E$77,H36,'07.02'!$M$15:$M$77,"&gt;0")</f>
        <v>0</v>
      </c>
      <c r="BO36" s="113">
        <f>SUMIF('14.02'!$E$15:$E$81,H36,'14.02'!$M$15:$M$81)</f>
        <v>8</v>
      </c>
      <c r="BP36" s="113">
        <f>COUNTIFS('14.02'!$E$15:$E$81,H36,'14.02'!$M$15:$M$81,"&gt;0")</f>
        <v>1</v>
      </c>
      <c r="BQ36" s="113">
        <f>SUMIF('21.02'!$E$15:$E$82,H36,'21.02'!$M$15:$M$82)</f>
        <v>8</v>
      </c>
      <c r="BR36" s="113">
        <f>COUNTIFS('21.02'!$E$15:$E$82,H36,'21.02'!$M$15:$M$82,"&gt;0")</f>
        <v>1</v>
      </c>
      <c r="BS36" s="113"/>
      <c r="BT36" s="113"/>
      <c r="BU36" s="113"/>
      <c r="BV36" s="113"/>
      <c r="BW36" s="113"/>
      <c r="BX36" s="113"/>
      <c r="BY36" s="113"/>
      <c r="BZ36" s="113"/>
    </row>
    <row r="37">
      <c r="H37" s="183" t="s">
        <v>476</v>
      </c>
      <c r="I37" s="88">
        <f>SUMIF('26.07'!$E$15:$E$74,H37,'26.07'!$M$15:$M$74)</f>
        <v>0</v>
      </c>
      <c r="J37" s="88">
        <f>COUNTIFS('26.07'!$E$15:$E$74,H37,'26.07'!$L$15:$L$74,"&gt;0")</f>
        <v>0</v>
      </c>
      <c r="K37" s="88">
        <f>SUMIF('02.08'!$E$15:$E$73,H37,'02.08'!$M$15:$M$73)</f>
        <v>0</v>
      </c>
      <c r="L37" s="88">
        <f>COUNTIFS('02.08'!$E$15:$E$73,H37,'02.08'!$L$15:$L$73,"&gt;0")</f>
        <v>0</v>
      </c>
      <c r="M37" s="88">
        <f>SUMIF('09.08'!$E$15:$E$71,H37,'09.08'!$M$15:$M$71)</f>
        <v>0</v>
      </c>
      <c r="N37" s="88">
        <f>COUNTIFS('09.08'!$E$15:$E$71,H37,'09.08'!$L$15:$L$71,"&gt;0")</f>
        <v>0</v>
      </c>
      <c r="O37" s="88">
        <f>sumif('16.08 '!$E$15:$E$65,H37,'16.08 '!$M$15:$M$65)</f>
        <v>0</v>
      </c>
      <c r="P37" s="88">
        <f>COUNTIFs('16.08 '!$E$15:$E$65,H37,'16.08 '!$L$15:$L$65,"&gt;0")</f>
        <v>0</v>
      </c>
      <c r="Q37" s="88">
        <f>sumif('23.08'!$E$15:$E$62,H37,'23.08'!$M$15:$M$62)</f>
        <v>0</v>
      </c>
      <c r="R37" s="88">
        <f>COUNTIFS('23.08'!$M$15:$M$62,"&gt;0",'23.08'!$E$15:$E$62,H37)</f>
        <v>0</v>
      </c>
      <c r="S37" s="88">
        <f>SUMIF('30.08'!$E$15:$E$66,H37,'30.08'!$M$15:$M$66)</f>
        <v>0</v>
      </c>
      <c r="T37" s="88">
        <f>COUNTIFS('30.08'!$E$15:$E$66,H37,'30.08'!$M$15:$M$66,"&gt;0")</f>
        <v>0</v>
      </c>
      <c r="U37" s="88">
        <f>sumif('06.09'!$E$15:$E$66,H37,'06.09'!$M$15:$M$66)</f>
        <v>0</v>
      </c>
      <c r="V37" s="113">
        <f>COUNTIFS('06.09'!$E$15:$E$66,H37,'06.09'!$M$15:$M$66,"&gt;0")</f>
        <v>0</v>
      </c>
      <c r="W37" s="88">
        <f>SUMIF('13.09'!$E$15:$E$65,H37,'13.09'!$M$15:$M$65)</f>
        <v>0</v>
      </c>
      <c r="X37" s="113">
        <f>COUNTIFS('13.09'!$E$15:$E$65,H37,'13.09'!$M$15:$M$65,"&gt;0")</f>
        <v>0</v>
      </c>
      <c r="Y37" s="88">
        <f>SUMIF('20.09'!$E$15:$E$68,H37,'20.09'!$M$15:$M$68)</f>
        <v>0</v>
      </c>
      <c r="Z37" s="113">
        <f>COUNTIFS('20.09'!$E$15:$E$68,H37,'20.09'!$M$15:$M$68,"&gt;0")</f>
        <v>0</v>
      </c>
      <c r="AA37" s="88">
        <f>SUMIF('27.09'!$E$15:$E$68,H37,'27.09'!$M$15:$M$68)</f>
        <v>0</v>
      </c>
      <c r="AB37" s="113">
        <f>COUNTIFS('27.09'!$E$15:$E$68,H37,'27.09'!$M$15:$M$68,"&gt;0")</f>
        <v>0</v>
      </c>
      <c r="AC37" s="88">
        <f>SUMIF('04.10'!$E$15:$E$71,H37,'04.10'!$M$15:$M$71)</f>
        <v>0</v>
      </c>
      <c r="AD37" s="113">
        <f>COUNTIFS('04.10'!$E$15:$E$71,H37,'04.10'!$M$15:$M$71,"&gt;0")</f>
        <v>0</v>
      </c>
      <c r="AE37" s="88">
        <f>SUMIF('11.10'!$E$15:$E$76,H37,'11.10'!$M$15:$M$76)</f>
        <v>0</v>
      </c>
      <c r="AF37" s="113">
        <f>COUNTIFS('11.10'!$E$15:$E$76,H37,'11.10'!$L$15:$L$76,"&gt;0")</f>
        <v>0</v>
      </c>
      <c r="AG37" s="113">
        <f>SUMIF('18.10'!$E$15:$E$76,H37,'18.10'!$M$15:$M$76)</f>
        <v>0</v>
      </c>
      <c r="AH37" s="113">
        <f>COUNTIFS('18.10'!$E$15:$E$76,H37,'18.10'!$L$15:$L$76,"&gt;0")</f>
        <v>0</v>
      </c>
      <c r="AI37" s="113">
        <f>SUMIF('25.10'!$E$15:$E$78,H37,'25.10'!$M$15:$M$78)</f>
        <v>0</v>
      </c>
      <c r="AJ37" s="113">
        <f>COUNTIFS('25.10'!$E$15:$E$78,H37,'25.10'!$L$15:$L$78,"&gt;0")</f>
        <v>0</v>
      </c>
      <c r="AK37" s="113">
        <f>SUMIF('01.11'!$E$15:$E$77,H37,'01.11'!$M$15:$M$77)</f>
        <v>0</v>
      </c>
      <c r="AL37" s="113">
        <f>COUNTIFS('01.11'!$E$15:$E$77,H37,'01.11'!$M$15:$M$77,"&gt;0")</f>
        <v>0</v>
      </c>
      <c r="AM37" s="113">
        <f>SUMIF('08.11'!$E$15:$E$67,H37,'08.11'!$M$15:$M$67)</f>
        <v>0</v>
      </c>
      <c r="AN37" s="113">
        <f>COUNTIFS('08.11'!$E$15:$E$67,H37,'08.11'!$M$15:$M$67,"&gt;0")</f>
        <v>0</v>
      </c>
      <c r="AO37" s="113">
        <f>SUMIF('15.11'!$E$15:$E$71,H37,'15.11'!$M$15:$M$71)</f>
        <v>0</v>
      </c>
      <c r="AP37" s="113">
        <f>COUNTIFS('15.11'!$E$15:$E$71,H37,'15.11'!$M$15:$M$71,"&gt;0")</f>
        <v>0</v>
      </c>
      <c r="AQ37" s="113">
        <f>SUMIF('22.11'!$E$15:$E$78,H37,'22.11'!$M$15:$M$78)</f>
        <v>0</v>
      </c>
      <c r="AR37" s="113">
        <f>COUNTIFS('22.11'!$E$15:$E$78,H37,'22.11'!$M$15:$M$78,"&gt;0")</f>
        <v>0</v>
      </c>
      <c r="AS37" s="113">
        <f>SUMIF('29.11'!$E$15:$E$79,H37,'29.11'!$M$15:$M$79)</f>
        <v>0</v>
      </c>
      <c r="AT37" s="113">
        <f>COUNTIFS('29.11'!$E$15:$E$79,H37,'29.11'!$L$15:$L$79,"&gt;0")</f>
        <v>0</v>
      </c>
      <c r="AU37" s="113">
        <f>SUMIF('06.12'!$E$15:$E$82,H37,'06.12'!$M$15:$M$82)</f>
        <v>0</v>
      </c>
      <c r="AV37" s="113">
        <f>COUNTIFS('06.12'!$E$15:$E$82,H37,'06.12'!$M$15:$M$82,"&gt;0")</f>
        <v>0</v>
      </c>
      <c r="AW37" s="113">
        <f>SUMIF('13.12'!$E$15:$E$82,H37,'13.12'!$M$15:$M$82)</f>
        <v>0</v>
      </c>
      <c r="AX37" s="113">
        <f>COUNTIFS('13.12'!$E$15:$E$82,H37,'13.12'!$M$15:$M$82,"&gt;0")</f>
        <v>0</v>
      </c>
      <c r="AY37" s="113">
        <f>SUMIF('20.12'!$E$15:$E$84,H37,'20.12'!$M$15:$M$84)</f>
        <v>0</v>
      </c>
      <c r="AZ37" s="113">
        <f>COUNTIFS('20.12'!$E$15:$E$84,H37,'20.12'!$M$15:$M$84,"&gt;0")</f>
        <v>0</v>
      </c>
      <c r="BA37" s="113">
        <f>SUMIF('27.12'!$E$15:$E$84,H37,'27.12'!$M$15:$M$84)</f>
        <v>0</v>
      </c>
      <c r="BB37" s="113">
        <f>COUNTIFS('27.12'!$E$15:$E$84,H37,'27.12'!$M$15:$M$84,"&gt;0")</f>
        <v>0</v>
      </c>
      <c r="BC37" s="113">
        <f>SUMIF('03.01'!$E$15:$E$88,H37,'03.01'!$M$15:$M$88)</f>
        <v>0</v>
      </c>
      <c r="BD37" s="113">
        <f>COUNTIFS('03.01'!$E$15:$E$88,H37,'03.01'!$M$15:$M$88,"&gt;0")</f>
        <v>0</v>
      </c>
      <c r="BE37" s="113">
        <f>SUMIF('10.01'!$E$15:$E$91,H37,'10.01'!$M$15:$M$91)</f>
        <v>0</v>
      </c>
      <c r="BF37" s="113">
        <f>COUNTIFS('10.01'!$E$15:$E$91,H37,'10.01'!$M$15:$M$91,"&gt;0")</f>
        <v>0</v>
      </c>
      <c r="BG37" s="113">
        <f>SUMIF('17.01'!$E$15:$E$87,H37,'17.01'!$M$15:$M$87)</f>
        <v>0</v>
      </c>
      <c r="BH37" s="113">
        <f>COUNTIFS('17.01'!$E$15:$E$87,H37,'17.01'!$M$15:$M$87,"&gt;0")</f>
        <v>0</v>
      </c>
      <c r="BI37" s="113">
        <f>SUMIF('24.01'!$E$15:$E$86,H37,'24.01'!$M$15:$M$86)</f>
        <v>0</v>
      </c>
      <c r="BJ37" s="113">
        <f>COUNTIFS('24.01'!$E$15:$E$86,H37,'24.01'!$M$15:$M$86,"&gt;0")</f>
        <v>0</v>
      </c>
      <c r="BK37" s="113">
        <f>SUMIF('31.01'!$E$15:$E$75,H37,'31.01'!$M$15:$M$75)</f>
        <v>0</v>
      </c>
      <c r="BL37" s="113">
        <f>COUNTIFS('31.01'!$E$15:$E$75,H37,'31.01'!$M$15:$M$75,"&gt;0")</f>
        <v>0</v>
      </c>
      <c r="BM37" s="113">
        <f>SUMIF('07.02'!$E$15:$E$77,H37,'07.02'!$M$15:$M$77)</f>
        <v>0</v>
      </c>
      <c r="BN37" s="113">
        <f>COUNTIFS('07.02'!$E$15:$E$77,H37,'07.02'!$M$15:$M$77,"&gt;0")</f>
        <v>0</v>
      </c>
      <c r="BO37" s="113">
        <f>SUMIF('14.02'!$E$15:$E$81,H37,'14.02'!$M$15:$M$81)</f>
        <v>0</v>
      </c>
      <c r="BP37" s="113">
        <f>COUNTIFS('14.02'!$E$15:$E$81,H37,'14.02'!$M$15:$M$81,"&gt;0")</f>
        <v>0</v>
      </c>
      <c r="BQ37" s="113">
        <f>SUMIF('21.02'!$E$15:$E$82,H37,'21.02'!$M$15:$M$82)</f>
        <v>0</v>
      </c>
      <c r="BR37" s="113">
        <f>COUNTIFS('21.02'!$E$15:$E$82,H37,'21.02'!$M$15:$M$82,"&gt;0")</f>
        <v>0</v>
      </c>
      <c r="BS37" s="113"/>
      <c r="BT37" s="113"/>
      <c r="BU37" s="113"/>
      <c r="BV37" s="113"/>
      <c r="BW37" s="113"/>
      <c r="BX37" s="113"/>
      <c r="BY37" s="113"/>
      <c r="BZ37" s="113"/>
    </row>
    <row r="38">
      <c r="H38" s="183" t="s">
        <v>475</v>
      </c>
      <c r="I38" s="88">
        <f>SUMIF('26.07'!$E$15:$E$74,H38,'26.07'!$M$15:$M$74)</f>
        <v>0</v>
      </c>
      <c r="J38" s="88">
        <f>COUNTIFS('26.07'!$E$15:$E$74,H38,'26.07'!$L$15:$L$74,"&gt;0")</f>
        <v>0</v>
      </c>
      <c r="K38" s="88">
        <f>SUMIF('02.08'!$E$15:$E$73,H38,'02.08'!$M$15:$M$73)</f>
        <v>0</v>
      </c>
      <c r="L38" s="88">
        <f>COUNTIFS('02.08'!$E$15:$E$73,H38,'02.08'!$L$15:$L$73,"&gt;0")</f>
        <v>0</v>
      </c>
      <c r="M38" s="88">
        <f>SUMIF('09.08'!$E$15:$E$71,H38,'09.08'!$M$15:$M$71)</f>
        <v>0</v>
      </c>
      <c r="N38" s="88">
        <f>COUNTIFS('09.08'!$E$15:$E$71,H38,'09.08'!$L$15:$L$71,"&gt;0")</f>
        <v>0</v>
      </c>
      <c r="O38" s="88">
        <f>sumif('16.08 '!$E$15:$E$65,H38,'16.08 '!$M$15:$M$65)</f>
        <v>0</v>
      </c>
      <c r="P38" s="88">
        <f>COUNTIFs('16.08 '!$E$15:$E$65,H38,'16.08 '!$L$15:$L$65,"&gt;0")</f>
        <v>0</v>
      </c>
      <c r="Q38" s="88">
        <f>sumif('23.08'!$E$15:$E$62,H38,'23.08'!$M$15:$M$62)</f>
        <v>0</v>
      </c>
      <c r="R38" s="88">
        <f>COUNTIFS('23.08'!$M$15:$M$62,"&gt;0",'23.08'!$E$15:$E$62,H38)</f>
        <v>0</v>
      </c>
      <c r="S38" s="88">
        <f>SUMIF('30.08'!$E$15:$E$66,H38,'30.08'!$M$15:$M$66)</f>
        <v>0</v>
      </c>
      <c r="T38" s="88">
        <f>COUNTIFS('30.08'!$E$15:$E$66,H38,'30.08'!$M$15:$M$66,"&gt;0")</f>
        <v>0</v>
      </c>
      <c r="U38" s="88">
        <f>sumif('06.09'!$E$15:$E$66,H38,'06.09'!$M$15:$M$66)</f>
        <v>0</v>
      </c>
      <c r="V38" s="113">
        <f>COUNTIFS('06.09'!$E$15:$E$66,H38,'06.09'!$M$15:$M$66,"&gt;0")</f>
        <v>0</v>
      </c>
      <c r="W38" s="88">
        <f>SUMIF('13.09'!$E$15:$E$65,H38,'13.09'!$M$15:$M$65)</f>
        <v>0</v>
      </c>
      <c r="X38" s="113">
        <f>COUNTIFS('13.09'!$E$15:$E$65,H38,'13.09'!$M$15:$M$65,"&gt;0")</f>
        <v>0</v>
      </c>
      <c r="Y38" s="88">
        <f>SUMIF('20.09'!$E$15:$E$68,H38,'20.09'!$M$15:$M$68)</f>
        <v>0</v>
      </c>
      <c r="Z38" s="113">
        <f>COUNTIFS('20.09'!$E$15:$E$68,H38,'20.09'!$M$15:$M$68,"&gt;0")</f>
        <v>0</v>
      </c>
      <c r="AA38" s="88">
        <f>SUMIF('27.09'!$E$15:$E$68,H38,'27.09'!$M$15:$M$68)</f>
        <v>0</v>
      </c>
      <c r="AB38" s="113">
        <f>COUNTIFS('27.09'!$E$15:$E$68,H38,'27.09'!$M$15:$M$68,"&gt;0")</f>
        <v>0</v>
      </c>
      <c r="AC38" s="88">
        <f>SUMIF('04.10'!$E$15:$E$71,H38,'04.10'!$M$15:$M$71)</f>
        <v>0</v>
      </c>
      <c r="AD38" s="113">
        <f>COUNTIFS('04.10'!$E$15:$E$71,H38,'04.10'!$M$15:$M$71,"&gt;0")</f>
        <v>0</v>
      </c>
      <c r="AE38" s="88">
        <f>SUMIF('11.10'!$E$15:$E$76,H38,'11.10'!$M$15:$M$76)</f>
        <v>0</v>
      </c>
      <c r="AF38" s="113">
        <f>COUNTIFS('11.10'!$E$15:$E$76,H38,'11.10'!$L$15:$L$76,"&gt;0")</f>
        <v>0</v>
      </c>
      <c r="AG38" s="113">
        <f>SUMIF('18.10'!$E$15:$E$76,H38,'18.10'!$M$15:$M$76)</f>
        <v>0</v>
      </c>
      <c r="AH38" s="113">
        <f>COUNTIFS('18.10'!$E$15:$E$76,H38,'18.10'!$L$15:$L$76,"&gt;0")</f>
        <v>0</v>
      </c>
      <c r="AI38" s="113">
        <f>SUMIF('25.10'!$E$15:$E$78,H38,'25.10'!$M$15:$M$78)</f>
        <v>0</v>
      </c>
      <c r="AJ38" s="113">
        <f>COUNTIFS('25.10'!$E$15:$E$78,H38,'25.10'!$L$15:$L$78,"&gt;0")</f>
        <v>0</v>
      </c>
      <c r="AK38" s="113">
        <f>SUMIF('01.11'!$E$15:$E$77,H38,'01.11'!$M$15:$M$77)</f>
        <v>0</v>
      </c>
      <c r="AL38" s="113">
        <f>COUNTIFS('01.11'!$E$15:$E$77,H38,'01.11'!$M$15:$M$77,"&gt;0")</f>
        <v>0</v>
      </c>
      <c r="AM38" s="113">
        <f>SUMIF('08.11'!$E$15:$E$67,H38,'08.11'!$M$15:$M$67)</f>
        <v>0</v>
      </c>
      <c r="AN38" s="113">
        <f>COUNTIFS('08.11'!$E$15:$E$67,H38,'08.11'!$M$15:$M$67,"&gt;0")</f>
        <v>0</v>
      </c>
      <c r="AO38" s="113">
        <f>SUMIF('15.11'!$E$15:$E$71,H38,'15.11'!$M$15:$M$71)</f>
        <v>0</v>
      </c>
      <c r="AP38" s="113">
        <f>COUNTIFS('15.11'!$E$15:$E$71,H38,'15.11'!$M$15:$M$71,"&gt;0")</f>
        <v>0</v>
      </c>
      <c r="AQ38" s="113">
        <f>SUMIF('22.11'!$E$15:$E$78,H38,'22.11'!$M$15:$M$78)</f>
        <v>0</v>
      </c>
      <c r="AR38" s="113">
        <f>COUNTIFS('22.11'!$E$15:$E$78,H38,'22.11'!$M$15:$M$78,"&gt;0")</f>
        <v>0</v>
      </c>
      <c r="AS38" s="113">
        <f>SUMIF('29.11'!$E$15:$E$79,H38,'29.11'!$M$15:$M$79)</f>
        <v>0</v>
      </c>
      <c r="AT38" s="113">
        <f>COUNTIFS('29.11'!$E$15:$E$79,H38,'29.11'!$L$15:$L$79,"&gt;0")</f>
        <v>0</v>
      </c>
      <c r="AU38" s="113">
        <f>SUMIF('06.12'!$E$15:$E$82,H38,'06.12'!$M$15:$M$82)</f>
        <v>0</v>
      </c>
      <c r="AV38" s="113">
        <f>COUNTIFS('06.12'!$E$15:$E$82,H38,'06.12'!$M$15:$M$82,"&gt;0")</f>
        <v>0</v>
      </c>
      <c r="AW38" s="113">
        <f>SUMIF('13.12'!$E$15:$E$82,H38,'13.12'!$M$15:$M$82)</f>
        <v>0</v>
      </c>
      <c r="AX38" s="113">
        <f>COUNTIFS('13.12'!$E$15:$E$82,H38,'13.12'!$M$15:$M$82,"&gt;0")</f>
        <v>0</v>
      </c>
      <c r="AY38" s="113">
        <f>SUMIF('20.12'!$E$15:$E$84,H38,'20.12'!$M$15:$M$84)</f>
        <v>0</v>
      </c>
      <c r="AZ38" s="113">
        <f>COUNTIFS('20.12'!$E$15:$E$84,H38,'20.12'!$M$15:$M$84,"&gt;0")</f>
        <v>0</v>
      </c>
      <c r="BA38" s="113">
        <f>SUMIF('27.12'!$E$15:$E$84,H38,'27.12'!$M$15:$M$84)</f>
        <v>0</v>
      </c>
      <c r="BB38" s="113">
        <f>COUNTIFS('27.12'!$E$15:$E$84,H38,'27.12'!$M$15:$M$84,"&gt;0")</f>
        <v>0</v>
      </c>
      <c r="BC38" s="113">
        <f>SUMIF('03.01'!$E$15:$E$88,H38,'03.01'!$M$15:$M$88)</f>
        <v>0</v>
      </c>
      <c r="BD38" s="113">
        <f>COUNTIFS('03.01'!$E$15:$E$88,H38,'03.01'!$M$15:$M$88,"&gt;0")</f>
        <v>0</v>
      </c>
      <c r="BE38" s="113">
        <f>SUMIF('10.01'!$E$15:$E$91,H38,'10.01'!$M$15:$M$91)</f>
        <v>0</v>
      </c>
      <c r="BF38" s="113">
        <f>COUNTIFS('10.01'!$E$15:$E$91,H38,'10.01'!$M$15:$M$91,"&gt;0")</f>
        <v>0</v>
      </c>
      <c r="BG38" s="113">
        <f>SUMIF('17.01'!$E$15:$E$87,H38,'17.01'!$M$15:$M$87)</f>
        <v>0</v>
      </c>
      <c r="BH38" s="113">
        <f>COUNTIFS('17.01'!$E$15:$E$87,H38,'17.01'!$M$15:$M$87,"&gt;0")</f>
        <v>0</v>
      </c>
      <c r="BI38" s="113">
        <f>SUMIF('24.01'!$E$15:$E$86,H38,'24.01'!$M$15:$M$86)</f>
        <v>0</v>
      </c>
      <c r="BJ38" s="113">
        <f>COUNTIFS('24.01'!$E$15:$E$86,H38,'24.01'!$M$15:$M$86,"&gt;0")</f>
        <v>0</v>
      </c>
      <c r="BK38" s="113">
        <f>SUMIF('31.01'!$E$15:$E$75,H38,'31.01'!$M$15:$M$75)</f>
        <v>0</v>
      </c>
      <c r="BL38" s="113">
        <f>COUNTIFS('31.01'!$E$15:$E$75,H38,'31.01'!$M$15:$M$75,"&gt;0")</f>
        <v>0</v>
      </c>
      <c r="BM38" s="113">
        <f>SUMIF('07.02'!$E$15:$E$77,H38,'07.02'!$M$15:$M$77)</f>
        <v>0</v>
      </c>
      <c r="BN38" s="113">
        <f>COUNTIFS('07.02'!$E$15:$E$77,H38,'07.02'!$M$15:$M$77,"&gt;0")</f>
        <v>0</v>
      </c>
      <c r="BO38" s="113">
        <f>SUMIF('14.02'!$E$15:$E$81,H38,'14.02'!$M$15:$M$81)</f>
        <v>0</v>
      </c>
      <c r="BP38" s="113">
        <f>COUNTIFS('14.02'!$E$15:$E$81,H38,'14.02'!$M$15:$M$81,"&gt;0")</f>
        <v>0</v>
      </c>
      <c r="BQ38" s="113">
        <f>SUMIF('21.02'!$E$15:$E$82,H38,'21.02'!$M$15:$M$82)</f>
        <v>0</v>
      </c>
      <c r="BR38" s="113">
        <f>COUNTIFS('21.02'!$E$15:$E$82,H38,'21.02'!$M$15:$M$82,"&gt;0")</f>
        <v>0</v>
      </c>
      <c r="BS38" s="113"/>
      <c r="BT38" s="113"/>
      <c r="BU38" s="113"/>
      <c r="BV38" s="113"/>
      <c r="BW38" s="113"/>
      <c r="BX38" s="113"/>
      <c r="BY38" s="113"/>
      <c r="BZ38" s="113"/>
    </row>
    <row r="39">
      <c r="H39" s="183" t="s">
        <v>479</v>
      </c>
      <c r="I39" s="88">
        <f>SUMIF('26.07'!$E$15:$E$74,H39,'26.07'!$M$15:$M$74)</f>
        <v>0</v>
      </c>
      <c r="J39" s="88">
        <f>COUNTIFS('26.07'!$E$15:$E$74,H39,'26.07'!$L$15:$L$74,"&gt;0")</f>
        <v>0</v>
      </c>
      <c r="K39" s="88">
        <f>SUMIF('02.08'!$E$15:$E$73,H39,'02.08'!$M$15:$M$73)</f>
        <v>0</v>
      </c>
      <c r="L39" s="88">
        <f>COUNTIFS('02.08'!$E$15:$E$73,H39,'02.08'!$L$15:$L$73,"&gt;0")</f>
        <v>0</v>
      </c>
      <c r="M39" s="88">
        <f>SUMIF('09.08'!$E$15:$E$71,H39,'09.08'!$M$15:$M$71)</f>
        <v>0</v>
      </c>
      <c r="N39" s="88">
        <f>COUNTIFS('09.08'!$E$15:$E$71,H39,'09.08'!$L$15:$L$71,"&gt;0")</f>
        <v>0</v>
      </c>
      <c r="O39" s="88">
        <f>sumif('16.08 '!$E$15:$E$65,H39,'16.08 '!$M$15:$M$65)</f>
        <v>0</v>
      </c>
      <c r="P39" s="88">
        <f>COUNTIFs('16.08 '!$E$15:$E$65,H39,'16.08 '!$L$15:$L$65,"&gt;0")</f>
        <v>0</v>
      </c>
      <c r="Q39" s="88">
        <f>sumif('23.08'!$E$15:$E$62,H39,'23.08'!$M$15:$M$62)</f>
        <v>0</v>
      </c>
      <c r="R39" s="88">
        <f>COUNTIFS('23.08'!$M$15:$M$62,"&gt;0",'23.08'!$E$15:$E$62,H39)</f>
        <v>0</v>
      </c>
      <c r="S39" s="88">
        <f>SUMIF('30.08'!$E$15:$E$66,H39,'30.08'!$M$15:$M$66)</f>
        <v>0</v>
      </c>
      <c r="T39" s="88">
        <f>COUNTIFS('30.08'!$E$15:$E$66,H39,'30.08'!$M$15:$M$66,"&gt;0")</f>
        <v>0</v>
      </c>
      <c r="U39" s="88">
        <f>sumif('06.09'!$E$15:$E$66,H39,'06.09'!$M$15:$M$66)</f>
        <v>0</v>
      </c>
      <c r="V39" s="113">
        <f>COUNTIFS('06.09'!$E$15:$E$66,H39,'06.09'!$M$15:$M$66,"&gt;0")</f>
        <v>0</v>
      </c>
      <c r="W39" s="88">
        <f>SUMIF('13.09'!$E$15:$E$65,H39,'13.09'!$M$15:$M$65)</f>
        <v>0</v>
      </c>
      <c r="X39" s="113">
        <f>COUNTIFS('13.09'!$E$15:$E$65,H39,'13.09'!$M$15:$M$65,"&gt;0")</f>
        <v>0</v>
      </c>
      <c r="Y39" s="88">
        <f>SUMIF('20.09'!$E$15:$E$68,H39,'20.09'!$M$15:$M$68)</f>
        <v>0</v>
      </c>
      <c r="Z39" s="113">
        <f>COUNTIFS('20.09'!$E$15:$E$68,H39,'20.09'!$M$15:$M$68,"&gt;0")</f>
        <v>0</v>
      </c>
      <c r="AA39" s="88">
        <f>SUMIF('27.09'!$E$15:$E$68,H39,'27.09'!$M$15:$M$68)</f>
        <v>0</v>
      </c>
      <c r="AB39" s="113">
        <f>COUNTIFS('27.09'!$E$15:$E$68,H39,'27.09'!$M$15:$M$68,"&gt;0")</f>
        <v>0</v>
      </c>
      <c r="AC39" s="88">
        <f>SUMIF('04.10'!$E$15:$E$71,H39,'04.10'!$M$15:$M$71)</f>
        <v>0</v>
      </c>
      <c r="AD39" s="113">
        <f>COUNTIFS('04.10'!$E$15:$E$71,H39,'04.10'!$M$15:$M$71,"&gt;0")</f>
        <v>0</v>
      </c>
      <c r="AE39" s="88">
        <f>SUMIF('11.10'!$E$15:$E$76,H39,'11.10'!$M$15:$M$76)</f>
        <v>0</v>
      </c>
      <c r="AF39" s="113">
        <f>COUNTIFS('11.10'!$E$15:$E$76,H39,'11.10'!$L$15:$L$76,"&gt;0")</f>
        <v>0</v>
      </c>
      <c r="AG39" s="113">
        <f>SUMIF('18.10'!$E$15:$E$76,H39,'18.10'!$M$15:$M$76)</f>
        <v>0</v>
      </c>
      <c r="AH39" s="113">
        <f>COUNTIFS('18.10'!$E$15:$E$76,H39,'18.10'!$L$15:$L$76,"&gt;0")</f>
        <v>0</v>
      </c>
      <c r="AI39" s="113">
        <f>SUMIF('25.10'!$E$15:$E$78,H39,'25.10'!$M$15:$M$78)</f>
        <v>0</v>
      </c>
      <c r="AJ39" s="113">
        <f>COUNTIFS('25.10'!$E$15:$E$78,H39,'25.10'!$L$15:$L$78,"&gt;0")</f>
        <v>0</v>
      </c>
      <c r="AK39" s="113">
        <f>SUMIF('01.11'!$E$15:$E$77,H39,'01.11'!$M$15:$M$77)</f>
        <v>0</v>
      </c>
      <c r="AL39" s="113">
        <f>COUNTIFS('01.11'!$E$15:$E$77,H39,'01.11'!$M$15:$M$77,"&gt;0")</f>
        <v>0</v>
      </c>
      <c r="AM39" s="113">
        <f>SUMIF('08.11'!$E$15:$E$67,H39,'08.11'!$M$15:$M$67)</f>
        <v>0</v>
      </c>
      <c r="AN39" s="113">
        <f>COUNTIFS('08.11'!$E$15:$E$67,H39,'08.11'!$M$15:$M$67,"&gt;0")</f>
        <v>0</v>
      </c>
      <c r="AO39" s="113">
        <f>SUMIF('15.11'!$E$15:$E$71,H39,'15.11'!$M$15:$M$71)</f>
        <v>0</v>
      </c>
      <c r="AP39" s="113">
        <f>COUNTIFS('15.11'!$E$15:$E$71,H39,'15.11'!$M$15:$M$71,"&gt;0")</f>
        <v>0</v>
      </c>
      <c r="AQ39" s="113">
        <f>SUMIF('22.11'!$E$15:$E$78,H39,'22.11'!$M$15:$M$78)</f>
        <v>0</v>
      </c>
      <c r="AR39" s="113">
        <f>COUNTIFS('22.11'!$E$15:$E$78,H39,'22.11'!$M$15:$M$78,"&gt;0")</f>
        <v>0</v>
      </c>
      <c r="AS39" s="113">
        <f>SUMIF('29.11'!$E$15:$E$79,H39,'29.11'!$M$15:$M$79)</f>
        <v>0</v>
      </c>
      <c r="AT39" s="113">
        <f>COUNTIFS('29.11'!$E$15:$E$79,H39,'29.11'!$L$15:$L$79,"&gt;0")</f>
        <v>0</v>
      </c>
      <c r="AU39" s="113">
        <f>SUMIF('06.12'!$E$15:$E$82,H39,'06.12'!$M$15:$M$82)</f>
        <v>0</v>
      </c>
      <c r="AV39" s="113">
        <f>COUNTIFS('06.12'!$E$15:$E$82,H39,'06.12'!$M$15:$M$82,"&gt;0")</f>
        <v>0</v>
      </c>
      <c r="AW39" s="113">
        <f>SUMIF('13.12'!$E$15:$E$82,H39,'13.12'!$M$15:$M$82)</f>
        <v>0</v>
      </c>
      <c r="AX39" s="113">
        <f>COUNTIFS('13.12'!$E$15:$E$82,H39,'13.12'!$M$15:$M$82,"&gt;0")</f>
        <v>0</v>
      </c>
      <c r="AY39" s="113">
        <f>SUMIF('20.12'!$E$15:$E$84,H39,'20.12'!$M$15:$M$84)</f>
        <v>0</v>
      </c>
      <c r="AZ39" s="113">
        <f>COUNTIFS('20.12'!$E$15:$E$84,H39,'20.12'!$M$15:$M$84,"&gt;0")</f>
        <v>0</v>
      </c>
      <c r="BA39" s="113">
        <f>SUMIF('27.12'!$E$15:$E$84,H39,'27.12'!$M$15:$M$84)</f>
        <v>0</v>
      </c>
      <c r="BB39" s="113">
        <f>COUNTIFS('27.12'!$E$15:$E$84,H39,'27.12'!$M$15:$M$84,"&gt;0")</f>
        <v>0</v>
      </c>
      <c r="BC39" s="113">
        <f>SUMIF('03.01'!$E$15:$E$88,H39,'03.01'!$M$15:$M$88)</f>
        <v>0</v>
      </c>
      <c r="BD39" s="113">
        <f>COUNTIFS('03.01'!$E$15:$E$88,H39,'03.01'!$M$15:$M$88,"&gt;0")</f>
        <v>0</v>
      </c>
      <c r="BE39" s="113">
        <f>SUMIF('10.01'!$E$15:$E$91,H39,'10.01'!$M$15:$M$91)</f>
        <v>0</v>
      </c>
      <c r="BF39" s="113">
        <f>COUNTIFS('10.01'!$E$15:$E$91,H39,'10.01'!$M$15:$M$91,"&gt;0")</f>
        <v>0</v>
      </c>
      <c r="BG39" s="113">
        <f>SUMIF('17.01'!$E$15:$E$87,H39,'17.01'!$M$15:$M$87)</f>
        <v>0</v>
      </c>
      <c r="BH39" s="113">
        <f>COUNTIFS('17.01'!$E$15:$E$87,H39,'17.01'!$M$15:$M$87,"&gt;0")</f>
        <v>0</v>
      </c>
      <c r="BI39" s="113">
        <f>SUMIF('24.01'!$E$15:$E$86,H39,'24.01'!$M$15:$M$86)</f>
        <v>0</v>
      </c>
      <c r="BJ39" s="113">
        <f>COUNTIFS('24.01'!$E$15:$E$86,H39,'24.01'!$M$15:$M$86,"&gt;0")</f>
        <v>0</v>
      </c>
      <c r="BK39" s="113">
        <f>SUMIF('31.01'!$E$15:$E$75,H39,'31.01'!$M$15:$M$75)</f>
        <v>0</v>
      </c>
      <c r="BL39" s="113">
        <f>COUNTIFS('31.01'!$E$15:$E$75,H39,'31.01'!$M$15:$M$75,"&gt;0")</f>
        <v>0</v>
      </c>
      <c r="BM39" s="113">
        <f>SUMIF('07.02'!$E$15:$E$77,H39,'07.02'!$M$15:$M$77)</f>
        <v>0</v>
      </c>
      <c r="BN39" s="113">
        <f>COUNTIFS('07.02'!$E$15:$E$77,H39,'07.02'!$M$15:$M$77,"&gt;0")</f>
        <v>0</v>
      </c>
      <c r="BO39" s="113">
        <f>SUMIF('14.02'!$E$15:$E$81,H39,'14.02'!$M$15:$M$81)</f>
        <v>0</v>
      </c>
      <c r="BP39" s="113">
        <f>COUNTIFS('14.02'!$E$15:$E$81,H39,'14.02'!$M$15:$M$81,"&gt;0")</f>
        <v>0</v>
      </c>
      <c r="BQ39" s="113">
        <f>SUMIF('21.02'!$E$15:$E$82,H39,'21.02'!$M$15:$M$82)</f>
        <v>0</v>
      </c>
      <c r="BR39" s="113">
        <f>COUNTIFS('21.02'!$E$15:$E$82,H39,'21.02'!$M$15:$M$82,"&gt;0")</f>
        <v>0</v>
      </c>
      <c r="BS39" s="113"/>
      <c r="BT39" s="113"/>
      <c r="BU39" s="113"/>
      <c r="BV39" s="113"/>
      <c r="BW39" s="113"/>
      <c r="BX39" s="113"/>
      <c r="BY39" s="113"/>
      <c r="BZ39" s="113"/>
    </row>
    <row r="40">
      <c r="H40" s="183" t="s">
        <v>470</v>
      </c>
      <c r="I40" s="88">
        <f>SUMIF('26.07'!$E$15:$E$74,H40,'26.07'!$M$15:$M$74)</f>
        <v>0</v>
      </c>
      <c r="J40" s="88">
        <f>COUNTIFS('26.07'!$E$15:$E$74,H40,'26.07'!$L$15:$L$74,"&gt;0")</f>
        <v>0</v>
      </c>
      <c r="K40" s="88">
        <f>SUMIF('02.08'!$E$15:$E$73,H40,'02.08'!$M$15:$M$73)</f>
        <v>0</v>
      </c>
      <c r="L40" s="88">
        <f>COUNTIFS('02.08'!$E$15:$E$73,H40,'02.08'!$L$15:$L$73,"&gt;0")</f>
        <v>0</v>
      </c>
      <c r="M40" s="88">
        <f>SUMIF('09.08'!$E$15:$E$71,H40,'09.08'!$M$15:$M$71)</f>
        <v>0</v>
      </c>
      <c r="N40" s="88">
        <f>COUNTIFS('09.08'!$E$15:$E$71,H40,'09.08'!$L$15:$L$71,"&gt;0")</f>
        <v>0</v>
      </c>
      <c r="O40" s="88">
        <f>sumif('16.08 '!$E$15:$E$65,H40,'16.08 '!$M$15:$M$65)</f>
        <v>0</v>
      </c>
      <c r="P40" s="88">
        <f>COUNTIFs('16.08 '!$E$15:$E$65,H40,'16.08 '!$L$15:$L$65,"&gt;0")</f>
        <v>0</v>
      </c>
      <c r="Q40" s="88">
        <f>sumif('23.08'!$E$15:$E$62,H40,'23.08'!$M$15:$M$62)</f>
        <v>0</v>
      </c>
      <c r="R40" s="88">
        <f>COUNTIFS('23.08'!$M$15:$M$62,"&gt;0",'23.08'!$E$15:$E$62,H40)</f>
        <v>0</v>
      </c>
      <c r="S40" s="88">
        <f>SUMIF('30.08'!$E$15:$E$66,H40,'30.08'!$M$15:$M$66)</f>
        <v>0</v>
      </c>
      <c r="T40" s="88">
        <f>COUNTIFS('30.08'!$E$15:$E$66,H40,'30.08'!$M$15:$M$66,"&gt;0")</f>
        <v>0</v>
      </c>
      <c r="U40" s="88">
        <f>sumif('06.09'!$E$15:$E$66,H40,'06.09'!$M$15:$M$66)</f>
        <v>0</v>
      </c>
      <c r="V40" s="113">
        <f>COUNTIFS('06.09'!$E$15:$E$66,H40,'06.09'!$M$15:$M$66,"&gt;0")</f>
        <v>0</v>
      </c>
      <c r="W40" s="88">
        <f>SUMIF('13.09'!$E$15:$E$65,H40,'13.09'!$M$15:$M$65)</f>
        <v>0</v>
      </c>
      <c r="X40" s="113">
        <f>COUNTIFS('13.09'!$E$15:$E$65,H40,'13.09'!$M$15:$M$65,"&gt;0")</f>
        <v>0</v>
      </c>
      <c r="Y40" s="88">
        <f>SUMIF('20.09'!$E$15:$E$68,H40,'20.09'!$M$15:$M$68)</f>
        <v>0</v>
      </c>
      <c r="Z40" s="113">
        <f>COUNTIFS('20.09'!$E$15:$E$68,H40,'20.09'!$M$15:$M$68,"&gt;0")</f>
        <v>0</v>
      </c>
      <c r="AA40" s="88">
        <f>SUMIF('27.09'!$E$15:$E$68,H40,'27.09'!$M$15:$M$68)</f>
        <v>0</v>
      </c>
      <c r="AB40" s="113">
        <f>COUNTIFS('27.09'!$E$15:$E$68,H40,'27.09'!$M$15:$M$68,"&gt;0")</f>
        <v>0</v>
      </c>
      <c r="AC40" s="88">
        <f>SUMIF('04.10'!$E$15:$E$71,H40,'04.10'!$M$15:$M$71)</f>
        <v>0</v>
      </c>
      <c r="AD40" s="113">
        <f>COUNTIFS('04.10'!$E$15:$E$71,H40,'04.10'!$M$15:$M$71,"&gt;0")</f>
        <v>0</v>
      </c>
      <c r="AE40" s="88">
        <f>SUMIF('11.10'!$E$15:$E$76,H40,'11.10'!$M$15:$M$76)</f>
        <v>0</v>
      </c>
      <c r="AF40" s="113">
        <f>COUNTIFS('11.10'!$E$15:$E$76,H40,'11.10'!$L$15:$L$76,"&gt;0")</f>
        <v>0</v>
      </c>
      <c r="AG40" s="113">
        <f>SUMIF('18.10'!$E$15:$E$76,H40,'18.10'!$M$15:$M$76)</f>
        <v>0</v>
      </c>
      <c r="AH40" s="113">
        <f>COUNTIFS('18.10'!$E$15:$E$76,H40,'18.10'!$L$15:$L$76,"&gt;0")</f>
        <v>0</v>
      </c>
      <c r="AI40" s="113">
        <f>SUMIF('25.10'!$E$15:$E$78,H40,'25.10'!$M$15:$M$78)</f>
        <v>0</v>
      </c>
      <c r="AJ40" s="113">
        <f>COUNTIFS('25.10'!$E$15:$E$78,H40,'25.10'!$L$15:$L$78,"&gt;0")</f>
        <v>0</v>
      </c>
      <c r="AK40" s="113">
        <f>SUMIF('01.11'!$E$15:$E$77,H40,'01.11'!$M$15:$M$77)</f>
        <v>0</v>
      </c>
      <c r="AL40" s="113">
        <f>COUNTIFS('01.11'!$E$15:$E$77,H40,'01.11'!$M$15:$M$77,"&gt;0")</f>
        <v>0</v>
      </c>
      <c r="AM40" s="113">
        <f>SUMIF('08.11'!$E$15:$E$67,H40,'08.11'!$M$15:$M$67)</f>
        <v>0</v>
      </c>
      <c r="AN40" s="113">
        <f>COUNTIFS('08.11'!$E$15:$E$67,H40,'08.11'!$M$15:$M$67,"&gt;0")</f>
        <v>0</v>
      </c>
      <c r="AO40" s="113">
        <f>SUMIF('15.11'!$E$15:$E$71,H40,'15.11'!$M$15:$M$71)</f>
        <v>0</v>
      </c>
      <c r="AP40" s="113">
        <f>COUNTIFS('15.11'!$E$15:$E$71,H40,'15.11'!$M$15:$M$71,"&gt;0")</f>
        <v>0</v>
      </c>
      <c r="AQ40" s="113">
        <f>SUMIF('22.11'!$E$15:$E$78,H40,'22.11'!$M$15:$M$78)</f>
        <v>0</v>
      </c>
      <c r="AR40" s="113">
        <f>COUNTIFS('22.11'!$E$15:$E$78,H40,'22.11'!$M$15:$M$78,"&gt;0")</f>
        <v>0</v>
      </c>
      <c r="AS40" s="113">
        <f>SUMIF('29.11'!$E$15:$E$79,H40,'29.11'!$M$15:$M$79)</f>
        <v>0</v>
      </c>
      <c r="AT40" s="113">
        <f>COUNTIFS('29.11'!$E$15:$E$79,H40,'29.11'!$L$15:$L$79,"&gt;0")</f>
        <v>0</v>
      </c>
      <c r="AU40" s="113">
        <f>SUMIF('06.12'!$E$15:$E$82,H40,'06.12'!$M$15:$M$82)</f>
        <v>0</v>
      </c>
      <c r="AV40" s="113">
        <f>COUNTIFS('06.12'!$E$15:$E$82,H40,'06.12'!$M$15:$M$82,"&gt;0")</f>
        <v>0</v>
      </c>
      <c r="AW40" s="113">
        <f>SUMIF('13.12'!$E$15:$E$82,H40,'13.12'!$M$15:$M$82)</f>
        <v>0</v>
      </c>
      <c r="AX40" s="113">
        <f>COUNTIFS('13.12'!$E$15:$E$82,H40,'13.12'!$M$15:$M$82,"&gt;0")</f>
        <v>0</v>
      </c>
      <c r="AY40" s="113">
        <f>SUMIF('20.12'!$E$15:$E$84,H40,'20.12'!$M$15:$M$84)</f>
        <v>0</v>
      </c>
      <c r="AZ40" s="113">
        <f>COUNTIFS('20.12'!$E$15:$E$84,H40,'20.12'!$M$15:$M$84,"&gt;0")</f>
        <v>0</v>
      </c>
      <c r="BA40" s="113">
        <f>SUMIF('27.12'!$E$15:$E$84,H40,'27.12'!$M$15:$M$84)</f>
        <v>0</v>
      </c>
      <c r="BB40" s="113">
        <f>COUNTIFS('27.12'!$E$15:$E$84,H40,'27.12'!$M$15:$M$84,"&gt;0")</f>
        <v>0</v>
      </c>
      <c r="BC40" s="113">
        <f>SUMIF('03.01'!$E$15:$E$88,H40,'03.01'!$M$15:$M$88)</f>
        <v>0</v>
      </c>
      <c r="BD40" s="113">
        <f>COUNTIFS('03.01'!$E$15:$E$88,H40,'03.01'!$M$15:$M$88,"&gt;0")</f>
        <v>0</v>
      </c>
      <c r="BE40" s="113">
        <f>SUMIF('10.01'!$E$15:$E$91,H40,'10.01'!$M$15:$M$91)</f>
        <v>0</v>
      </c>
      <c r="BF40" s="113">
        <f>COUNTIFS('10.01'!$E$15:$E$91,H40,'10.01'!$M$15:$M$91,"&gt;0")</f>
        <v>0</v>
      </c>
      <c r="BG40" s="113">
        <f>SUMIF('17.01'!$E$15:$E$87,H40,'17.01'!$M$15:$M$87)</f>
        <v>0</v>
      </c>
      <c r="BH40" s="113">
        <f>COUNTIFS('17.01'!$E$15:$E$87,H40,'17.01'!$M$15:$M$87,"&gt;0")</f>
        <v>0</v>
      </c>
      <c r="BI40" s="113">
        <f>SUMIF('24.01'!$E$15:$E$86,H40,'24.01'!$M$15:$M$86)</f>
        <v>0</v>
      </c>
      <c r="BJ40" s="113">
        <f>COUNTIFS('24.01'!$E$15:$E$86,H40,'24.01'!$M$15:$M$86,"&gt;0")</f>
        <v>0</v>
      </c>
      <c r="BK40" s="113">
        <f>SUMIF('31.01'!$E$15:$E$75,H40,'31.01'!$M$15:$M$75)</f>
        <v>0</v>
      </c>
      <c r="BL40" s="113">
        <f>COUNTIFS('31.01'!$E$15:$E$75,H40,'31.01'!$M$15:$M$75,"&gt;0")</f>
        <v>0</v>
      </c>
      <c r="BM40" s="113">
        <f>SUMIF('07.02'!$E$15:$E$77,H40,'07.02'!$M$15:$M$77)</f>
        <v>0</v>
      </c>
      <c r="BN40" s="113">
        <f>COUNTIFS('07.02'!$E$15:$E$77,H40,'07.02'!$M$15:$M$77,"&gt;0")</f>
        <v>0</v>
      </c>
      <c r="BO40" s="113">
        <f>SUMIF('14.02'!$E$15:$E$81,H40,'14.02'!$M$15:$M$81)</f>
        <v>0</v>
      </c>
      <c r="BP40" s="113">
        <f>COUNTIFS('14.02'!$E$15:$E$81,H40,'14.02'!$M$15:$M$81,"&gt;0")</f>
        <v>0</v>
      </c>
      <c r="BQ40" s="113">
        <f>SUMIF('21.02'!$E$15:$E$82,H40,'21.02'!$M$15:$M$82)</f>
        <v>0</v>
      </c>
      <c r="BR40" s="113">
        <f>COUNTIFS('21.02'!$E$15:$E$82,H40,'21.02'!$M$15:$M$82,"&gt;0")</f>
        <v>0</v>
      </c>
      <c r="BS40" s="113"/>
      <c r="BT40" s="113"/>
      <c r="BU40" s="113"/>
      <c r="BV40" s="113"/>
      <c r="BW40" s="113"/>
      <c r="BX40" s="113"/>
      <c r="BY40" s="113"/>
      <c r="BZ40" s="113"/>
    </row>
    <row r="41">
      <c r="H41" s="185" t="s">
        <v>430</v>
      </c>
      <c r="I41" s="88">
        <f>SUMIF('26.07'!$E$15:$E$74,H41,'26.07'!$M$15:$M$74)</f>
        <v>8</v>
      </c>
      <c r="J41" s="88">
        <f>COUNTIFS('26.07'!$E$15:$E$74,H41,'26.07'!$L$15:$L$74,"&gt;0")</f>
        <v>1</v>
      </c>
      <c r="K41" s="88">
        <f>SUMIF('02.08'!$E$15:$E$73,H41,'02.08'!$M$15:$M$73)</f>
        <v>0</v>
      </c>
      <c r="L41" s="88">
        <f>COUNTIFS('02.08'!$E$15:$E$73,H41,'02.08'!$L$15:$L$73,"&gt;0")</f>
        <v>0</v>
      </c>
      <c r="M41" s="88">
        <f>SUMIF('09.08'!$E$15:$E$71,H41,'09.08'!$M$15:$M$71)</f>
        <v>0</v>
      </c>
      <c r="N41" s="88">
        <f>COUNTIFS('09.08'!$E$15:$E$71,H41,'09.08'!$L$15:$L$71,"&gt;0")</f>
        <v>0</v>
      </c>
      <c r="O41" s="88">
        <f>sumif('16.08 '!$E$15:$E$65,H41,'16.08 '!$M$15:$M$65)</f>
        <v>0</v>
      </c>
      <c r="P41" s="88">
        <f>COUNTIFs('16.08 '!$E$15:$E$65,H41,'16.08 '!$L$15:$L$65,"&gt;0")</f>
        <v>0</v>
      </c>
      <c r="Q41" s="88">
        <f>sumif('23.08'!$E$15:$E$62,H41,'23.08'!$M$15:$M$62)</f>
        <v>0</v>
      </c>
      <c r="R41" s="88">
        <f>COUNTIFS('23.08'!$M$15:$M$62,"&gt;0",'23.08'!$E$15:$E$62,H41)</f>
        <v>0</v>
      </c>
      <c r="S41" s="88">
        <f>SUMIF('30.08'!$E$15:$E$66,H41,'30.08'!$M$15:$M$66)</f>
        <v>0</v>
      </c>
      <c r="T41" s="88">
        <f>COUNTIFS('30.08'!$E$15:$E$66,H41,'30.08'!$M$15:$M$66,"&gt;0")</f>
        <v>0</v>
      </c>
      <c r="U41" s="88">
        <f>sumif('06.09'!$E$15:$E$66,H41,'06.09'!$M$15:$M$66)</f>
        <v>0</v>
      </c>
      <c r="V41" s="113">
        <f>COUNTIFS('06.09'!$E$15:$E$66,H41,'06.09'!$M$15:$M$66,"&gt;0")</f>
        <v>0</v>
      </c>
      <c r="W41" s="88">
        <f>SUMIF('13.09'!$E$15:$E$65,H41,'13.09'!$M$15:$M$65)</f>
        <v>0</v>
      </c>
      <c r="X41" s="113">
        <f>COUNTIFS('13.09'!$E$15:$E$65,H41,'13.09'!$M$15:$M$65,"&gt;0")</f>
        <v>0</v>
      </c>
      <c r="Y41" s="88">
        <f>SUMIF('20.09'!$E$15:$E$68,H41,'20.09'!$M$15:$M$68)</f>
        <v>0</v>
      </c>
      <c r="Z41" s="113">
        <f>COUNTIFS('20.09'!$E$15:$E$68,H41,'20.09'!$M$15:$M$68,"&gt;0")</f>
        <v>0</v>
      </c>
      <c r="AA41" s="88">
        <f>SUMIF('27.09'!$E$15:$E$68,H41,'27.09'!$M$15:$M$68)</f>
        <v>0</v>
      </c>
      <c r="AB41" s="113">
        <f>COUNTIFS('27.09'!$E$15:$E$68,H41,'27.09'!$M$15:$M$68,"&gt;0")</f>
        <v>0</v>
      </c>
      <c r="AC41" s="88">
        <f>SUMIF('04.10'!$E$15:$E$71,H41,'04.10'!$M$15:$M$71)</f>
        <v>0</v>
      </c>
      <c r="AD41" s="113">
        <f>COUNTIFS('04.10'!$E$15:$E$71,H41,'04.10'!$M$15:$M$71,"&gt;0")</f>
        <v>0</v>
      </c>
      <c r="AE41" s="88">
        <f>SUMIF('11.10'!$E$15:$E$76,H41,'11.10'!$M$15:$M$76)</f>
        <v>0</v>
      </c>
      <c r="AF41" s="113">
        <f>COUNTIFS('11.10'!$E$15:$E$76,H41,'11.10'!$L$15:$L$76,"&gt;0")</f>
        <v>0</v>
      </c>
      <c r="AG41" s="113">
        <f>SUMIF('18.10'!$E$15:$E$76,H41,'18.10'!$M$15:$M$76)</f>
        <v>0</v>
      </c>
      <c r="AH41" s="113">
        <f>COUNTIFS('18.10'!$E$15:$E$76,H41,'18.10'!$L$15:$L$76,"&gt;0")</f>
        <v>0</v>
      </c>
      <c r="AI41" s="113">
        <f>SUMIF('25.10'!$E$15:$E$78,H41,'25.10'!$M$15:$M$78)</f>
        <v>0</v>
      </c>
      <c r="AJ41" s="113">
        <f>COUNTIFS('25.10'!$E$15:$E$78,H41,'25.10'!$L$15:$L$78,"&gt;0")</f>
        <v>0</v>
      </c>
      <c r="AK41" s="113">
        <f>SUMIF('01.11'!$E$15:$E$77,H41,'01.11'!$M$15:$M$77)</f>
        <v>0</v>
      </c>
      <c r="AL41" s="113">
        <f>COUNTIFS('01.11'!$E$15:$E$77,H41,'01.11'!$M$15:$M$77,"&gt;0")</f>
        <v>0</v>
      </c>
      <c r="AM41" s="113">
        <f>SUMIF('08.11'!$E$15:$E$67,H41,'08.11'!$M$15:$M$67)</f>
        <v>0</v>
      </c>
      <c r="AN41" s="113">
        <f>COUNTIFS('08.11'!$E$15:$E$67,H41,'08.11'!$M$15:$M$67,"&gt;0")</f>
        <v>0</v>
      </c>
      <c r="AO41" s="113">
        <f>SUMIF('15.11'!$E$15:$E$71,H41,'15.11'!$M$15:$M$71)</f>
        <v>0</v>
      </c>
      <c r="AP41" s="113">
        <f>COUNTIFS('15.11'!$E$15:$E$71,H41,'15.11'!$M$15:$M$71,"&gt;0")</f>
        <v>0</v>
      </c>
      <c r="AQ41" s="113">
        <f>SUMIF('22.11'!$E$15:$E$78,H41,'22.11'!$M$15:$M$78)</f>
        <v>0</v>
      </c>
      <c r="AR41" s="113">
        <f>COUNTIFS('22.11'!$E$15:$E$78,H41,'22.11'!$M$15:$M$78,"&gt;0")</f>
        <v>0</v>
      </c>
      <c r="AS41" s="113">
        <f>SUMIF('29.11'!$E$15:$E$79,H41,'29.11'!$M$15:$M$79)</f>
        <v>0</v>
      </c>
      <c r="AT41" s="113">
        <f>COUNTIFS('29.11'!$E$15:$E$79,H41,'29.11'!$L$15:$L$79,"&gt;0")</f>
        <v>0</v>
      </c>
      <c r="AU41" s="113">
        <f>SUMIF('06.12'!$E$15:$E$82,H41,'06.12'!$M$15:$M$82)</f>
        <v>0</v>
      </c>
      <c r="AV41" s="113">
        <f>COUNTIFS('06.12'!$E$15:$E$82,H41,'06.12'!$M$15:$M$82,"&gt;0")</f>
        <v>0</v>
      </c>
      <c r="AW41" s="113">
        <f>SUMIF('13.12'!$E$15:$E$82,H41,'13.12'!$M$15:$M$82)</f>
        <v>0</v>
      </c>
      <c r="AX41" s="113">
        <f>COUNTIFS('13.12'!$E$15:$E$82,H41,'13.12'!$M$15:$M$82,"&gt;0")</f>
        <v>0</v>
      </c>
      <c r="AY41" s="113">
        <f>SUMIF('20.12'!$E$15:$E$84,H41,'20.12'!$M$15:$M$84)</f>
        <v>0</v>
      </c>
      <c r="AZ41" s="113">
        <f>COUNTIFS('20.12'!$E$15:$E$84,H41,'20.12'!$M$15:$M$84,"&gt;0")</f>
        <v>0</v>
      </c>
      <c r="BA41" s="113">
        <f>SUMIF('27.12'!$E$15:$E$84,H41,'27.12'!$M$15:$M$84)</f>
        <v>0</v>
      </c>
      <c r="BB41" s="113">
        <f>COUNTIFS('27.12'!$E$15:$E$84,H41,'27.12'!$M$15:$M$84,"&gt;0")</f>
        <v>0</v>
      </c>
      <c r="BC41" s="113">
        <f>SUMIF('03.01'!$E$15:$E$88,H41,'03.01'!$M$15:$M$88)</f>
        <v>0</v>
      </c>
      <c r="BD41" s="113">
        <f>COUNTIFS('03.01'!$E$15:$E$88,H41,'03.01'!$M$15:$M$88,"&gt;0")</f>
        <v>0</v>
      </c>
      <c r="BE41" s="113">
        <f>SUMIF('10.01'!$E$15:$E$91,H41,'10.01'!$M$15:$M$91)</f>
        <v>0</v>
      </c>
      <c r="BF41" s="113">
        <f>COUNTIFS('10.01'!$E$15:$E$91,H41,'10.01'!$M$15:$M$91,"&gt;0")</f>
        <v>0</v>
      </c>
      <c r="BG41" s="113">
        <f>SUMIF('17.01'!$E$15:$E$87,H41,'17.01'!$M$15:$M$87)</f>
        <v>0</v>
      </c>
      <c r="BH41" s="113">
        <f>COUNTIFS('17.01'!$E$15:$E$87,H41,'17.01'!$M$15:$M$87,"&gt;0")</f>
        <v>0</v>
      </c>
      <c r="BI41" s="113">
        <f>SUMIF('24.01'!$E$15:$E$86,H41,'24.01'!$M$15:$M$86)</f>
        <v>0</v>
      </c>
      <c r="BJ41" s="113">
        <f>COUNTIFS('24.01'!$E$15:$E$86,H41,'24.01'!$M$15:$M$86,"&gt;0")</f>
        <v>0</v>
      </c>
      <c r="BK41" s="113">
        <f>SUMIF('31.01'!$E$15:$E$75,H41,'31.01'!$M$15:$M$75)</f>
        <v>0</v>
      </c>
      <c r="BL41" s="113">
        <f>COUNTIFS('31.01'!$E$15:$E$75,H41,'31.01'!$M$15:$M$75,"&gt;0")</f>
        <v>0</v>
      </c>
      <c r="BM41" s="113">
        <f>SUMIF('07.02'!$E$15:$E$77,H41,'07.02'!$M$15:$M$77)</f>
        <v>0</v>
      </c>
      <c r="BN41" s="113">
        <f>COUNTIFS('07.02'!$E$15:$E$77,H41,'07.02'!$M$15:$M$77,"&gt;0")</f>
        <v>0</v>
      </c>
      <c r="BO41" s="113">
        <f>SUMIF('14.02'!$E$15:$E$81,H41,'14.02'!$M$15:$M$81)</f>
        <v>0</v>
      </c>
      <c r="BP41" s="113">
        <f>COUNTIFS('14.02'!$E$15:$E$81,H41,'14.02'!$M$15:$M$81,"&gt;0")</f>
        <v>0</v>
      </c>
      <c r="BQ41" s="113">
        <f>SUMIF('21.02'!$E$15:$E$82,H41,'21.02'!$M$15:$M$82)</f>
        <v>0</v>
      </c>
      <c r="BR41" s="113">
        <f>COUNTIFS('21.02'!$E$15:$E$82,H41,'21.02'!$M$15:$M$82,"&gt;0")</f>
        <v>0</v>
      </c>
      <c r="BS41" s="113"/>
      <c r="BT41" s="113"/>
      <c r="BU41" s="113"/>
      <c r="BV41" s="113"/>
      <c r="BW41" s="113"/>
      <c r="BX41" s="113"/>
      <c r="BY41" s="113"/>
      <c r="BZ41" s="113"/>
    </row>
    <row r="42">
      <c r="H42" s="185" t="s">
        <v>407</v>
      </c>
      <c r="I42" s="88">
        <f>SUMIF('26.07'!$E$15:$E$74,H42,'26.07'!$M$15:$M$74)</f>
        <v>0</v>
      </c>
      <c r="J42" s="88">
        <f>COUNTIFS('26.07'!$E$15:$E$74,H42,'26.07'!$L$15:$L$74,"&gt;0")</f>
        <v>0</v>
      </c>
      <c r="K42" s="88">
        <f>SUMIF('02.08'!$E$15:$E$73,H42,'02.08'!$M$15:$M$73)</f>
        <v>20</v>
      </c>
      <c r="L42" s="88">
        <f>COUNTIFS('02.08'!$E$15:$E$73,H42,'02.08'!$L$15:$L$73,"&gt;0")</f>
        <v>1</v>
      </c>
      <c r="M42" s="88">
        <f>SUMIF('09.08'!$E$15:$E$71,H42,'09.08'!$M$15:$M$71)</f>
        <v>0</v>
      </c>
      <c r="N42" s="88">
        <f>COUNTIFS('09.08'!$E$15:$E$71,H42,'09.08'!$L$15:$L$71,"&gt;0")</f>
        <v>0</v>
      </c>
      <c r="O42" s="88">
        <f>sumif('16.08 '!$E$15:$E$65,H42,'16.08 '!$M$15:$M$65)</f>
        <v>0</v>
      </c>
      <c r="P42" s="88">
        <f>COUNTIFs('16.08 '!$E$15:$E$65,H42,'16.08 '!$L$15:$L$65,"&gt;0")</f>
        <v>0</v>
      </c>
      <c r="Q42" s="88">
        <f>sumif('23.08'!$E$15:$E$62,H42,'23.08'!$M$15:$M$62)</f>
        <v>0</v>
      </c>
      <c r="R42" s="88">
        <f>COUNTIFS('23.08'!$M$15:$M$62,"&gt;0",'23.08'!$E$15:$E$62,H42)</f>
        <v>0</v>
      </c>
      <c r="S42" s="88">
        <f>SUMIF('30.08'!$E$15:$E$66,H42,'30.08'!$M$15:$M$66)</f>
        <v>0</v>
      </c>
      <c r="T42" s="88">
        <f>COUNTIFS('30.08'!$E$15:$E$66,H42,'30.08'!$M$15:$M$66,"&gt;0")</f>
        <v>0</v>
      </c>
      <c r="U42" s="88">
        <f>sumif('06.09'!$E$15:$E$66,H42,'06.09'!$M$15:$M$66)</f>
        <v>0</v>
      </c>
      <c r="V42" s="113">
        <f>COUNTIFS('06.09'!$E$15:$E$66,H42,'06.09'!$M$15:$M$66,"&gt;0")</f>
        <v>0</v>
      </c>
      <c r="W42" s="88">
        <f>SUMIF('13.09'!$E$15:$E$65,H42,'13.09'!$M$15:$M$65)</f>
        <v>0</v>
      </c>
      <c r="X42" s="113">
        <f>COUNTIFS('13.09'!$E$15:$E$65,H42,'13.09'!$M$15:$M$65,"&gt;0")</f>
        <v>0</v>
      </c>
      <c r="Y42" s="88">
        <f>SUMIF('20.09'!$E$15:$E$68,H42,'20.09'!$M$15:$M$68)</f>
        <v>0</v>
      </c>
      <c r="Z42" s="113">
        <f>COUNTIFS('20.09'!$E$15:$E$68,H42,'20.09'!$M$15:$M$68,"&gt;0")</f>
        <v>0</v>
      </c>
      <c r="AA42" s="88">
        <f>SUMIF('27.09'!$E$15:$E$68,H42,'27.09'!$M$15:$M$68)</f>
        <v>0</v>
      </c>
      <c r="AB42" s="113">
        <f>COUNTIFS('27.09'!$E$15:$E$68,H42,'27.09'!$M$15:$M$68,"&gt;0")</f>
        <v>0</v>
      </c>
      <c r="AC42" s="88">
        <f>SUMIF('04.10'!$E$15:$E$71,H42,'04.10'!$M$15:$M$71)</f>
        <v>0</v>
      </c>
      <c r="AD42" s="113">
        <f>COUNTIFS('04.10'!$E$15:$E$71,H42,'04.10'!$M$15:$M$71,"&gt;0")</f>
        <v>0</v>
      </c>
      <c r="AE42" s="88">
        <f>SUMIF('11.10'!$E$15:$E$76,H42,'11.10'!$M$15:$M$76)</f>
        <v>0</v>
      </c>
      <c r="AF42" s="113">
        <f>COUNTIFS('11.10'!$E$15:$E$76,H42,'11.10'!$L$15:$L$76,"&gt;0")</f>
        <v>0</v>
      </c>
      <c r="AG42" s="113">
        <f>SUMIF('18.10'!$E$15:$E$76,H42,'18.10'!$M$15:$M$76)</f>
        <v>0</v>
      </c>
      <c r="AH42" s="113">
        <f>COUNTIFS('18.10'!$E$15:$E$76,H42,'18.10'!$L$15:$L$76,"&gt;0")</f>
        <v>0</v>
      </c>
      <c r="AI42" s="113">
        <f>SUMIF('25.10'!$E$15:$E$78,H42,'25.10'!$M$15:$M$78)</f>
        <v>0</v>
      </c>
      <c r="AJ42" s="113">
        <f>COUNTIFS('25.10'!$E$15:$E$78,H42,'25.10'!$L$15:$L$78,"&gt;0")</f>
        <v>0</v>
      </c>
      <c r="AK42" s="113">
        <f>SUMIF('01.11'!$E$15:$E$77,H42,'01.11'!$M$15:$M$77)</f>
        <v>0</v>
      </c>
      <c r="AL42" s="113">
        <f>COUNTIFS('01.11'!$E$15:$E$77,H42,'01.11'!$M$15:$M$77,"&gt;0")</f>
        <v>0</v>
      </c>
      <c r="AM42" s="113">
        <f>SUMIF('08.11'!$E$15:$E$67,H42,'08.11'!$M$15:$M$67)</f>
        <v>0</v>
      </c>
      <c r="AN42" s="113">
        <f>COUNTIFS('08.11'!$E$15:$E$67,H42,'08.11'!$M$15:$M$67,"&gt;0")</f>
        <v>0</v>
      </c>
      <c r="AO42" s="113">
        <f>SUMIF('15.11'!$E$15:$E$71,H42,'15.11'!$M$15:$M$71)</f>
        <v>0</v>
      </c>
      <c r="AP42" s="113">
        <f>COUNTIFS('15.11'!$E$15:$E$71,H42,'15.11'!$M$15:$M$71,"&gt;0")</f>
        <v>0</v>
      </c>
      <c r="AQ42" s="113">
        <f>SUMIF('22.11'!$E$15:$E$78,H42,'22.11'!$M$15:$M$78)</f>
        <v>0</v>
      </c>
      <c r="AR42" s="113">
        <f>COUNTIFS('22.11'!$E$15:$E$78,H42,'22.11'!$M$15:$M$78,"&gt;0")</f>
        <v>0</v>
      </c>
      <c r="AS42" s="113">
        <f>SUMIF('29.11'!$E$15:$E$79,H42,'29.11'!$M$15:$M$79)</f>
        <v>0</v>
      </c>
      <c r="AT42" s="113">
        <f>COUNTIFS('29.11'!$E$15:$E$79,H42,'29.11'!$L$15:$L$79,"&gt;0")</f>
        <v>0</v>
      </c>
      <c r="AU42" s="113">
        <f>SUMIF('06.12'!$E$15:$E$82,H42,'06.12'!$M$15:$M$82)</f>
        <v>0</v>
      </c>
      <c r="AV42" s="113">
        <f>COUNTIFS('06.12'!$E$15:$E$82,H42,'06.12'!$M$15:$M$82,"&gt;0")</f>
        <v>0</v>
      </c>
      <c r="AW42" s="113">
        <f>SUMIF('13.12'!$E$15:$E$82,H42,'13.12'!$M$15:$M$82)</f>
        <v>0</v>
      </c>
      <c r="AX42" s="113">
        <f>COUNTIFS('13.12'!$E$15:$E$82,H42,'13.12'!$M$15:$M$82,"&gt;0")</f>
        <v>0</v>
      </c>
      <c r="AY42" s="113">
        <f>SUMIF('20.12'!$E$15:$E$84,H42,'20.12'!$M$15:$M$84)</f>
        <v>0</v>
      </c>
      <c r="AZ42" s="113">
        <f>COUNTIFS('20.12'!$E$15:$E$84,H42,'20.12'!$M$15:$M$84,"&gt;0")</f>
        <v>0</v>
      </c>
      <c r="BA42" s="113">
        <f>SUMIF('27.12'!$E$15:$E$84,H42,'27.12'!$M$15:$M$84)</f>
        <v>0</v>
      </c>
      <c r="BB42" s="113">
        <f>COUNTIFS('27.12'!$E$15:$E$84,H42,'27.12'!$M$15:$M$84,"&gt;0")</f>
        <v>0</v>
      </c>
      <c r="BC42" s="113">
        <f>SUMIF('03.01'!$E$15:$E$88,H42,'03.01'!$M$15:$M$88)</f>
        <v>0</v>
      </c>
      <c r="BD42" s="113">
        <f>COUNTIFS('03.01'!$E$15:$E$88,H42,'03.01'!$M$15:$M$88,"&gt;0")</f>
        <v>0</v>
      </c>
      <c r="BE42" s="113">
        <f>SUMIF('10.01'!$E$15:$E$91,H42,'10.01'!$M$15:$M$91)</f>
        <v>0</v>
      </c>
      <c r="BF42" s="113">
        <f>COUNTIFS('10.01'!$E$15:$E$91,H42,'10.01'!$M$15:$M$91,"&gt;0")</f>
        <v>0</v>
      </c>
      <c r="BG42" s="113">
        <f>SUMIF('17.01'!$E$15:$E$87,H42,'17.01'!$M$15:$M$87)</f>
        <v>0</v>
      </c>
      <c r="BH42" s="113">
        <f>COUNTIFS('17.01'!$E$15:$E$87,H42,'17.01'!$M$15:$M$87,"&gt;0")</f>
        <v>0</v>
      </c>
      <c r="BI42" s="113">
        <f>SUMIF('24.01'!$E$15:$E$86,H42,'24.01'!$M$15:$M$86)</f>
        <v>0</v>
      </c>
      <c r="BJ42" s="113">
        <f>COUNTIFS('24.01'!$E$15:$E$86,H42,'24.01'!$M$15:$M$86,"&gt;0")</f>
        <v>0</v>
      </c>
      <c r="BK42" s="113">
        <f>SUMIF('31.01'!$E$15:$E$75,H42,'31.01'!$M$15:$M$75)</f>
        <v>0</v>
      </c>
      <c r="BL42" s="113">
        <f>COUNTIFS('31.01'!$E$15:$E$75,H42,'31.01'!$M$15:$M$75,"&gt;0")</f>
        <v>0</v>
      </c>
      <c r="BM42" s="113">
        <f>SUMIF('07.02'!$E$15:$E$77,H42,'07.02'!$M$15:$M$77)</f>
        <v>0</v>
      </c>
      <c r="BN42" s="113">
        <f>COUNTIFS('07.02'!$E$15:$E$77,H42,'07.02'!$M$15:$M$77,"&gt;0")</f>
        <v>0</v>
      </c>
      <c r="BO42" s="113">
        <f>SUMIF('14.02'!$E$15:$E$81,H42,'14.02'!$M$15:$M$81)</f>
        <v>0</v>
      </c>
      <c r="BP42" s="113">
        <f>COUNTIFS('14.02'!$E$15:$E$81,H42,'14.02'!$M$15:$M$81,"&gt;0")</f>
        <v>0</v>
      </c>
      <c r="BQ42" s="113">
        <f>SUMIF('21.02'!$E$15:$E$82,H42,'21.02'!$M$15:$M$82)</f>
        <v>0</v>
      </c>
      <c r="BR42" s="113">
        <f>COUNTIFS('21.02'!$E$15:$E$82,H42,'21.02'!$M$15:$M$82,"&gt;0")</f>
        <v>0</v>
      </c>
      <c r="BS42" s="113"/>
      <c r="BT42" s="113"/>
      <c r="BU42" s="113"/>
      <c r="BV42" s="113"/>
      <c r="BW42" s="113"/>
      <c r="BX42" s="113"/>
      <c r="BY42" s="113"/>
      <c r="BZ42" s="113"/>
    </row>
    <row r="43">
      <c r="H43" s="185" t="s">
        <v>418</v>
      </c>
      <c r="I43" s="88">
        <f>SUMIF('26.07'!$E$15:$E$74,H43,'26.07'!$M$15:$M$74)</f>
        <v>0</v>
      </c>
      <c r="J43" s="88">
        <f>COUNTIFS('26.07'!$E$15:$E$74,H43,'26.07'!$L$15:$L$74,"&gt;0")</f>
        <v>0</v>
      </c>
      <c r="K43" s="88">
        <f>SUMIF('02.08'!$E$15:$E$73,H43,'02.08'!$M$15:$M$73)</f>
        <v>0</v>
      </c>
      <c r="L43" s="88">
        <f>COUNTIFS('02.08'!$E$15:$E$73,H43,'02.08'!$L$15:$L$73,"&gt;0")</f>
        <v>0</v>
      </c>
      <c r="M43" s="88">
        <f>SUMIF('09.08'!$E$15:$E$71,H43,'09.08'!$M$15:$M$71)</f>
        <v>0</v>
      </c>
      <c r="N43" s="88">
        <f>COUNTIFS('09.08'!$E$15:$E$71,H43,'09.08'!$L$15:$L$71,"&gt;0")</f>
        <v>0</v>
      </c>
      <c r="O43" s="88">
        <f>sumif('16.08 '!$E$15:$E$65,H43,'16.08 '!$M$15:$M$65)</f>
        <v>0</v>
      </c>
      <c r="P43" s="88">
        <f>COUNTIFs('16.08 '!$E$15:$E$65,H43,'16.08 '!$L$15:$L$65,"&gt;0")</f>
        <v>0</v>
      </c>
      <c r="Q43" s="88">
        <f>sumif('23.08'!$E$15:$E$62,H43,'23.08'!$M$15:$M$62)</f>
        <v>0</v>
      </c>
      <c r="R43" s="88">
        <f>COUNTIFS('23.08'!$M$15:$M$62,"&gt;0",'23.08'!$E$15:$E$62,H43)</f>
        <v>0</v>
      </c>
      <c r="S43" s="88">
        <f>SUMIF('30.08'!$E$15:$E$66,H43,'30.08'!$M$15:$M$66)</f>
        <v>0</v>
      </c>
      <c r="T43" s="88">
        <f>COUNTIFS('30.08'!$E$15:$E$66,H43,'30.08'!$M$15:$M$66,"&gt;0")</f>
        <v>0</v>
      </c>
      <c r="U43" s="88">
        <f>sumif('06.09'!$E$15:$E$66,H43,'06.09'!$M$15:$M$66)</f>
        <v>0</v>
      </c>
      <c r="V43" s="113">
        <f>COUNTIFS('06.09'!$E$15:$E$66,H43,'06.09'!$M$15:$M$66,"&gt;0")</f>
        <v>0</v>
      </c>
      <c r="W43" s="88">
        <f>SUMIF('13.09'!$E$15:$E$65,H43,'13.09'!$M$15:$M$65)</f>
        <v>0</v>
      </c>
      <c r="X43" s="113">
        <f>COUNTIFS('13.09'!$E$15:$E$65,H43,'13.09'!$M$15:$M$65,"&gt;0")</f>
        <v>0</v>
      </c>
      <c r="Y43" s="88">
        <f>SUMIF('20.09'!$E$15:$E$68,H43,'20.09'!$M$15:$M$68)</f>
        <v>0</v>
      </c>
      <c r="Z43" s="113">
        <f>COUNTIFS('20.09'!$E$15:$E$68,H43,'20.09'!$M$15:$M$68,"&gt;0")</f>
        <v>0</v>
      </c>
      <c r="AA43" s="88">
        <f>SUMIF('27.09'!$E$15:$E$68,H43,'27.09'!$M$15:$M$68)</f>
        <v>0</v>
      </c>
      <c r="AB43" s="113">
        <f>COUNTIFS('27.09'!$E$15:$E$68,H43,'27.09'!$M$15:$M$68,"&gt;0")</f>
        <v>0</v>
      </c>
      <c r="AC43" s="88">
        <f>SUMIF('04.10'!$E$15:$E$71,H43,'04.10'!$M$15:$M$71)</f>
        <v>0</v>
      </c>
      <c r="AD43" s="113">
        <f>COUNTIFS('04.10'!$E$15:$E$71,H43,'04.10'!$M$15:$M$71,"&gt;0")</f>
        <v>0</v>
      </c>
      <c r="AE43" s="88">
        <f>SUMIF('11.10'!$E$15:$E$76,H43,'11.10'!$M$15:$M$76)</f>
        <v>0</v>
      </c>
      <c r="AF43" s="113">
        <f>COUNTIFS('11.10'!$E$15:$E$76,H43,'11.10'!$L$15:$L$76,"&gt;0")</f>
        <v>0</v>
      </c>
      <c r="AG43" s="113">
        <f>SUMIF('18.10'!$E$15:$E$76,H43,'18.10'!$M$15:$M$76)</f>
        <v>0</v>
      </c>
      <c r="AH43" s="113">
        <f>COUNTIFS('18.10'!$E$15:$E$76,H43,'18.10'!$L$15:$L$76,"&gt;0")</f>
        <v>0</v>
      </c>
      <c r="AI43" s="113">
        <f>SUMIF('25.10'!$E$15:$E$78,H43,'25.10'!$M$15:$M$78)</f>
        <v>0</v>
      </c>
      <c r="AJ43" s="113">
        <f>COUNTIFS('25.10'!$E$15:$E$78,H43,'25.10'!$L$15:$L$78,"&gt;0")</f>
        <v>0</v>
      </c>
      <c r="AK43" s="113">
        <f>SUMIF('01.11'!$E$15:$E$77,H43,'01.11'!$M$15:$M$77)</f>
        <v>0</v>
      </c>
      <c r="AL43" s="113">
        <f>COUNTIFS('01.11'!$E$15:$E$77,H43,'01.11'!$M$15:$M$77,"&gt;0")</f>
        <v>0</v>
      </c>
      <c r="AM43" s="113">
        <f>SUMIF('08.11'!$E$15:$E$67,H43,'08.11'!$M$15:$M$67)</f>
        <v>0</v>
      </c>
      <c r="AN43" s="113">
        <f>COUNTIFS('08.11'!$E$15:$E$67,H43,'08.11'!$M$15:$M$67,"&gt;0")</f>
        <v>0</v>
      </c>
      <c r="AO43" s="113">
        <f>SUMIF('15.11'!$E$15:$E$71,H43,'15.11'!$M$15:$M$71)</f>
        <v>12</v>
      </c>
      <c r="AP43" s="113">
        <f>COUNTIFS('15.11'!$E$15:$E$71,H43,'15.11'!$M$15:$M$71,"&gt;0")</f>
        <v>1</v>
      </c>
      <c r="AQ43" s="113">
        <f>SUMIF('22.11'!$E$15:$E$78,H43,'22.11'!$M$15:$M$78)</f>
        <v>16</v>
      </c>
      <c r="AR43" s="113">
        <f>COUNTIFS('22.11'!$E$15:$E$78,H43,'22.11'!$M$15:$M$78,"&gt;0")</f>
        <v>1</v>
      </c>
      <c r="AS43" s="113">
        <f>SUMIF('29.11'!$E$15:$E$79,H43,'29.11'!$M$15:$M$79)</f>
        <v>4</v>
      </c>
      <c r="AT43" s="113">
        <f>COUNTIFS('29.11'!$E$15:$E$79,H43,'29.11'!$L$15:$L$79,"&gt;0")</f>
        <v>1</v>
      </c>
      <c r="AU43" s="113">
        <f>SUMIF('06.12'!$E$15:$E$82,H43,'06.12'!$M$15:$M$82)</f>
        <v>16</v>
      </c>
      <c r="AV43" s="113">
        <f>COUNTIFS('06.12'!$E$15:$E$82,H43,'06.12'!$M$15:$M$82,"&gt;0")</f>
        <v>1</v>
      </c>
      <c r="AW43" s="113">
        <f>SUMIF('13.12'!$E$15:$E$82,H43,'13.12'!$M$15:$M$82)</f>
        <v>16</v>
      </c>
      <c r="AX43" s="113">
        <f>COUNTIFS('13.12'!$E$15:$E$82,H43,'13.12'!$M$15:$M$82,"&gt;0")</f>
        <v>1</v>
      </c>
      <c r="AY43" s="113">
        <f>SUMIF('20.12'!$E$15:$E$84,H43,'20.12'!$M$15:$M$84)</f>
        <v>16</v>
      </c>
      <c r="AZ43" s="113">
        <f>COUNTIFS('20.12'!$E$15:$E$84,H43,'20.12'!$M$15:$M$84,"&gt;0")</f>
        <v>1</v>
      </c>
      <c r="BA43" s="113">
        <f>SUMIF('27.12'!$E$15:$E$84,H43,'27.12'!$M$15:$M$84)</f>
        <v>0</v>
      </c>
      <c r="BB43" s="113">
        <f>COUNTIFS('27.12'!$E$15:$E$84,H43,'27.12'!$M$15:$M$84,"&gt;0")</f>
        <v>0</v>
      </c>
      <c r="BC43" s="113">
        <f>SUMIF('03.01'!$E$15:$E$88,H43,'03.01'!$M$15:$M$88)</f>
        <v>0</v>
      </c>
      <c r="BD43" s="113">
        <f>COUNTIFS('03.01'!$E$15:$E$88,H43,'03.01'!$M$15:$M$88,"&gt;0")</f>
        <v>0</v>
      </c>
      <c r="BE43" s="113">
        <f>SUMIF('10.01'!$E$15:$E$91,H43,'10.01'!$M$15:$M$91)</f>
        <v>0</v>
      </c>
      <c r="BF43" s="113">
        <f>COUNTIFS('10.01'!$E$15:$E$91,H43,'10.01'!$M$15:$M$91,"&gt;0")</f>
        <v>0</v>
      </c>
      <c r="BG43" s="113">
        <f>SUMIF('17.01'!$E$15:$E$87,H43,'17.01'!$M$15:$M$87)</f>
        <v>0</v>
      </c>
      <c r="BH43" s="113">
        <f>COUNTIFS('17.01'!$E$15:$E$87,H43,'17.01'!$M$15:$M$87,"&gt;0")</f>
        <v>0</v>
      </c>
      <c r="BI43" s="113">
        <f>SUMIF('24.01'!$E$15:$E$86,H43,'24.01'!$M$15:$M$86)</f>
        <v>0</v>
      </c>
      <c r="BJ43" s="113">
        <f>COUNTIFS('24.01'!$E$15:$E$86,H43,'24.01'!$M$15:$M$86,"&gt;0")</f>
        <v>0</v>
      </c>
      <c r="BK43" s="113">
        <f>SUMIF('31.01'!$E$15:$E$75,H43,'31.01'!$M$15:$M$75)</f>
        <v>12</v>
      </c>
      <c r="BL43" s="113">
        <f>COUNTIFS('31.01'!$E$15:$E$75,H43,'31.01'!$M$15:$M$75,"&gt;0")</f>
        <v>1</v>
      </c>
      <c r="BM43" s="113">
        <f>SUMIF('07.02'!$E$15:$E$77,H43,'07.02'!$M$15:$M$77)</f>
        <v>12</v>
      </c>
      <c r="BN43" s="113">
        <f>COUNTIFS('07.02'!$E$15:$E$77,H43,'07.02'!$M$15:$M$77,"&gt;0")</f>
        <v>1</v>
      </c>
      <c r="BO43" s="113">
        <f>SUMIF('14.02'!$E$15:$E$81,H43,'14.02'!$M$15:$M$81)</f>
        <v>12</v>
      </c>
      <c r="BP43" s="113">
        <f>COUNTIFS('14.02'!$E$15:$E$81,H43,'14.02'!$M$15:$M$81,"&gt;0")</f>
        <v>1</v>
      </c>
      <c r="BQ43" s="113">
        <f>SUMIF('21.02'!$E$15:$E$82,H43,'21.02'!$M$15:$M$82)</f>
        <v>0</v>
      </c>
      <c r="BR43" s="113">
        <f>COUNTIFS('21.02'!$E$15:$E$82,H43,'21.02'!$M$15:$M$82,"&gt;0")</f>
        <v>0</v>
      </c>
      <c r="BS43" s="113"/>
      <c r="BT43" s="113"/>
      <c r="BU43" s="113"/>
      <c r="BV43" s="113"/>
      <c r="BW43" s="113"/>
      <c r="BX43" s="113"/>
      <c r="BY43" s="113"/>
      <c r="BZ43" s="113"/>
    </row>
    <row r="44">
      <c r="H44" s="185" t="s">
        <v>431</v>
      </c>
      <c r="I44" s="88">
        <f>SUMIF('26.07'!$E$15:$E$74,H44,'26.07'!$M$15:$M$74)</f>
        <v>0</v>
      </c>
      <c r="J44" s="88">
        <f>COUNTIFS('26.07'!$E$15:$E$74,H44,'26.07'!$L$15:$L$74,"&gt;0")</f>
        <v>0</v>
      </c>
      <c r="K44" s="88">
        <f>SUMIF('02.08'!$E$15:$E$73,H44,'02.08'!$M$15:$M$73)</f>
        <v>0</v>
      </c>
      <c r="L44" s="88">
        <f>COUNTIFS('02.08'!$E$15:$E$73,H44,'02.08'!$L$15:$L$73,"&gt;0")</f>
        <v>0</v>
      </c>
      <c r="M44" s="88">
        <f>SUMIF('09.08'!$E$15:$E$71,H44,'09.08'!$M$15:$M$71)</f>
        <v>0</v>
      </c>
      <c r="N44" s="88">
        <f>COUNTIFS('09.08'!$E$15:$E$71,H44,'09.08'!$L$15:$L$71,"&gt;0")</f>
        <v>0</v>
      </c>
      <c r="O44" s="88">
        <f>sumif('16.08 '!$E$15:$E$65,H44,'16.08 '!$M$15:$M$65)</f>
        <v>0</v>
      </c>
      <c r="P44" s="88">
        <f>COUNTIFs('16.08 '!$E$15:$E$65,H44,'16.08 '!$L$15:$L$65,"&gt;0")</f>
        <v>0</v>
      </c>
      <c r="Q44" s="88">
        <f>sumif('23.08'!$E$15:$E$62,H44,'23.08'!$M$15:$M$62)</f>
        <v>0</v>
      </c>
      <c r="R44" s="88">
        <f>COUNTIFS('23.08'!$M$15:$M$62,"&gt;0",'23.08'!$E$15:$E$62,H44)</f>
        <v>0</v>
      </c>
      <c r="S44" s="88">
        <f>SUMIF('30.08'!$E$15:$E$66,H44,'30.08'!$M$15:$M$66)</f>
        <v>0</v>
      </c>
      <c r="T44" s="88">
        <f>COUNTIFS('30.08'!$E$15:$E$66,H44,'30.08'!$M$15:$M$66,"&gt;0")</f>
        <v>0</v>
      </c>
      <c r="U44" s="88">
        <f>sumif('06.09'!$E$15:$E$66,H44,'06.09'!$M$15:$M$66)</f>
        <v>0</v>
      </c>
      <c r="V44" s="113">
        <f>COUNTIFS('06.09'!$E$15:$E$66,H44,'06.09'!$M$15:$M$66,"&gt;0")</f>
        <v>0</v>
      </c>
      <c r="W44" s="88">
        <f>SUMIF('13.09'!$E$15:$E$65,H44,'13.09'!$M$15:$M$65)</f>
        <v>0</v>
      </c>
      <c r="X44" s="113">
        <f>COUNTIFS('13.09'!$E$15:$E$65,H44,'13.09'!$M$15:$M$65,"&gt;0")</f>
        <v>0</v>
      </c>
      <c r="Y44" s="88">
        <f>SUMIF('20.09'!$E$15:$E$68,H44,'20.09'!$M$15:$M$68)</f>
        <v>20</v>
      </c>
      <c r="Z44" s="113">
        <f>COUNTIFS('20.09'!$E$15:$E$68,H44,'20.09'!$M$15:$M$68,"&gt;0")</f>
        <v>1</v>
      </c>
      <c r="AA44" s="88">
        <f>SUMIF('27.09'!$E$15:$E$68,H44,'27.09'!$M$15:$M$68)</f>
        <v>16</v>
      </c>
      <c r="AB44" s="113">
        <f>COUNTIFS('27.09'!$E$15:$E$68,H44,'27.09'!$M$15:$M$68,"&gt;0")</f>
        <v>1</v>
      </c>
      <c r="AC44" s="88">
        <f>SUMIF('04.10'!$E$15:$E$71,H44,'04.10'!$M$15:$M$71)</f>
        <v>20</v>
      </c>
      <c r="AD44" s="113">
        <f>COUNTIFS('04.10'!$E$15:$E$71,H44,'04.10'!$M$15:$M$71,"&gt;0")</f>
        <v>1</v>
      </c>
      <c r="AE44" s="88">
        <f>SUMIF('11.10'!$E$15:$E$76,H44,'11.10'!$M$15:$M$76)</f>
        <v>16</v>
      </c>
      <c r="AF44" s="113">
        <f>COUNTIFS('11.10'!$E$15:$E$76,H44,'11.10'!$L$15:$L$76,"&gt;0")</f>
        <v>1</v>
      </c>
      <c r="AG44" s="113">
        <f>SUMIF('18.10'!$E$15:$E$76,H44,'18.10'!$M$15:$M$76)</f>
        <v>8</v>
      </c>
      <c r="AH44" s="113">
        <f>COUNTIFS('18.10'!$E$15:$E$76,H44,'18.10'!$L$15:$L$76,"&gt;0")</f>
        <v>1</v>
      </c>
      <c r="AI44" s="113">
        <f>SUMIF('25.10'!$E$15:$E$78,H44,'25.10'!$M$15:$M$78)</f>
        <v>8</v>
      </c>
      <c r="AJ44" s="113">
        <f>COUNTIFS('25.10'!$E$15:$E$78,H44,'25.10'!$L$15:$L$78,"&gt;0")</f>
        <v>1</v>
      </c>
      <c r="AK44" s="113">
        <f>SUMIF('01.11'!$E$15:$E$77,H44,'01.11'!$M$15:$M$77)</f>
        <v>8</v>
      </c>
      <c r="AL44" s="113">
        <f>COUNTIFS('01.11'!$E$15:$E$77,H44,'01.11'!$M$15:$M$77,"&gt;0")</f>
        <v>1</v>
      </c>
      <c r="AM44" s="113">
        <f>SUMIF('08.11'!$E$15:$E$67,H44,'08.11'!$M$15:$M$67)</f>
        <v>8</v>
      </c>
      <c r="AN44" s="113">
        <f>COUNTIFS('08.11'!$E$15:$E$67,H44,'08.11'!$M$15:$M$67,"&gt;0")</f>
        <v>1</v>
      </c>
      <c r="AO44" s="113">
        <f>SUMIF('15.11'!$E$15:$E$71,H44,'15.11'!$M$15:$M$71)</f>
        <v>0</v>
      </c>
      <c r="AP44" s="113">
        <f>COUNTIFS('15.11'!$E$15:$E$71,H44,'15.11'!$M$15:$M$71,"&gt;0")</f>
        <v>0</v>
      </c>
      <c r="AQ44" s="113">
        <f>SUMIF('22.11'!$E$15:$E$78,H44,'22.11'!$M$15:$M$78)</f>
        <v>8</v>
      </c>
      <c r="AR44" s="113">
        <f>COUNTIFS('22.11'!$E$15:$E$78,H44,'22.11'!$M$15:$M$78,"&gt;0")</f>
        <v>1</v>
      </c>
      <c r="AS44" s="113">
        <f>SUMIF('29.11'!$E$15:$E$79,H44,'29.11'!$M$15:$M$79)</f>
        <v>4</v>
      </c>
      <c r="AT44" s="113">
        <f>COUNTIFS('29.11'!$E$15:$E$79,H44,'29.11'!$L$15:$L$79,"&gt;0")</f>
        <v>1</v>
      </c>
      <c r="AU44" s="113">
        <f>SUMIF('06.12'!$E$15:$E$82,H44,'06.12'!$M$15:$M$82)</f>
        <v>0</v>
      </c>
      <c r="AV44" s="113">
        <f>COUNTIFS('06.12'!$E$15:$E$82,H44,'06.12'!$M$15:$M$82,"&gt;0")</f>
        <v>0</v>
      </c>
      <c r="AW44" s="113">
        <f>SUMIF('13.12'!$E$15:$E$82,H44,'13.12'!$M$15:$M$82)</f>
        <v>0</v>
      </c>
      <c r="AX44" s="113">
        <f>COUNTIFS('13.12'!$E$15:$E$82,H44,'13.12'!$M$15:$M$82,"&gt;0")</f>
        <v>0</v>
      </c>
      <c r="AY44" s="113">
        <f>SUMIF('20.12'!$E$15:$E$84,H44,'20.12'!$M$15:$M$84)</f>
        <v>0</v>
      </c>
      <c r="AZ44" s="113">
        <f>COUNTIFS('20.12'!$E$15:$E$84,H44,'20.12'!$M$15:$M$84,"&gt;0")</f>
        <v>0</v>
      </c>
      <c r="BA44" s="113">
        <f>SUMIF('27.12'!$E$15:$E$84,H44,'27.12'!$M$15:$M$84)</f>
        <v>0</v>
      </c>
      <c r="BB44" s="113">
        <f>COUNTIFS('27.12'!$E$15:$E$84,H44,'27.12'!$M$15:$M$84,"&gt;0")</f>
        <v>0</v>
      </c>
      <c r="BC44" s="113">
        <f>SUMIF('03.01'!$E$15:$E$88,H44,'03.01'!$M$15:$M$88)</f>
        <v>0</v>
      </c>
      <c r="BD44" s="113">
        <f>COUNTIFS('03.01'!$E$15:$E$88,H44,'03.01'!$M$15:$M$88,"&gt;0")</f>
        <v>0</v>
      </c>
      <c r="BE44" s="113">
        <f>SUMIF('10.01'!$E$15:$E$91,H44,'10.01'!$M$15:$M$91)</f>
        <v>0</v>
      </c>
      <c r="BF44" s="113">
        <f>COUNTIFS('10.01'!$E$15:$E$91,H44,'10.01'!$M$15:$M$91,"&gt;0")</f>
        <v>0</v>
      </c>
      <c r="BG44" s="113">
        <f>SUMIF('17.01'!$E$15:$E$87,H44,'17.01'!$M$15:$M$87)</f>
        <v>0</v>
      </c>
      <c r="BH44" s="113">
        <f>COUNTIFS('17.01'!$E$15:$E$87,H44,'17.01'!$M$15:$M$87,"&gt;0")</f>
        <v>0</v>
      </c>
      <c r="BI44" s="113">
        <f>SUMIF('24.01'!$E$15:$E$86,H44,'24.01'!$M$15:$M$86)</f>
        <v>0</v>
      </c>
      <c r="BJ44" s="113">
        <f>COUNTIFS('24.01'!$E$15:$E$86,H44,'24.01'!$M$15:$M$86,"&gt;0")</f>
        <v>0</v>
      </c>
      <c r="BK44" s="113">
        <f>SUMIF('31.01'!$E$15:$E$75,H44,'31.01'!$M$15:$M$75)</f>
        <v>0</v>
      </c>
      <c r="BL44" s="113">
        <f>COUNTIFS('31.01'!$E$15:$E$75,H44,'31.01'!$M$15:$M$75,"&gt;0")</f>
        <v>0</v>
      </c>
      <c r="BM44" s="113">
        <f>SUMIF('07.02'!$E$15:$E$77,H44,'07.02'!$M$15:$M$77)</f>
        <v>0</v>
      </c>
      <c r="BN44" s="113">
        <f>COUNTIFS('07.02'!$E$15:$E$77,H44,'07.02'!$M$15:$M$77,"&gt;0")</f>
        <v>0</v>
      </c>
      <c r="BO44" s="113">
        <f>SUMIF('14.02'!$E$15:$E$81,H44,'14.02'!$M$15:$M$81)</f>
        <v>0</v>
      </c>
      <c r="BP44" s="113">
        <f>COUNTIFS('14.02'!$E$15:$E$81,H44,'14.02'!$M$15:$M$81,"&gt;0")</f>
        <v>0</v>
      </c>
      <c r="BQ44" s="113">
        <f>SUMIF('21.02'!$E$15:$E$82,H44,'21.02'!$M$15:$M$82)</f>
        <v>0</v>
      </c>
      <c r="BR44" s="113">
        <f>COUNTIFS('21.02'!$E$15:$E$82,H44,'21.02'!$M$15:$M$82,"&gt;0")</f>
        <v>0</v>
      </c>
      <c r="BS44" s="113"/>
      <c r="BT44" s="113"/>
      <c r="BU44" s="113"/>
      <c r="BV44" s="113"/>
      <c r="BW44" s="113"/>
      <c r="BX44" s="113"/>
      <c r="BY44" s="113"/>
      <c r="BZ44" s="113"/>
    </row>
    <row r="45">
      <c r="H45" s="185" t="s">
        <v>432</v>
      </c>
      <c r="I45" s="88">
        <f>SUMIF('26.07'!$E$15:$E$74,H45,'26.07'!$M$15:$M$74)</f>
        <v>0</v>
      </c>
      <c r="J45" s="88">
        <f>COUNTIFS('26.07'!$E$15:$E$74,H45,'26.07'!$L$15:$L$74,"&gt;0")</f>
        <v>0</v>
      </c>
      <c r="K45" s="88">
        <f>SUMIF('02.08'!$E$15:$E$73,H45,'02.08'!$M$15:$M$73)</f>
        <v>0</v>
      </c>
      <c r="L45" s="88">
        <f>COUNTIFS('02.08'!$E$15:$E$73,H45,'02.08'!$L$15:$L$73,"&gt;0")</f>
        <v>0</v>
      </c>
      <c r="M45" s="88">
        <f>SUMIF('09.08'!$E$15:$E$71,H45,'09.08'!$M$15:$M$71)</f>
        <v>0</v>
      </c>
      <c r="N45" s="88">
        <f>COUNTIFS('09.08'!$E$15:$E$71,H45,'09.08'!$L$15:$L$71,"&gt;0")</f>
        <v>0</v>
      </c>
      <c r="O45" s="88">
        <f>sumif('16.08 '!$E$15:$E$65,H45,'16.08 '!$M$15:$M$65)</f>
        <v>0</v>
      </c>
      <c r="P45" s="88">
        <f>COUNTIFs('16.08 '!$E$15:$E$65,H45,'16.08 '!$L$15:$L$65,"&gt;0")</f>
        <v>0</v>
      </c>
      <c r="Q45" s="88">
        <f>sumif('23.08'!$E$15:$E$62,H45,'23.08'!$M$15:$M$62)</f>
        <v>0</v>
      </c>
      <c r="R45" s="88">
        <f>COUNTIFS('23.08'!$M$15:$M$62,"&gt;0",'23.08'!$E$15:$E$62,H45)</f>
        <v>0</v>
      </c>
      <c r="S45" s="88">
        <f>SUMIF('30.08'!$E$15:$E$66,H45,'30.08'!$M$15:$M$66)</f>
        <v>0</v>
      </c>
      <c r="T45" s="88">
        <f>COUNTIFS('30.08'!$E$15:$E$66,H45,'30.08'!$M$15:$M$66,"&gt;0")</f>
        <v>0</v>
      </c>
      <c r="U45" s="88">
        <f>sumif('06.09'!$E$15:$E$66,H45,'06.09'!$M$15:$M$66)</f>
        <v>0</v>
      </c>
      <c r="V45" s="113">
        <f>COUNTIFS('06.09'!$E$15:$E$66,H45,'06.09'!$M$15:$M$66,"&gt;0")</f>
        <v>0</v>
      </c>
      <c r="W45" s="88">
        <f>SUMIF('13.09'!$E$15:$E$65,H45,'13.09'!$M$15:$M$65)</f>
        <v>0</v>
      </c>
      <c r="X45" s="113">
        <f>COUNTIFS('13.09'!$E$15:$E$65,H45,'13.09'!$M$15:$M$65,"&gt;0")</f>
        <v>0</v>
      </c>
      <c r="Y45" s="88">
        <f>SUMIF('20.09'!$E$15:$E$68,H45,'20.09'!$M$15:$M$68)</f>
        <v>0</v>
      </c>
      <c r="Z45" s="113">
        <f>COUNTIFS('20.09'!$E$15:$E$68,H45,'20.09'!$M$15:$M$68,"&gt;0")</f>
        <v>0</v>
      </c>
      <c r="AA45" s="88">
        <f>SUMIF('27.09'!$E$15:$E$68,H45,'27.09'!$M$15:$M$68)</f>
        <v>0</v>
      </c>
      <c r="AB45" s="113">
        <f>COUNTIFS('27.09'!$E$15:$E$68,H45,'27.09'!$M$15:$M$68,"&gt;0")</f>
        <v>0</v>
      </c>
      <c r="AC45" s="88">
        <f>SUMIF('04.10'!$E$15:$E$71,H45,'04.10'!$M$15:$M$71)</f>
        <v>0</v>
      </c>
      <c r="AD45" s="113">
        <f>COUNTIFS('04.10'!$E$15:$E$71,H45,'04.10'!$M$15:$M$71,"&gt;0")</f>
        <v>0</v>
      </c>
      <c r="AE45" s="88">
        <f>SUMIF('11.10'!$E$15:$E$76,H45,'11.10'!$M$15:$M$76)</f>
        <v>0</v>
      </c>
      <c r="AF45" s="113">
        <f>COUNTIFS('11.10'!$E$15:$E$76,H45,'11.10'!$L$15:$L$76,"&gt;0")</f>
        <v>0</v>
      </c>
      <c r="AG45" s="113">
        <f>SUMIF('18.10'!$E$15:$E$76,H45,'18.10'!$M$15:$M$76)</f>
        <v>0</v>
      </c>
      <c r="AH45" s="113">
        <f>COUNTIFS('18.10'!$E$15:$E$76,H45,'18.10'!$L$15:$L$76,"&gt;0")</f>
        <v>0</v>
      </c>
      <c r="AI45" s="113">
        <f>SUMIF('25.10'!$E$15:$E$78,H45,'25.10'!$M$15:$M$78)</f>
        <v>0</v>
      </c>
      <c r="AJ45" s="113">
        <f>COUNTIFS('25.10'!$E$15:$E$78,H45,'25.10'!$L$15:$L$78,"&gt;0")</f>
        <v>0</v>
      </c>
      <c r="AK45" s="113">
        <f>SUMIF('01.11'!$E$15:$E$77,H45,'01.11'!$M$15:$M$77)</f>
        <v>0</v>
      </c>
      <c r="AL45" s="113">
        <f>COUNTIFS('01.11'!$E$15:$E$77,H45,'01.11'!$M$15:$M$77,"&gt;0")</f>
        <v>0</v>
      </c>
      <c r="AM45" s="113">
        <f>SUMIF('08.11'!$E$15:$E$67,H45,'08.11'!$M$15:$M$67)</f>
        <v>0</v>
      </c>
      <c r="AN45" s="113">
        <f>COUNTIFS('08.11'!$E$15:$E$67,H45,'08.11'!$M$15:$M$67,"&gt;0")</f>
        <v>0</v>
      </c>
      <c r="AO45" s="113">
        <f>SUMIF('15.11'!$E$15:$E$71,H45,'15.11'!$M$15:$M$71)</f>
        <v>0</v>
      </c>
      <c r="AP45" s="113">
        <f>COUNTIFS('15.11'!$E$15:$E$71,H45,'15.11'!$M$15:$M$71,"&gt;0")</f>
        <v>0</v>
      </c>
      <c r="AQ45" s="113">
        <f>SUMIF('22.11'!$E$15:$E$78,H45,'22.11'!$M$15:$M$78)</f>
        <v>0</v>
      </c>
      <c r="AR45" s="113">
        <f>COUNTIFS('22.11'!$E$15:$E$78,H45,'22.11'!$M$15:$M$78,"&gt;0")</f>
        <v>0</v>
      </c>
      <c r="AS45" s="113">
        <f>SUMIF('29.11'!$E$15:$E$79,H45,'29.11'!$M$15:$M$79)</f>
        <v>0</v>
      </c>
      <c r="AT45" s="113">
        <f>COUNTIFS('29.11'!$E$15:$E$79,H45,'29.11'!$L$15:$L$79,"&gt;0")</f>
        <v>0</v>
      </c>
      <c r="AU45" s="113">
        <f>SUMIF('06.12'!$E$15:$E$82,H45,'06.12'!$M$15:$M$82)</f>
        <v>0</v>
      </c>
      <c r="AV45" s="113">
        <f>COUNTIFS('06.12'!$E$15:$E$82,H45,'06.12'!$M$15:$M$82,"&gt;0")</f>
        <v>0</v>
      </c>
      <c r="AW45" s="113">
        <f>SUMIF('13.12'!$E$15:$E$82,H45,'13.12'!$M$15:$M$82)</f>
        <v>0</v>
      </c>
      <c r="AX45" s="113">
        <f>COUNTIFS('13.12'!$E$15:$E$82,H45,'13.12'!$M$15:$M$82,"&gt;0")</f>
        <v>0</v>
      </c>
      <c r="AY45" s="113">
        <f>SUMIF('20.12'!$E$15:$E$84,H45,'20.12'!$M$15:$M$84)</f>
        <v>0</v>
      </c>
      <c r="AZ45" s="113">
        <f>COUNTIFS('20.12'!$E$15:$E$84,H45,'20.12'!$M$15:$M$84,"&gt;0")</f>
        <v>0</v>
      </c>
      <c r="BA45" s="113">
        <f>SUMIF('27.12'!$E$15:$E$84,H45,'27.12'!$M$15:$M$84)</f>
        <v>0</v>
      </c>
      <c r="BB45" s="113">
        <f>COUNTIFS('27.12'!$E$15:$E$84,H45,'27.12'!$M$15:$M$84,"&gt;0")</f>
        <v>0</v>
      </c>
      <c r="BC45" s="113">
        <f>SUMIF('03.01'!$E$15:$E$88,H45,'03.01'!$M$15:$M$88)</f>
        <v>0</v>
      </c>
      <c r="BD45" s="113">
        <f>COUNTIFS('03.01'!$E$15:$E$88,H45,'03.01'!$M$15:$M$88,"&gt;0")</f>
        <v>0</v>
      </c>
      <c r="BE45" s="113">
        <f>SUMIF('10.01'!$E$15:$E$91,H45,'10.01'!$M$15:$M$91)</f>
        <v>0</v>
      </c>
      <c r="BF45" s="113">
        <f>COUNTIFS('10.01'!$E$15:$E$91,H45,'10.01'!$M$15:$M$91,"&gt;0")</f>
        <v>0</v>
      </c>
      <c r="BG45" s="113">
        <f>SUMIF('17.01'!$E$15:$E$87,H45,'17.01'!$M$15:$M$87)</f>
        <v>0</v>
      </c>
      <c r="BH45" s="113">
        <f>COUNTIFS('17.01'!$E$15:$E$87,H45,'17.01'!$M$15:$M$87,"&gt;0")</f>
        <v>0</v>
      </c>
      <c r="BI45" s="113">
        <f>SUMIF('24.01'!$E$15:$E$86,H45,'24.01'!$M$15:$M$86)</f>
        <v>0</v>
      </c>
      <c r="BJ45" s="113">
        <f>COUNTIFS('24.01'!$E$15:$E$86,H45,'24.01'!$M$15:$M$86,"&gt;0")</f>
        <v>0</v>
      </c>
      <c r="BK45" s="113">
        <f>SUMIF('31.01'!$E$15:$E$75,H45,'31.01'!$M$15:$M$75)</f>
        <v>0</v>
      </c>
      <c r="BL45" s="113">
        <f>COUNTIFS('31.01'!$E$15:$E$75,H45,'31.01'!$M$15:$M$75,"&gt;0")</f>
        <v>0</v>
      </c>
      <c r="BM45" s="113">
        <f>SUMIF('07.02'!$E$15:$E$77,H45,'07.02'!$M$15:$M$77)</f>
        <v>0</v>
      </c>
      <c r="BN45" s="113">
        <f>COUNTIFS('07.02'!$E$15:$E$77,H45,'07.02'!$M$15:$M$77,"&gt;0")</f>
        <v>0</v>
      </c>
      <c r="BO45" s="113">
        <f>SUMIF('14.02'!$E$15:$E$81,H45,'14.02'!$M$15:$M$81)</f>
        <v>0</v>
      </c>
      <c r="BP45" s="113">
        <f>COUNTIFS('14.02'!$E$15:$E$81,H45,'14.02'!$M$15:$M$81,"&gt;0")</f>
        <v>0</v>
      </c>
      <c r="BQ45" s="113">
        <f>SUMIF('21.02'!$E$15:$E$82,H45,'21.02'!$M$15:$M$82)</f>
        <v>0</v>
      </c>
      <c r="BR45" s="113">
        <f>COUNTIFS('21.02'!$E$15:$E$82,H45,'21.02'!$M$15:$M$82,"&gt;0")</f>
        <v>0</v>
      </c>
      <c r="BS45" s="113"/>
      <c r="BT45" s="113"/>
      <c r="BU45" s="113"/>
      <c r="BV45" s="113"/>
      <c r="BW45" s="113"/>
      <c r="BX45" s="113"/>
      <c r="BY45" s="113"/>
      <c r="BZ45" s="113"/>
    </row>
    <row r="46">
      <c r="H46" s="185" t="s">
        <v>301</v>
      </c>
      <c r="I46" s="88">
        <f>SUMIF('26.07'!$E$15:$E$74,H46,'26.07'!$M$15:$M$74)</f>
        <v>16</v>
      </c>
      <c r="J46" s="88">
        <f>COUNTIFS('26.07'!$E$15:$E$74,H46,'26.07'!$L$15:$L$74,"&gt;0")</f>
        <v>1</v>
      </c>
      <c r="K46" s="88">
        <f>SUMIF('02.08'!$E$15:$E$73,H46,'02.08'!$M$15:$M$73)</f>
        <v>16</v>
      </c>
      <c r="L46" s="88">
        <f>COUNTIFS('02.08'!$E$15:$E$73,H46,'02.08'!$L$15:$L$73,"&gt;0")</f>
        <v>1</v>
      </c>
      <c r="M46" s="88">
        <f>SUMIF('09.08'!$E$15:$E$71,H46,'09.08'!$M$15:$M$71)</f>
        <v>8</v>
      </c>
      <c r="N46" s="88">
        <f>COUNTIFS('09.08'!$E$15:$E$71,H46,'09.08'!$L$15:$L$71,"&gt;0")</f>
        <v>1</v>
      </c>
      <c r="O46" s="88">
        <f>sumif('16.08 '!$E$15:$E$65,H46,'16.08 '!$M$15:$M$65)</f>
        <v>12</v>
      </c>
      <c r="P46" s="88">
        <f>COUNTIFs('16.08 '!$E$15:$E$65,H46,'16.08 '!$L$15:$L$65,"&gt;0")</f>
        <v>1</v>
      </c>
      <c r="Q46" s="88">
        <f>sumif('23.08'!$E$15:$E$62,H46,'23.08'!$M$15:$M$62)</f>
        <v>8</v>
      </c>
      <c r="R46" s="88">
        <f>COUNTIFS('23.08'!$M$15:$M$62,"&gt;0",'23.08'!$E$15:$E$62,H46)</f>
        <v>1</v>
      </c>
      <c r="S46" s="88">
        <f>SUMIF('30.08'!$E$15:$E$66,H46,'30.08'!$M$15:$M$66)</f>
        <v>0</v>
      </c>
      <c r="T46" s="88">
        <f>COUNTIFS('30.08'!$E$15:$E$66,H46,'30.08'!$M$15:$M$66,"&gt;0")</f>
        <v>0</v>
      </c>
      <c r="U46" s="88">
        <f>sumif('06.09'!$E$15:$E$66,H46,'06.09'!$M$15:$M$66)</f>
        <v>0</v>
      </c>
      <c r="V46" s="113">
        <f>COUNTIFS('06.09'!$E$15:$E$66,H46,'06.09'!$M$15:$M$66,"&gt;0")</f>
        <v>0</v>
      </c>
      <c r="W46" s="88">
        <f>SUMIF('13.09'!$E$15:$E$65,H46,'13.09'!$M$15:$M$65)</f>
        <v>0</v>
      </c>
      <c r="X46" s="113">
        <f>COUNTIFS('13.09'!$E$15:$E$65,H46,'13.09'!$M$15:$M$65,"&gt;0")</f>
        <v>0</v>
      </c>
      <c r="Y46" s="88">
        <f>SUMIF('20.09'!$E$15:$E$68,H46,'20.09'!$M$15:$M$68)</f>
        <v>0</v>
      </c>
      <c r="Z46" s="113">
        <f>COUNTIFS('20.09'!$E$15:$E$68,H46,'20.09'!$M$15:$M$68,"&gt;0")</f>
        <v>0</v>
      </c>
      <c r="AA46" s="88">
        <f>SUMIF('27.09'!$E$15:$E$68,H46,'27.09'!$M$15:$M$68)</f>
        <v>0</v>
      </c>
      <c r="AB46" s="113">
        <f>COUNTIFS('27.09'!$E$15:$E$68,H46,'27.09'!$M$15:$M$68,"&gt;0")</f>
        <v>0</v>
      </c>
      <c r="AC46" s="88">
        <f>SUMIF('04.10'!$E$15:$E$71,H46,'04.10'!$M$15:$M$71)</f>
        <v>0</v>
      </c>
      <c r="AD46" s="113">
        <f>COUNTIFS('04.10'!$E$15:$E$71,H46,'04.10'!$M$15:$M$71,"&gt;0")</f>
        <v>0</v>
      </c>
      <c r="AE46" s="88">
        <f>SUMIF('11.10'!$E$15:$E$76,H46,'11.10'!$M$15:$M$76)</f>
        <v>0</v>
      </c>
      <c r="AF46" s="113">
        <f>COUNTIFS('11.10'!$E$15:$E$76,H46,'11.10'!$L$15:$L$76,"&gt;0")</f>
        <v>0</v>
      </c>
      <c r="AG46" s="113">
        <f>SUMIF('18.10'!$E$15:$E$76,H46,'18.10'!$M$15:$M$76)</f>
        <v>0</v>
      </c>
      <c r="AH46" s="113">
        <f>COUNTIFS('18.10'!$E$15:$E$76,H46,'18.10'!$L$15:$L$76,"&gt;0")</f>
        <v>0</v>
      </c>
      <c r="AI46" s="113">
        <f>SUMIF('25.10'!$E$15:$E$78,H46,'25.10'!$M$15:$M$78)</f>
        <v>4</v>
      </c>
      <c r="AJ46" s="113">
        <f>COUNTIFS('25.10'!$E$15:$E$78,H46,'25.10'!$L$15:$L$78,"&gt;0")</f>
        <v>1</v>
      </c>
      <c r="AK46" s="113">
        <f>SUMIF('01.11'!$E$15:$E$77,H46,'01.11'!$M$15:$M$77)</f>
        <v>8</v>
      </c>
      <c r="AL46" s="113">
        <f>COUNTIFS('01.11'!$E$15:$E$77,H46,'01.11'!$M$15:$M$77,"&gt;0")</f>
        <v>1</v>
      </c>
      <c r="AM46" s="113">
        <f>SUMIF('08.11'!$E$15:$E$67,H46,'08.11'!$M$15:$M$67)</f>
        <v>8</v>
      </c>
      <c r="AN46" s="113">
        <f>COUNTIFS('08.11'!$E$15:$E$67,H46,'08.11'!$M$15:$M$67,"&gt;0")</f>
        <v>1</v>
      </c>
      <c r="AO46" s="113">
        <f>SUMIF('15.11'!$E$15:$E$71,H46,'15.11'!$M$15:$M$71)</f>
        <v>8</v>
      </c>
      <c r="AP46" s="113">
        <f>COUNTIFS('15.11'!$E$15:$E$71,H46,'15.11'!$M$15:$M$71,"&gt;0")</f>
        <v>1</v>
      </c>
      <c r="AQ46" s="113">
        <f>SUMIF('22.11'!$E$15:$E$78,H46,'22.11'!$M$15:$M$78)</f>
        <v>4</v>
      </c>
      <c r="AR46" s="113">
        <f>COUNTIFS('22.11'!$E$15:$E$78,H46,'22.11'!$M$15:$M$78,"&gt;0")</f>
        <v>1</v>
      </c>
      <c r="AS46" s="113">
        <f>SUMIF('29.11'!$E$15:$E$79,H46,'29.11'!$M$15:$M$79)</f>
        <v>0</v>
      </c>
      <c r="AT46" s="113">
        <f>COUNTIFS('29.11'!$E$15:$E$79,H46,'29.11'!$L$15:$L$79,"&gt;0")</f>
        <v>0</v>
      </c>
      <c r="AU46" s="113">
        <f>SUMIF('06.12'!$E$15:$E$82,H46,'06.12'!$M$15:$M$82)</f>
        <v>0</v>
      </c>
      <c r="AV46" s="113">
        <f>COUNTIFS('06.12'!$E$15:$E$82,H46,'06.12'!$M$15:$M$82,"&gt;0")</f>
        <v>0</v>
      </c>
      <c r="AW46" s="113">
        <f>SUMIF('13.12'!$E$15:$E$82,H46,'13.12'!$M$15:$M$82)</f>
        <v>0</v>
      </c>
      <c r="AX46" s="113">
        <f>COUNTIFS('13.12'!$E$15:$E$82,H46,'13.12'!$M$15:$M$82,"&gt;0")</f>
        <v>0</v>
      </c>
      <c r="AY46" s="113">
        <f>SUMIF('20.12'!$E$15:$E$84,H46,'20.12'!$M$15:$M$84)</f>
        <v>0</v>
      </c>
      <c r="AZ46" s="113">
        <f>COUNTIFS('20.12'!$E$15:$E$84,H46,'20.12'!$M$15:$M$84,"&gt;0")</f>
        <v>0</v>
      </c>
      <c r="BA46" s="113">
        <f>SUMIF('27.12'!$E$15:$E$84,H46,'27.12'!$M$15:$M$84)</f>
        <v>0</v>
      </c>
      <c r="BB46" s="113">
        <f>COUNTIFS('27.12'!$E$15:$E$84,H46,'27.12'!$M$15:$M$84,"&gt;0")</f>
        <v>0</v>
      </c>
      <c r="BC46" s="113">
        <f>SUMIF('03.01'!$E$15:$E$88,H46,'03.01'!$M$15:$M$88)</f>
        <v>0</v>
      </c>
      <c r="BD46" s="113">
        <f>COUNTIFS('03.01'!$E$15:$E$88,H46,'03.01'!$M$15:$M$88,"&gt;0")</f>
        <v>0</v>
      </c>
      <c r="BE46" s="113">
        <f>SUMIF('10.01'!$E$15:$E$91,H46,'10.01'!$M$15:$M$91)</f>
        <v>0</v>
      </c>
      <c r="BF46" s="113">
        <f>COUNTIFS('10.01'!$E$15:$E$91,H46,'10.01'!$M$15:$M$91,"&gt;0")</f>
        <v>0</v>
      </c>
      <c r="BG46" s="113">
        <f>SUMIF('17.01'!$E$15:$E$87,H46,'17.01'!$M$15:$M$87)</f>
        <v>0</v>
      </c>
      <c r="BH46" s="113">
        <f>COUNTIFS('17.01'!$E$15:$E$87,H46,'17.01'!$M$15:$M$87,"&gt;0")</f>
        <v>0</v>
      </c>
      <c r="BI46" s="113">
        <f>SUMIF('24.01'!$E$15:$E$86,H46,'24.01'!$M$15:$M$86)</f>
        <v>0</v>
      </c>
      <c r="BJ46" s="113">
        <f>COUNTIFS('24.01'!$E$15:$E$86,H46,'24.01'!$M$15:$M$86,"&gt;0")</f>
        <v>0</v>
      </c>
      <c r="BK46" s="113">
        <f>SUMIF('31.01'!$E$15:$E$75,H46,'31.01'!$M$15:$M$75)</f>
        <v>0</v>
      </c>
      <c r="BL46" s="113">
        <f>COUNTIFS('31.01'!$E$15:$E$75,H46,'31.01'!$M$15:$M$75,"&gt;0")</f>
        <v>0</v>
      </c>
      <c r="BM46" s="113">
        <f>SUMIF('07.02'!$E$15:$E$77,H46,'07.02'!$M$15:$M$77)</f>
        <v>0</v>
      </c>
      <c r="BN46" s="113">
        <f>COUNTIFS('07.02'!$E$15:$E$77,H46,'07.02'!$M$15:$M$77,"&gt;0")</f>
        <v>0</v>
      </c>
      <c r="BO46" s="113">
        <f>SUMIF('14.02'!$E$15:$E$81,H46,'14.02'!$M$15:$M$81)</f>
        <v>0</v>
      </c>
      <c r="BP46" s="113">
        <f>COUNTIFS('14.02'!$E$15:$E$81,H46,'14.02'!$M$15:$M$81,"&gt;0")</f>
        <v>0</v>
      </c>
      <c r="BQ46" s="113">
        <f>SUMIF('21.02'!$E$15:$E$82,H46,'21.02'!$M$15:$M$82)</f>
        <v>0</v>
      </c>
      <c r="BR46" s="113">
        <f>COUNTIFS('21.02'!$E$15:$E$82,H46,'21.02'!$M$15:$M$82,"&gt;0")</f>
        <v>0</v>
      </c>
      <c r="BS46" s="113"/>
      <c r="BT46" s="113"/>
      <c r="BU46" s="113"/>
      <c r="BV46" s="113"/>
      <c r="BW46" s="113"/>
      <c r="BX46" s="113"/>
      <c r="BY46" s="113"/>
      <c r="BZ46" s="113"/>
    </row>
    <row r="47">
      <c r="H47" s="186" t="s">
        <v>459</v>
      </c>
      <c r="I47" s="88">
        <f>SUMIF('26.07'!$E$15:$E$74,H47,'26.07'!$M$15:$M$74)</f>
        <v>0</v>
      </c>
      <c r="J47" s="88">
        <f>COUNTIFS('26.07'!$E$15:$E$74,H47,'26.07'!$L$15:$L$74,"&gt;0")</f>
        <v>0</v>
      </c>
      <c r="K47" s="88">
        <f>SUMIF('02.08'!$E$15:$E$73,H47,'02.08'!$M$15:$M$73)</f>
        <v>0</v>
      </c>
      <c r="L47" s="88">
        <f>COUNTIFS('02.08'!$E$15:$E$73,H47,'02.08'!$L$15:$L$73,"&gt;0")</f>
        <v>0</v>
      </c>
      <c r="M47" s="88">
        <f>SUMIF('09.08'!$E$15:$E$71,H47,'09.08'!$M$15:$M$71)</f>
        <v>0</v>
      </c>
      <c r="N47" s="88">
        <f>COUNTIFS('09.08'!$E$15:$E$71,H47,'09.08'!$L$15:$L$71,"&gt;0")</f>
        <v>0</v>
      </c>
      <c r="O47" s="88">
        <f>sumif('16.08 '!$E$15:$E$65,H47,'16.08 '!$M$15:$M$65)</f>
        <v>0</v>
      </c>
      <c r="P47" s="88">
        <f>COUNTIFs('16.08 '!$E$15:$E$65,H47,'16.08 '!$L$15:$L$65,"&gt;0")</f>
        <v>0</v>
      </c>
      <c r="Q47" s="88">
        <f>sumif('23.08'!$E$15:$E$62,H47,'23.08'!$M$15:$M$62)</f>
        <v>0</v>
      </c>
      <c r="R47" s="88">
        <f>COUNTIFS('23.08'!$M$15:$M$62,"&gt;0",'23.08'!$E$15:$E$62,H47)</f>
        <v>0</v>
      </c>
      <c r="S47" s="88">
        <f>SUMIF('30.08'!$E$15:$E$66,H47,'30.08'!$M$15:$M$66)</f>
        <v>0</v>
      </c>
      <c r="T47" s="88">
        <f>COUNTIFS('30.08'!$E$15:$E$66,H47,'30.08'!$M$15:$M$66,"&gt;0")</f>
        <v>0</v>
      </c>
      <c r="U47" s="88">
        <f>sumif('06.09'!$E$15:$E$66,H47,'06.09'!$M$15:$M$66)</f>
        <v>0</v>
      </c>
      <c r="V47" s="113">
        <f>COUNTIFS('06.09'!$E$15:$E$66,H47,'06.09'!$M$15:$M$66,"&gt;0")</f>
        <v>0</v>
      </c>
      <c r="W47" s="88">
        <f>SUMIF('13.09'!$E$15:$E$65,H47,'13.09'!$M$15:$M$65)</f>
        <v>0</v>
      </c>
      <c r="X47" s="113">
        <f>COUNTIFS('13.09'!$E$15:$E$65,H47,'13.09'!$M$15:$M$65,"&gt;0")</f>
        <v>0</v>
      </c>
      <c r="Y47" s="88">
        <f>SUMIF('20.09'!$E$15:$E$68,H47,'20.09'!$M$15:$M$68)</f>
        <v>0</v>
      </c>
      <c r="Z47" s="113">
        <f>COUNTIFS('20.09'!$E$15:$E$68,H47,'20.09'!$M$15:$M$68,"&gt;0")</f>
        <v>0</v>
      </c>
      <c r="AA47" s="88">
        <f>SUMIF('27.09'!$E$15:$E$68,H47,'27.09'!$M$15:$M$68)</f>
        <v>0</v>
      </c>
      <c r="AB47" s="113">
        <f>COUNTIFS('27.09'!$E$15:$E$68,H47,'27.09'!$M$15:$M$68,"&gt;0")</f>
        <v>0</v>
      </c>
      <c r="AC47" s="88">
        <f>SUMIF('04.10'!$E$15:$E$71,H47,'04.10'!$M$15:$M$71)</f>
        <v>0</v>
      </c>
      <c r="AD47" s="113">
        <f>COUNTIFS('04.10'!$E$15:$E$71,H47,'04.10'!$M$15:$M$71,"&gt;0")</f>
        <v>0</v>
      </c>
      <c r="AE47" s="88">
        <f>SUMIF('11.10'!$E$15:$E$76,H47,'11.10'!$M$15:$M$76)</f>
        <v>0</v>
      </c>
      <c r="AF47" s="113">
        <f>COUNTIFS('11.10'!$E$15:$E$76,H47,'11.10'!$L$15:$L$76,"&gt;0")</f>
        <v>0</v>
      </c>
      <c r="AG47" s="113">
        <f>SUMIF('18.10'!$E$15:$E$76,H47,'18.10'!$M$15:$M$76)</f>
        <v>0</v>
      </c>
      <c r="AH47" s="113">
        <f>COUNTIFS('18.10'!$E$15:$E$76,H47,'18.10'!$L$15:$L$76,"&gt;0")</f>
        <v>0</v>
      </c>
      <c r="AI47" s="113">
        <f>SUMIF('25.10'!$E$15:$E$78,H47,'25.10'!$M$15:$M$78)</f>
        <v>0</v>
      </c>
      <c r="AJ47" s="113">
        <f>COUNTIFS('25.10'!$E$15:$E$78,H47,'25.10'!$L$15:$L$78,"&gt;0")</f>
        <v>0</v>
      </c>
      <c r="AK47" s="113">
        <f>SUMIF('01.11'!$E$15:$E$77,H47,'01.11'!$M$15:$M$77)</f>
        <v>0</v>
      </c>
      <c r="AL47" s="113">
        <f>COUNTIFS('01.11'!$E$15:$E$77,H47,'01.11'!$M$15:$M$77,"&gt;0")</f>
        <v>0</v>
      </c>
      <c r="AM47" s="113">
        <f>SUMIF('08.11'!$E$15:$E$67,H47,'08.11'!$M$15:$M$67)</f>
        <v>0</v>
      </c>
      <c r="AN47" s="113">
        <f>COUNTIFS('08.11'!$E$15:$E$67,H47,'08.11'!$M$15:$M$67,"&gt;0")</f>
        <v>0</v>
      </c>
      <c r="AO47" s="113">
        <f>SUMIF('15.11'!$E$15:$E$71,H47,'15.11'!$M$15:$M$71)</f>
        <v>0</v>
      </c>
      <c r="AP47" s="113">
        <f>COUNTIFS('15.11'!$E$15:$E$71,H47,'15.11'!$M$15:$M$71,"&gt;0")</f>
        <v>0</v>
      </c>
      <c r="AQ47" s="113">
        <f>SUMIF('22.11'!$E$15:$E$78,H47,'22.11'!$M$15:$M$78)</f>
        <v>0</v>
      </c>
      <c r="AR47" s="113">
        <f>COUNTIFS('22.11'!$E$15:$E$78,H47,'22.11'!$M$15:$M$78,"&gt;0")</f>
        <v>0</v>
      </c>
      <c r="AS47" s="113">
        <f>SUMIF('29.11'!$E$15:$E$79,H47,'29.11'!$M$15:$M$79)</f>
        <v>0</v>
      </c>
      <c r="AT47" s="113">
        <f>COUNTIFS('29.11'!$E$15:$E$79,H47,'29.11'!$L$15:$L$79,"&gt;0")</f>
        <v>0</v>
      </c>
      <c r="AU47" s="113">
        <f>SUMIF('06.12'!$E$15:$E$82,H47,'06.12'!$M$15:$M$82)</f>
        <v>0</v>
      </c>
      <c r="AV47" s="113">
        <f>COUNTIFS('06.12'!$E$15:$E$82,H47,'06.12'!$M$15:$M$82,"&gt;0")</f>
        <v>0</v>
      </c>
      <c r="AW47" s="113">
        <f>SUMIF('13.12'!$E$15:$E$82,H47,'13.12'!$M$15:$M$82)</f>
        <v>0</v>
      </c>
      <c r="AX47" s="113">
        <f>COUNTIFS('13.12'!$E$15:$E$82,H47,'13.12'!$M$15:$M$82,"&gt;0")</f>
        <v>0</v>
      </c>
      <c r="AY47" s="113">
        <f>SUMIF('20.12'!$E$15:$E$84,H47,'20.12'!$M$15:$M$84)</f>
        <v>0</v>
      </c>
      <c r="AZ47" s="113">
        <f>COUNTIFS('20.12'!$E$15:$E$84,H47,'20.12'!$M$15:$M$84,"&gt;0")</f>
        <v>0</v>
      </c>
      <c r="BA47" s="113">
        <f>SUMIF('27.12'!$E$15:$E$84,H47,'27.12'!$M$15:$M$84)</f>
        <v>0</v>
      </c>
      <c r="BB47" s="113">
        <f>COUNTIFS('27.12'!$E$15:$E$84,H47,'27.12'!$M$15:$M$84,"&gt;0")</f>
        <v>0</v>
      </c>
      <c r="BC47" s="113">
        <f>SUMIF('03.01'!$E$15:$E$88,H47,'03.01'!$M$15:$M$88)</f>
        <v>0</v>
      </c>
      <c r="BD47" s="113">
        <f>COUNTIFS('03.01'!$E$15:$E$88,H47,'03.01'!$M$15:$M$88,"&gt;0")</f>
        <v>0</v>
      </c>
      <c r="BE47" s="113">
        <f>SUMIF('10.01'!$E$15:$E$91,H47,'10.01'!$M$15:$M$91)</f>
        <v>0</v>
      </c>
      <c r="BF47" s="113">
        <f>COUNTIFS('10.01'!$E$15:$E$91,H47,'10.01'!$M$15:$M$91,"&gt;0")</f>
        <v>0</v>
      </c>
      <c r="BG47" s="113">
        <f>SUMIF('17.01'!$E$15:$E$87,H47,'17.01'!$M$15:$M$87)</f>
        <v>0</v>
      </c>
      <c r="BH47" s="113">
        <f>COUNTIFS('17.01'!$E$15:$E$87,H47,'17.01'!$M$15:$M$87,"&gt;0")</f>
        <v>0</v>
      </c>
      <c r="BI47" s="113">
        <f>SUMIF('24.01'!$E$15:$E$86,H47,'24.01'!$M$15:$M$86)</f>
        <v>0</v>
      </c>
      <c r="BJ47" s="113">
        <f>COUNTIFS('24.01'!$E$15:$E$86,H47,'24.01'!$M$15:$M$86,"&gt;0")</f>
        <v>0</v>
      </c>
      <c r="BK47" s="113">
        <f>SUMIF('31.01'!$E$15:$E$75,H47,'31.01'!$M$15:$M$75)</f>
        <v>0</v>
      </c>
      <c r="BL47" s="113">
        <f>COUNTIFS('31.01'!$E$15:$E$75,H47,'31.01'!$M$15:$M$75,"&gt;0")</f>
        <v>0</v>
      </c>
      <c r="BM47" s="113">
        <f>SUMIF('07.02'!$E$15:$E$77,H47,'07.02'!$M$15:$M$77)</f>
        <v>0</v>
      </c>
      <c r="BN47" s="113">
        <f>COUNTIFS('07.02'!$E$15:$E$77,H47,'07.02'!$M$15:$M$77,"&gt;0")</f>
        <v>0</v>
      </c>
      <c r="BO47" s="113">
        <f>SUMIF('14.02'!$E$15:$E$81,H47,'14.02'!$M$15:$M$81)</f>
        <v>0</v>
      </c>
      <c r="BP47" s="113">
        <f>COUNTIFS('14.02'!$E$15:$E$81,H47,'14.02'!$M$15:$M$81,"&gt;0")</f>
        <v>0</v>
      </c>
      <c r="BQ47" s="113">
        <f>SUMIF('21.02'!$E$15:$E$82,H47,'21.02'!$M$15:$M$82)</f>
        <v>0</v>
      </c>
      <c r="BR47" s="113">
        <f>COUNTIFS('21.02'!$E$15:$E$82,H47,'21.02'!$M$15:$M$82,"&gt;0")</f>
        <v>0</v>
      </c>
      <c r="BS47" s="113"/>
      <c r="BT47" s="113"/>
      <c r="BU47" s="113"/>
      <c r="BV47" s="113"/>
      <c r="BW47" s="113"/>
      <c r="BX47" s="113"/>
      <c r="BY47" s="113"/>
      <c r="BZ47" s="113"/>
    </row>
    <row r="48">
      <c r="H48" s="185" t="s">
        <v>423</v>
      </c>
      <c r="I48" s="88">
        <f>SUMIF('26.07'!$E$15:$E$74,H48,'26.07'!$M$15:$M$74)</f>
        <v>8</v>
      </c>
      <c r="J48" s="88">
        <f>COUNTIFS('26.07'!$E$15:$E$74,H48,'26.07'!$L$15:$L$74,"&gt;0")</f>
        <v>1</v>
      </c>
      <c r="K48" s="88">
        <f>SUMIF('02.08'!$E$15:$E$73,H48,'02.08'!$M$15:$M$73)</f>
        <v>16</v>
      </c>
      <c r="L48" s="88">
        <f>COUNTIFS('02.08'!$E$15:$E$73,H48,'02.08'!$L$15:$L$73,"&gt;0")</f>
        <v>1</v>
      </c>
      <c r="M48" s="88">
        <f>SUMIF('09.08'!$E$15:$E$71,H48,'09.08'!$M$15:$M$71)</f>
        <v>20</v>
      </c>
      <c r="N48" s="88">
        <f>COUNTIFS('09.08'!$E$15:$E$71,H48,'09.08'!$L$15:$L$71,"&gt;0")</f>
        <v>1</v>
      </c>
      <c r="O48" s="88">
        <f>sumif('16.08 '!$E$15:$E$65,H48,'16.08 '!$M$15:$M$65)</f>
        <v>16</v>
      </c>
      <c r="P48" s="88">
        <f>COUNTIFs('16.08 '!$E$15:$E$65,H48,'16.08 '!$L$15:$L$65,"&gt;0")</f>
        <v>1</v>
      </c>
      <c r="Q48" s="88">
        <f>sumif('23.08'!$E$15:$E$62,H48,'23.08'!$M$15:$M$62)</f>
        <v>12</v>
      </c>
      <c r="R48" s="88">
        <f>COUNTIFS('23.08'!$M$15:$M$62,"&gt;0",'23.08'!$E$15:$E$62,H48)</f>
        <v>1</v>
      </c>
      <c r="S48" s="88">
        <f>SUMIF('30.08'!$E$15:$E$66,H48,'30.08'!$M$15:$M$66)</f>
        <v>4</v>
      </c>
      <c r="T48" s="88">
        <f>COUNTIFS('30.08'!$E$15:$E$66,H48,'30.08'!$M$15:$M$66,"&gt;0")</f>
        <v>1</v>
      </c>
      <c r="U48" s="88">
        <f>sumif('06.09'!$E$15:$E$66,H48,'06.09'!$M$15:$M$66)</f>
        <v>0</v>
      </c>
      <c r="V48" s="113">
        <f>COUNTIFS('06.09'!$E$15:$E$66,H48,'06.09'!$M$15:$M$66,"&gt;0")</f>
        <v>0</v>
      </c>
      <c r="W48" s="88">
        <f>SUMIF('13.09'!$E$15:$E$65,H48,'13.09'!$M$15:$M$65)</f>
        <v>0</v>
      </c>
      <c r="X48" s="113">
        <f>COUNTIFS('13.09'!$E$15:$E$65,H48,'13.09'!$M$15:$M$65,"&gt;0")</f>
        <v>0</v>
      </c>
      <c r="Y48" s="88">
        <f>SUMIF('20.09'!$E$15:$E$68,H48,'20.09'!$M$15:$M$68)</f>
        <v>0</v>
      </c>
      <c r="Z48" s="113">
        <f>COUNTIFS('20.09'!$E$15:$E$68,H48,'20.09'!$M$15:$M$68,"&gt;0")</f>
        <v>0</v>
      </c>
      <c r="AA48" s="88">
        <f>SUMIF('27.09'!$E$15:$E$68,H48,'27.09'!$M$15:$M$68)</f>
        <v>0</v>
      </c>
      <c r="AB48" s="113">
        <f>COUNTIFS('27.09'!$E$15:$E$68,H48,'27.09'!$M$15:$M$68,"&gt;0")</f>
        <v>0</v>
      </c>
      <c r="AC48" s="88">
        <f>SUMIF('04.10'!$E$15:$E$71,H48,'04.10'!$M$15:$M$71)</f>
        <v>0</v>
      </c>
      <c r="AD48" s="113">
        <f>COUNTIFS('04.10'!$E$15:$E$71,H48,'04.10'!$M$15:$M$71,"&gt;0")</f>
        <v>0</v>
      </c>
      <c r="AE48" s="88">
        <f>SUMIF('11.10'!$E$15:$E$76,H48,'11.10'!$M$15:$M$76)</f>
        <v>0</v>
      </c>
      <c r="AF48" s="113">
        <f>COUNTIFS('11.10'!$E$15:$E$76,H48,'11.10'!$L$15:$L$76,"&gt;0")</f>
        <v>0</v>
      </c>
      <c r="AG48" s="113">
        <f>SUMIF('18.10'!$E$15:$E$76,H48,'18.10'!$M$15:$M$76)</f>
        <v>0</v>
      </c>
      <c r="AH48" s="113">
        <f>COUNTIFS('18.10'!$E$15:$E$76,H48,'18.10'!$L$15:$L$76,"&gt;0")</f>
        <v>0</v>
      </c>
      <c r="AI48" s="113">
        <f>SUMIF('25.10'!$E$15:$E$78,H48,'25.10'!$M$15:$M$78)</f>
        <v>0</v>
      </c>
      <c r="AJ48" s="113">
        <f>COUNTIFS('25.10'!$E$15:$E$78,H48,'25.10'!$L$15:$L$78,"&gt;0")</f>
        <v>0</v>
      </c>
      <c r="AK48" s="113">
        <f>SUMIF('01.11'!$E$15:$E$77,H48,'01.11'!$M$15:$M$77)</f>
        <v>0</v>
      </c>
      <c r="AL48" s="113">
        <f>COUNTIFS('01.11'!$E$15:$E$77,H48,'01.11'!$M$15:$M$77,"&gt;0")</f>
        <v>0</v>
      </c>
      <c r="AM48" s="113">
        <f>SUMIF('08.11'!$E$15:$E$67,H48,'08.11'!$M$15:$M$67)</f>
        <v>0</v>
      </c>
      <c r="AN48" s="113">
        <f>COUNTIFS('08.11'!$E$15:$E$67,H48,'08.11'!$M$15:$M$67,"&gt;0")</f>
        <v>0</v>
      </c>
      <c r="AO48" s="113">
        <f>SUMIF('15.11'!$E$15:$E$71,H48,'15.11'!$M$15:$M$71)</f>
        <v>0</v>
      </c>
      <c r="AP48" s="113">
        <f>COUNTIFS('15.11'!$E$15:$E$71,H48,'15.11'!$M$15:$M$71,"&gt;0")</f>
        <v>0</v>
      </c>
      <c r="AQ48" s="113">
        <f>SUMIF('22.11'!$E$15:$E$78,H48,'22.11'!$M$15:$M$78)</f>
        <v>0</v>
      </c>
      <c r="AR48" s="113">
        <f>COUNTIFS('22.11'!$E$15:$E$78,H48,'22.11'!$M$15:$M$78,"&gt;0")</f>
        <v>0</v>
      </c>
      <c r="AS48" s="113">
        <f>SUMIF('29.11'!$E$15:$E$79,H48,'29.11'!$M$15:$M$79)</f>
        <v>0</v>
      </c>
      <c r="AT48" s="113">
        <f>COUNTIFS('29.11'!$E$15:$E$79,H48,'29.11'!$L$15:$L$79,"&gt;0")</f>
        <v>0</v>
      </c>
      <c r="AU48" s="113">
        <f>SUMIF('06.12'!$E$15:$E$82,H48,'06.12'!$M$15:$M$82)</f>
        <v>0</v>
      </c>
      <c r="AV48" s="113">
        <f>COUNTIFS('06.12'!$E$15:$E$82,H48,'06.12'!$M$15:$M$82,"&gt;0")</f>
        <v>0</v>
      </c>
      <c r="AW48" s="113">
        <f>SUMIF('13.12'!$E$15:$E$82,H48,'13.12'!$M$15:$M$82)</f>
        <v>0</v>
      </c>
      <c r="AX48" s="113">
        <f>COUNTIFS('13.12'!$E$15:$E$82,H48,'13.12'!$M$15:$M$82,"&gt;0")</f>
        <v>0</v>
      </c>
      <c r="AY48" s="113">
        <f>SUMIF('20.12'!$E$15:$E$84,H48,'20.12'!$M$15:$M$84)</f>
        <v>0</v>
      </c>
      <c r="AZ48" s="113">
        <f>COUNTIFS('20.12'!$E$15:$E$84,H48,'20.12'!$M$15:$M$84,"&gt;0")</f>
        <v>0</v>
      </c>
      <c r="BA48" s="113">
        <f>SUMIF('27.12'!$E$15:$E$84,H48,'27.12'!$M$15:$M$84)</f>
        <v>0</v>
      </c>
      <c r="BB48" s="113">
        <f>COUNTIFS('27.12'!$E$15:$E$84,H48,'27.12'!$M$15:$M$84,"&gt;0")</f>
        <v>0</v>
      </c>
      <c r="BC48" s="113">
        <f>SUMIF('03.01'!$E$15:$E$88,H48,'03.01'!$M$15:$M$88)</f>
        <v>0</v>
      </c>
      <c r="BD48" s="113">
        <f>COUNTIFS('03.01'!$E$15:$E$88,H48,'03.01'!$M$15:$M$88,"&gt;0")</f>
        <v>0</v>
      </c>
      <c r="BE48" s="113">
        <f>SUMIF('10.01'!$E$15:$E$91,H48,'10.01'!$M$15:$M$91)</f>
        <v>0</v>
      </c>
      <c r="BF48" s="113">
        <f>COUNTIFS('10.01'!$E$15:$E$91,H48,'10.01'!$M$15:$M$91,"&gt;0")</f>
        <v>0</v>
      </c>
      <c r="BG48" s="113">
        <f>SUMIF('17.01'!$E$15:$E$87,H48,'17.01'!$M$15:$M$87)</f>
        <v>0</v>
      </c>
      <c r="BH48" s="113">
        <f>COUNTIFS('17.01'!$E$15:$E$87,H48,'17.01'!$M$15:$M$87,"&gt;0")</f>
        <v>0</v>
      </c>
      <c r="BI48" s="113">
        <f>SUMIF('24.01'!$E$15:$E$86,H48,'24.01'!$M$15:$M$86)</f>
        <v>0</v>
      </c>
      <c r="BJ48" s="113">
        <f>COUNTIFS('24.01'!$E$15:$E$86,H48,'24.01'!$M$15:$M$86,"&gt;0")</f>
        <v>0</v>
      </c>
      <c r="BK48" s="113">
        <f>SUMIF('31.01'!$E$15:$E$75,H48,'31.01'!$M$15:$M$75)</f>
        <v>0</v>
      </c>
      <c r="BL48" s="113">
        <f>COUNTIFS('31.01'!$E$15:$E$75,H48,'31.01'!$M$15:$M$75,"&gt;0")</f>
        <v>0</v>
      </c>
      <c r="BM48" s="113">
        <f>SUMIF('07.02'!$E$15:$E$77,H48,'07.02'!$M$15:$M$77)</f>
        <v>0</v>
      </c>
      <c r="BN48" s="113">
        <f>COUNTIFS('07.02'!$E$15:$E$77,H48,'07.02'!$M$15:$M$77,"&gt;0")</f>
        <v>0</v>
      </c>
      <c r="BO48" s="113">
        <f>SUMIF('14.02'!$E$15:$E$81,H48,'14.02'!$M$15:$M$81)</f>
        <v>0</v>
      </c>
      <c r="BP48" s="113">
        <f>COUNTIFS('14.02'!$E$15:$E$81,H48,'14.02'!$M$15:$M$81,"&gt;0")</f>
        <v>0</v>
      </c>
      <c r="BQ48" s="113">
        <f>SUMIF('21.02'!$E$15:$E$82,H48,'21.02'!$M$15:$M$82)</f>
        <v>0</v>
      </c>
      <c r="BR48" s="113">
        <f>COUNTIFS('21.02'!$E$15:$E$82,H48,'21.02'!$M$15:$M$82,"&gt;0")</f>
        <v>0</v>
      </c>
      <c r="BS48" s="113"/>
      <c r="BT48" s="113"/>
      <c r="BU48" s="113"/>
      <c r="BV48" s="113"/>
      <c r="BW48" s="113"/>
      <c r="BX48" s="113"/>
      <c r="BY48" s="113"/>
      <c r="BZ48" s="113"/>
    </row>
    <row r="49">
      <c r="H49" s="185" t="s">
        <v>420</v>
      </c>
      <c r="I49" s="88">
        <f>SUMIF('26.07'!$E$15:$E$74,H49,'26.07'!$M$15:$M$74)</f>
        <v>0</v>
      </c>
      <c r="J49" s="88">
        <f>COUNTIFS('26.07'!$E$15:$E$74,H49,'26.07'!$L$15:$L$74,"&gt;0")</f>
        <v>0</v>
      </c>
      <c r="K49" s="88">
        <f>SUMIF('02.08'!$E$15:$E$73,H49,'02.08'!$M$15:$M$73)</f>
        <v>0</v>
      </c>
      <c r="L49" s="88">
        <f>COUNTIFS('02.08'!$E$15:$E$73,H49,'02.08'!$L$15:$L$73,"&gt;0")</f>
        <v>0</v>
      </c>
      <c r="M49" s="88">
        <f>SUMIF('09.08'!$E$15:$E$71,H49,'09.08'!$M$15:$M$71)</f>
        <v>0</v>
      </c>
      <c r="N49" s="88">
        <f>COUNTIFS('09.08'!$E$15:$E$71,H49,'09.08'!$L$15:$L$71,"&gt;0")</f>
        <v>0</v>
      </c>
      <c r="O49" s="88">
        <f>sumif('16.08 '!$E$15:$E$65,H49,'16.08 '!$M$15:$M$65)</f>
        <v>0</v>
      </c>
      <c r="P49" s="88">
        <f>COUNTIFs('16.08 '!$E$15:$E$65,H49,'16.08 '!$L$15:$L$65,"&gt;0")</f>
        <v>0</v>
      </c>
      <c r="Q49" s="88">
        <f>sumif('23.08'!$E$15:$E$62,H49,'23.08'!$M$15:$M$62)</f>
        <v>0</v>
      </c>
      <c r="R49" s="88">
        <f>COUNTIFS('23.08'!$M$15:$M$62,"&gt;0",'23.08'!$E$15:$E$62,H49)</f>
        <v>0</v>
      </c>
      <c r="S49" s="88">
        <f>SUMIF('30.08'!$E$15:$E$66,H49,'30.08'!$M$15:$M$66)</f>
        <v>0</v>
      </c>
      <c r="T49" s="88">
        <f>COUNTIFS('30.08'!$E$15:$E$66,H49,'30.08'!$M$15:$M$66,"&gt;0")</f>
        <v>0</v>
      </c>
      <c r="U49" s="88">
        <f>sumif('06.09'!$E$15:$E$66,H49,'06.09'!$M$15:$M$66)</f>
        <v>0</v>
      </c>
      <c r="V49" s="113">
        <f>COUNTIFS('06.09'!$E$15:$E$66,H49,'06.09'!$M$15:$M$66,"&gt;0")</f>
        <v>0</v>
      </c>
      <c r="W49" s="88">
        <f>SUMIF('13.09'!$E$15:$E$65,H49,'13.09'!$M$15:$M$65)</f>
        <v>0</v>
      </c>
      <c r="X49" s="113">
        <f>COUNTIFS('13.09'!$E$15:$E$65,H49,'13.09'!$M$15:$M$65,"&gt;0")</f>
        <v>0</v>
      </c>
      <c r="Y49" s="88">
        <f>SUMIF('20.09'!$E$15:$E$68,H49,'20.09'!$M$15:$M$68)</f>
        <v>0</v>
      </c>
      <c r="Z49" s="113">
        <f>COUNTIFS('20.09'!$E$15:$E$68,H49,'20.09'!$M$15:$M$68,"&gt;0")</f>
        <v>0</v>
      </c>
      <c r="AA49" s="88">
        <f>SUMIF('27.09'!$E$15:$E$68,H49,'27.09'!$M$15:$M$68)</f>
        <v>0</v>
      </c>
      <c r="AB49" s="113">
        <f>COUNTIFS('27.09'!$E$15:$E$68,H49,'27.09'!$M$15:$M$68,"&gt;0")</f>
        <v>0</v>
      </c>
      <c r="AC49" s="88">
        <f>SUMIF('04.10'!$E$15:$E$71,H49,'04.10'!$M$15:$M$71)</f>
        <v>0</v>
      </c>
      <c r="AD49" s="113">
        <f>COUNTIFS('04.10'!$E$15:$E$71,H49,'04.10'!$M$15:$M$71,"&gt;0")</f>
        <v>0</v>
      </c>
      <c r="AE49" s="88">
        <f>SUMIF('11.10'!$E$15:$E$76,H49,'11.10'!$M$15:$M$76)</f>
        <v>0</v>
      </c>
      <c r="AF49" s="113">
        <f>COUNTIFS('11.10'!$E$15:$E$76,H49,'11.10'!$L$15:$L$76,"&gt;0")</f>
        <v>0</v>
      </c>
      <c r="AG49" s="113">
        <f>SUMIF('18.10'!$E$15:$E$76,H49,'18.10'!$M$15:$M$76)</f>
        <v>0</v>
      </c>
      <c r="AH49" s="113">
        <f>COUNTIFS('18.10'!$E$15:$E$76,H49,'18.10'!$L$15:$L$76,"&gt;0")</f>
        <v>0</v>
      </c>
      <c r="AI49" s="113">
        <f>SUMIF('25.10'!$E$15:$E$78,H49,'25.10'!$M$15:$M$78)</f>
        <v>0</v>
      </c>
      <c r="AJ49" s="113">
        <f>COUNTIFS('25.10'!$E$15:$E$78,H49,'25.10'!$L$15:$L$78,"&gt;0")</f>
        <v>0</v>
      </c>
      <c r="AK49" s="113">
        <f>SUMIF('01.11'!$E$15:$E$77,H49,'01.11'!$M$15:$M$77)</f>
        <v>0</v>
      </c>
      <c r="AL49" s="113">
        <f>COUNTIFS('01.11'!$E$15:$E$77,H49,'01.11'!$M$15:$M$77,"&gt;0")</f>
        <v>0</v>
      </c>
      <c r="AM49" s="113">
        <f>SUMIF('08.11'!$E$15:$E$67,H49,'08.11'!$M$15:$M$67)</f>
        <v>0</v>
      </c>
      <c r="AN49" s="113">
        <f>COUNTIFS('08.11'!$E$15:$E$67,H49,'08.11'!$M$15:$M$67,"&gt;0")</f>
        <v>0</v>
      </c>
      <c r="AO49" s="113">
        <f>SUMIF('15.11'!$E$15:$E$71,H49,'15.11'!$M$15:$M$71)</f>
        <v>0</v>
      </c>
      <c r="AP49" s="113">
        <f>COUNTIFS('15.11'!$E$15:$E$71,H49,'15.11'!$M$15:$M$71,"&gt;0")</f>
        <v>0</v>
      </c>
      <c r="AQ49" s="113">
        <f>SUMIF('22.11'!$E$15:$E$78,H49,'22.11'!$M$15:$M$78)</f>
        <v>20</v>
      </c>
      <c r="AR49" s="113">
        <f>COUNTIFS('22.11'!$E$15:$E$78,H49,'22.11'!$M$15:$M$78,"&gt;0")</f>
        <v>1</v>
      </c>
      <c r="AS49" s="113">
        <f>SUMIF('29.11'!$E$15:$E$79,H49,'29.11'!$M$15:$M$79)</f>
        <v>16</v>
      </c>
      <c r="AT49" s="113">
        <f>COUNTIFS('29.11'!$E$15:$E$79,H49,'29.11'!$L$15:$L$79,"&gt;0")</f>
        <v>1</v>
      </c>
      <c r="AU49" s="113">
        <f>SUMIF('06.12'!$E$15:$E$82,H49,'06.12'!$M$15:$M$82)</f>
        <v>12</v>
      </c>
      <c r="AV49" s="113">
        <f>COUNTIFS('06.12'!$E$15:$E$82,H49,'06.12'!$M$15:$M$82,"&gt;0")</f>
        <v>1</v>
      </c>
      <c r="AW49" s="113">
        <f>SUMIF('13.12'!$E$15:$E$82,H49,'13.12'!$M$15:$M$82)</f>
        <v>20</v>
      </c>
      <c r="AX49" s="113">
        <f>COUNTIFS('13.12'!$E$15:$E$82,H49,'13.12'!$M$15:$M$82,"&gt;0")</f>
        <v>1</v>
      </c>
      <c r="AY49" s="113">
        <f>SUMIF('20.12'!$E$15:$E$84,H49,'20.12'!$M$15:$M$84)</f>
        <v>8</v>
      </c>
      <c r="AZ49" s="113">
        <f>COUNTIFS('20.12'!$E$15:$E$84,H49,'20.12'!$M$15:$M$84,"&gt;0")</f>
        <v>1</v>
      </c>
      <c r="BA49" s="113">
        <f>SUMIF('27.12'!$E$15:$E$84,H49,'27.12'!$M$15:$M$84)</f>
        <v>8</v>
      </c>
      <c r="BB49" s="113">
        <f>COUNTIFS('27.12'!$E$15:$E$84,H49,'27.12'!$M$15:$M$84,"&gt;0")</f>
        <v>1</v>
      </c>
      <c r="BC49" s="113">
        <f>SUMIF('03.01'!$E$15:$E$88,H49,'03.01'!$M$15:$M$88)</f>
        <v>12</v>
      </c>
      <c r="BD49" s="113">
        <f>COUNTIFS('03.01'!$E$15:$E$88,H49,'03.01'!$M$15:$M$88,"&gt;0")</f>
        <v>1</v>
      </c>
      <c r="BE49" s="113">
        <f>SUMIF('10.01'!$E$15:$E$91,H49,'10.01'!$M$15:$M$91)</f>
        <v>16</v>
      </c>
      <c r="BF49" s="113">
        <f>COUNTIFS('10.01'!$E$15:$E$91,H49,'10.01'!$M$15:$M$91,"&gt;0")</f>
        <v>1</v>
      </c>
      <c r="BG49" s="113">
        <f>SUMIF('17.01'!$E$15:$E$87,H49,'17.01'!$M$15:$M$87)</f>
        <v>0</v>
      </c>
      <c r="BH49" s="113">
        <f>COUNTIFS('17.01'!$E$15:$E$87,H49,'17.01'!$M$15:$M$87,"&gt;0")</f>
        <v>0</v>
      </c>
      <c r="BI49" s="113">
        <f>SUMIF('24.01'!$E$15:$E$86,H49,'24.01'!$M$15:$M$86)</f>
        <v>0</v>
      </c>
      <c r="BJ49" s="113">
        <f>COUNTIFS('24.01'!$E$15:$E$86,H49,'24.01'!$M$15:$M$86,"&gt;0")</f>
        <v>0</v>
      </c>
      <c r="BK49" s="113">
        <f>SUMIF('31.01'!$E$15:$E$75,H49,'31.01'!$M$15:$M$75)</f>
        <v>0</v>
      </c>
      <c r="BL49" s="113">
        <f>COUNTIFS('31.01'!$E$15:$E$75,H49,'31.01'!$M$15:$M$75,"&gt;0")</f>
        <v>0</v>
      </c>
      <c r="BM49" s="113">
        <f>SUMIF('07.02'!$E$15:$E$77,H49,'07.02'!$M$15:$M$77)</f>
        <v>16</v>
      </c>
      <c r="BN49" s="113">
        <f>COUNTIFS('07.02'!$E$15:$E$77,H49,'07.02'!$M$15:$M$77,"&gt;0")</f>
        <v>1</v>
      </c>
      <c r="BO49" s="113">
        <f>SUMIF('14.02'!$E$15:$E$81,H49,'14.02'!$M$15:$M$81)</f>
        <v>12</v>
      </c>
      <c r="BP49" s="113">
        <f>COUNTIFS('14.02'!$E$15:$E$81,H49,'14.02'!$M$15:$M$81,"&gt;0")</f>
        <v>1</v>
      </c>
      <c r="BQ49" s="113">
        <f>SUMIF('21.02'!$E$15:$E$82,H49,'21.02'!$M$15:$M$82)</f>
        <v>0</v>
      </c>
      <c r="BR49" s="113">
        <f>COUNTIFS('21.02'!$E$15:$E$82,H49,'21.02'!$M$15:$M$82,"&gt;0")</f>
        <v>0</v>
      </c>
      <c r="BS49" s="113"/>
      <c r="BT49" s="113"/>
      <c r="BU49" s="113"/>
      <c r="BV49" s="113"/>
      <c r="BW49" s="113"/>
      <c r="BX49" s="113"/>
      <c r="BY49" s="113"/>
      <c r="BZ49" s="113"/>
    </row>
    <row r="50">
      <c r="H50" s="185" t="s">
        <v>433</v>
      </c>
      <c r="I50" s="88">
        <f>SUMIF('26.07'!$E$15:$E$74,H50,'26.07'!$M$15:$M$74)</f>
        <v>0</v>
      </c>
      <c r="J50" s="88">
        <f>COUNTIFS('26.07'!$E$15:$E$74,H50,'26.07'!$L$15:$L$74,"&gt;0")</f>
        <v>0</v>
      </c>
      <c r="K50" s="88">
        <f>SUMIF('02.08'!$E$15:$E$73,H50,'02.08'!$M$15:$M$73)</f>
        <v>0</v>
      </c>
      <c r="L50" s="88">
        <f>COUNTIFS('02.08'!$E$15:$E$73,H50,'02.08'!$L$15:$L$73,"&gt;0")</f>
        <v>0</v>
      </c>
      <c r="M50" s="88">
        <f>SUMIF('09.08'!$E$15:$E$71,H50,'09.08'!$M$15:$M$71)</f>
        <v>0</v>
      </c>
      <c r="N50" s="88">
        <f>COUNTIFS('09.08'!$E$15:$E$71,H50,'09.08'!$L$15:$L$71,"&gt;0")</f>
        <v>0</v>
      </c>
      <c r="O50" s="88">
        <f>sumif('16.08 '!$E$15:$E$65,H50,'16.08 '!$M$15:$M$65)</f>
        <v>0</v>
      </c>
      <c r="P50" s="88">
        <f>COUNTIFs('16.08 '!$E$15:$E$65,H50,'16.08 '!$L$15:$L$65,"&gt;0")</f>
        <v>0</v>
      </c>
      <c r="Q50" s="88">
        <f>sumif('23.08'!$E$15:$E$62,H50,'23.08'!$M$15:$M$62)</f>
        <v>0</v>
      </c>
      <c r="R50" s="88">
        <f>COUNTIFS('23.08'!$M$15:$M$62,"&gt;0",'23.08'!$E$15:$E$62,H50)</f>
        <v>0</v>
      </c>
      <c r="S50" s="88">
        <f>SUMIF('30.08'!$E$15:$E$66,H50,'30.08'!$M$15:$M$66)</f>
        <v>0</v>
      </c>
      <c r="T50" s="88">
        <f>COUNTIFS('30.08'!$E$15:$E$66,H50,'30.08'!$M$15:$M$66,"&gt;0")</f>
        <v>0</v>
      </c>
      <c r="U50" s="88">
        <f>sumif('06.09'!$E$15:$E$66,H50,'06.09'!$M$15:$M$66)</f>
        <v>0</v>
      </c>
      <c r="V50" s="113">
        <f>COUNTIFS('06.09'!$E$15:$E$66,H50,'06.09'!$M$15:$M$66,"&gt;0")</f>
        <v>0</v>
      </c>
      <c r="W50" s="88">
        <f>SUMIF('13.09'!$E$15:$E$65,H50,'13.09'!$M$15:$M$65)</f>
        <v>0</v>
      </c>
      <c r="X50" s="113">
        <f>COUNTIFS('13.09'!$E$15:$E$65,H50,'13.09'!$M$15:$M$65,"&gt;0")</f>
        <v>0</v>
      </c>
      <c r="Y50" s="88">
        <f>SUMIF('20.09'!$E$15:$E$68,H50,'20.09'!$M$15:$M$68)</f>
        <v>0</v>
      </c>
      <c r="Z50" s="113">
        <f>COUNTIFS('20.09'!$E$15:$E$68,H50,'20.09'!$M$15:$M$68,"&gt;0")</f>
        <v>0</v>
      </c>
      <c r="AA50" s="88">
        <f>SUMIF('27.09'!$E$15:$E$68,H50,'27.09'!$M$15:$M$68)</f>
        <v>0</v>
      </c>
      <c r="AB50" s="113">
        <f>COUNTIFS('27.09'!$E$15:$E$68,H50,'27.09'!$M$15:$M$68,"&gt;0")</f>
        <v>0</v>
      </c>
      <c r="AC50" s="88">
        <f>SUMIF('04.10'!$E$15:$E$71,H50,'04.10'!$M$15:$M$71)</f>
        <v>0</v>
      </c>
      <c r="AD50" s="113">
        <f>COUNTIFS('04.10'!$E$15:$E$71,H50,'04.10'!$M$15:$M$71,"&gt;0")</f>
        <v>0</v>
      </c>
      <c r="AE50" s="88">
        <f>SUMIF('11.10'!$E$15:$E$76,H50,'11.10'!$M$15:$M$76)</f>
        <v>0</v>
      </c>
      <c r="AF50" s="113">
        <f>COUNTIFS('11.10'!$E$15:$E$76,H50,'11.10'!$L$15:$L$76,"&gt;0")</f>
        <v>0</v>
      </c>
      <c r="AG50" s="113">
        <f>SUMIF('18.10'!$E$15:$E$76,H50,'18.10'!$M$15:$M$76)</f>
        <v>16</v>
      </c>
      <c r="AH50" s="113">
        <f>COUNTIFS('18.10'!$E$15:$E$76,H50,'18.10'!$L$15:$L$76,"&gt;0")</f>
        <v>1</v>
      </c>
      <c r="AI50" s="113">
        <f>SUMIF('25.10'!$E$15:$E$78,H50,'25.10'!$M$15:$M$78)</f>
        <v>20</v>
      </c>
      <c r="AJ50" s="113">
        <f>COUNTIFS('25.10'!$E$15:$E$78,H50,'25.10'!$L$15:$L$78,"&gt;0")</f>
        <v>1</v>
      </c>
      <c r="AK50" s="113">
        <f>SUMIF('01.11'!$E$15:$E$77,H50,'01.11'!$M$15:$M$77)</f>
        <v>16</v>
      </c>
      <c r="AL50" s="113">
        <f>COUNTIFS('01.11'!$E$15:$E$77,H50,'01.11'!$M$15:$M$77,"&gt;0")</f>
        <v>1</v>
      </c>
      <c r="AM50" s="113">
        <f>SUMIF('08.11'!$E$15:$E$67,H50,'08.11'!$M$15:$M$67)</f>
        <v>4</v>
      </c>
      <c r="AN50" s="113">
        <f>COUNTIFS('08.11'!$E$15:$E$67,H50,'08.11'!$M$15:$M$67,"&gt;0")</f>
        <v>1</v>
      </c>
      <c r="AO50" s="113">
        <f>SUMIF('15.11'!$E$15:$E$71,H50,'15.11'!$M$15:$M$71)</f>
        <v>0</v>
      </c>
      <c r="AP50" s="113">
        <f>COUNTIFS('15.11'!$E$15:$E$71,H50,'15.11'!$M$15:$M$71,"&gt;0")</f>
        <v>0</v>
      </c>
      <c r="AQ50" s="113">
        <f>SUMIF('22.11'!$E$15:$E$78,H50,'22.11'!$M$15:$M$78)</f>
        <v>0</v>
      </c>
      <c r="AR50" s="113">
        <f>COUNTIFS('22.11'!$E$15:$E$78,H50,'22.11'!$M$15:$M$78,"&gt;0")</f>
        <v>0</v>
      </c>
      <c r="AS50" s="113">
        <f>SUMIF('29.11'!$E$15:$E$79,H50,'29.11'!$M$15:$M$79)</f>
        <v>0</v>
      </c>
      <c r="AT50" s="113">
        <f>COUNTIFS('29.11'!$E$15:$E$79,H50,'29.11'!$L$15:$L$79,"&gt;0")</f>
        <v>0</v>
      </c>
      <c r="AU50" s="113">
        <f>SUMIF('06.12'!$E$15:$E$82,H50,'06.12'!$M$15:$M$82)</f>
        <v>4</v>
      </c>
      <c r="AV50" s="113">
        <f>COUNTIFS('06.12'!$E$15:$E$82,H50,'06.12'!$M$15:$M$82,"&gt;0")</f>
        <v>1</v>
      </c>
      <c r="AW50" s="113">
        <f>SUMIF('13.12'!$E$15:$E$82,H50,'13.12'!$M$15:$M$82)</f>
        <v>0</v>
      </c>
      <c r="AX50" s="113">
        <f>COUNTIFS('13.12'!$E$15:$E$82,H50,'13.12'!$M$15:$M$82,"&gt;0")</f>
        <v>0</v>
      </c>
      <c r="AY50" s="113">
        <f>SUMIF('20.12'!$E$15:$E$84,H50,'20.12'!$M$15:$M$84)</f>
        <v>0</v>
      </c>
      <c r="AZ50" s="113">
        <f>COUNTIFS('20.12'!$E$15:$E$84,H50,'20.12'!$M$15:$M$84,"&gt;0")</f>
        <v>0</v>
      </c>
      <c r="BA50" s="113">
        <f>SUMIF('27.12'!$E$15:$E$84,H50,'27.12'!$M$15:$M$84)</f>
        <v>0</v>
      </c>
      <c r="BB50" s="113">
        <f>COUNTIFS('27.12'!$E$15:$E$84,H50,'27.12'!$M$15:$M$84,"&gt;0")</f>
        <v>0</v>
      </c>
      <c r="BC50" s="113">
        <f>SUMIF('03.01'!$E$15:$E$88,H50,'03.01'!$M$15:$M$88)</f>
        <v>0</v>
      </c>
      <c r="BD50" s="113">
        <f>COUNTIFS('03.01'!$E$15:$E$88,H50,'03.01'!$M$15:$M$88,"&gt;0")</f>
        <v>0</v>
      </c>
      <c r="BE50" s="113">
        <f>SUMIF('10.01'!$E$15:$E$91,H50,'10.01'!$M$15:$M$91)</f>
        <v>0</v>
      </c>
      <c r="BF50" s="113">
        <f>COUNTIFS('10.01'!$E$15:$E$91,H50,'10.01'!$M$15:$M$91,"&gt;0")</f>
        <v>0</v>
      </c>
      <c r="BG50" s="113">
        <f>SUMIF('17.01'!$E$15:$E$87,H50,'17.01'!$M$15:$M$87)</f>
        <v>0</v>
      </c>
      <c r="BH50" s="113">
        <f>COUNTIFS('17.01'!$E$15:$E$87,H50,'17.01'!$M$15:$M$87,"&gt;0")</f>
        <v>0</v>
      </c>
      <c r="BI50" s="113">
        <f>SUMIF('24.01'!$E$15:$E$86,H50,'24.01'!$M$15:$M$86)</f>
        <v>0</v>
      </c>
      <c r="BJ50" s="113">
        <f>COUNTIFS('24.01'!$E$15:$E$86,H50,'24.01'!$M$15:$M$86,"&gt;0")</f>
        <v>0</v>
      </c>
      <c r="BK50" s="113">
        <f>SUMIF('31.01'!$E$15:$E$75,H50,'31.01'!$M$15:$M$75)</f>
        <v>0</v>
      </c>
      <c r="BL50" s="113">
        <f>COUNTIFS('31.01'!$E$15:$E$75,H50,'31.01'!$M$15:$M$75,"&gt;0")</f>
        <v>0</v>
      </c>
      <c r="BM50" s="113">
        <f>SUMIF('07.02'!$E$15:$E$77,H50,'07.02'!$M$15:$M$77)</f>
        <v>0</v>
      </c>
      <c r="BN50" s="113">
        <f>COUNTIFS('07.02'!$E$15:$E$77,H50,'07.02'!$M$15:$M$77,"&gt;0")</f>
        <v>0</v>
      </c>
      <c r="BO50" s="113">
        <f>SUMIF('14.02'!$E$15:$E$81,H50,'14.02'!$M$15:$M$81)</f>
        <v>0</v>
      </c>
      <c r="BP50" s="113">
        <f>COUNTIFS('14.02'!$E$15:$E$81,H50,'14.02'!$M$15:$M$81,"&gt;0")</f>
        <v>0</v>
      </c>
      <c r="BQ50" s="113">
        <f>SUMIF('21.02'!$E$15:$E$82,H50,'21.02'!$M$15:$M$82)</f>
        <v>0</v>
      </c>
      <c r="BR50" s="113">
        <f>COUNTIFS('21.02'!$E$15:$E$82,H50,'21.02'!$M$15:$M$82,"&gt;0")</f>
        <v>0</v>
      </c>
      <c r="BS50" s="113"/>
      <c r="BT50" s="113"/>
      <c r="BU50" s="113"/>
      <c r="BV50" s="113"/>
      <c r="BW50" s="113"/>
      <c r="BX50" s="113"/>
      <c r="BY50" s="113"/>
      <c r="BZ50" s="113"/>
    </row>
    <row r="51">
      <c r="H51" s="185" t="s">
        <v>421</v>
      </c>
      <c r="I51" s="88">
        <f>SUMIF('26.07'!$E$15:$E$74,H51,'26.07'!$M$15:$M$74)</f>
        <v>0</v>
      </c>
      <c r="J51" s="88">
        <f>COUNTIFS('26.07'!$E$15:$E$74,H51,'26.07'!$L$15:$L$74,"&gt;0")</f>
        <v>0</v>
      </c>
      <c r="K51" s="88">
        <f>SUMIF('02.08'!$E$15:$E$73,H51,'02.08'!$M$15:$M$73)</f>
        <v>0</v>
      </c>
      <c r="L51" s="88">
        <f>COUNTIFS('02.08'!$E$15:$E$73,H51,'02.08'!$L$15:$L$73,"&gt;0")</f>
        <v>0</v>
      </c>
      <c r="M51" s="88">
        <f>SUMIF('09.08'!$E$15:$E$71,H51,'09.08'!$M$15:$M$71)</f>
        <v>0</v>
      </c>
      <c r="N51" s="88">
        <f>COUNTIFS('09.08'!$E$15:$E$71,H51,'09.08'!$L$15:$L$71,"&gt;0")</f>
        <v>0</v>
      </c>
      <c r="O51" s="88">
        <f>sumif('16.08 '!$E$15:$E$65,H51,'16.08 '!$M$15:$M$65)</f>
        <v>0</v>
      </c>
      <c r="P51" s="88">
        <f>COUNTIFs('16.08 '!$E$15:$E$65,H51,'16.08 '!$L$15:$L$65,"&gt;0")</f>
        <v>0</v>
      </c>
      <c r="Q51" s="88">
        <f>sumif('23.08'!$E$15:$E$62,H51,'23.08'!$M$15:$M$62)</f>
        <v>0</v>
      </c>
      <c r="R51" s="88">
        <f>COUNTIFS('23.08'!$M$15:$M$62,"&gt;0",'23.08'!$E$15:$E$62,H51)</f>
        <v>0</v>
      </c>
      <c r="S51" s="88">
        <f>SUMIF('30.08'!$E$15:$E$66,H51,'30.08'!$M$15:$M$66)</f>
        <v>0</v>
      </c>
      <c r="T51" s="88">
        <f>COUNTIFS('30.08'!$E$15:$E$66,H51,'30.08'!$M$15:$M$66,"&gt;0")</f>
        <v>0</v>
      </c>
      <c r="U51" s="88">
        <f>sumif('06.09'!$E$15:$E$66,H51,'06.09'!$M$15:$M$66)</f>
        <v>0</v>
      </c>
      <c r="V51" s="113">
        <f>COUNTIFS('06.09'!$E$15:$E$66,H51,'06.09'!$M$15:$M$66,"&gt;0")</f>
        <v>0</v>
      </c>
      <c r="W51" s="88">
        <f>SUMIF('13.09'!$E$15:$E$65,H51,'13.09'!$M$15:$M$65)</f>
        <v>0</v>
      </c>
      <c r="X51" s="113">
        <f>COUNTIFS('13.09'!$E$15:$E$65,H51,'13.09'!$M$15:$M$65,"&gt;0")</f>
        <v>0</v>
      </c>
      <c r="Y51" s="88">
        <f>SUMIF('20.09'!$E$15:$E$68,H51,'20.09'!$M$15:$M$68)</f>
        <v>0</v>
      </c>
      <c r="Z51" s="113">
        <f>COUNTIFS('20.09'!$E$15:$E$68,H51,'20.09'!$M$15:$M$68,"&gt;0")</f>
        <v>0</v>
      </c>
      <c r="AA51" s="88">
        <f>SUMIF('27.09'!$E$15:$E$68,H51,'27.09'!$M$15:$M$68)</f>
        <v>0</v>
      </c>
      <c r="AB51" s="113">
        <f>COUNTIFS('27.09'!$E$15:$E$68,H51,'27.09'!$M$15:$M$68,"&gt;0")</f>
        <v>0</v>
      </c>
      <c r="AC51" s="88">
        <f>SUMIF('04.10'!$E$15:$E$71,H51,'04.10'!$M$15:$M$71)</f>
        <v>8</v>
      </c>
      <c r="AD51" s="113">
        <f>COUNTIFS('04.10'!$E$15:$E$71,H51,'04.10'!$M$15:$M$71,"&gt;0")</f>
        <v>1</v>
      </c>
      <c r="AE51" s="88">
        <f>SUMIF('11.10'!$E$15:$E$76,H51,'11.10'!$M$15:$M$76)</f>
        <v>8</v>
      </c>
      <c r="AF51" s="113">
        <f>COUNTIFS('11.10'!$E$15:$E$76,H51,'11.10'!$L$15:$L$76,"&gt;0")</f>
        <v>1</v>
      </c>
      <c r="AG51" s="113">
        <f>SUMIF('18.10'!$E$15:$E$76,H51,'18.10'!$M$15:$M$76)</f>
        <v>4</v>
      </c>
      <c r="AH51" s="113">
        <f>COUNTIFS('18.10'!$E$15:$E$76,H51,'18.10'!$L$15:$L$76,"&gt;0")</f>
        <v>1</v>
      </c>
      <c r="AI51" s="113">
        <f>SUMIF('25.10'!$E$15:$E$78,H51,'25.10'!$M$15:$M$78)</f>
        <v>4</v>
      </c>
      <c r="AJ51" s="113">
        <f>COUNTIFS('25.10'!$E$15:$E$78,H51,'25.10'!$L$15:$L$78,"&gt;0")</f>
        <v>1</v>
      </c>
      <c r="AK51" s="113">
        <f>SUMIF('01.11'!$E$15:$E$77,H51,'01.11'!$M$15:$M$77)</f>
        <v>4</v>
      </c>
      <c r="AL51" s="113">
        <f>COUNTIFS('01.11'!$E$15:$E$77,H51,'01.11'!$M$15:$M$77,"&gt;0")</f>
        <v>1</v>
      </c>
      <c r="AM51" s="113">
        <f>SUMIF('08.11'!$E$15:$E$67,H51,'08.11'!$M$15:$M$67)</f>
        <v>12</v>
      </c>
      <c r="AN51" s="113">
        <f>COUNTIFS('08.11'!$E$15:$E$67,H51,'08.11'!$M$15:$M$67,"&gt;0")</f>
        <v>1</v>
      </c>
      <c r="AO51" s="113">
        <f>SUMIF('15.11'!$E$15:$E$71,H51,'15.11'!$M$15:$M$71)</f>
        <v>16</v>
      </c>
      <c r="AP51" s="113">
        <f>COUNTIFS('15.11'!$E$15:$E$71,H51,'15.11'!$M$15:$M$71,"&gt;0")</f>
        <v>1</v>
      </c>
      <c r="AQ51" s="113">
        <f>SUMIF('22.11'!$E$15:$E$78,H51,'22.11'!$M$15:$M$78)</f>
        <v>12</v>
      </c>
      <c r="AR51" s="113">
        <f>COUNTIFS('22.11'!$E$15:$E$78,H51,'22.11'!$M$15:$M$78,"&gt;0")</f>
        <v>1</v>
      </c>
      <c r="AS51" s="113">
        <f>SUMIF('29.11'!$E$15:$E$79,H51,'29.11'!$M$15:$M$79)</f>
        <v>0</v>
      </c>
      <c r="AT51" s="113">
        <f>COUNTIFS('29.11'!$E$15:$E$79,H51,'29.11'!$L$15:$L$79,"&gt;0")</f>
        <v>0</v>
      </c>
      <c r="AU51" s="113">
        <f>SUMIF('06.12'!$E$15:$E$82,H51,'06.12'!$M$15:$M$82)</f>
        <v>0</v>
      </c>
      <c r="AV51" s="113">
        <f>COUNTIFS('06.12'!$E$15:$E$82,H51,'06.12'!$M$15:$M$82,"&gt;0")</f>
        <v>0</v>
      </c>
      <c r="AW51" s="113">
        <f>SUMIF('13.12'!$E$15:$E$82,H51,'13.12'!$M$15:$M$82)</f>
        <v>0</v>
      </c>
      <c r="AX51" s="113">
        <f>COUNTIFS('13.12'!$E$15:$E$82,H51,'13.12'!$M$15:$M$82,"&gt;0")</f>
        <v>0</v>
      </c>
      <c r="AY51" s="113">
        <f>SUMIF('20.12'!$E$15:$E$84,H51,'20.12'!$M$15:$M$84)</f>
        <v>0</v>
      </c>
      <c r="AZ51" s="113">
        <f>COUNTIFS('20.12'!$E$15:$E$84,H51,'20.12'!$M$15:$M$84,"&gt;0")</f>
        <v>0</v>
      </c>
      <c r="BA51" s="113">
        <f>SUMIF('27.12'!$E$15:$E$84,H51,'27.12'!$M$15:$M$84)</f>
        <v>0</v>
      </c>
      <c r="BB51" s="113">
        <f>COUNTIFS('27.12'!$E$15:$E$84,H51,'27.12'!$M$15:$M$84,"&gt;0")</f>
        <v>0</v>
      </c>
      <c r="BC51" s="113">
        <f>SUMIF('03.01'!$E$15:$E$88,H51,'03.01'!$M$15:$M$88)</f>
        <v>0</v>
      </c>
      <c r="BD51" s="113">
        <f>COUNTIFS('03.01'!$E$15:$E$88,H51,'03.01'!$M$15:$M$88,"&gt;0")</f>
        <v>0</v>
      </c>
      <c r="BE51" s="113">
        <f>SUMIF('10.01'!$E$15:$E$91,H51,'10.01'!$M$15:$M$91)</f>
        <v>0</v>
      </c>
      <c r="BF51" s="113">
        <f>COUNTIFS('10.01'!$E$15:$E$91,H51,'10.01'!$M$15:$M$91,"&gt;0")</f>
        <v>0</v>
      </c>
      <c r="BG51" s="113">
        <f>SUMIF('17.01'!$E$15:$E$87,H51,'17.01'!$M$15:$M$87)</f>
        <v>0</v>
      </c>
      <c r="BH51" s="113">
        <f>COUNTIFS('17.01'!$E$15:$E$87,H51,'17.01'!$M$15:$M$87,"&gt;0")</f>
        <v>0</v>
      </c>
      <c r="BI51" s="113">
        <f>SUMIF('24.01'!$E$15:$E$86,H51,'24.01'!$M$15:$M$86)</f>
        <v>0</v>
      </c>
      <c r="BJ51" s="113">
        <f>COUNTIFS('24.01'!$E$15:$E$86,H51,'24.01'!$M$15:$M$86,"&gt;0")</f>
        <v>0</v>
      </c>
      <c r="BK51" s="113">
        <f>SUMIF('31.01'!$E$15:$E$75,H51,'31.01'!$M$15:$M$75)</f>
        <v>0</v>
      </c>
      <c r="BL51" s="113">
        <f>COUNTIFS('31.01'!$E$15:$E$75,H51,'31.01'!$M$15:$M$75,"&gt;0")</f>
        <v>0</v>
      </c>
      <c r="BM51" s="113">
        <f>SUMIF('07.02'!$E$15:$E$77,H51,'07.02'!$M$15:$M$77)</f>
        <v>0</v>
      </c>
      <c r="BN51" s="113">
        <f>COUNTIFS('07.02'!$E$15:$E$77,H51,'07.02'!$M$15:$M$77,"&gt;0")</f>
        <v>0</v>
      </c>
      <c r="BO51" s="113">
        <f>SUMIF('14.02'!$E$15:$E$81,H51,'14.02'!$M$15:$M$81)</f>
        <v>0</v>
      </c>
      <c r="BP51" s="113">
        <f>COUNTIFS('14.02'!$E$15:$E$81,H51,'14.02'!$M$15:$M$81,"&gt;0")</f>
        <v>0</v>
      </c>
      <c r="BQ51" s="113">
        <f>SUMIF('21.02'!$E$15:$E$82,H51,'21.02'!$M$15:$M$82)</f>
        <v>0</v>
      </c>
      <c r="BR51" s="113">
        <f>COUNTIFS('21.02'!$E$15:$E$82,H51,'21.02'!$M$15:$M$82,"&gt;0")</f>
        <v>0</v>
      </c>
      <c r="BS51" s="113"/>
      <c r="BT51" s="113"/>
      <c r="BU51" s="113"/>
      <c r="BV51" s="113"/>
      <c r="BW51" s="113"/>
      <c r="BX51" s="113"/>
      <c r="BY51" s="113"/>
      <c r="BZ51" s="113"/>
    </row>
    <row r="52">
      <c r="H52" s="185" t="s">
        <v>441</v>
      </c>
      <c r="I52" s="88">
        <f>SUMIF('26.07'!$E$15:$E$74,H52,'26.07'!$M$15:$M$74)</f>
        <v>0</v>
      </c>
      <c r="J52" s="88">
        <f>COUNTIFS('26.07'!$E$15:$E$74,H52,'26.07'!$L$15:$L$74,"&gt;0")</f>
        <v>0</v>
      </c>
      <c r="K52" s="88">
        <f>SUMIF('02.08'!$E$15:$E$73,H52,'02.08'!$M$15:$M$73)</f>
        <v>0</v>
      </c>
      <c r="L52" s="88">
        <f>COUNTIFS('02.08'!$E$15:$E$73,H52,'02.08'!$L$15:$L$73,"&gt;0")</f>
        <v>0</v>
      </c>
      <c r="M52" s="88">
        <f>SUMIF('09.08'!$E$15:$E$71,H52,'09.08'!$M$15:$M$71)</f>
        <v>0</v>
      </c>
      <c r="N52" s="88">
        <f>COUNTIFS('09.08'!$E$15:$E$71,H52,'09.08'!$L$15:$L$71,"&gt;0")</f>
        <v>0</v>
      </c>
      <c r="O52" s="88">
        <f>sumif('16.08 '!$E$15:$E$65,H52,'16.08 '!$M$15:$M$65)</f>
        <v>0</v>
      </c>
      <c r="P52" s="88">
        <f>COUNTIFs('16.08 '!$E$15:$E$65,H52,'16.08 '!$L$15:$L$65,"&gt;0")</f>
        <v>0</v>
      </c>
      <c r="Q52" s="88">
        <f>sumif('23.08'!$E$15:$E$62,H52,'23.08'!$M$15:$M$62)</f>
        <v>0</v>
      </c>
      <c r="R52" s="88">
        <f>COUNTIFS('23.08'!$M$15:$M$62,"&gt;0",'23.08'!$E$15:$E$62,H52)</f>
        <v>0</v>
      </c>
      <c r="S52" s="88">
        <f>SUMIF('30.08'!$E$15:$E$66,H52,'30.08'!$M$15:$M$66)</f>
        <v>0</v>
      </c>
      <c r="T52" s="88">
        <f>COUNTIFS('30.08'!$E$15:$E$66,H52,'30.08'!$M$15:$M$66,"&gt;0")</f>
        <v>0</v>
      </c>
      <c r="U52" s="88">
        <f>sumif('06.09'!$E$15:$E$66,H52,'06.09'!$M$15:$M$66)</f>
        <v>0</v>
      </c>
      <c r="V52" s="113">
        <f>COUNTIFS('06.09'!$E$15:$E$66,H52,'06.09'!$M$15:$M$66,"&gt;0")</f>
        <v>0</v>
      </c>
      <c r="W52" s="88">
        <f>SUMIF('13.09'!$E$15:$E$65,H52,'13.09'!$M$15:$M$65)</f>
        <v>0</v>
      </c>
      <c r="X52" s="113">
        <f>COUNTIFS('13.09'!$E$15:$E$65,H52,'13.09'!$M$15:$M$65,"&gt;0")</f>
        <v>0</v>
      </c>
      <c r="Y52" s="88">
        <f>SUMIF('20.09'!$E$15:$E$68,H52,'20.09'!$M$15:$M$68)</f>
        <v>0</v>
      </c>
      <c r="Z52" s="113">
        <f>COUNTIFS('20.09'!$E$15:$E$68,H52,'20.09'!$M$15:$M$68,"&gt;0")</f>
        <v>0</v>
      </c>
      <c r="AA52" s="88">
        <f>SUMIF('27.09'!$E$15:$E$68,H52,'27.09'!$M$15:$M$68)</f>
        <v>0</v>
      </c>
      <c r="AB52" s="113">
        <f>COUNTIFS('27.09'!$E$15:$E$68,H52,'27.09'!$M$15:$M$68,"&gt;0")</f>
        <v>0</v>
      </c>
      <c r="AC52" s="88">
        <f>SUMIF('04.10'!$E$15:$E$71,H52,'04.10'!$M$15:$M$71)</f>
        <v>0</v>
      </c>
      <c r="AD52" s="113">
        <f>COUNTIFS('04.10'!$E$15:$E$71,H52,'04.10'!$M$15:$M$71,"&gt;0")</f>
        <v>0</v>
      </c>
      <c r="AE52" s="88">
        <f>SUMIF('11.10'!$E$15:$E$76,H52,'11.10'!$M$15:$M$76)</f>
        <v>0</v>
      </c>
      <c r="AF52" s="113">
        <f>COUNTIFS('11.10'!$E$15:$E$76,H52,'11.10'!$L$15:$L$76,"&gt;0")</f>
        <v>0</v>
      </c>
      <c r="AG52" s="113">
        <f>SUMIF('18.10'!$E$15:$E$76,H52,'18.10'!$M$15:$M$76)</f>
        <v>0</v>
      </c>
      <c r="AH52" s="113">
        <f>COUNTIFS('18.10'!$E$15:$E$76,H52,'18.10'!$L$15:$L$76,"&gt;0")</f>
        <v>0</v>
      </c>
      <c r="AI52" s="113">
        <f>SUMIF('25.10'!$E$15:$E$78,H52,'25.10'!$M$15:$M$78)</f>
        <v>0</v>
      </c>
      <c r="AJ52" s="113">
        <f>COUNTIFS('25.10'!$E$15:$E$78,H52,'25.10'!$L$15:$L$78,"&gt;0")</f>
        <v>0</v>
      </c>
      <c r="AK52" s="113">
        <f>SUMIF('01.11'!$E$15:$E$77,H52,'01.11'!$M$15:$M$77)</f>
        <v>0</v>
      </c>
      <c r="AL52" s="113">
        <f>COUNTIFS('01.11'!$E$15:$E$77,H52,'01.11'!$M$15:$M$77,"&gt;0")</f>
        <v>0</v>
      </c>
      <c r="AM52" s="113">
        <f>SUMIF('08.11'!$E$15:$E$67,H52,'08.11'!$M$15:$M$67)</f>
        <v>0</v>
      </c>
      <c r="AN52" s="113">
        <f>COUNTIFS('08.11'!$E$15:$E$67,H52,'08.11'!$M$15:$M$67,"&gt;0")</f>
        <v>0</v>
      </c>
      <c r="AO52" s="113">
        <f>SUMIF('15.11'!$E$15:$E$71,H52,'15.11'!$M$15:$M$71)</f>
        <v>0</v>
      </c>
      <c r="AP52" s="113">
        <f>COUNTIFS('15.11'!$E$15:$E$71,H52,'15.11'!$M$15:$M$71,"&gt;0")</f>
        <v>0</v>
      </c>
      <c r="AQ52" s="113">
        <f>SUMIF('22.11'!$E$15:$E$78,H52,'22.11'!$M$15:$M$78)</f>
        <v>4</v>
      </c>
      <c r="AR52" s="113">
        <f>COUNTIFS('22.11'!$E$15:$E$78,H52,'22.11'!$M$15:$M$78,"&gt;0")</f>
        <v>1</v>
      </c>
      <c r="AS52" s="113">
        <f>SUMIF('29.11'!$E$15:$E$79,H52,'29.11'!$M$15:$M$79)</f>
        <v>0</v>
      </c>
      <c r="AT52" s="113">
        <f>COUNTIFS('29.11'!$E$15:$E$79,H52,'29.11'!$L$15:$L$79,"&gt;0")</f>
        <v>0</v>
      </c>
      <c r="AU52" s="113">
        <f>SUMIF('06.12'!$E$15:$E$82,H52,'06.12'!$M$15:$M$82)</f>
        <v>0</v>
      </c>
      <c r="AV52" s="113">
        <f>COUNTIFS('06.12'!$E$15:$E$82,H52,'06.12'!$M$15:$M$82,"&gt;0")</f>
        <v>0</v>
      </c>
      <c r="AW52" s="113">
        <f>SUMIF('13.12'!$E$15:$E$82,H52,'13.12'!$M$15:$M$82)</f>
        <v>0</v>
      </c>
      <c r="AX52" s="113">
        <f>COUNTIFS('13.12'!$E$15:$E$82,H52,'13.12'!$M$15:$M$82,"&gt;0")</f>
        <v>0</v>
      </c>
      <c r="AY52" s="113">
        <f>SUMIF('20.12'!$E$15:$E$84,H52,'20.12'!$M$15:$M$84)</f>
        <v>0</v>
      </c>
      <c r="AZ52" s="113">
        <f>COUNTIFS('20.12'!$E$15:$E$84,H52,'20.12'!$M$15:$M$84,"&gt;0")</f>
        <v>0</v>
      </c>
      <c r="BA52" s="113">
        <f>SUMIF('27.12'!$E$15:$E$84,H52,'27.12'!$M$15:$M$84)</f>
        <v>0</v>
      </c>
      <c r="BB52" s="113">
        <f>COUNTIFS('27.12'!$E$15:$E$84,H52,'27.12'!$M$15:$M$84,"&gt;0")</f>
        <v>0</v>
      </c>
      <c r="BC52" s="113">
        <f>SUMIF('03.01'!$E$15:$E$88,H52,'03.01'!$M$15:$M$88)</f>
        <v>0</v>
      </c>
      <c r="BD52" s="113">
        <f>COUNTIFS('03.01'!$E$15:$E$88,H52,'03.01'!$M$15:$M$88,"&gt;0")</f>
        <v>0</v>
      </c>
      <c r="BE52" s="113">
        <f>SUMIF('10.01'!$E$15:$E$91,H52,'10.01'!$M$15:$M$91)</f>
        <v>0</v>
      </c>
      <c r="BF52" s="113">
        <f>COUNTIFS('10.01'!$E$15:$E$91,H52,'10.01'!$M$15:$M$91,"&gt;0")</f>
        <v>0</v>
      </c>
      <c r="BG52" s="113">
        <f>SUMIF('17.01'!$E$15:$E$87,H52,'17.01'!$M$15:$M$87)</f>
        <v>0</v>
      </c>
      <c r="BH52" s="113">
        <f>COUNTIFS('17.01'!$E$15:$E$87,H52,'17.01'!$M$15:$M$87,"&gt;0")</f>
        <v>0</v>
      </c>
      <c r="BI52" s="113">
        <f>SUMIF('24.01'!$E$15:$E$86,H52,'24.01'!$M$15:$M$86)</f>
        <v>0</v>
      </c>
      <c r="BJ52" s="113">
        <f>COUNTIFS('24.01'!$E$15:$E$86,H52,'24.01'!$M$15:$M$86,"&gt;0")</f>
        <v>0</v>
      </c>
      <c r="BK52" s="113">
        <f>SUMIF('31.01'!$E$15:$E$75,H52,'31.01'!$M$15:$M$75)</f>
        <v>0</v>
      </c>
      <c r="BL52" s="113">
        <f>COUNTIFS('31.01'!$E$15:$E$75,H52,'31.01'!$M$15:$M$75,"&gt;0")</f>
        <v>0</v>
      </c>
      <c r="BM52" s="113">
        <f>SUMIF('07.02'!$E$15:$E$77,H52,'07.02'!$M$15:$M$77)</f>
        <v>0</v>
      </c>
      <c r="BN52" s="113">
        <f>COUNTIFS('07.02'!$E$15:$E$77,H52,'07.02'!$M$15:$M$77,"&gt;0")</f>
        <v>0</v>
      </c>
      <c r="BO52" s="113">
        <f>SUMIF('14.02'!$E$15:$E$81,H52,'14.02'!$M$15:$M$81)</f>
        <v>0</v>
      </c>
      <c r="BP52" s="113">
        <f>COUNTIFS('14.02'!$E$15:$E$81,H52,'14.02'!$M$15:$M$81,"&gt;0")</f>
        <v>0</v>
      </c>
      <c r="BQ52" s="113">
        <f>SUMIF('21.02'!$E$15:$E$82,H52,'21.02'!$M$15:$M$82)</f>
        <v>0</v>
      </c>
      <c r="BR52" s="113">
        <f>COUNTIFS('21.02'!$E$15:$E$82,H52,'21.02'!$M$15:$M$82,"&gt;0")</f>
        <v>0</v>
      </c>
      <c r="BS52" s="113"/>
      <c r="BT52" s="113"/>
      <c r="BU52" s="113"/>
      <c r="BV52" s="113"/>
      <c r="BW52" s="113"/>
      <c r="BX52" s="113"/>
      <c r="BY52" s="113"/>
      <c r="BZ52" s="113"/>
    </row>
    <row r="53">
      <c r="H53" s="185" t="s">
        <v>439</v>
      </c>
      <c r="I53" s="88">
        <f>SUMIF('26.07'!$E$15:$E$74,H53,'26.07'!$M$15:$M$74)</f>
        <v>0</v>
      </c>
      <c r="J53" s="88">
        <f>COUNTIFS('26.07'!$E$15:$E$74,H53,'26.07'!$L$15:$L$74,"&gt;0")</f>
        <v>0</v>
      </c>
      <c r="K53" s="88">
        <f>SUMIF('02.08'!$E$15:$E$73,H53,'02.08'!$M$15:$M$73)</f>
        <v>0</v>
      </c>
      <c r="L53" s="88">
        <f>COUNTIFS('02.08'!$E$15:$E$73,H53,'02.08'!$L$15:$L$73,"&gt;0")</f>
        <v>0</v>
      </c>
      <c r="M53" s="88">
        <f>SUMIF('09.08'!$E$15:$E$71,H53,'09.08'!$M$15:$M$71)</f>
        <v>0</v>
      </c>
      <c r="N53" s="88">
        <f>COUNTIFS('09.08'!$E$15:$E$71,H53,'09.08'!$L$15:$L$71,"&gt;0")</f>
        <v>0</v>
      </c>
      <c r="O53" s="88">
        <f>sumif('16.08 '!$E$15:$E$65,H53,'16.08 '!$M$15:$M$65)</f>
        <v>0</v>
      </c>
      <c r="P53" s="88">
        <f>COUNTIFs('16.08 '!$E$15:$E$65,H53,'16.08 '!$L$15:$L$65,"&gt;0")</f>
        <v>0</v>
      </c>
      <c r="Q53" s="88">
        <f>sumif('23.08'!$E$15:$E$62,H53,'23.08'!$M$15:$M$62)</f>
        <v>0</v>
      </c>
      <c r="R53" s="88">
        <f>COUNTIFS('23.08'!$M$15:$M$62,"&gt;0",'23.08'!$E$15:$E$62,H53)</f>
        <v>0</v>
      </c>
      <c r="S53" s="88">
        <f>SUMIF('30.08'!$E$15:$E$66,H53,'30.08'!$M$15:$M$66)</f>
        <v>0</v>
      </c>
      <c r="T53" s="88">
        <f>COUNTIFS('30.08'!$E$15:$E$66,H53,'30.08'!$M$15:$M$66,"&gt;0")</f>
        <v>0</v>
      </c>
      <c r="U53" s="88">
        <f>sumif('06.09'!$E$15:$E$66,H53,'06.09'!$M$15:$M$66)</f>
        <v>0</v>
      </c>
      <c r="V53" s="113">
        <f>COUNTIFS('06.09'!$E$15:$E$66,H53,'06.09'!$M$15:$M$66,"&gt;0")</f>
        <v>0</v>
      </c>
      <c r="W53" s="88">
        <f>SUMIF('13.09'!$E$15:$E$65,H53,'13.09'!$M$15:$M$65)</f>
        <v>0</v>
      </c>
      <c r="X53" s="113">
        <f>COUNTIFS('13.09'!$E$15:$E$65,H53,'13.09'!$M$15:$M$65,"&gt;0")</f>
        <v>0</v>
      </c>
      <c r="Y53" s="88">
        <f>SUMIF('20.09'!$E$15:$E$68,H53,'20.09'!$M$15:$M$68)</f>
        <v>0</v>
      </c>
      <c r="Z53" s="113">
        <f>COUNTIFS('20.09'!$E$15:$E$68,H53,'20.09'!$M$15:$M$68,"&gt;0")</f>
        <v>0</v>
      </c>
      <c r="AA53" s="88">
        <f>SUMIF('27.09'!$E$15:$E$68,H53,'27.09'!$M$15:$M$68)</f>
        <v>0</v>
      </c>
      <c r="AB53" s="113">
        <f>COUNTIFS('27.09'!$E$15:$E$68,H53,'27.09'!$M$15:$M$68,"&gt;0")</f>
        <v>0</v>
      </c>
      <c r="AC53" s="88">
        <f>SUMIF('04.10'!$E$15:$E$71,H53,'04.10'!$M$15:$M$71)</f>
        <v>0</v>
      </c>
      <c r="AD53" s="113">
        <f>COUNTIFS('04.10'!$E$15:$E$71,H53,'04.10'!$M$15:$M$71,"&gt;0")</f>
        <v>0</v>
      </c>
      <c r="AE53" s="88">
        <f>SUMIF('11.10'!$E$15:$E$76,H53,'11.10'!$M$15:$M$76)</f>
        <v>0</v>
      </c>
      <c r="AF53" s="113">
        <f>COUNTIFS('11.10'!$E$15:$E$76,H53,'11.10'!$L$15:$L$76,"&gt;0")</f>
        <v>0</v>
      </c>
      <c r="AG53" s="113">
        <f>SUMIF('18.10'!$E$15:$E$76,H53,'18.10'!$M$15:$M$76)</f>
        <v>0</v>
      </c>
      <c r="AH53" s="113">
        <f>COUNTIFS('18.10'!$E$15:$E$76,H53,'18.10'!$L$15:$L$76,"&gt;0")</f>
        <v>0</v>
      </c>
      <c r="AI53" s="113">
        <f>SUMIF('25.10'!$E$15:$E$78,H53,'25.10'!$M$15:$M$78)</f>
        <v>0</v>
      </c>
      <c r="AJ53" s="113">
        <f>COUNTIFS('25.10'!$E$15:$E$78,H53,'25.10'!$L$15:$L$78,"&gt;0")</f>
        <v>0</v>
      </c>
      <c r="AK53" s="113">
        <f>SUMIF('01.11'!$E$15:$E$77,H53,'01.11'!$M$15:$M$77)</f>
        <v>0</v>
      </c>
      <c r="AL53" s="113">
        <f>COUNTIFS('01.11'!$E$15:$E$77,H53,'01.11'!$M$15:$M$77,"&gt;0")</f>
        <v>0</v>
      </c>
      <c r="AM53" s="113">
        <f>SUMIF('08.11'!$E$15:$E$67,H53,'08.11'!$M$15:$M$67)</f>
        <v>0</v>
      </c>
      <c r="AN53" s="113">
        <f>COUNTIFS('08.11'!$E$15:$E$67,H53,'08.11'!$M$15:$M$67,"&gt;0")</f>
        <v>0</v>
      </c>
      <c r="AO53" s="113">
        <f>SUMIF('15.11'!$E$15:$E$71,H53,'15.11'!$M$15:$M$71)</f>
        <v>0</v>
      </c>
      <c r="AP53" s="113">
        <f>COUNTIFS('15.11'!$E$15:$E$71,H53,'15.11'!$M$15:$M$71,"&gt;0")</f>
        <v>0</v>
      </c>
      <c r="AQ53" s="113">
        <f>SUMIF('22.11'!$E$15:$E$78,H53,'22.11'!$M$15:$M$78)</f>
        <v>0</v>
      </c>
      <c r="AR53" s="113">
        <f>COUNTIFS('22.11'!$E$15:$E$78,H53,'22.11'!$M$15:$M$78,"&gt;0")</f>
        <v>0</v>
      </c>
      <c r="AS53" s="113">
        <f>SUMIF('29.11'!$E$15:$E$79,H53,'29.11'!$M$15:$M$79)</f>
        <v>0</v>
      </c>
      <c r="AT53" s="113">
        <f>COUNTIFS('29.11'!$E$15:$E$79,H53,'29.11'!$L$15:$L$79,"&gt;0")</f>
        <v>0</v>
      </c>
      <c r="AU53" s="113">
        <f>SUMIF('06.12'!$E$15:$E$82,H53,'06.12'!$M$15:$M$82)</f>
        <v>0</v>
      </c>
      <c r="AV53" s="113">
        <f>COUNTIFS('06.12'!$E$15:$E$82,H53,'06.12'!$M$15:$M$82,"&gt;0")</f>
        <v>0</v>
      </c>
      <c r="AW53" s="113">
        <f>SUMIF('13.12'!$E$15:$E$82,H53,'13.12'!$M$15:$M$82)</f>
        <v>0</v>
      </c>
      <c r="AX53" s="113">
        <f>COUNTIFS('13.12'!$E$15:$E$82,H53,'13.12'!$M$15:$M$82,"&gt;0")</f>
        <v>0</v>
      </c>
      <c r="AY53" s="113">
        <f>SUMIF('20.12'!$E$15:$E$84,H53,'20.12'!$M$15:$M$84)</f>
        <v>0</v>
      </c>
      <c r="AZ53" s="113">
        <f>COUNTIFS('20.12'!$E$15:$E$84,H53,'20.12'!$M$15:$M$84,"&gt;0")</f>
        <v>0</v>
      </c>
      <c r="BA53" s="113">
        <f>SUMIF('27.12'!$E$15:$E$84,H53,'27.12'!$M$15:$M$84)</f>
        <v>0</v>
      </c>
      <c r="BB53" s="113">
        <f>COUNTIFS('27.12'!$E$15:$E$84,H53,'27.12'!$M$15:$M$84,"&gt;0")</f>
        <v>0</v>
      </c>
      <c r="BC53" s="113">
        <f>SUMIF('03.01'!$E$15:$E$88,H53,'03.01'!$M$15:$M$88)</f>
        <v>0</v>
      </c>
      <c r="BD53" s="113">
        <f>COUNTIFS('03.01'!$E$15:$E$88,H53,'03.01'!$M$15:$M$88,"&gt;0")</f>
        <v>0</v>
      </c>
      <c r="BE53" s="113">
        <f>SUMIF('10.01'!$E$15:$E$91,H53,'10.01'!$M$15:$M$91)</f>
        <v>0</v>
      </c>
      <c r="BF53" s="113">
        <f>COUNTIFS('10.01'!$E$15:$E$91,H53,'10.01'!$M$15:$M$91,"&gt;0")</f>
        <v>0</v>
      </c>
      <c r="BG53" s="113">
        <f>SUMIF('17.01'!$E$15:$E$87,H53,'17.01'!$M$15:$M$87)</f>
        <v>0</v>
      </c>
      <c r="BH53" s="113">
        <f>COUNTIFS('17.01'!$E$15:$E$87,H53,'17.01'!$M$15:$M$87,"&gt;0")</f>
        <v>0</v>
      </c>
      <c r="BI53" s="113">
        <f>SUMIF('24.01'!$E$15:$E$86,H53,'24.01'!$M$15:$M$86)</f>
        <v>0</v>
      </c>
      <c r="BJ53" s="113">
        <f>COUNTIFS('24.01'!$E$15:$E$86,H53,'24.01'!$M$15:$M$86,"&gt;0")</f>
        <v>0</v>
      </c>
      <c r="BK53" s="113">
        <f>SUMIF('31.01'!$E$15:$E$75,H53,'31.01'!$M$15:$M$75)</f>
        <v>0</v>
      </c>
      <c r="BL53" s="113">
        <f>COUNTIFS('31.01'!$E$15:$E$75,H53,'31.01'!$M$15:$M$75,"&gt;0")</f>
        <v>0</v>
      </c>
      <c r="BM53" s="113">
        <f>SUMIF('07.02'!$E$15:$E$77,H53,'07.02'!$M$15:$M$77)</f>
        <v>8</v>
      </c>
      <c r="BN53" s="113">
        <f>COUNTIFS('07.02'!$E$15:$E$77,H53,'07.02'!$M$15:$M$77,"&gt;0")</f>
        <v>1</v>
      </c>
      <c r="BO53" s="113">
        <f>SUMIF('14.02'!$E$15:$E$81,H53,'14.02'!$M$15:$M$81)</f>
        <v>0</v>
      </c>
      <c r="BP53" s="113">
        <f>COUNTIFS('14.02'!$E$15:$E$81,H53,'14.02'!$M$15:$M$81,"&gt;0")</f>
        <v>0</v>
      </c>
      <c r="BQ53" s="113">
        <f>SUMIF('21.02'!$E$15:$E$82,H53,'21.02'!$M$15:$M$82)</f>
        <v>0</v>
      </c>
      <c r="BR53" s="113">
        <f>COUNTIFS('21.02'!$E$15:$E$82,H53,'21.02'!$M$15:$M$82,"&gt;0")</f>
        <v>0</v>
      </c>
      <c r="BS53" s="113"/>
      <c r="BT53" s="113"/>
      <c r="BU53" s="113"/>
      <c r="BV53" s="113"/>
      <c r="BW53" s="113"/>
      <c r="BX53" s="113"/>
      <c r="BY53" s="113"/>
      <c r="BZ53" s="113"/>
    </row>
    <row r="54">
      <c r="H54" s="185" t="s">
        <v>438</v>
      </c>
      <c r="I54" s="88">
        <f>SUMIF('26.07'!$E$15:$E$74,H54,'26.07'!$M$15:$M$74)</f>
        <v>0</v>
      </c>
      <c r="J54" s="88">
        <f>COUNTIFS('26.07'!$E$15:$E$74,H54,'26.07'!$L$15:$L$74,"&gt;0")</f>
        <v>0</v>
      </c>
      <c r="K54" s="88">
        <f>SUMIF('02.08'!$E$15:$E$73,H54,'02.08'!$M$15:$M$73)</f>
        <v>0</v>
      </c>
      <c r="L54" s="88">
        <f>COUNTIFS('02.08'!$E$15:$E$73,H54,'02.08'!$L$15:$L$73,"&gt;0")</f>
        <v>0</v>
      </c>
      <c r="M54" s="88">
        <f>SUMIF('09.08'!$E$15:$E$71,H54,'09.08'!$M$15:$M$71)</f>
        <v>0</v>
      </c>
      <c r="N54" s="88">
        <f>COUNTIFS('09.08'!$E$15:$E$71,H54,'09.08'!$L$15:$L$71,"&gt;0")</f>
        <v>0</v>
      </c>
      <c r="O54" s="88">
        <f>sumif('16.08 '!$E$15:$E$65,H54,'16.08 '!$M$15:$M$65)</f>
        <v>0</v>
      </c>
      <c r="P54" s="88">
        <f>COUNTIFs('16.08 '!$E$15:$E$65,H54,'16.08 '!$L$15:$L$65,"&gt;0")</f>
        <v>0</v>
      </c>
      <c r="Q54" s="88">
        <f>sumif('23.08'!$E$15:$E$62,H54,'23.08'!$M$15:$M$62)</f>
        <v>0</v>
      </c>
      <c r="R54" s="88">
        <f>COUNTIFS('23.08'!$M$15:$M$62,"&gt;0",'23.08'!$E$15:$E$62,H54)</f>
        <v>0</v>
      </c>
      <c r="S54" s="88">
        <f>SUMIF('30.08'!$E$15:$E$66,H54,'30.08'!$M$15:$M$66)</f>
        <v>0</v>
      </c>
      <c r="T54" s="88">
        <f>COUNTIFS('30.08'!$E$15:$E$66,H54,'30.08'!$M$15:$M$66,"&gt;0")</f>
        <v>0</v>
      </c>
      <c r="U54" s="88">
        <f>sumif('06.09'!$E$15:$E$66,H54,'06.09'!$M$15:$M$66)</f>
        <v>0</v>
      </c>
      <c r="V54" s="113">
        <f>COUNTIFS('06.09'!$E$15:$E$66,H54,'06.09'!$M$15:$M$66,"&gt;0")</f>
        <v>0</v>
      </c>
      <c r="W54" s="88">
        <f>SUMIF('13.09'!$E$15:$E$65,H54,'13.09'!$M$15:$M$65)</f>
        <v>0</v>
      </c>
      <c r="X54" s="113">
        <f>COUNTIFS('13.09'!$E$15:$E$65,H54,'13.09'!$M$15:$M$65,"&gt;0")</f>
        <v>0</v>
      </c>
      <c r="Y54" s="88">
        <f>SUMIF('20.09'!$E$15:$E$68,H54,'20.09'!$M$15:$M$68)</f>
        <v>0</v>
      </c>
      <c r="Z54" s="113">
        <f>COUNTIFS('20.09'!$E$15:$E$68,H54,'20.09'!$M$15:$M$68,"&gt;0")</f>
        <v>0</v>
      </c>
      <c r="AA54" s="88">
        <f>SUMIF('27.09'!$E$15:$E$68,H54,'27.09'!$M$15:$M$68)</f>
        <v>0</v>
      </c>
      <c r="AB54" s="113">
        <f>COUNTIFS('27.09'!$E$15:$E$68,H54,'27.09'!$M$15:$M$68,"&gt;0")</f>
        <v>0</v>
      </c>
      <c r="AC54" s="88">
        <f>SUMIF('04.10'!$E$15:$E$71,H54,'04.10'!$M$15:$M$71)</f>
        <v>0</v>
      </c>
      <c r="AD54" s="113">
        <f>COUNTIFS('04.10'!$E$15:$E$71,H54,'04.10'!$M$15:$M$71,"&gt;0")</f>
        <v>0</v>
      </c>
      <c r="AE54" s="88">
        <f>SUMIF('11.10'!$E$15:$E$76,H54,'11.10'!$M$15:$M$76)</f>
        <v>0</v>
      </c>
      <c r="AF54" s="113">
        <f>COUNTIFS('11.10'!$E$15:$E$76,H54,'11.10'!$L$15:$L$76,"&gt;0")</f>
        <v>0</v>
      </c>
      <c r="AG54" s="113">
        <f>SUMIF('18.10'!$E$15:$E$76,H54,'18.10'!$M$15:$M$76)</f>
        <v>12</v>
      </c>
      <c r="AH54" s="113">
        <f>COUNTIFS('18.10'!$E$15:$E$76,H54,'18.10'!$L$15:$L$76,"&gt;0")</f>
        <v>1</v>
      </c>
      <c r="AI54" s="113">
        <f>SUMIF('25.10'!$E$15:$E$78,H54,'25.10'!$M$15:$M$78)</f>
        <v>8</v>
      </c>
      <c r="AJ54" s="113">
        <f>COUNTIFS('25.10'!$E$15:$E$78,H54,'25.10'!$L$15:$L$78,"&gt;0")</f>
        <v>1</v>
      </c>
      <c r="AK54" s="113">
        <f>SUMIF('01.11'!$E$15:$E$77,H54,'01.11'!$M$15:$M$77)</f>
        <v>8</v>
      </c>
      <c r="AL54" s="113">
        <f>COUNTIFS('01.11'!$E$15:$E$77,H54,'01.11'!$M$15:$M$77,"&gt;0")</f>
        <v>1</v>
      </c>
      <c r="AM54" s="113">
        <f>SUMIF('08.11'!$E$15:$E$67,H54,'08.11'!$M$15:$M$67)</f>
        <v>12</v>
      </c>
      <c r="AN54" s="113">
        <f>COUNTIFS('08.11'!$E$15:$E$67,H54,'08.11'!$M$15:$M$67,"&gt;0")</f>
        <v>1</v>
      </c>
      <c r="AO54" s="113">
        <f>SUMIF('15.11'!$E$15:$E$71,H54,'15.11'!$M$15:$M$71)</f>
        <v>0</v>
      </c>
      <c r="AP54" s="113">
        <f>COUNTIFS('15.11'!$E$15:$E$71,H54,'15.11'!$M$15:$M$71,"&gt;0")</f>
        <v>0</v>
      </c>
      <c r="AQ54" s="113">
        <f>SUMIF('22.11'!$E$15:$E$78,H54,'22.11'!$M$15:$M$78)</f>
        <v>0</v>
      </c>
      <c r="AR54" s="113">
        <f>COUNTIFS('22.11'!$E$15:$E$78,H54,'22.11'!$M$15:$M$78,"&gt;0")</f>
        <v>0</v>
      </c>
      <c r="AS54" s="113">
        <f>SUMIF('29.11'!$E$15:$E$79,H54,'29.11'!$M$15:$M$79)</f>
        <v>0</v>
      </c>
      <c r="AT54" s="113">
        <f>COUNTIFS('29.11'!$E$15:$E$79,H54,'29.11'!$L$15:$L$79,"&gt;0")</f>
        <v>0</v>
      </c>
      <c r="AU54" s="113">
        <f>SUMIF('06.12'!$E$15:$E$82,H54,'06.12'!$M$15:$M$82)</f>
        <v>4</v>
      </c>
      <c r="AV54" s="113">
        <f>COUNTIFS('06.12'!$E$15:$E$82,H54,'06.12'!$M$15:$M$82,"&gt;0")</f>
        <v>1</v>
      </c>
      <c r="AW54" s="113">
        <f>SUMIF('13.12'!$E$15:$E$82,H54,'13.12'!$M$15:$M$82)</f>
        <v>0</v>
      </c>
      <c r="AX54" s="113">
        <f>COUNTIFS('13.12'!$E$15:$E$82,H54,'13.12'!$M$15:$M$82,"&gt;0")</f>
        <v>0</v>
      </c>
      <c r="AY54" s="113">
        <f>SUMIF('20.12'!$E$15:$E$84,H54,'20.12'!$M$15:$M$84)</f>
        <v>0</v>
      </c>
      <c r="AZ54" s="113">
        <f>COUNTIFS('20.12'!$E$15:$E$84,H54,'20.12'!$M$15:$M$84,"&gt;0")</f>
        <v>0</v>
      </c>
      <c r="BA54" s="113">
        <f>SUMIF('27.12'!$E$15:$E$84,H54,'27.12'!$M$15:$M$84)</f>
        <v>0</v>
      </c>
      <c r="BB54" s="113">
        <f>COUNTIFS('27.12'!$E$15:$E$84,H54,'27.12'!$M$15:$M$84,"&gt;0")</f>
        <v>0</v>
      </c>
      <c r="BC54" s="113">
        <f>SUMIF('03.01'!$E$15:$E$88,H54,'03.01'!$M$15:$M$88)</f>
        <v>0</v>
      </c>
      <c r="BD54" s="113">
        <f>COUNTIFS('03.01'!$E$15:$E$88,H54,'03.01'!$M$15:$M$88,"&gt;0")</f>
        <v>0</v>
      </c>
      <c r="BE54" s="113">
        <f>SUMIF('10.01'!$E$15:$E$91,H54,'10.01'!$M$15:$M$91)</f>
        <v>0</v>
      </c>
      <c r="BF54" s="113">
        <f>COUNTIFS('10.01'!$E$15:$E$91,H54,'10.01'!$M$15:$M$91,"&gt;0")</f>
        <v>0</v>
      </c>
      <c r="BG54" s="113">
        <f>SUMIF('17.01'!$E$15:$E$87,H54,'17.01'!$M$15:$M$87)</f>
        <v>0</v>
      </c>
      <c r="BH54" s="113">
        <f>COUNTIFS('17.01'!$E$15:$E$87,H54,'17.01'!$M$15:$M$87,"&gt;0")</f>
        <v>0</v>
      </c>
      <c r="BI54" s="113">
        <f>SUMIF('24.01'!$E$15:$E$86,H54,'24.01'!$M$15:$M$86)</f>
        <v>0</v>
      </c>
      <c r="BJ54" s="113">
        <f>COUNTIFS('24.01'!$E$15:$E$86,H54,'24.01'!$M$15:$M$86,"&gt;0")</f>
        <v>0</v>
      </c>
      <c r="BK54" s="113">
        <f>SUMIF('31.01'!$E$15:$E$75,H54,'31.01'!$M$15:$M$75)</f>
        <v>0</v>
      </c>
      <c r="BL54" s="113">
        <f>COUNTIFS('31.01'!$E$15:$E$75,H54,'31.01'!$M$15:$M$75,"&gt;0")</f>
        <v>0</v>
      </c>
      <c r="BM54" s="113">
        <f>SUMIF('07.02'!$E$15:$E$77,H54,'07.02'!$M$15:$M$77)</f>
        <v>0</v>
      </c>
      <c r="BN54" s="113">
        <f>COUNTIFS('07.02'!$E$15:$E$77,H54,'07.02'!$M$15:$M$77,"&gt;0")</f>
        <v>0</v>
      </c>
      <c r="BO54" s="113">
        <f>SUMIF('14.02'!$E$15:$E$81,H54,'14.02'!$M$15:$M$81)</f>
        <v>0</v>
      </c>
      <c r="BP54" s="113">
        <f>COUNTIFS('14.02'!$E$15:$E$81,H54,'14.02'!$M$15:$M$81,"&gt;0")</f>
        <v>0</v>
      </c>
      <c r="BQ54" s="113">
        <f>SUMIF('21.02'!$E$15:$E$82,H54,'21.02'!$M$15:$M$82)</f>
        <v>0</v>
      </c>
      <c r="BR54" s="113">
        <f>COUNTIFS('21.02'!$E$15:$E$82,H54,'21.02'!$M$15:$M$82,"&gt;0")</f>
        <v>0</v>
      </c>
      <c r="BS54" s="113"/>
      <c r="BT54" s="113"/>
      <c r="BU54" s="113"/>
      <c r="BV54" s="113"/>
      <c r="BW54" s="113"/>
      <c r="BX54" s="113"/>
      <c r="BY54" s="113"/>
      <c r="BZ54" s="113"/>
    </row>
    <row r="55">
      <c r="H55" s="185" t="s">
        <v>435</v>
      </c>
      <c r="I55" s="88">
        <f>SUMIF('26.07'!$E$15:$E$74,H55,'26.07'!$M$15:$M$74)</f>
        <v>0</v>
      </c>
      <c r="J55" s="88">
        <f>COUNTIFS('26.07'!$E$15:$E$74,H55,'26.07'!$L$15:$L$74,"&gt;0")</f>
        <v>0</v>
      </c>
      <c r="K55" s="88">
        <f>SUMIF('02.08'!$E$15:$E$73,H55,'02.08'!$M$15:$M$73)</f>
        <v>0</v>
      </c>
      <c r="L55" s="88">
        <f>COUNTIFS('02.08'!$E$15:$E$73,H55,'02.08'!$L$15:$L$73,"&gt;0")</f>
        <v>0</v>
      </c>
      <c r="M55" s="88">
        <f>SUMIF('09.08'!$E$15:$E$71,H55,'09.08'!$M$15:$M$71)</f>
        <v>0</v>
      </c>
      <c r="N55" s="88">
        <f>COUNTIFS('09.08'!$E$15:$E$71,H55,'09.08'!$L$15:$L$71,"&gt;0")</f>
        <v>0</v>
      </c>
      <c r="O55" s="88">
        <f>sumif('16.08 '!$E$15:$E$65,H55,'16.08 '!$M$15:$M$65)</f>
        <v>0</v>
      </c>
      <c r="P55" s="88">
        <f>COUNTIFs('16.08 '!$E$15:$E$65,H55,'16.08 '!$L$15:$L$65,"&gt;0")</f>
        <v>0</v>
      </c>
      <c r="Q55" s="88">
        <f>sumif('23.08'!$E$15:$E$62,H55,'23.08'!$M$15:$M$62)</f>
        <v>0</v>
      </c>
      <c r="R55" s="88">
        <f>COUNTIFS('23.08'!$M$15:$M$62,"&gt;0",'23.08'!$E$15:$E$62,H55)</f>
        <v>0</v>
      </c>
      <c r="S55" s="88">
        <f>SUMIF('30.08'!$E$15:$E$66,H55,'30.08'!$M$15:$M$66)</f>
        <v>0</v>
      </c>
      <c r="T55" s="88">
        <f>COUNTIFS('30.08'!$E$15:$E$66,H55,'30.08'!$M$15:$M$66,"&gt;0")</f>
        <v>0</v>
      </c>
      <c r="U55" s="88">
        <f>sumif('06.09'!$E$15:$E$66,H55,'06.09'!$M$15:$M$66)</f>
        <v>0</v>
      </c>
      <c r="V55" s="113">
        <f>COUNTIFS('06.09'!$E$15:$E$66,H55,'06.09'!$M$15:$M$66,"&gt;0")</f>
        <v>0</v>
      </c>
      <c r="W55" s="88">
        <f>SUMIF('13.09'!$E$15:$E$65,H55,'13.09'!$M$15:$M$65)</f>
        <v>0</v>
      </c>
      <c r="X55" s="113">
        <f>COUNTIFS('13.09'!$E$15:$E$65,H55,'13.09'!$M$15:$M$65,"&gt;0")</f>
        <v>0</v>
      </c>
      <c r="Y55" s="88">
        <f>SUMIF('20.09'!$E$15:$E$68,H55,'20.09'!$M$15:$M$68)</f>
        <v>0</v>
      </c>
      <c r="Z55" s="113">
        <f>COUNTIFS('20.09'!$E$15:$E$68,H55,'20.09'!$M$15:$M$68,"&gt;0")</f>
        <v>0</v>
      </c>
      <c r="AA55" s="88">
        <f>SUMIF('27.09'!$E$15:$E$68,H55,'27.09'!$M$15:$M$68)</f>
        <v>0</v>
      </c>
      <c r="AB55" s="113">
        <f>COUNTIFS('27.09'!$E$15:$E$68,H55,'27.09'!$M$15:$M$68,"&gt;0")</f>
        <v>0</v>
      </c>
      <c r="AC55" s="88">
        <f>SUMIF('04.10'!$E$15:$E$71,H55,'04.10'!$M$15:$M$71)</f>
        <v>0</v>
      </c>
      <c r="AD55" s="113">
        <f>COUNTIFS('04.10'!$E$15:$E$71,H55,'04.10'!$M$15:$M$71,"&gt;0")</f>
        <v>0</v>
      </c>
      <c r="AE55" s="88">
        <f>SUMIF('11.10'!$E$15:$E$76,H55,'11.10'!$M$15:$M$76)</f>
        <v>0</v>
      </c>
      <c r="AF55" s="113">
        <f>COUNTIFS('11.10'!$E$15:$E$76,H55,'11.10'!$L$15:$L$76,"&gt;0")</f>
        <v>0</v>
      </c>
      <c r="AG55" s="113">
        <f>SUMIF('18.10'!$E$15:$E$76,H55,'18.10'!$M$15:$M$76)</f>
        <v>0</v>
      </c>
      <c r="AH55" s="113">
        <f>COUNTIFS('18.10'!$E$15:$E$76,H55,'18.10'!$L$15:$L$76,"&gt;0")</f>
        <v>0</v>
      </c>
      <c r="AI55" s="113">
        <f>SUMIF('25.10'!$E$15:$E$78,H55,'25.10'!$M$15:$M$78)</f>
        <v>0</v>
      </c>
      <c r="AJ55" s="113">
        <f>COUNTIFS('25.10'!$E$15:$E$78,H55,'25.10'!$L$15:$L$78,"&gt;0")</f>
        <v>0</v>
      </c>
      <c r="AK55" s="113">
        <f>SUMIF('01.11'!$E$15:$E$77,H55,'01.11'!$M$15:$M$77)</f>
        <v>0</v>
      </c>
      <c r="AL55" s="113">
        <f>COUNTIFS('01.11'!$E$15:$E$77,H55,'01.11'!$M$15:$M$77,"&gt;0")</f>
        <v>0</v>
      </c>
      <c r="AM55" s="113">
        <f>SUMIF('08.11'!$E$15:$E$67,H55,'08.11'!$M$15:$M$67)</f>
        <v>0</v>
      </c>
      <c r="AN55" s="113">
        <f>COUNTIFS('08.11'!$E$15:$E$67,H55,'08.11'!$M$15:$M$67,"&gt;0")</f>
        <v>0</v>
      </c>
      <c r="AO55" s="113">
        <f>SUMIF('15.11'!$E$15:$E$71,H55,'15.11'!$M$15:$M$71)</f>
        <v>0</v>
      </c>
      <c r="AP55" s="113">
        <f>COUNTIFS('15.11'!$E$15:$E$71,H55,'15.11'!$M$15:$M$71,"&gt;0")</f>
        <v>0</v>
      </c>
      <c r="AQ55" s="113">
        <f>SUMIF('22.11'!$E$15:$E$78,H55,'22.11'!$M$15:$M$78)</f>
        <v>0</v>
      </c>
      <c r="AR55" s="113">
        <f>COUNTIFS('22.11'!$E$15:$E$78,H55,'22.11'!$M$15:$M$78,"&gt;0")</f>
        <v>0</v>
      </c>
      <c r="AS55" s="113">
        <f>SUMIF('29.11'!$E$15:$E$79,H55,'29.11'!$M$15:$M$79)</f>
        <v>0</v>
      </c>
      <c r="AT55" s="113">
        <f>COUNTIFS('29.11'!$E$15:$E$79,H55,'29.11'!$L$15:$L$79,"&gt;0")</f>
        <v>0</v>
      </c>
      <c r="AU55" s="113">
        <f>SUMIF('06.12'!$E$15:$E$82,H55,'06.12'!$M$15:$M$82)</f>
        <v>0</v>
      </c>
      <c r="AV55" s="113">
        <f>COUNTIFS('06.12'!$E$15:$E$82,H55,'06.12'!$M$15:$M$82,"&gt;0")</f>
        <v>0</v>
      </c>
      <c r="AW55" s="113">
        <f>SUMIF('13.12'!$E$15:$E$82,H55,'13.12'!$M$15:$M$82)</f>
        <v>0</v>
      </c>
      <c r="AX55" s="113">
        <f>COUNTIFS('13.12'!$E$15:$E$82,H55,'13.12'!$M$15:$M$82,"&gt;0")</f>
        <v>0</v>
      </c>
      <c r="AY55" s="113">
        <f>SUMIF('20.12'!$E$15:$E$84,H55,'20.12'!$M$15:$M$84)</f>
        <v>0</v>
      </c>
      <c r="AZ55" s="113">
        <f>COUNTIFS('20.12'!$E$15:$E$84,H55,'20.12'!$M$15:$M$84,"&gt;0")</f>
        <v>0</v>
      </c>
      <c r="BA55" s="113">
        <f>SUMIF('27.12'!$E$15:$E$84,H55,'27.12'!$M$15:$M$84)</f>
        <v>0</v>
      </c>
      <c r="BB55" s="113">
        <f>COUNTIFS('27.12'!$E$15:$E$84,H55,'27.12'!$M$15:$M$84,"&gt;0")</f>
        <v>0</v>
      </c>
      <c r="BC55" s="113">
        <f>SUMIF('03.01'!$E$15:$E$88,H55,'03.01'!$M$15:$M$88)</f>
        <v>0</v>
      </c>
      <c r="BD55" s="113">
        <f>COUNTIFS('03.01'!$E$15:$E$88,H55,'03.01'!$M$15:$M$88,"&gt;0")</f>
        <v>0</v>
      </c>
      <c r="BE55" s="113">
        <f>SUMIF('10.01'!$E$15:$E$91,H55,'10.01'!$M$15:$M$91)</f>
        <v>0</v>
      </c>
      <c r="BF55" s="113">
        <f>COUNTIFS('10.01'!$E$15:$E$91,H55,'10.01'!$M$15:$M$91,"&gt;0")</f>
        <v>0</v>
      </c>
      <c r="BG55" s="113">
        <f>SUMIF('17.01'!$E$15:$E$87,H55,'17.01'!$M$15:$M$87)</f>
        <v>0</v>
      </c>
      <c r="BH55" s="113">
        <f>COUNTIFS('17.01'!$E$15:$E$87,H55,'17.01'!$M$15:$M$87,"&gt;0")</f>
        <v>0</v>
      </c>
      <c r="BI55" s="113">
        <f>SUMIF('24.01'!$E$15:$E$86,H55,'24.01'!$M$15:$M$86)</f>
        <v>0</v>
      </c>
      <c r="BJ55" s="113">
        <f>COUNTIFS('24.01'!$E$15:$E$86,H55,'24.01'!$M$15:$M$86,"&gt;0")</f>
        <v>0</v>
      </c>
      <c r="BK55" s="113">
        <f>SUMIF('31.01'!$E$15:$E$75,H55,'31.01'!$M$15:$M$75)</f>
        <v>0</v>
      </c>
      <c r="BL55" s="113">
        <f>COUNTIFS('31.01'!$E$15:$E$75,H55,'31.01'!$M$15:$M$75,"&gt;0")</f>
        <v>0</v>
      </c>
      <c r="BM55" s="113">
        <f>SUMIF('07.02'!$E$15:$E$77,H55,'07.02'!$M$15:$M$77)</f>
        <v>0</v>
      </c>
      <c r="BN55" s="113">
        <f>COUNTIFS('07.02'!$E$15:$E$77,H55,'07.02'!$M$15:$M$77,"&gt;0")</f>
        <v>0</v>
      </c>
      <c r="BO55" s="113">
        <f>SUMIF('14.02'!$E$15:$E$81,H55,'14.02'!$M$15:$M$81)</f>
        <v>0</v>
      </c>
      <c r="BP55" s="113">
        <f>COUNTIFS('14.02'!$E$15:$E$81,H55,'14.02'!$M$15:$M$81,"&gt;0")</f>
        <v>0</v>
      </c>
      <c r="BQ55" s="113">
        <f>SUMIF('21.02'!$E$15:$E$82,H55,'21.02'!$M$15:$M$82)</f>
        <v>0</v>
      </c>
      <c r="BR55" s="113">
        <f>COUNTIFS('21.02'!$E$15:$E$82,H55,'21.02'!$M$15:$M$82,"&gt;0")</f>
        <v>0</v>
      </c>
      <c r="BS55" s="113"/>
      <c r="BT55" s="113"/>
      <c r="BU55" s="113"/>
      <c r="BV55" s="113"/>
      <c r="BW55" s="113"/>
      <c r="BX55" s="113"/>
      <c r="BY55" s="113"/>
      <c r="BZ55" s="113"/>
    </row>
    <row r="56">
      <c r="H56" s="185" t="s">
        <v>357</v>
      </c>
      <c r="I56" s="88">
        <f>SUMIF('26.07'!$E$15:$E$74,H56,'26.07'!$M$15:$M$74)</f>
        <v>0</v>
      </c>
      <c r="J56" s="88">
        <f>COUNTIFS('26.07'!$E$15:$E$74,H56,'26.07'!$L$15:$L$74,"&gt;0")</f>
        <v>0</v>
      </c>
      <c r="K56" s="88">
        <f>SUMIF('02.08'!$E$15:$E$73,H56,'02.08'!$M$15:$M$73)</f>
        <v>0</v>
      </c>
      <c r="L56" s="88">
        <f>COUNTIFS('02.08'!$E$15:$E$73,H56,'02.08'!$L$15:$L$73,"&gt;0")</f>
        <v>0</v>
      </c>
      <c r="M56" s="88">
        <f>SUMIF('09.08'!$E$15:$E$71,H56,'09.08'!$M$15:$M$71)</f>
        <v>0</v>
      </c>
      <c r="N56" s="88">
        <f>COUNTIFS('09.08'!$E$15:$E$71,H56,'09.08'!$L$15:$L$71,"&gt;0")</f>
        <v>0</v>
      </c>
      <c r="O56" s="88">
        <f>sumif('16.08 '!$E$15:$E$65,H56,'16.08 '!$M$15:$M$65)</f>
        <v>0</v>
      </c>
      <c r="P56" s="88">
        <f>COUNTIFs('16.08 '!$E$15:$E$65,H56,'16.08 '!$L$15:$L$65,"&gt;0")</f>
        <v>0</v>
      </c>
      <c r="Q56" s="88">
        <f>sumif('23.08'!$E$15:$E$62,H56,'23.08'!$M$15:$M$62)</f>
        <v>0</v>
      </c>
      <c r="R56" s="88">
        <f>COUNTIFS('23.08'!$M$15:$M$62,"&gt;0",'23.08'!$E$15:$E$62,H56)</f>
        <v>0</v>
      </c>
      <c r="S56" s="88">
        <f>SUMIF('30.08'!$E$15:$E$66,H56,'30.08'!$M$15:$M$66)</f>
        <v>0</v>
      </c>
      <c r="T56" s="88">
        <f>COUNTIFS('30.08'!$E$15:$E$66,H56,'30.08'!$M$15:$M$66,"&gt;0")</f>
        <v>0</v>
      </c>
      <c r="U56" s="88">
        <f>sumif('06.09'!$E$15:$E$66,H56,'06.09'!$M$15:$M$66)</f>
        <v>0</v>
      </c>
      <c r="V56" s="113">
        <f>COUNTIFS('06.09'!$E$15:$E$66,H56,'06.09'!$M$15:$M$66,"&gt;0")</f>
        <v>0</v>
      </c>
      <c r="W56" s="88">
        <f>SUMIF('13.09'!$E$15:$E$65,H56,'13.09'!$M$15:$M$65)</f>
        <v>0</v>
      </c>
      <c r="X56" s="113">
        <f>COUNTIFS('13.09'!$E$15:$E$65,H56,'13.09'!$M$15:$M$65,"&gt;0")</f>
        <v>0</v>
      </c>
      <c r="Y56" s="88">
        <f>SUMIF('20.09'!$E$15:$E$68,H56,'20.09'!$M$15:$M$68)</f>
        <v>0</v>
      </c>
      <c r="Z56" s="113">
        <f>COUNTIFS('20.09'!$E$15:$E$68,H56,'20.09'!$M$15:$M$68,"&gt;0")</f>
        <v>0</v>
      </c>
      <c r="AA56" s="88">
        <f>SUMIF('27.09'!$E$15:$E$68,H56,'27.09'!$M$15:$M$68)</f>
        <v>0</v>
      </c>
      <c r="AB56" s="113">
        <f>COUNTIFS('27.09'!$E$15:$E$68,H56,'27.09'!$M$15:$M$68,"&gt;0")</f>
        <v>0</v>
      </c>
      <c r="AC56" s="88">
        <f>SUMIF('04.10'!$E$15:$E$71,H56,'04.10'!$M$15:$M$71)</f>
        <v>0</v>
      </c>
      <c r="AD56" s="113">
        <f>COUNTIFS('04.10'!$E$15:$E$71,H56,'04.10'!$M$15:$M$71,"&gt;0")</f>
        <v>0</v>
      </c>
      <c r="AE56" s="88">
        <f>SUMIF('11.10'!$E$15:$E$76,H56,'11.10'!$M$15:$M$76)</f>
        <v>0</v>
      </c>
      <c r="AF56" s="113">
        <f>COUNTIFS('11.10'!$E$15:$E$76,H56,'11.10'!$L$15:$L$76,"&gt;0")</f>
        <v>0</v>
      </c>
      <c r="AG56" s="113">
        <f>SUMIF('18.10'!$E$15:$E$76,H56,'18.10'!$M$15:$M$76)</f>
        <v>0</v>
      </c>
      <c r="AH56" s="113">
        <f>COUNTIFS('18.10'!$E$15:$E$76,H56,'18.10'!$L$15:$L$76,"&gt;0")</f>
        <v>0</v>
      </c>
      <c r="AI56" s="113">
        <f>SUMIF('25.10'!$E$15:$E$78,H56,'25.10'!$M$15:$M$78)</f>
        <v>0</v>
      </c>
      <c r="AJ56" s="113">
        <f>COUNTIFS('25.10'!$E$15:$E$78,H56,'25.10'!$L$15:$L$78,"&gt;0")</f>
        <v>0</v>
      </c>
      <c r="AK56" s="113">
        <f>SUMIF('01.11'!$E$15:$E$77,H56,'01.11'!$M$15:$M$77)</f>
        <v>0</v>
      </c>
      <c r="AL56" s="113">
        <f>COUNTIFS('01.11'!$E$15:$E$77,H56,'01.11'!$M$15:$M$77,"&gt;0")</f>
        <v>0</v>
      </c>
      <c r="AM56" s="113">
        <f>SUMIF('08.11'!$E$15:$E$67,H56,'08.11'!$M$15:$M$67)</f>
        <v>0</v>
      </c>
      <c r="AN56" s="113">
        <f>COUNTIFS('08.11'!$E$15:$E$67,H56,'08.11'!$M$15:$M$67,"&gt;0")</f>
        <v>0</v>
      </c>
      <c r="AO56" s="113">
        <f>SUMIF('15.11'!$E$15:$E$71,H56,'15.11'!$M$15:$M$71)</f>
        <v>0</v>
      </c>
      <c r="AP56" s="113">
        <f>COUNTIFS('15.11'!$E$15:$E$71,H56,'15.11'!$M$15:$M$71,"&gt;0")</f>
        <v>0</v>
      </c>
      <c r="AQ56" s="113">
        <f>SUMIF('22.11'!$E$15:$E$78,H56,'22.11'!$M$15:$M$78)</f>
        <v>0</v>
      </c>
      <c r="AR56" s="113">
        <f>COUNTIFS('22.11'!$E$15:$E$78,H56,'22.11'!$M$15:$M$78,"&gt;0")</f>
        <v>0</v>
      </c>
      <c r="AS56" s="113">
        <f>SUMIF('29.11'!$E$15:$E$79,H56,'29.11'!$M$15:$M$79)</f>
        <v>0</v>
      </c>
      <c r="AT56" s="113">
        <f>COUNTIFS('29.11'!$E$15:$E$79,H56,'29.11'!$L$15:$L$79,"&gt;0")</f>
        <v>0</v>
      </c>
      <c r="AU56" s="113">
        <f>SUMIF('06.12'!$E$15:$E$82,H56,'06.12'!$M$15:$M$82)</f>
        <v>0</v>
      </c>
      <c r="AV56" s="113">
        <f>COUNTIFS('06.12'!$E$15:$E$82,H56,'06.12'!$M$15:$M$82,"&gt;0")</f>
        <v>0</v>
      </c>
      <c r="AW56" s="113">
        <f>SUMIF('13.12'!$E$15:$E$82,H56,'13.12'!$M$15:$M$82)</f>
        <v>0</v>
      </c>
      <c r="AX56" s="113">
        <f>COUNTIFS('13.12'!$E$15:$E$82,H56,'13.12'!$M$15:$M$82,"&gt;0")</f>
        <v>0</v>
      </c>
      <c r="AY56" s="113">
        <f>SUMIF('20.12'!$E$15:$E$84,H56,'20.12'!$M$15:$M$84)</f>
        <v>0</v>
      </c>
      <c r="AZ56" s="113">
        <f>COUNTIFS('20.12'!$E$15:$E$84,H56,'20.12'!$M$15:$M$84,"&gt;0")</f>
        <v>0</v>
      </c>
      <c r="BA56" s="113">
        <f>SUMIF('27.12'!$E$15:$E$84,H56,'27.12'!$M$15:$M$84)</f>
        <v>0</v>
      </c>
      <c r="BB56" s="113">
        <f>COUNTIFS('27.12'!$E$15:$E$84,H56,'27.12'!$M$15:$M$84,"&gt;0")</f>
        <v>0</v>
      </c>
      <c r="BC56" s="113">
        <f>SUMIF('03.01'!$E$15:$E$88,H56,'03.01'!$M$15:$M$88)</f>
        <v>0</v>
      </c>
      <c r="BD56" s="113">
        <f>COUNTIFS('03.01'!$E$15:$E$88,H56,'03.01'!$M$15:$M$88,"&gt;0")</f>
        <v>0</v>
      </c>
      <c r="BE56" s="113">
        <f>SUMIF('10.01'!$E$15:$E$91,H56,'10.01'!$M$15:$M$91)</f>
        <v>0</v>
      </c>
      <c r="BF56" s="113">
        <f>COUNTIFS('10.01'!$E$15:$E$91,H56,'10.01'!$M$15:$M$91,"&gt;0")</f>
        <v>0</v>
      </c>
      <c r="BG56" s="113">
        <f>SUMIF('17.01'!$E$15:$E$87,H56,'17.01'!$M$15:$M$87)</f>
        <v>0</v>
      </c>
      <c r="BH56" s="113">
        <f>COUNTIFS('17.01'!$E$15:$E$87,H56,'17.01'!$M$15:$M$87,"&gt;0")</f>
        <v>0</v>
      </c>
      <c r="BI56" s="113">
        <f>SUMIF('24.01'!$E$15:$E$86,H56,'24.01'!$M$15:$M$86)</f>
        <v>0</v>
      </c>
      <c r="BJ56" s="113">
        <f>COUNTIFS('24.01'!$E$15:$E$86,H56,'24.01'!$M$15:$M$86,"&gt;0")</f>
        <v>0</v>
      </c>
      <c r="BK56" s="113">
        <f>SUMIF('31.01'!$E$15:$E$75,H56,'31.01'!$M$15:$M$75)</f>
        <v>0</v>
      </c>
      <c r="BL56" s="113">
        <f>COUNTIFS('31.01'!$E$15:$E$75,H56,'31.01'!$M$15:$M$75,"&gt;0")</f>
        <v>0</v>
      </c>
      <c r="BM56" s="113">
        <f>SUMIF('07.02'!$E$15:$E$77,H56,'07.02'!$M$15:$M$77)</f>
        <v>8</v>
      </c>
      <c r="BN56" s="113">
        <f>COUNTIFS('07.02'!$E$15:$E$77,H56,'07.02'!$M$15:$M$77,"&gt;0")</f>
        <v>1</v>
      </c>
      <c r="BO56" s="113">
        <f>SUMIF('14.02'!$E$15:$E$81,H56,'14.02'!$M$15:$M$81)</f>
        <v>0</v>
      </c>
      <c r="BP56" s="113">
        <f>COUNTIFS('14.02'!$E$15:$E$81,H56,'14.02'!$M$15:$M$81,"&gt;0")</f>
        <v>0</v>
      </c>
      <c r="BQ56" s="113">
        <f>SUMIF('21.02'!$E$15:$E$82,H56,'21.02'!$M$15:$M$82)</f>
        <v>0</v>
      </c>
      <c r="BR56" s="113">
        <f>COUNTIFS('21.02'!$E$15:$E$82,H56,'21.02'!$M$15:$M$82,"&gt;0")</f>
        <v>0</v>
      </c>
      <c r="BS56" s="113"/>
      <c r="BT56" s="113"/>
      <c r="BU56" s="113"/>
      <c r="BV56" s="113"/>
      <c r="BW56" s="113"/>
      <c r="BX56" s="113"/>
      <c r="BY56" s="113"/>
      <c r="BZ56" s="113"/>
    </row>
    <row r="57">
      <c r="H57" s="185" t="s">
        <v>211</v>
      </c>
      <c r="I57" s="88">
        <f>SUMIF('26.07'!$E$15:$E$74,H57,'26.07'!$M$15:$M$74)</f>
        <v>0</v>
      </c>
      <c r="J57" s="88">
        <f>COUNTIFS('26.07'!$E$15:$E$74,H57,'26.07'!$L$15:$L$74,"&gt;0")</f>
        <v>0</v>
      </c>
      <c r="K57" s="88">
        <f>SUMIF('02.08'!$E$15:$E$73,H57,'02.08'!$M$15:$M$73)</f>
        <v>0</v>
      </c>
      <c r="L57" s="88">
        <f>COUNTIFS('02.08'!$E$15:$E$73,H57,'02.08'!$L$15:$L$73,"&gt;0")</f>
        <v>0</v>
      </c>
      <c r="M57" s="88">
        <f>SUMIF('09.08'!$E$15:$E$71,H57,'09.08'!$M$15:$M$71)</f>
        <v>0</v>
      </c>
      <c r="N57" s="88">
        <f>COUNTIFS('09.08'!$E$15:$E$71,H57,'09.08'!$L$15:$L$71,"&gt;0")</f>
        <v>0</v>
      </c>
      <c r="O57" s="88">
        <f>sumif('16.08 '!$E$15:$E$65,H57,'16.08 '!$M$15:$M$65)</f>
        <v>0</v>
      </c>
      <c r="P57" s="88">
        <f>COUNTIFs('16.08 '!$E$15:$E$65,H57,'16.08 '!$L$15:$L$65,"&gt;0")</f>
        <v>0</v>
      </c>
      <c r="Q57" s="88">
        <f>sumif('23.08'!$E$15:$E$62,H57,'23.08'!$M$15:$M$62)</f>
        <v>0</v>
      </c>
      <c r="R57" s="88">
        <f>COUNTIFS('23.08'!$M$15:$M$62,"&gt;0",'23.08'!$E$15:$E$62,H57)</f>
        <v>0</v>
      </c>
      <c r="S57" s="88">
        <f>SUMIF('30.08'!$E$15:$E$66,H57,'30.08'!$M$15:$M$66)</f>
        <v>0</v>
      </c>
      <c r="T57" s="88">
        <f>COUNTIFS('30.08'!$E$15:$E$66,H57,'30.08'!$M$15:$M$66,"&gt;0")</f>
        <v>0</v>
      </c>
      <c r="U57" s="88">
        <f>sumif('06.09'!$E$15:$E$66,H57,'06.09'!$M$15:$M$66)</f>
        <v>0</v>
      </c>
      <c r="V57" s="113">
        <f>COUNTIFS('06.09'!$E$15:$E$66,H57,'06.09'!$M$15:$M$66,"&gt;0")</f>
        <v>0</v>
      </c>
      <c r="W57" s="88">
        <f>SUMIF('13.09'!$E$15:$E$65,H57,'13.09'!$M$15:$M$65)</f>
        <v>0</v>
      </c>
      <c r="X57" s="113">
        <f>COUNTIFS('13.09'!$E$15:$E$65,H57,'13.09'!$M$15:$M$65,"&gt;0")</f>
        <v>0</v>
      </c>
      <c r="Y57" s="88">
        <f>SUMIF('20.09'!$E$15:$E$68,H57,'20.09'!$M$15:$M$68)</f>
        <v>0</v>
      </c>
      <c r="Z57" s="113">
        <f>COUNTIFS('20.09'!$E$15:$E$68,H57,'20.09'!$M$15:$M$68,"&gt;0")</f>
        <v>0</v>
      </c>
      <c r="AA57" s="88">
        <f>SUMIF('27.09'!$E$15:$E$68,H57,'27.09'!$M$15:$M$68)</f>
        <v>0</v>
      </c>
      <c r="AB57" s="113">
        <f>COUNTIFS('27.09'!$E$15:$E$68,H57,'27.09'!$M$15:$M$68,"&gt;0")</f>
        <v>0</v>
      </c>
      <c r="AC57" s="88">
        <f>SUMIF('04.10'!$E$15:$E$71,H57,'04.10'!$M$15:$M$71)</f>
        <v>0</v>
      </c>
      <c r="AD57" s="113">
        <f>COUNTIFS('04.10'!$E$15:$E$71,H57,'04.10'!$M$15:$M$71,"&gt;0")</f>
        <v>0</v>
      </c>
      <c r="AE57" s="88">
        <f>SUMIF('11.10'!$E$15:$E$76,H57,'11.10'!$M$15:$M$76)</f>
        <v>0</v>
      </c>
      <c r="AF57" s="113">
        <f>COUNTIFS('11.10'!$E$15:$E$76,H57,'11.10'!$L$15:$L$76,"&gt;0")</f>
        <v>0</v>
      </c>
      <c r="AG57" s="113">
        <f>SUMIF('18.10'!$E$15:$E$76,H57,'18.10'!$M$15:$M$76)</f>
        <v>0</v>
      </c>
      <c r="AH57" s="113">
        <f>COUNTIFS('18.10'!$E$15:$E$76,H57,'18.10'!$L$15:$L$76,"&gt;0")</f>
        <v>0</v>
      </c>
      <c r="AI57" s="113">
        <f>SUMIF('25.10'!$E$15:$E$78,H57,'25.10'!$M$15:$M$78)</f>
        <v>0</v>
      </c>
      <c r="AJ57" s="113">
        <f>COUNTIFS('25.10'!$E$15:$E$78,H57,'25.10'!$L$15:$L$78,"&gt;0")</f>
        <v>0</v>
      </c>
      <c r="AK57" s="113">
        <f>SUMIF('01.11'!$E$15:$E$77,H57,'01.11'!$M$15:$M$77)</f>
        <v>0</v>
      </c>
      <c r="AL57" s="113">
        <f>COUNTIFS('01.11'!$E$15:$E$77,H57,'01.11'!$M$15:$M$77,"&gt;0")</f>
        <v>0</v>
      </c>
      <c r="AM57" s="113">
        <f>SUMIF('08.11'!$E$15:$E$67,H57,'08.11'!$M$15:$M$67)</f>
        <v>0</v>
      </c>
      <c r="AN57" s="113">
        <f>COUNTIFS('08.11'!$E$15:$E$67,H57,'08.11'!$M$15:$M$67,"&gt;0")</f>
        <v>0</v>
      </c>
      <c r="AO57" s="113">
        <f>SUMIF('15.11'!$E$15:$E$71,H57,'15.11'!$M$15:$M$71)</f>
        <v>0</v>
      </c>
      <c r="AP57" s="113">
        <f>COUNTIFS('15.11'!$E$15:$E$71,H57,'15.11'!$M$15:$M$71,"&gt;0")</f>
        <v>0</v>
      </c>
      <c r="AQ57" s="113">
        <f>SUMIF('22.11'!$E$15:$E$78,H57,'22.11'!$M$15:$M$78)</f>
        <v>0</v>
      </c>
      <c r="AR57" s="113">
        <f>COUNTIFS('22.11'!$E$15:$E$78,H57,'22.11'!$M$15:$M$78,"&gt;0")</f>
        <v>0</v>
      </c>
      <c r="AS57" s="113">
        <f>SUMIF('29.11'!$E$15:$E$79,H57,'29.11'!$M$15:$M$79)</f>
        <v>0</v>
      </c>
      <c r="AT57" s="113">
        <f>COUNTIFS('29.11'!$E$15:$E$79,H57,'29.11'!$L$15:$L$79,"&gt;0")</f>
        <v>0</v>
      </c>
      <c r="AU57" s="113">
        <f>SUMIF('06.12'!$E$15:$E$82,H57,'06.12'!$M$15:$M$82)</f>
        <v>4</v>
      </c>
      <c r="AV57" s="113">
        <f>COUNTIFS('06.12'!$E$15:$E$82,H57,'06.12'!$M$15:$M$82,"&gt;0")</f>
        <v>1</v>
      </c>
      <c r="AW57" s="113">
        <f>SUMIF('13.12'!$E$15:$E$82,H57,'13.12'!$M$15:$M$82)</f>
        <v>0</v>
      </c>
      <c r="AX57" s="113">
        <f>COUNTIFS('13.12'!$E$15:$E$82,H57,'13.12'!$M$15:$M$82,"&gt;0")</f>
        <v>0</v>
      </c>
      <c r="AY57" s="113">
        <f>SUMIF('20.12'!$E$15:$E$84,H57,'20.12'!$M$15:$M$84)</f>
        <v>0</v>
      </c>
      <c r="AZ57" s="113">
        <f>COUNTIFS('20.12'!$E$15:$E$84,H57,'20.12'!$M$15:$M$84,"&gt;0")</f>
        <v>0</v>
      </c>
      <c r="BA57" s="113">
        <f>SUMIF('27.12'!$E$15:$E$84,H57,'27.12'!$M$15:$M$84)</f>
        <v>0</v>
      </c>
      <c r="BB57" s="113">
        <f>COUNTIFS('27.12'!$E$15:$E$84,H57,'27.12'!$M$15:$M$84,"&gt;0")</f>
        <v>0</v>
      </c>
      <c r="BC57" s="113">
        <f>SUMIF('03.01'!$E$15:$E$88,H57,'03.01'!$M$15:$M$88)</f>
        <v>0</v>
      </c>
      <c r="BD57" s="113">
        <f>COUNTIFS('03.01'!$E$15:$E$88,H57,'03.01'!$M$15:$M$88,"&gt;0")</f>
        <v>0</v>
      </c>
      <c r="BE57" s="113">
        <f>SUMIF('10.01'!$E$15:$E$91,H57,'10.01'!$M$15:$M$91)</f>
        <v>0</v>
      </c>
      <c r="BF57" s="113">
        <f>COUNTIFS('10.01'!$E$15:$E$91,H57,'10.01'!$M$15:$M$91,"&gt;0")</f>
        <v>0</v>
      </c>
      <c r="BG57" s="113">
        <f>SUMIF('17.01'!$E$15:$E$87,H57,'17.01'!$M$15:$M$87)</f>
        <v>0</v>
      </c>
      <c r="BH57" s="113">
        <f>COUNTIFS('17.01'!$E$15:$E$87,H57,'17.01'!$M$15:$M$87,"&gt;0")</f>
        <v>0</v>
      </c>
      <c r="BI57" s="113">
        <f>SUMIF('24.01'!$E$15:$E$86,H57,'24.01'!$M$15:$M$86)</f>
        <v>0</v>
      </c>
      <c r="BJ57" s="113">
        <f>COUNTIFS('24.01'!$E$15:$E$86,H57,'24.01'!$M$15:$M$86,"&gt;0")</f>
        <v>0</v>
      </c>
      <c r="BK57" s="113">
        <f>SUMIF('31.01'!$E$15:$E$75,H57,'31.01'!$M$15:$M$75)</f>
        <v>16</v>
      </c>
      <c r="BL57" s="113">
        <f>COUNTIFS('31.01'!$E$15:$E$75,H57,'31.01'!$M$15:$M$75,"&gt;0")</f>
        <v>1</v>
      </c>
      <c r="BM57" s="113">
        <f>SUMIF('07.02'!$E$15:$E$77,H57,'07.02'!$M$15:$M$77)</f>
        <v>8</v>
      </c>
      <c r="BN57" s="113">
        <f>COUNTIFS('07.02'!$E$15:$E$77,H57,'07.02'!$M$15:$M$77,"&gt;0")</f>
        <v>1</v>
      </c>
      <c r="BO57" s="113">
        <f>SUMIF('14.02'!$E$15:$E$81,H57,'14.02'!$M$15:$M$81)</f>
        <v>16</v>
      </c>
      <c r="BP57" s="113">
        <f>COUNTIFS('14.02'!$E$15:$E$81,H57,'14.02'!$M$15:$M$81,"&gt;0")</f>
        <v>1</v>
      </c>
      <c r="BQ57" s="113">
        <f>SUMIF('21.02'!$E$15:$E$82,H57,'21.02'!$M$15:$M$82)</f>
        <v>0</v>
      </c>
      <c r="BR57" s="113">
        <f>COUNTIFS('21.02'!$E$15:$E$82,H57,'21.02'!$M$15:$M$82,"&gt;0")</f>
        <v>0</v>
      </c>
      <c r="BS57" s="113"/>
      <c r="BT57" s="113"/>
      <c r="BU57" s="113"/>
      <c r="BV57" s="113"/>
      <c r="BW57" s="113"/>
      <c r="BX57" s="113"/>
      <c r="BY57" s="113"/>
      <c r="BZ57" s="113"/>
    </row>
    <row r="58">
      <c r="H58" s="185" t="s">
        <v>446</v>
      </c>
      <c r="I58" s="88">
        <f>SUMIF('26.07'!$E$15:$E$74,H58,'26.07'!$M$15:$M$74)</f>
        <v>0</v>
      </c>
      <c r="J58" s="88">
        <f>COUNTIFS('26.07'!$E$15:$E$74,H58,'26.07'!$L$15:$L$74,"&gt;0")</f>
        <v>0</v>
      </c>
      <c r="K58" s="88">
        <f>SUMIF('02.08'!$E$15:$E$73,H58,'02.08'!$M$15:$M$73)</f>
        <v>0</v>
      </c>
      <c r="L58" s="88">
        <f>COUNTIFS('02.08'!$E$15:$E$73,H58,'02.08'!$L$15:$L$73,"&gt;0")</f>
        <v>0</v>
      </c>
      <c r="M58" s="88">
        <f>SUMIF('09.08'!$E$15:$E$71,H58,'09.08'!$M$15:$M$71)</f>
        <v>0</v>
      </c>
      <c r="N58" s="88">
        <f>COUNTIFS('09.08'!$E$15:$E$71,H58,'09.08'!$L$15:$L$71,"&gt;0")</f>
        <v>0</v>
      </c>
      <c r="O58" s="88">
        <f>sumif('16.08 '!$E$15:$E$65,H58,'16.08 '!$M$15:$M$65)</f>
        <v>0</v>
      </c>
      <c r="P58" s="88">
        <f>COUNTIFs('16.08 '!$E$15:$E$65,H58,'16.08 '!$L$15:$L$65,"&gt;0")</f>
        <v>0</v>
      </c>
      <c r="Q58" s="88">
        <f>sumif('23.08'!$E$15:$E$62,H58,'23.08'!$M$15:$M$62)</f>
        <v>0</v>
      </c>
      <c r="R58" s="88">
        <f>COUNTIFS('23.08'!$M$15:$M$62,"&gt;0",'23.08'!$E$15:$E$62,H58)</f>
        <v>0</v>
      </c>
      <c r="S58" s="88">
        <f>SUMIF('30.08'!$E$15:$E$66,H58,'30.08'!$M$15:$M$66)</f>
        <v>0</v>
      </c>
      <c r="T58" s="88">
        <f>COUNTIFS('30.08'!$E$15:$E$66,H58,'30.08'!$M$15:$M$66,"&gt;0")</f>
        <v>0</v>
      </c>
      <c r="U58" s="88">
        <f>sumif('06.09'!$E$15:$E$66,H58,'06.09'!$M$15:$M$66)</f>
        <v>0</v>
      </c>
      <c r="V58" s="113">
        <f>COUNTIFS('06.09'!$E$15:$E$66,H58,'06.09'!$M$15:$M$66,"&gt;0")</f>
        <v>0</v>
      </c>
      <c r="W58" s="88">
        <f>SUMIF('13.09'!$E$15:$E$65,H58,'13.09'!$M$15:$M$65)</f>
        <v>0</v>
      </c>
      <c r="X58" s="113">
        <f>COUNTIFS('13.09'!$E$15:$E$65,H58,'13.09'!$M$15:$M$65,"&gt;0")</f>
        <v>0</v>
      </c>
      <c r="Y58" s="88">
        <f>SUMIF('20.09'!$E$15:$E$68,H58,'20.09'!$M$15:$M$68)</f>
        <v>0</v>
      </c>
      <c r="Z58" s="113">
        <f>COUNTIFS('20.09'!$E$15:$E$68,H58,'20.09'!$M$15:$M$68,"&gt;0")</f>
        <v>0</v>
      </c>
      <c r="AA58" s="88">
        <f>SUMIF('27.09'!$E$15:$E$68,H58,'27.09'!$M$15:$M$68)</f>
        <v>0</v>
      </c>
      <c r="AB58" s="113">
        <f>COUNTIFS('27.09'!$E$15:$E$68,H58,'27.09'!$M$15:$M$68,"&gt;0")</f>
        <v>0</v>
      </c>
      <c r="AC58" s="88">
        <f>SUMIF('04.10'!$E$15:$E$71,H58,'04.10'!$M$15:$M$71)</f>
        <v>0</v>
      </c>
      <c r="AD58" s="113">
        <f>COUNTIFS('04.10'!$E$15:$E$71,H58,'04.10'!$M$15:$M$71,"&gt;0")</f>
        <v>0</v>
      </c>
      <c r="AE58" s="88">
        <f>SUMIF('11.10'!$E$15:$E$76,H58,'11.10'!$M$15:$M$76)</f>
        <v>0</v>
      </c>
      <c r="AF58" s="113">
        <f>COUNTIFS('11.10'!$E$15:$E$76,H58,'11.10'!$L$15:$L$76,"&gt;0")</f>
        <v>0</v>
      </c>
      <c r="AG58" s="113">
        <f>SUMIF('18.10'!$E$15:$E$76,H58,'18.10'!$M$15:$M$76)</f>
        <v>0</v>
      </c>
      <c r="AH58" s="113">
        <f>COUNTIFS('18.10'!$E$15:$E$76,H58,'18.10'!$L$15:$L$76,"&gt;0")</f>
        <v>0</v>
      </c>
      <c r="AI58" s="113">
        <f>SUMIF('25.10'!$E$15:$E$78,H58,'25.10'!$M$15:$M$78)</f>
        <v>0</v>
      </c>
      <c r="AJ58" s="113">
        <f>COUNTIFS('25.10'!$E$15:$E$78,H58,'25.10'!$L$15:$L$78,"&gt;0")</f>
        <v>0</v>
      </c>
      <c r="AK58" s="113">
        <f>SUMIF('01.11'!$E$15:$E$77,H58,'01.11'!$M$15:$M$77)</f>
        <v>0</v>
      </c>
      <c r="AL58" s="113">
        <f>COUNTIFS('01.11'!$E$15:$E$77,H58,'01.11'!$M$15:$M$77,"&gt;0")</f>
        <v>0</v>
      </c>
      <c r="AM58" s="113">
        <f>SUMIF('08.11'!$E$15:$E$67,H58,'08.11'!$M$15:$M$67)</f>
        <v>0</v>
      </c>
      <c r="AN58" s="113">
        <f>COUNTIFS('08.11'!$E$15:$E$67,H58,'08.11'!$M$15:$M$67,"&gt;0")</f>
        <v>0</v>
      </c>
      <c r="AO58" s="113">
        <f>SUMIF('15.11'!$E$15:$E$71,H58,'15.11'!$M$15:$M$71)</f>
        <v>0</v>
      </c>
      <c r="AP58" s="113">
        <f>COUNTIFS('15.11'!$E$15:$E$71,H58,'15.11'!$M$15:$M$71,"&gt;0")</f>
        <v>0</v>
      </c>
      <c r="AQ58" s="113">
        <f>SUMIF('22.11'!$E$15:$E$78,H58,'22.11'!$M$15:$M$78)</f>
        <v>0</v>
      </c>
      <c r="AR58" s="113">
        <f>COUNTIFS('22.11'!$E$15:$E$78,H58,'22.11'!$M$15:$M$78,"&gt;0")</f>
        <v>0</v>
      </c>
      <c r="AS58" s="113">
        <f>SUMIF('29.11'!$E$15:$E$79,H58,'29.11'!$M$15:$M$79)</f>
        <v>0</v>
      </c>
      <c r="AT58" s="113">
        <f>COUNTIFS('29.11'!$E$15:$E$79,H58,'29.11'!$L$15:$L$79,"&gt;0")</f>
        <v>0</v>
      </c>
      <c r="AU58" s="113">
        <f>SUMIF('06.12'!$E$15:$E$82,H58,'06.12'!$M$15:$M$82)</f>
        <v>0</v>
      </c>
      <c r="AV58" s="113">
        <f>COUNTIFS('06.12'!$E$15:$E$82,H58,'06.12'!$M$15:$M$82,"&gt;0")</f>
        <v>0</v>
      </c>
      <c r="AW58" s="113">
        <f>SUMIF('13.12'!$E$15:$E$82,H58,'13.12'!$M$15:$M$82)</f>
        <v>0</v>
      </c>
      <c r="AX58" s="113">
        <f>COUNTIFS('13.12'!$E$15:$E$82,H58,'13.12'!$M$15:$M$82,"&gt;0")</f>
        <v>0</v>
      </c>
      <c r="AY58" s="113">
        <f>SUMIF('20.12'!$E$15:$E$84,H58,'20.12'!$M$15:$M$84)</f>
        <v>0</v>
      </c>
      <c r="AZ58" s="113">
        <f>COUNTIFS('20.12'!$E$15:$E$84,H58,'20.12'!$M$15:$M$84,"&gt;0")</f>
        <v>0</v>
      </c>
      <c r="BA58" s="113">
        <f>SUMIF('27.12'!$E$15:$E$84,H58,'27.12'!$M$15:$M$84)</f>
        <v>8</v>
      </c>
      <c r="BB58" s="113">
        <f>COUNTIFS('27.12'!$E$15:$E$84,H58,'27.12'!$M$15:$M$84,"&gt;0")</f>
        <v>1</v>
      </c>
      <c r="BC58" s="113">
        <f>SUMIF('03.01'!$E$15:$E$88,H58,'03.01'!$M$15:$M$88)</f>
        <v>16</v>
      </c>
      <c r="BD58" s="113">
        <f>COUNTIFS('03.01'!$E$15:$E$88,H58,'03.01'!$M$15:$M$88,"&gt;0")</f>
        <v>1</v>
      </c>
      <c r="BE58" s="113">
        <f>SUMIF('10.01'!$E$15:$E$91,H58,'10.01'!$M$15:$M$91)</f>
        <v>8</v>
      </c>
      <c r="BF58" s="113">
        <f>COUNTIFS('10.01'!$E$15:$E$91,H58,'10.01'!$M$15:$M$91,"&gt;0")</f>
        <v>1</v>
      </c>
      <c r="BG58" s="113">
        <f>SUMIF('17.01'!$E$15:$E$87,H58,'17.01'!$M$15:$M$87)</f>
        <v>4</v>
      </c>
      <c r="BH58" s="113">
        <f>COUNTIFS('17.01'!$E$15:$E$87,H58,'17.01'!$M$15:$M$87,"&gt;0")</f>
        <v>1</v>
      </c>
      <c r="BI58" s="113">
        <f>SUMIF('24.01'!$E$15:$E$86,H58,'24.01'!$M$15:$M$86)</f>
        <v>0</v>
      </c>
      <c r="BJ58" s="113">
        <f>COUNTIFS('24.01'!$E$15:$E$86,H58,'24.01'!$M$15:$M$86,"&gt;0")</f>
        <v>0</v>
      </c>
      <c r="BK58" s="113">
        <f>SUMIF('31.01'!$E$15:$E$75,H58,'31.01'!$M$15:$M$75)</f>
        <v>0</v>
      </c>
      <c r="BL58" s="113">
        <f>COUNTIFS('31.01'!$E$15:$E$75,H58,'31.01'!$M$15:$M$75,"&gt;0")</f>
        <v>0</v>
      </c>
      <c r="BM58" s="113">
        <f>SUMIF('07.02'!$E$15:$E$77,H58,'07.02'!$M$15:$M$77)</f>
        <v>0</v>
      </c>
      <c r="BN58" s="113">
        <f>COUNTIFS('07.02'!$E$15:$E$77,H58,'07.02'!$M$15:$M$77,"&gt;0")</f>
        <v>0</v>
      </c>
      <c r="BO58" s="113">
        <f>SUMIF('14.02'!$E$15:$E$81,H58,'14.02'!$M$15:$M$81)</f>
        <v>0</v>
      </c>
      <c r="BP58" s="113">
        <f>COUNTIFS('14.02'!$E$15:$E$81,H58,'14.02'!$M$15:$M$81,"&gt;0")</f>
        <v>0</v>
      </c>
      <c r="BQ58" s="113">
        <f>SUMIF('21.02'!$E$15:$E$82,H58,'21.02'!$M$15:$M$82)</f>
        <v>0</v>
      </c>
      <c r="BR58" s="113">
        <f>COUNTIFS('21.02'!$E$15:$E$82,H58,'21.02'!$M$15:$M$82,"&gt;0")</f>
        <v>0</v>
      </c>
      <c r="BS58" s="113"/>
      <c r="BT58" s="113"/>
      <c r="BU58" s="113"/>
      <c r="BV58" s="113"/>
      <c r="BW58" s="113"/>
      <c r="BX58" s="113"/>
      <c r="BY58" s="113"/>
      <c r="BZ58" s="113"/>
    </row>
    <row r="59">
      <c r="H59" s="185" t="s">
        <v>467</v>
      </c>
      <c r="I59" s="88">
        <f>SUMIF('26.07'!$E$15:$E$74,H59,'26.07'!$M$15:$M$74)</f>
        <v>0</v>
      </c>
      <c r="J59" s="88">
        <f>COUNTIFS('26.07'!$E$15:$E$74,H59,'26.07'!$L$15:$L$74,"&gt;0")</f>
        <v>0</v>
      </c>
      <c r="K59" s="88">
        <f>SUMIF('02.08'!$E$15:$E$73,H59,'02.08'!$M$15:$M$73)</f>
        <v>0</v>
      </c>
      <c r="L59" s="88">
        <f>COUNTIFS('02.08'!$E$15:$E$73,H59,'02.08'!$L$15:$L$73,"&gt;0")</f>
        <v>0</v>
      </c>
      <c r="M59" s="88">
        <f>SUMIF('09.08'!$E$15:$E$71,H59,'09.08'!$M$15:$M$71)</f>
        <v>0</v>
      </c>
      <c r="N59" s="88">
        <f>COUNTIFS('09.08'!$E$15:$E$71,H59,'09.08'!$L$15:$L$71,"&gt;0")</f>
        <v>0</v>
      </c>
      <c r="O59" s="88">
        <f>sumif('16.08 '!$E$15:$E$65,H59,'16.08 '!$M$15:$M$65)</f>
        <v>0</v>
      </c>
      <c r="P59" s="88">
        <f>COUNTIFs('16.08 '!$E$15:$E$65,H59,'16.08 '!$L$15:$L$65,"&gt;0")</f>
        <v>0</v>
      </c>
      <c r="Q59" s="88">
        <f>sumif('23.08'!$E$15:$E$62,H59,'23.08'!$M$15:$M$62)</f>
        <v>0</v>
      </c>
      <c r="R59" s="88">
        <f>COUNTIFS('23.08'!$M$15:$M$62,"&gt;0",'23.08'!$E$15:$E$62,H59)</f>
        <v>0</v>
      </c>
      <c r="S59" s="88">
        <f>SUMIF('30.08'!$E$15:$E$66,H59,'30.08'!$M$15:$M$66)</f>
        <v>0</v>
      </c>
      <c r="T59" s="88">
        <f>COUNTIFS('30.08'!$E$15:$E$66,H59,'30.08'!$M$15:$M$66,"&gt;0")</f>
        <v>0</v>
      </c>
      <c r="U59" s="88">
        <f>sumif('06.09'!$E$15:$E$66,H59,'06.09'!$M$15:$M$66)</f>
        <v>0</v>
      </c>
      <c r="V59" s="113">
        <f>COUNTIFS('06.09'!$E$15:$E$66,H59,'06.09'!$M$15:$M$66,"&gt;0")</f>
        <v>0</v>
      </c>
      <c r="W59" s="88">
        <f>SUMIF('13.09'!$E$15:$E$65,H59,'13.09'!$M$15:$M$65)</f>
        <v>0</v>
      </c>
      <c r="X59" s="113">
        <f>COUNTIFS('13.09'!$E$15:$E$65,H59,'13.09'!$M$15:$M$65,"&gt;0")</f>
        <v>0</v>
      </c>
      <c r="Y59" s="88">
        <f>SUMIF('20.09'!$E$15:$E$68,H59,'20.09'!$M$15:$M$68)</f>
        <v>0</v>
      </c>
      <c r="Z59" s="113">
        <f>COUNTIFS('20.09'!$E$15:$E$68,H59,'20.09'!$M$15:$M$68,"&gt;0")</f>
        <v>0</v>
      </c>
      <c r="AA59" s="88">
        <f>SUMIF('27.09'!$E$15:$E$68,H59,'27.09'!$M$15:$M$68)</f>
        <v>0</v>
      </c>
      <c r="AB59" s="113">
        <f>COUNTIFS('27.09'!$E$15:$E$68,H59,'27.09'!$M$15:$M$68,"&gt;0")</f>
        <v>0</v>
      </c>
      <c r="AC59" s="88">
        <f>SUMIF('04.10'!$E$15:$E$71,H59,'04.10'!$M$15:$M$71)</f>
        <v>0</v>
      </c>
      <c r="AD59" s="113">
        <f>COUNTIFS('04.10'!$E$15:$E$71,H59,'04.10'!$M$15:$M$71,"&gt;0")</f>
        <v>0</v>
      </c>
      <c r="AE59" s="88">
        <f>SUMIF('11.10'!$E$15:$E$76,H59,'11.10'!$M$15:$M$76)</f>
        <v>0</v>
      </c>
      <c r="AF59" s="113">
        <f>COUNTIFS('11.10'!$E$15:$E$76,H59,'11.10'!$L$15:$L$76,"&gt;0")</f>
        <v>0</v>
      </c>
      <c r="AG59" s="113">
        <f>SUMIF('18.10'!$E$15:$E$76,H59,'18.10'!$M$15:$M$76)</f>
        <v>0</v>
      </c>
      <c r="AH59" s="113">
        <f>COUNTIFS('18.10'!$E$15:$E$76,H59,'18.10'!$L$15:$L$76,"&gt;0")</f>
        <v>0</v>
      </c>
      <c r="AI59" s="113">
        <f>SUMIF('25.10'!$E$15:$E$78,H59,'25.10'!$M$15:$M$78)</f>
        <v>0</v>
      </c>
      <c r="AJ59" s="113">
        <f>COUNTIFS('25.10'!$E$15:$E$78,H59,'25.10'!$L$15:$L$78,"&gt;0")</f>
        <v>0</v>
      </c>
      <c r="AK59" s="113">
        <f>SUMIF('01.11'!$E$15:$E$77,H59,'01.11'!$M$15:$M$77)</f>
        <v>0</v>
      </c>
      <c r="AL59" s="113">
        <f>COUNTIFS('01.11'!$E$15:$E$77,H59,'01.11'!$M$15:$M$77,"&gt;0")</f>
        <v>0</v>
      </c>
      <c r="AM59" s="113">
        <f>SUMIF('08.11'!$E$15:$E$67,H59,'08.11'!$M$15:$M$67)</f>
        <v>0</v>
      </c>
      <c r="AN59" s="113">
        <f>COUNTIFS('08.11'!$E$15:$E$67,H59,'08.11'!$M$15:$M$67,"&gt;0")</f>
        <v>0</v>
      </c>
      <c r="AO59" s="113">
        <f>SUMIF('15.11'!$E$15:$E$71,H59,'15.11'!$M$15:$M$71)</f>
        <v>0</v>
      </c>
      <c r="AP59" s="113">
        <f>COUNTIFS('15.11'!$E$15:$E$71,H59,'15.11'!$M$15:$M$71,"&gt;0")</f>
        <v>0</v>
      </c>
      <c r="AQ59" s="113">
        <f>SUMIF('22.11'!$E$15:$E$78,H59,'22.11'!$M$15:$M$78)</f>
        <v>0</v>
      </c>
      <c r="AR59" s="113">
        <f>COUNTIFS('22.11'!$E$15:$E$78,H59,'22.11'!$M$15:$M$78,"&gt;0")</f>
        <v>0</v>
      </c>
      <c r="AS59" s="113">
        <f>SUMIF('29.11'!$E$15:$E$79,H59,'29.11'!$M$15:$M$79)</f>
        <v>0</v>
      </c>
      <c r="AT59" s="113">
        <f>COUNTIFS('29.11'!$E$15:$E$79,H59,'29.11'!$L$15:$L$79,"&gt;0")</f>
        <v>0</v>
      </c>
      <c r="AU59" s="113">
        <f>SUMIF('06.12'!$E$15:$E$82,H59,'06.12'!$M$15:$M$82)</f>
        <v>0</v>
      </c>
      <c r="AV59" s="113">
        <f>COUNTIFS('06.12'!$E$15:$E$82,H59,'06.12'!$M$15:$M$82,"&gt;0")</f>
        <v>0</v>
      </c>
      <c r="AW59" s="113">
        <f>SUMIF('13.12'!$E$15:$E$82,H59,'13.12'!$M$15:$M$82)</f>
        <v>0</v>
      </c>
      <c r="AX59" s="113">
        <f>COUNTIFS('13.12'!$E$15:$E$82,H59,'13.12'!$M$15:$M$82,"&gt;0")</f>
        <v>0</v>
      </c>
      <c r="AY59" s="113">
        <f>SUMIF('20.12'!$E$15:$E$84,H59,'20.12'!$M$15:$M$84)</f>
        <v>0</v>
      </c>
      <c r="AZ59" s="113">
        <f>COUNTIFS('20.12'!$E$15:$E$84,H59,'20.12'!$M$15:$M$84,"&gt;0")</f>
        <v>0</v>
      </c>
      <c r="BA59" s="113">
        <f>SUMIF('27.12'!$E$15:$E$84,H59,'27.12'!$M$15:$M$84)</f>
        <v>0</v>
      </c>
      <c r="BB59" s="113">
        <f>COUNTIFS('27.12'!$E$15:$E$84,H59,'27.12'!$M$15:$M$84,"&gt;0")</f>
        <v>0</v>
      </c>
      <c r="BC59" s="113">
        <f>SUMIF('03.01'!$E$15:$E$88,H59,'03.01'!$M$15:$M$88)</f>
        <v>0</v>
      </c>
      <c r="BD59" s="113">
        <f>COUNTIFS('03.01'!$E$15:$E$88,H59,'03.01'!$M$15:$M$88,"&gt;0")</f>
        <v>0</v>
      </c>
      <c r="BE59" s="113">
        <f>SUMIF('10.01'!$E$15:$E$91,H59,'10.01'!$M$15:$M$91)</f>
        <v>0</v>
      </c>
      <c r="BF59" s="113">
        <f>COUNTIFS('10.01'!$E$15:$E$91,H59,'10.01'!$M$15:$M$91,"&gt;0")</f>
        <v>0</v>
      </c>
      <c r="BG59" s="113">
        <f>SUMIF('17.01'!$E$15:$E$87,H59,'17.01'!$M$15:$M$87)</f>
        <v>0</v>
      </c>
      <c r="BH59" s="113">
        <f>COUNTIFS('17.01'!$E$15:$E$87,H59,'17.01'!$M$15:$M$87,"&gt;0")</f>
        <v>0</v>
      </c>
      <c r="BI59" s="113">
        <f>SUMIF('24.01'!$E$15:$E$86,H59,'24.01'!$M$15:$M$86)</f>
        <v>0</v>
      </c>
      <c r="BJ59" s="113">
        <f>COUNTIFS('24.01'!$E$15:$E$86,H59,'24.01'!$M$15:$M$86,"&gt;0")</f>
        <v>0</v>
      </c>
      <c r="BK59" s="113">
        <f>SUMIF('31.01'!$E$15:$E$75,H59,'31.01'!$M$15:$M$75)</f>
        <v>16</v>
      </c>
      <c r="BL59" s="113">
        <f>COUNTIFS('31.01'!$E$15:$E$75,H59,'31.01'!$M$15:$M$75,"&gt;0")</f>
        <v>1</v>
      </c>
      <c r="BM59" s="113">
        <f>SUMIF('07.02'!$E$15:$E$77,H59,'07.02'!$M$15:$M$77)</f>
        <v>16</v>
      </c>
      <c r="BN59" s="113">
        <f>COUNTIFS('07.02'!$E$15:$E$77,H59,'07.02'!$M$15:$M$77,"&gt;0")</f>
        <v>1</v>
      </c>
      <c r="BO59" s="113">
        <f>SUMIF('14.02'!$E$15:$E$81,H59,'14.02'!$M$15:$M$81)</f>
        <v>8</v>
      </c>
      <c r="BP59" s="113">
        <f>COUNTIFS('14.02'!$E$15:$E$81,H59,'14.02'!$M$15:$M$81,"&gt;0")</f>
        <v>1</v>
      </c>
      <c r="BQ59" s="113">
        <f>SUMIF('21.02'!$E$15:$E$82,H59,'21.02'!$M$15:$M$82)</f>
        <v>4</v>
      </c>
      <c r="BR59" s="113">
        <f>COUNTIFS('21.02'!$E$15:$E$82,H59,'21.02'!$M$15:$M$82,"&gt;0")</f>
        <v>1</v>
      </c>
      <c r="BS59" s="113"/>
      <c r="BT59" s="113"/>
      <c r="BU59" s="113"/>
      <c r="BV59" s="113"/>
      <c r="BW59" s="113"/>
      <c r="BX59" s="113"/>
      <c r="BY59" s="113"/>
      <c r="BZ59" s="113"/>
    </row>
    <row r="60">
      <c r="H60" s="185" t="s">
        <v>231</v>
      </c>
      <c r="I60" s="88">
        <f>SUMIF('26.07'!$E$15:$E$74,H60,'26.07'!$M$15:$M$74)</f>
        <v>0</v>
      </c>
      <c r="J60" s="88">
        <f>COUNTIFS('26.07'!$E$15:$E$74,H60,'26.07'!$L$15:$L$74,"&gt;0")</f>
        <v>0</v>
      </c>
      <c r="K60" s="88">
        <f>SUMIF('02.08'!$E$15:$E$73,H60,'02.08'!$M$15:$M$73)</f>
        <v>0</v>
      </c>
      <c r="L60" s="88">
        <f>COUNTIFS('02.08'!$E$15:$E$73,H60,'02.08'!$L$15:$L$73,"&gt;0")</f>
        <v>0</v>
      </c>
      <c r="M60" s="88">
        <f>SUMIF('09.08'!$E$15:$E$71,H60,'09.08'!$M$15:$M$71)</f>
        <v>0</v>
      </c>
      <c r="N60" s="88">
        <f>COUNTIFS('09.08'!$E$15:$E$71,H60,'09.08'!$L$15:$L$71,"&gt;0")</f>
        <v>0</v>
      </c>
      <c r="O60" s="88">
        <f>sumif('16.08 '!$E$15:$E$65,H60,'16.08 '!$M$15:$M$65)</f>
        <v>0</v>
      </c>
      <c r="P60" s="88">
        <f>COUNTIFs('16.08 '!$E$15:$E$65,H60,'16.08 '!$L$15:$L$65,"&gt;0")</f>
        <v>0</v>
      </c>
      <c r="Q60" s="88">
        <f>sumif('23.08'!$E$15:$E$62,H60,'23.08'!$M$15:$M$62)</f>
        <v>0</v>
      </c>
      <c r="R60" s="88">
        <f>COUNTIFS('23.08'!$M$15:$M$62,"&gt;0",'23.08'!$E$15:$E$62,H60)</f>
        <v>0</v>
      </c>
      <c r="S60" s="88">
        <f>SUMIF('30.08'!$E$15:$E$66,H60,'30.08'!$M$15:$M$66)</f>
        <v>0</v>
      </c>
      <c r="T60" s="88">
        <f>COUNTIFS('30.08'!$E$15:$E$66,H60,'30.08'!$M$15:$M$66,"&gt;0")</f>
        <v>0</v>
      </c>
      <c r="U60" s="88">
        <f>sumif('06.09'!$E$15:$E$66,H60,'06.09'!$M$15:$M$66)</f>
        <v>0</v>
      </c>
      <c r="V60" s="113">
        <f>COUNTIFS('06.09'!$E$15:$E$66,H60,'06.09'!$M$15:$M$66,"&gt;0")</f>
        <v>0</v>
      </c>
      <c r="W60" s="88">
        <f>SUMIF('13.09'!$E$15:$E$65,H60,'13.09'!$M$15:$M$65)</f>
        <v>0</v>
      </c>
      <c r="X60" s="113">
        <f>COUNTIFS('13.09'!$E$15:$E$65,H60,'13.09'!$M$15:$M$65,"&gt;0")</f>
        <v>0</v>
      </c>
      <c r="Y60" s="88">
        <f>SUMIF('20.09'!$E$15:$E$68,H60,'20.09'!$M$15:$M$68)</f>
        <v>0</v>
      </c>
      <c r="Z60" s="113">
        <f>COUNTIFS('20.09'!$E$15:$E$68,H60,'20.09'!$M$15:$M$68,"&gt;0")</f>
        <v>0</v>
      </c>
      <c r="AA60" s="88">
        <f>SUMIF('27.09'!$E$15:$E$68,H60,'27.09'!$M$15:$M$68)</f>
        <v>0</v>
      </c>
      <c r="AB60" s="113">
        <f>COUNTIFS('27.09'!$E$15:$E$68,H60,'27.09'!$M$15:$M$68,"&gt;0")</f>
        <v>0</v>
      </c>
      <c r="AC60" s="88">
        <f>SUMIF('04.10'!$E$15:$E$71,H60,'04.10'!$M$15:$M$71)</f>
        <v>0</v>
      </c>
      <c r="AD60" s="113">
        <f>COUNTIFS('04.10'!$E$15:$E$71,H60,'04.10'!$M$15:$M$71,"&gt;0")</f>
        <v>0</v>
      </c>
      <c r="AE60" s="88">
        <f>SUMIF('11.10'!$E$15:$E$76,H60,'11.10'!$M$15:$M$76)</f>
        <v>0</v>
      </c>
      <c r="AF60" s="113">
        <f>COUNTIFS('11.10'!$E$15:$E$76,H60,'11.10'!$L$15:$L$76,"&gt;0")</f>
        <v>0</v>
      </c>
      <c r="AG60" s="113">
        <f>SUMIF('18.10'!$E$15:$E$76,H60,'18.10'!$M$15:$M$76)</f>
        <v>0</v>
      </c>
      <c r="AH60" s="113">
        <f>COUNTIFS('18.10'!$E$15:$E$76,H60,'18.10'!$L$15:$L$76,"&gt;0")</f>
        <v>0</v>
      </c>
      <c r="AI60" s="113">
        <f>SUMIF('25.10'!$E$15:$E$78,H60,'25.10'!$M$15:$M$78)</f>
        <v>0</v>
      </c>
      <c r="AJ60" s="113">
        <f>COUNTIFS('25.10'!$E$15:$E$78,H60,'25.10'!$L$15:$L$78,"&gt;0")</f>
        <v>0</v>
      </c>
      <c r="AK60" s="113">
        <f>SUMIF('01.11'!$E$15:$E$77,H60,'01.11'!$M$15:$M$77)</f>
        <v>0</v>
      </c>
      <c r="AL60" s="113">
        <f>COUNTIFS('01.11'!$E$15:$E$77,H60,'01.11'!$M$15:$M$77,"&gt;0")</f>
        <v>0</v>
      </c>
      <c r="AM60" s="113">
        <f>SUMIF('08.11'!$E$15:$E$67,H60,'08.11'!$M$15:$M$67)</f>
        <v>0</v>
      </c>
      <c r="AN60" s="113">
        <f>COUNTIFS('08.11'!$E$15:$E$67,H60,'08.11'!$M$15:$M$67,"&gt;0")</f>
        <v>0</v>
      </c>
      <c r="AO60" s="113">
        <f>SUMIF('15.11'!$E$15:$E$71,H60,'15.11'!$M$15:$M$71)</f>
        <v>0</v>
      </c>
      <c r="AP60" s="113">
        <f>COUNTIFS('15.11'!$E$15:$E$71,H60,'15.11'!$M$15:$M$71,"&gt;0")</f>
        <v>0</v>
      </c>
      <c r="AQ60" s="113">
        <f>SUMIF('22.11'!$E$15:$E$78,H60,'22.11'!$M$15:$M$78)</f>
        <v>0</v>
      </c>
      <c r="AR60" s="113">
        <f>COUNTIFS('22.11'!$E$15:$E$78,H60,'22.11'!$M$15:$M$78,"&gt;0")</f>
        <v>0</v>
      </c>
      <c r="AS60" s="113">
        <f>SUMIF('29.11'!$E$15:$E$79,H60,'29.11'!$M$15:$M$79)</f>
        <v>0</v>
      </c>
      <c r="AT60" s="113">
        <f>COUNTIFS('29.11'!$E$15:$E$79,H60,'29.11'!$L$15:$L$79,"&gt;0")</f>
        <v>0</v>
      </c>
      <c r="AU60" s="113">
        <f>SUMIF('06.12'!$E$15:$E$82,H60,'06.12'!$M$15:$M$82)</f>
        <v>0</v>
      </c>
      <c r="AV60" s="113">
        <f>COUNTIFS('06.12'!$E$15:$E$82,H60,'06.12'!$M$15:$M$82,"&gt;0")</f>
        <v>0</v>
      </c>
      <c r="AW60" s="113">
        <f>SUMIF('13.12'!$E$15:$E$82,H60,'13.12'!$M$15:$M$82)</f>
        <v>0</v>
      </c>
      <c r="AX60" s="113">
        <f>COUNTIFS('13.12'!$E$15:$E$82,H60,'13.12'!$M$15:$M$82,"&gt;0")</f>
        <v>0</v>
      </c>
      <c r="AY60" s="113">
        <f>SUMIF('20.12'!$E$15:$E$84,H60,'20.12'!$M$15:$M$84)</f>
        <v>0</v>
      </c>
      <c r="AZ60" s="113">
        <f>COUNTIFS('20.12'!$E$15:$E$84,H60,'20.12'!$M$15:$M$84,"&gt;0")</f>
        <v>0</v>
      </c>
      <c r="BA60" s="113">
        <f>SUMIF('27.12'!$E$15:$E$84,H60,'27.12'!$M$15:$M$84)</f>
        <v>0</v>
      </c>
      <c r="BB60" s="113">
        <f>COUNTIFS('27.12'!$E$15:$E$84,H60,'27.12'!$M$15:$M$84,"&gt;0")</f>
        <v>0</v>
      </c>
      <c r="BC60" s="113">
        <f>SUMIF('03.01'!$E$15:$E$88,H60,'03.01'!$M$15:$M$88)</f>
        <v>0</v>
      </c>
      <c r="BD60" s="113">
        <f>COUNTIFS('03.01'!$E$15:$E$88,H60,'03.01'!$M$15:$M$88,"&gt;0")</f>
        <v>0</v>
      </c>
      <c r="BE60" s="113">
        <f>SUMIF('10.01'!$E$15:$E$91,H60,'10.01'!$M$15:$M$91)</f>
        <v>4</v>
      </c>
      <c r="BF60" s="113">
        <f>COUNTIFS('10.01'!$E$15:$E$91,H60,'10.01'!$M$15:$M$91,"&gt;0")</f>
        <v>1</v>
      </c>
      <c r="BG60" s="113">
        <f>SUMIF('17.01'!$E$15:$E$87,H60,'17.01'!$M$15:$M$87)</f>
        <v>0</v>
      </c>
      <c r="BH60" s="113">
        <f>COUNTIFS('17.01'!$E$15:$E$87,H60,'17.01'!$M$15:$M$87,"&gt;0")</f>
        <v>0</v>
      </c>
      <c r="BI60" s="113">
        <f>SUMIF('24.01'!$E$15:$E$86,H60,'24.01'!$M$15:$M$86)</f>
        <v>0</v>
      </c>
      <c r="BJ60" s="113">
        <f>COUNTIFS('24.01'!$E$15:$E$86,H60,'24.01'!$M$15:$M$86,"&gt;0")</f>
        <v>0</v>
      </c>
      <c r="BK60" s="113">
        <f>SUMIF('31.01'!$E$15:$E$75,H60,'31.01'!$M$15:$M$75)</f>
        <v>0</v>
      </c>
      <c r="BL60" s="113">
        <f>COUNTIFS('31.01'!$E$15:$E$75,H60,'31.01'!$M$15:$M$75,"&gt;0")</f>
        <v>0</v>
      </c>
      <c r="BM60" s="113">
        <f>SUMIF('07.02'!$E$15:$E$77,H60,'07.02'!$M$15:$M$77)</f>
        <v>0</v>
      </c>
      <c r="BN60" s="113">
        <f>COUNTIFS('07.02'!$E$15:$E$77,H60,'07.02'!$M$15:$M$77,"&gt;0")</f>
        <v>0</v>
      </c>
      <c r="BO60" s="113">
        <f>SUMIF('14.02'!$E$15:$E$81,H60,'14.02'!$M$15:$M$81)</f>
        <v>0</v>
      </c>
      <c r="BP60" s="113">
        <f>COUNTIFS('14.02'!$E$15:$E$81,H60,'14.02'!$M$15:$M$81,"&gt;0")</f>
        <v>0</v>
      </c>
      <c r="BQ60" s="113">
        <f>SUMIF('21.02'!$E$15:$E$82,H60,'21.02'!$M$15:$M$82)</f>
        <v>0</v>
      </c>
      <c r="BR60" s="113">
        <f>COUNTIFS('21.02'!$E$15:$E$82,H60,'21.02'!$M$15:$M$82,"&gt;0")</f>
        <v>0</v>
      </c>
      <c r="BS60" s="113"/>
      <c r="BT60" s="113"/>
      <c r="BU60" s="113"/>
      <c r="BV60" s="113"/>
      <c r="BW60" s="113"/>
      <c r="BX60" s="113"/>
      <c r="BY60" s="113"/>
      <c r="BZ60" s="113"/>
    </row>
    <row r="61">
      <c r="H61" s="185" t="s">
        <v>181</v>
      </c>
      <c r="I61" s="88">
        <f>SUMIF('26.07'!$E$15:$E$74,H61,'26.07'!$M$15:$M$74)</f>
        <v>0</v>
      </c>
      <c r="J61" s="88">
        <f>COUNTIFS('26.07'!$E$15:$E$74,H61,'26.07'!$L$15:$L$74,"&gt;0")</f>
        <v>0</v>
      </c>
      <c r="K61" s="88">
        <f>SUMIF('02.08'!$E$15:$E$73,H61,'02.08'!$M$15:$M$73)</f>
        <v>0</v>
      </c>
      <c r="L61" s="88">
        <f>COUNTIFS('02.08'!$E$15:$E$73,H61,'02.08'!$L$15:$L$73,"&gt;0")</f>
        <v>0</v>
      </c>
      <c r="M61" s="88">
        <f>SUMIF('09.08'!$E$15:$E$71,H61,'09.08'!$M$15:$M$71)</f>
        <v>0</v>
      </c>
      <c r="N61" s="88">
        <f>COUNTIFS('09.08'!$E$15:$E$71,H61,'09.08'!$L$15:$L$71,"&gt;0")</f>
        <v>0</v>
      </c>
      <c r="O61" s="88">
        <f>sumif('16.08 '!$E$15:$E$65,H61,'16.08 '!$M$15:$M$65)</f>
        <v>0</v>
      </c>
      <c r="P61" s="88">
        <f>COUNTIFs('16.08 '!$E$15:$E$65,H61,'16.08 '!$L$15:$L$65,"&gt;0")</f>
        <v>0</v>
      </c>
      <c r="Q61" s="88">
        <f>sumif('23.08'!$E$15:$E$62,H61,'23.08'!$M$15:$M$62)</f>
        <v>0</v>
      </c>
      <c r="R61" s="88">
        <f>COUNTIFS('23.08'!$M$15:$M$62,"&gt;0",'23.08'!$E$15:$E$62,H61)</f>
        <v>0</v>
      </c>
      <c r="S61" s="88">
        <f>SUMIF('30.08'!$E$15:$E$66,H61,'30.08'!$M$15:$M$66)</f>
        <v>0</v>
      </c>
      <c r="T61" s="88">
        <f>COUNTIFS('30.08'!$E$15:$E$66,H61,'30.08'!$M$15:$M$66,"&gt;0")</f>
        <v>0</v>
      </c>
      <c r="U61" s="88">
        <f>sumif('06.09'!$E$15:$E$66,H61,'06.09'!$M$15:$M$66)</f>
        <v>0</v>
      </c>
      <c r="V61" s="113">
        <f>COUNTIFS('06.09'!$E$15:$E$66,H61,'06.09'!$M$15:$M$66,"&gt;0")</f>
        <v>0</v>
      </c>
      <c r="W61" s="88">
        <f>SUMIF('13.09'!$E$15:$E$65,H61,'13.09'!$M$15:$M$65)</f>
        <v>0</v>
      </c>
      <c r="X61" s="113">
        <f>COUNTIFS('13.09'!$E$15:$E$65,H61,'13.09'!$M$15:$M$65,"&gt;0")</f>
        <v>0</v>
      </c>
      <c r="Y61" s="88">
        <f>SUMIF('20.09'!$E$15:$E$68,H61,'20.09'!$M$15:$M$68)</f>
        <v>0</v>
      </c>
      <c r="Z61" s="113">
        <f>COUNTIFS('20.09'!$E$15:$E$68,H61,'20.09'!$M$15:$M$68,"&gt;0")</f>
        <v>0</v>
      </c>
      <c r="AA61" s="88">
        <f>SUMIF('27.09'!$E$15:$E$68,H61,'27.09'!$M$15:$M$68)</f>
        <v>0</v>
      </c>
      <c r="AB61" s="113">
        <f>COUNTIFS('27.09'!$E$15:$E$68,H61,'27.09'!$M$15:$M$68,"&gt;0")</f>
        <v>0</v>
      </c>
      <c r="AC61" s="88">
        <f>SUMIF('04.10'!$E$15:$E$71,H61,'04.10'!$M$15:$M$71)</f>
        <v>0</v>
      </c>
      <c r="AD61" s="113">
        <f>COUNTIFS('04.10'!$E$15:$E$71,H61,'04.10'!$M$15:$M$71,"&gt;0")</f>
        <v>0</v>
      </c>
      <c r="AE61" s="88">
        <f>SUMIF('11.10'!$E$15:$E$76,H61,'11.10'!$M$15:$M$76)</f>
        <v>0</v>
      </c>
      <c r="AF61" s="113">
        <f>COUNTIFS('11.10'!$E$15:$E$76,H61,'11.10'!$L$15:$L$76,"&gt;0")</f>
        <v>0</v>
      </c>
      <c r="AG61" s="113">
        <f>SUMIF('18.10'!$E$15:$E$76,H61,'18.10'!$M$15:$M$76)</f>
        <v>0</v>
      </c>
      <c r="AH61" s="113">
        <f>COUNTIFS('18.10'!$E$15:$E$76,H61,'18.10'!$L$15:$L$76,"&gt;0")</f>
        <v>0</v>
      </c>
      <c r="AI61" s="113">
        <f>SUMIF('25.10'!$E$15:$E$78,H61,'25.10'!$M$15:$M$78)</f>
        <v>0</v>
      </c>
      <c r="AJ61" s="113">
        <f>COUNTIFS('25.10'!$E$15:$E$78,H61,'25.10'!$L$15:$L$78,"&gt;0")</f>
        <v>0</v>
      </c>
      <c r="AK61" s="113">
        <f>SUMIF('01.11'!$E$15:$E$77,H61,'01.11'!$M$15:$M$77)</f>
        <v>4</v>
      </c>
      <c r="AL61" s="113">
        <f>COUNTIFS('01.11'!$E$15:$E$77,H61,'01.11'!$M$15:$M$77,"&gt;0")</f>
        <v>1</v>
      </c>
      <c r="AM61" s="113">
        <f>SUMIF('08.11'!$E$15:$E$67,H61,'08.11'!$M$15:$M$67)</f>
        <v>4</v>
      </c>
      <c r="AN61" s="113">
        <f>COUNTIFS('08.11'!$E$15:$E$67,H61,'08.11'!$M$15:$M$67,"&gt;0")</f>
        <v>1</v>
      </c>
      <c r="AO61" s="113">
        <f>SUMIF('15.11'!$E$15:$E$71,H61,'15.11'!$M$15:$M$71)</f>
        <v>0</v>
      </c>
      <c r="AP61" s="113">
        <f>COUNTIFS('15.11'!$E$15:$E$71,H61,'15.11'!$M$15:$M$71,"&gt;0")</f>
        <v>0</v>
      </c>
      <c r="AQ61" s="113">
        <f>SUMIF('22.11'!$E$15:$E$78,H61,'22.11'!$M$15:$M$78)</f>
        <v>12</v>
      </c>
      <c r="AR61" s="113">
        <f>COUNTIFS('22.11'!$E$15:$E$78,H61,'22.11'!$M$15:$M$78,"&gt;0")</f>
        <v>1</v>
      </c>
      <c r="AS61" s="113">
        <f>SUMIF('29.11'!$E$15:$E$79,H61,'29.11'!$M$15:$M$79)</f>
        <v>0</v>
      </c>
      <c r="AT61" s="113">
        <f>COUNTIFS('29.11'!$E$15:$E$79,H61,'29.11'!$L$15:$L$79,"&gt;0")</f>
        <v>0</v>
      </c>
      <c r="AU61" s="113">
        <f>SUMIF('06.12'!$E$15:$E$82,H61,'06.12'!$M$15:$M$82)</f>
        <v>0</v>
      </c>
      <c r="AV61" s="113">
        <f>COUNTIFS('06.12'!$E$15:$E$82,H61,'06.12'!$M$15:$M$82,"&gt;0")</f>
        <v>0</v>
      </c>
      <c r="AW61" s="113">
        <f>SUMIF('13.12'!$E$15:$E$82,H61,'13.12'!$M$15:$M$82)</f>
        <v>0</v>
      </c>
      <c r="AX61" s="113">
        <f>COUNTIFS('13.12'!$E$15:$E$82,H61,'13.12'!$M$15:$M$82,"&gt;0")</f>
        <v>0</v>
      </c>
      <c r="AY61" s="113">
        <f>SUMIF('20.12'!$E$15:$E$84,H61,'20.12'!$M$15:$M$84)</f>
        <v>0</v>
      </c>
      <c r="AZ61" s="113">
        <f>COUNTIFS('20.12'!$E$15:$E$84,H61,'20.12'!$M$15:$M$84,"&gt;0")</f>
        <v>0</v>
      </c>
      <c r="BA61" s="113">
        <f>SUMIF('27.12'!$E$15:$E$84,H61,'27.12'!$M$15:$M$84)</f>
        <v>0</v>
      </c>
      <c r="BB61" s="113">
        <f>COUNTIFS('27.12'!$E$15:$E$84,H61,'27.12'!$M$15:$M$84,"&gt;0")</f>
        <v>0</v>
      </c>
      <c r="BC61" s="113">
        <f>SUMIF('03.01'!$E$15:$E$88,H61,'03.01'!$M$15:$M$88)</f>
        <v>0</v>
      </c>
      <c r="BD61" s="113">
        <f>COUNTIFS('03.01'!$E$15:$E$88,H61,'03.01'!$M$15:$M$88,"&gt;0")</f>
        <v>0</v>
      </c>
      <c r="BE61" s="113">
        <f>SUMIF('10.01'!$E$15:$E$91,H61,'10.01'!$M$15:$M$91)</f>
        <v>0</v>
      </c>
      <c r="BF61" s="113">
        <f>COUNTIFS('10.01'!$E$15:$E$91,H61,'10.01'!$M$15:$M$91,"&gt;0")</f>
        <v>0</v>
      </c>
      <c r="BG61" s="113">
        <f>SUMIF('17.01'!$E$15:$E$87,H61,'17.01'!$M$15:$M$87)</f>
        <v>0</v>
      </c>
      <c r="BH61" s="113">
        <f>COUNTIFS('17.01'!$E$15:$E$87,H61,'17.01'!$M$15:$M$87,"&gt;0")</f>
        <v>0</v>
      </c>
      <c r="BI61" s="113">
        <f>SUMIF('24.01'!$E$15:$E$86,H61,'24.01'!$M$15:$M$86)</f>
        <v>0</v>
      </c>
      <c r="BJ61" s="113">
        <f>COUNTIFS('24.01'!$E$15:$E$86,H61,'24.01'!$M$15:$M$86,"&gt;0")</f>
        <v>0</v>
      </c>
      <c r="BK61" s="113">
        <f>SUMIF('31.01'!$E$15:$E$75,H61,'31.01'!$M$15:$M$75)</f>
        <v>0</v>
      </c>
      <c r="BL61" s="113">
        <f>COUNTIFS('31.01'!$E$15:$E$75,H61,'31.01'!$M$15:$M$75,"&gt;0")</f>
        <v>0</v>
      </c>
      <c r="BM61" s="113">
        <f>SUMIF('07.02'!$E$15:$E$77,H61,'07.02'!$M$15:$M$77)</f>
        <v>0</v>
      </c>
      <c r="BN61" s="113">
        <f>COUNTIFS('07.02'!$E$15:$E$77,H61,'07.02'!$M$15:$M$77,"&gt;0")</f>
        <v>0</v>
      </c>
      <c r="BO61" s="113">
        <f>SUMIF('14.02'!$E$15:$E$81,H61,'14.02'!$M$15:$M$81)</f>
        <v>0</v>
      </c>
      <c r="BP61" s="113">
        <f>COUNTIFS('14.02'!$E$15:$E$81,H61,'14.02'!$M$15:$M$81,"&gt;0")</f>
        <v>0</v>
      </c>
      <c r="BQ61" s="113">
        <f>SUMIF('21.02'!$E$15:$E$82,H61,'21.02'!$M$15:$M$82)</f>
        <v>0</v>
      </c>
      <c r="BR61" s="113">
        <f>COUNTIFS('21.02'!$E$15:$E$82,H61,'21.02'!$M$15:$M$82,"&gt;0")</f>
        <v>0</v>
      </c>
      <c r="BS61" s="113"/>
      <c r="BT61" s="113"/>
      <c r="BU61" s="113"/>
      <c r="BV61" s="113"/>
      <c r="BW61" s="113"/>
      <c r="BX61" s="113"/>
      <c r="BY61" s="113"/>
      <c r="BZ61" s="113"/>
    </row>
    <row r="62">
      <c r="H62" s="185" t="s">
        <v>443</v>
      </c>
      <c r="I62" s="88">
        <f>SUMIF('26.07'!$E$15:$E$74,H62,'26.07'!$M$15:$M$74)</f>
        <v>0</v>
      </c>
      <c r="J62" s="88">
        <f>COUNTIFS('26.07'!$E$15:$E$74,H62,'26.07'!$L$15:$L$74,"&gt;0")</f>
        <v>0</v>
      </c>
      <c r="K62" s="88">
        <f>SUMIF('02.08'!$E$15:$E$73,H62,'02.08'!$M$15:$M$73)</f>
        <v>0</v>
      </c>
      <c r="L62" s="88">
        <f>COUNTIFS('02.08'!$E$15:$E$73,H62,'02.08'!$L$15:$L$73,"&gt;0")</f>
        <v>0</v>
      </c>
      <c r="M62" s="88">
        <f>SUMIF('09.08'!$E$15:$E$71,H62,'09.08'!$M$15:$M$71)</f>
        <v>0</v>
      </c>
      <c r="N62" s="88">
        <f>COUNTIFS('09.08'!$E$15:$E$71,H62,'09.08'!$L$15:$L$71,"&gt;0")</f>
        <v>0</v>
      </c>
      <c r="O62" s="88">
        <f>sumif('16.08 '!$E$15:$E$65,H62,'16.08 '!$M$15:$M$65)</f>
        <v>0</v>
      </c>
      <c r="P62" s="88">
        <f>COUNTIFs('16.08 '!$E$15:$E$65,H62,'16.08 '!$L$15:$L$65,"&gt;0")</f>
        <v>0</v>
      </c>
      <c r="Q62" s="88">
        <f>sumif('23.08'!$E$15:$E$62,H62,'23.08'!$M$15:$M$62)</f>
        <v>0</v>
      </c>
      <c r="R62" s="88">
        <f>COUNTIFS('23.08'!$M$15:$M$62,"&gt;0",'23.08'!$E$15:$E$62,H62)</f>
        <v>0</v>
      </c>
      <c r="S62" s="88">
        <f>SUMIF('30.08'!$E$15:$E$66,H62,'30.08'!$M$15:$M$66)</f>
        <v>0</v>
      </c>
      <c r="T62" s="88">
        <f>COUNTIFS('30.08'!$E$15:$E$66,H62,'30.08'!$M$15:$M$66,"&gt;0")</f>
        <v>0</v>
      </c>
      <c r="U62" s="88">
        <f>sumif('06.09'!$E$15:$E$66,H62,'06.09'!$M$15:$M$66)</f>
        <v>0</v>
      </c>
      <c r="V62" s="113">
        <f>COUNTIFS('06.09'!$E$15:$E$66,H62,'06.09'!$M$15:$M$66,"&gt;0")</f>
        <v>0</v>
      </c>
      <c r="W62" s="88">
        <f>SUMIF('13.09'!$E$15:$E$65,H62,'13.09'!$M$15:$M$65)</f>
        <v>0</v>
      </c>
      <c r="X62" s="113">
        <f>COUNTIFS('13.09'!$E$15:$E$65,H62,'13.09'!$M$15:$M$65,"&gt;0")</f>
        <v>0</v>
      </c>
      <c r="Y62" s="88">
        <f>SUMIF('20.09'!$E$15:$E$68,H62,'20.09'!$M$15:$M$68)</f>
        <v>0</v>
      </c>
      <c r="Z62" s="113">
        <f>COUNTIFS('20.09'!$E$15:$E$68,H62,'20.09'!$M$15:$M$68,"&gt;0")</f>
        <v>0</v>
      </c>
      <c r="AA62" s="88">
        <f>SUMIF('27.09'!$E$15:$E$68,H62,'27.09'!$M$15:$M$68)</f>
        <v>0</v>
      </c>
      <c r="AB62" s="113">
        <f>COUNTIFS('27.09'!$E$15:$E$68,H62,'27.09'!$M$15:$M$68,"&gt;0")</f>
        <v>0</v>
      </c>
      <c r="AC62" s="88">
        <f>SUMIF('04.10'!$E$15:$E$71,H62,'04.10'!$M$15:$M$71)</f>
        <v>0</v>
      </c>
      <c r="AD62" s="113">
        <f>COUNTIFS('04.10'!$E$15:$E$71,H62,'04.10'!$M$15:$M$71,"&gt;0")</f>
        <v>0</v>
      </c>
      <c r="AE62" s="88">
        <f>SUMIF('11.10'!$E$15:$E$76,H62,'11.10'!$M$15:$M$76)</f>
        <v>0</v>
      </c>
      <c r="AF62" s="113">
        <f>COUNTIFS('11.10'!$E$15:$E$76,H62,'11.10'!$L$15:$L$76,"&gt;0")</f>
        <v>0</v>
      </c>
      <c r="AG62" s="113">
        <f>SUMIF('18.10'!$E$15:$E$76,H62,'18.10'!$M$15:$M$76)</f>
        <v>0</v>
      </c>
      <c r="AH62" s="113">
        <f>COUNTIFS('18.10'!$E$15:$E$76,H62,'18.10'!$L$15:$L$76,"&gt;0")</f>
        <v>0</v>
      </c>
      <c r="AI62" s="113">
        <f>SUMIF('25.10'!$E$15:$E$78,H62,'25.10'!$M$15:$M$78)</f>
        <v>0</v>
      </c>
      <c r="AJ62" s="113">
        <f>COUNTIFS('25.10'!$E$15:$E$78,H62,'25.10'!$L$15:$L$78,"&gt;0")</f>
        <v>0</v>
      </c>
      <c r="AK62" s="113">
        <f>SUMIF('01.11'!$E$15:$E$77,H62,'01.11'!$M$15:$M$77)</f>
        <v>0</v>
      </c>
      <c r="AL62" s="113">
        <f>COUNTIFS('01.11'!$E$15:$E$77,H62,'01.11'!$M$15:$M$77,"&gt;0")</f>
        <v>0</v>
      </c>
      <c r="AM62" s="113">
        <f>SUMIF('08.11'!$E$15:$E$67,H62,'08.11'!$M$15:$M$67)</f>
        <v>0</v>
      </c>
      <c r="AN62" s="113">
        <f>COUNTIFS('08.11'!$E$15:$E$67,H62,'08.11'!$M$15:$M$67,"&gt;0")</f>
        <v>0</v>
      </c>
      <c r="AO62" s="113">
        <f>SUMIF('15.11'!$E$15:$E$71,H62,'15.11'!$M$15:$M$71)</f>
        <v>0</v>
      </c>
      <c r="AP62" s="113">
        <f>COUNTIFS('15.11'!$E$15:$E$71,H62,'15.11'!$M$15:$M$71,"&gt;0")</f>
        <v>0</v>
      </c>
      <c r="AQ62" s="113">
        <f>SUMIF('22.11'!$E$15:$E$78,H62,'22.11'!$M$15:$M$78)</f>
        <v>0</v>
      </c>
      <c r="AR62" s="113">
        <f>COUNTIFS('22.11'!$E$15:$E$78,H62,'22.11'!$M$15:$M$78,"&gt;0")</f>
        <v>0</v>
      </c>
      <c r="AS62" s="113">
        <f>SUMIF('29.11'!$E$15:$E$79,H62,'29.11'!$M$15:$M$79)</f>
        <v>0</v>
      </c>
      <c r="AT62" s="113">
        <f>COUNTIFS('29.11'!$E$15:$E$79,H62,'29.11'!$L$15:$L$79,"&gt;0")</f>
        <v>0</v>
      </c>
      <c r="AU62" s="113">
        <f>SUMIF('06.12'!$E$15:$E$82,H62,'06.12'!$M$15:$M$82)</f>
        <v>0</v>
      </c>
      <c r="AV62" s="113">
        <f>COUNTIFS('06.12'!$E$15:$E$82,H62,'06.12'!$M$15:$M$82,"&gt;0")</f>
        <v>0</v>
      </c>
      <c r="AW62" s="113">
        <f>SUMIF('13.12'!$E$15:$E$82,H62,'13.12'!$M$15:$M$82)</f>
        <v>0</v>
      </c>
      <c r="AX62" s="113">
        <f>COUNTIFS('13.12'!$E$15:$E$82,H62,'13.12'!$M$15:$M$82,"&gt;0")</f>
        <v>0</v>
      </c>
      <c r="AY62" s="113">
        <f>SUMIF('20.12'!$E$15:$E$84,H62,'20.12'!$M$15:$M$84)</f>
        <v>0</v>
      </c>
      <c r="AZ62" s="113">
        <f>COUNTIFS('20.12'!$E$15:$E$84,H62,'20.12'!$M$15:$M$84,"&gt;0")</f>
        <v>0</v>
      </c>
      <c r="BA62" s="113">
        <f>SUMIF('27.12'!$E$15:$E$84,H62,'27.12'!$M$15:$M$84)</f>
        <v>0</v>
      </c>
      <c r="BB62" s="113">
        <f>COUNTIFS('27.12'!$E$15:$E$84,H62,'27.12'!$M$15:$M$84,"&gt;0")</f>
        <v>0</v>
      </c>
      <c r="BC62" s="113">
        <f>SUMIF('03.01'!$E$15:$E$88,H62,'03.01'!$M$15:$M$88)</f>
        <v>0</v>
      </c>
      <c r="BD62" s="113">
        <f>COUNTIFS('03.01'!$E$15:$E$88,H62,'03.01'!$M$15:$M$88,"&gt;0")</f>
        <v>0</v>
      </c>
      <c r="BE62" s="113">
        <f>SUMIF('10.01'!$E$15:$E$91,H62,'10.01'!$M$15:$M$91)</f>
        <v>0</v>
      </c>
      <c r="BF62" s="113">
        <f>COUNTIFS('10.01'!$E$15:$E$91,H62,'10.01'!$M$15:$M$91,"&gt;0")</f>
        <v>0</v>
      </c>
      <c r="BG62" s="113">
        <f>SUMIF('17.01'!$E$15:$E$87,H62,'17.01'!$M$15:$M$87)</f>
        <v>0</v>
      </c>
      <c r="BH62" s="113">
        <f>COUNTIFS('17.01'!$E$15:$E$87,H62,'17.01'!$M$15:$M$87,"&gt;0")</f>
        <v>0</v>
      </c>
      <c r="BI62" s="113">
        <f>SUMIF('24.01'!$E$15:$E$86,H62,'24.01'!$M$15:$M$86)</f>
        <v>0</v>
      </c>
      <c r="BJ62" s="113">
        <f>COUNTIFS('24.01'!$E$15:$E$86,H62,'24.01'!$M$15:$M$86,"&gt;0")</f>
        <v>0</v>
      </c>
      <c r="BK62" s="113">
        <f>SUMIF('31.01'!$E$15:$E$75,H62,'31.01'!$M$15:$M$75)</f>
        <v>0</v>
      </c>
      <c r="BL62" s="113">
        <f>COUNTIFS('31.01'!$E$15:$E$75,H62,'31.01'!$M$15:$M$75,"&gt;0")</f>
        <v>0</v>
      </c>
      <c r="BM62" s="113">
        <f>SUMIF('07.02'!$E$15:$E$77,H62,'07.02'!$M$15:$M$77)</f>
        <v>12</v>
      </c>
      <c r="BN62" s="113">
        <f>COUNTIFS('07.02'!$E$15:$E$77,H62,'07.02'!$M$15:$M$77,"&gt;0")</f>
        <v>1</v>
      </c>
      <c r="BO62" s="113">
        <f>SUMIF('14.02'!$E$15:$E$81,H62,'14.02'!$M$15:$M$81)</f>
        <v>0</v>
      </c>
      <c r="BP62" s="113">
        <f>COUNTIFS('14.02'!$E$15:$E$81,H62,'14.02'!$M$15:$M$81,"&gt;0")</f>
        <v>0</v>
      </c>
      <c r="BQ62" s="113">
        <f>SUMIF('21.02'!$E$15:$E$82,H62,'21.02'!$M$15:$M$82)</f>
        <v>4</v>
      </c>
      <c r="BR62" s="113">
        <f>COUNTIFS('21.02'!$E$15:$E$82,H62,'21.02'!$M$15:$M$82,"&gt;0")</f>
        <v>1</v>
      </c>
      <c r="BS62" s="113"/>
      <c r="BT62" s="113"/>
      <c r="BU62" s="113"/>
      <c r="BV62" s="113"/>
      <c r="BW62" s="113"/>
      <c r="BX62" s="113"/>
      <c r="BY62" s="113"/>
      <c r="BZ62" s="113"/>
    </row>
    <row r="63">
      <c r="H63" s="185" t="s">
        <v>445</v>
      </c>
      <c r="I63" s="88">
        <f>SUMIF('26.07'!$E$15:$E$74,H63,'26.07'!$M$15:$M$74)</f>
        <v>0</v>
      </c>
      <c r="J63" s="88">
        <f>COUNTIFS('26.07'!$E$15:$E$74,H63,'26.07'!$L$15:$L$74,"&gt;0")</f>
        <v>0</v>
      </c>
      <c r="K63" s="88">
        <f>SUMIF('02.08'!$E$15:$E$73,H63,'02.08'!$M$15:$M$73)</f>
        <v>0</v>
      </c>
      <c r="L63" s="88">
        <f>COUNTIFS('02.08'!$E$15:$E$73,H63,'02.08'!$L$15:$L$73,"&gt;0")</f>
        <v>0</v>
      </c>
      <c r="M63" s="88">
        <f>SUMIF('09.08'!$E$15:$E$71,H63,'09.08'!$M$15:$M$71)</f>
        <v>0</v>
      </c>
      <c r="N63" s="88">
        <f>COUNTIFS('09.08'!$E$15:$E$71,H63,'09.08'!$L$15:$L$71,"&gt;0")</f>
        <v>0</v>
      </c>
      <c r="O63" s="88">
        <f>sumif('16.08 '!$E$15:$E$65,H63,'16.08 '!$M$15:$M$65)</f>
        <v>0</v>
      </c>
      <c r="P63" s="88">
        <f>COUNTIFs('16.08 '!$E$15:$E$65,H63,'16.08 '!$L$15:$L$65,"&gt;0")</f>
        <v>0</v>
      </c>
      <c r="Q63" s="88">
        <f>sumif('23.08'!$E$15:$E$62,H63,'23.08'!$M$15:$M$62)</f>
        <v>0</v>
      </c>
      <c r="R63" s="88">
        <f>COUNTIFS('23.08'!$M$15:$M$62,"&gt;0",'23.08'!$E$15:$E$62,H63)</f>
        <v>0</v>
      </c>
      <c r="S63" s="88">
        <f>SUMIF('30.08'!$E$15:$E$66,H63,'30.08'!$M$15:$M$66)</f>
        <v>0</v>
      </c>
      <c r="T63" s="88">
        <f>COUNTIFS('30.08'!$E$15:$E$66,H63,'30.08'!$M$15:$M$66,"&gt;0")</f>
        <v>0</v>
      </c>
      <c r="U63" s="88">
        <f>sumif('06.09'!$E$15:$E$66,H63,'06.09'!$M$15:$M$66)</f>
        <v>0</v>
      </c>
      <c r="V63" s="113">
        <f>COUNTIFS('06.09'!$E$15:$E$66,H63,'06.09'!$M$15:$M$66,"&gt;0")</f>
        <v>0</v>
      </c>
      <c r="W63" s="88">
        <f>SUMIF('13.09'!$E$15:$E$65,H63,'13.09'!$M$15:$M$65)</f>
        <v>0</v>
      </c>
      <c r="X63" s="113">
        <f>COUNTIFS('13.09'!$E$15:$E$65,H63,'13.09'!$M$15:$M$65,"&gt;0")</f>
        <v>0</v>
      </c>
      <c r="Y63" s="88">
        <f>SUMIF('20.09'!$E$15:$E$68,H63,'20.09'!$M$15:$M$68)</f>
        <v>0</v>
      </c>
      <c r="Z63" s="113">
        <f>COUNTIFS('20.09'!$E$15:$E$68,H63,'20.09'!$M$15:$M$68,"&gt;0")</f>
        <v>0</v>
      </c>
      <c r="AA63" s="88">
        <f>SUMIF('27.09'!$E$15:$E$68,H63,'27.09'!$M$15:$M$68)</f>
        <v>0</v>
      </c>
      <c r="AB63" s="113">
        <f>COUNTIFS('27.09'!$E$15:$E$68,H63,'27.09'!$M$15:$M$68,"&gt;0")</f>
        <v>0</v>
      </c>
      <c r="AC63" s="88">
        <f>SUMIF('04.10'!$E$15:$E$71,H63,'04.10'!$M$15:$M$71)</f>
        <v>0</v>
      </c>
      <c r="AD63" s="113">
        <f>COUNTIFS('04.10'!$E$15:$E$71,H63,'04.10'!$M$15:$M$71,"&gt;0")</f>
        <v>0</v>
      </c>
      <c r="AE63" s="88">
        <f>SUMIF('11.10'!$E$15:$E$76,H63,'11.10'!$M$15:$M$76)</f>
        <v>0</v>
      </c>
      <c r="AF63" s="113">
        <f>COUNTIFS('11.10'!$E$15:$E$76,H63,'11.10'!$L$15:$L$76,"&gt;0")</f>
        <v>0</v>
      </c>
      <c r="AG63" s="113">
        <f>SUMIF('18.10'!$E$15:$E$76,H63,'18.10'!$M$15:$M$76)</f>
        <v>0</v>
      </c>
      <c r="AH63" s="113">
        <f>COUNTIFS('18.10'!$E$15:$E$76,H63,'18.10'!$L$15:$L$76,"&gt;0")</f>
        <v>0</v>
      </c>
      <c r="AI63" s="113">
        <f>SUMIF('25.10'!$E$15:$E$78,H63,'25.10'!$M$15:$M$78)</f>
        <v>0</v>
      </c>
      <c r="AJ63" s="113">
        <f>COUNTIFS('25.10'!$E$15:$E$78,H63,'25.10'!$L$15:$L$78,"&gt;0")</f>
        <v>0</v>
      </c>
      <c r="AK63" s="113">
        <f>SUMIF('01.11'!$E$15:$E$77,H63,'01.11'!$M$15:$M$77)</f>
        <v>0</v>
      </c>
      <c r="AL63" s="113">
        <f>COUNTIFS('01.11'!$E$15:$E$77,H63,'01.11'!$M$15:$M$77,"&gt;0")</f>
        <v>0</v>
      </c>
      <c r="AM63" s="113">
        <f>SUMIF('08.11'!$E$15:$E$67,H63,'08.11'!$M$15:$M$67)</f>
        <v>0</v>
      </c>
      <c r="AN63" s="113">
        <f>COUNTIFS('08.11'!$E$15:$E$67,H63,'08.11'!$M$15:$M$67,"&gt;0")</f>
        <v>0</v>
      </c>
      <c r="AO63" s="113">
        <f>SUMIF('15.11'!$E$15:$E$71,H63,'15.11'!$M$15:$M$71)</f>
        <v>0</v>
      </c>
      <c r="AP63" s="113">
        <f>COUNTIFS('15.11'!$E$15:$E$71,H63,'15.11'!$M$15:$M$71,"&gt;0")</f>
        <v>0</v>
      </c>
      <c r="AQ63" s="113">
        <f>SUMIF('22.11'!$E$15:$E$78,H63,'22.11'!$M$15:$M$78)</f>
        <v>0</v>
      </c>
      <c r="AR63" s="113">
        <f>COUNTIFS('22.11'!$E$15:$E$78,H63,'22.11'!$M$15:$M$78,"&gt;0")</f>
        <v>0</v>
      </c>
      <c r="AS63" s="113">
        <f>SUMIF('29.11'!$E$15:$E$79,H63,'29.11'!$M$15:$M$79)</f>
        <v>0</v>
      </c>
      <c r="AT63" s="113">
        <f>COUNTIFS('29.11'!$E$15:$E$79,H63,'29.11'!$L$15:$L$79,"&gt;0")</f>
        <v>0</v>
      </c>
      <c r="AU63" s="113">
        <f>SUMIF('06.12'!$E$15:$E$82,H63,'06.12'!$M$15:$M$82)</f>
        <v>0</v>
      </c>
      <c r="AV63" s="113">
        <f>COUNTIFS('06.12'!$E$15:$E$82,H63,'06.12'!$M$15:$M$82,"&gt;0")</f>
        <v>0</v>
      </c>
      <c r="AW63" s="113">
        <f>SUMIF('13.12'!$E$15:$E$82,H63,'13.12'!$M$15:$M$82)</f>
        <v>0</v>
      </c>
      <c r="AX63" s="113">
        <f>COUNTIFS('13.12'!$E$15:$E$82,H63,'13.12'!$M$15:$M$82,"&gt;0")</f>
        <v>0</v>
      </c>
      <c r="AY63" s="113">
        <f>SUMIF('20.12'!$E$15:$E$84,H63,'20.12'!$M$15:$M$84)</f>
        <v>0</v>
      </c>
      <c r="AZ63" s="113">
        <f>COUNTIFS('20.12'!$E$15:$E$84,H63,'20.12'!$M$15:$M$84,"&gt;0")</f>
        <v>0</v>
      </c>
      <c r="BA63" s="113">
        <f>SUMIF('27.12'!$E$15:$E$84,H63,'27.12'!$M$15:$M$84)</f>
        <v>0</v>
      </c>
      <c r="BB63" s="113">
        <f>COUNTIFS('27.12'!$E$15:$E$84,H63,'27.12'!$M$15:$M$84,"&gt;0")</f>
        <v>0</v>
      </c>
      <c r="BC63" s="113">
        <f>SUMIF('03.01'!$E$15:$E$88,H63,'03.01'!$M$15:$M$88)</f>
        <v>0</v>
      </c>
      <c r="BD63" s="113">
        <f>COUNTIFS('03.01'!$E$15:$E$88,H63,'03.01'!$M$15:$M$88,"&gt;0")</f>
        <v>0</v>
      </c>
      <c r="BE63" s="113">
        <f>SUMIF('10.01'!$E$15:$E$91,H63,'10.01'!$M$15:$M$91)</f>
        <v>0</v>
      </c>
      <c r="BF63" s="113">
        <f>COUNTIFS('10.01'!$E$15:$E$91,H63,'10.01'!$M$15:$M$91,"&gt;0")</f>
        <v>0</v>
      </c>
      <c r="BG63" s="113">
        <f>SUMIF('17.01'!$E$15:$E$87,H63,'17.01'!$M$15:$M$87)</f>
        <v>0</v>
      </c>
      <c r="BH63" s="113">
        <f>COUNTIFS('17.01'!$E$15:$E$87,H63,'17.01'!$M$15:$M$87,"&gt;0")</f>
        <v>0</v>
      </c>
      <c r="BI63" s="113">
        <f>SUMIF('24.01'!$E$15:$E$86,H63,'24.01'!$M$15:$M$86)</f>
        <v>0</v>
      </c>
      <c r="BJ63" s="113">
        <f>COUNTIFS('24.01'!$E$15:$E$86,H63,'24.01'!$M$15:$M$86,"&gt;0")</f>
        <v>0</v>
      </c>
      <c r="BK63" s="113">
        <f>SUMIF('31.01'!$E$15:$E$75,H63,'31.01'!$M$15:$M$75)</f>
        <v>0</v>
      </c>
      <c r="BL63" s="113">
        <f>COUNTIFS('31.01'!$E$15:$E$75,H63,'31.01'!$M$15:$M$75,"&gt;0")</f>
        <v>0</v>
      </c>
      <c r="BM63" s="113">
        <f>SUMIF('07.02'!$E$15:$E$77,H63,'07.02'!$M$15:$M$77)</f>
        <v>0</v>
      </c>
      <c r="BN63" s="113">
        <f>COUNTIFS('07.02'!$E$15:$E$77,H63,'07.02'!$M$15:$M$77,"&gt;0")</f>
        <v>0</v>
      </c>
      <c r="BO63" s="113">
        <f>SUMIF('14.02'!$E$15:$E$81,H63,'14.02'!$M$15:$M$81)</f>
        <v>0</v>
      </c>
      <c r="BP63" s="113">
        <f>COUNTIFS('14.02'!$E$15:$E$81,H63,'14.02'!$M$15:$M$81,"&gt;0")</f>
        <v>0</v>
      </c>
      <c r="BQ63" s="113">
        <f>SUMIF('21.02'!$E$15:$E$82,H63,'21.02'!$M$15:$M$82)</f>
        <v>0</v>
      </c>
      <c r="BR63" s="113">
        <f>COUNTIFS('21.02'!$E$15:$E$82,H63,'21.02'!$M$15:$M$82,"&gt;0")</f>
        <v>0</v>
      </c>
      <c r="BS63" s="113"/>
      <c r="BT63" s="113"/>
      <c r="BU63" s="113"/>
      <c r="BV63" s="113"/>
      <c r="BW63" s="113"/>
      <c r="BX63" s="113"/>
      <c r="BY63" s="113"/>
      <c r="BZ63" s="113"/>
    </row>
    <row r="64">
      <c r="H64" s="186" t="s">
        <v>472</v>
      </c>
      <c r="I64" s="88">
        <f>SUMIF('26.07'!$E$15:$E$74,H64,'26.07'!$M$15:$M$74)</f>
        <v>0</v>
      </c>
      <c r="J64" s="88">
        <f>COUNTIFS('26.07'!$E$15:$E$74,H64,'26.07'!$L$15:$L$74,"&gt;0")</f>
        <v>0</v>
      </c>
      <c r="K64" s="88">
        <f>SUMIF('02.08'!$E$15:$E$73,H64,'02.08'!$M$15:$M$73)</f>
        <v>0</v>
      </c>
      <c r="L64" s="88">
        <f>COUNTIFS('02.08'!$E$15:$E$73,H64,'02.08'!$L$15:$L$73,"&gt;0")</f>
        <v>0</v>
      </c>
      <c r="M64" s="88">
        <f>SUMIF('09.08'!$E$15:$E$71,H64,'09.08'!$M$15:$M$71)</f>
        <v>0</v>
      </c>
      <c r="N64" s="88">
        <f>COUNTIFS('09.08'!$E$15:$E$71,H64,'09.08'!$L$15:$L$71,"&gt;0")</f>
        <v>0</v>
      </c>
      <c r="O64" s="88">
        <f>sumif('16.08 '!$E$15:$E$65,H64,'16.08 '!$M$15:$M$65)</f>
        <v>0</v>
      </c>
      <c r="P64" s="88">
        <f>COUNTIFs('16.08 '!$E$15:$E$65,H64,'16.08 '!$L$15:$L$65,"&gt;0")</f>
        <v>0</v>
      </c>
      <c r="Q64" s="88">
        <f>sumif('23.08'!$E$15:$E$62,H64,'23.08'!$M$15:$M$62)</f>
        <v>0</v>
      </c>
      <c r="R64" s="88">
        <f>COUNTIFS('23.08'!$M$15:$M$62,"&gt;0",'23.08'!$E$15:$E$62,H64)</f>
        <v>0</v>
      </c>
      <c r="S64" s="88">
        <f>SUMIF('30.08'!$E$15:$E$66,H64,'30.08'!$M$15:$M$66)</f>
        <v>0</v>
      </c>
      <c r="T64" s="88">
        <f>COUNTIFS('30.08'!$E$15:$E$66,H64,'30.08'!$M$15:$M$66,"&gt;0")</f>
        <v>0</v>
      </c>
      <c r="U64" s="88">
        <f>sumif('06.09'!$E$15:$E$66,H64,'06.09'!$M$15:$M$66)</f>
        <v>0</v>
      </c>
      <c r="V64" s="113">
        <f>COUNTIFS('06.09'!$E$15:$E$66,H64,'06.09'!$M$15:$M$66,"&gt;0")</f>
        <v>0</v>
      </c>
      <c r="W64" s="88">
        <f>SUMIF('13.09'!$E$15:$E$65,H64,'13.09'!$M$15:$M$65)</f>
        <v>0</v>
      </c>
      <c r="X64" s="113">
        <f>COUNTIFS('13.09'!$E$15:$E$65,H64,'13.09'!$M$15:$M$65,"&gt;0")</f>
        <v>0</v>
      </c>
      <c r="Y64" s="88">
        <f>SUMIF('20.09'!$E$15:$E$68,H64,'20.09'!$M$15:$M$68)</f>
        <v>0</v>
      </c>
      <c r="Z64" s="113">
        <f>COUNTIFS('20.09'!$E$15:$E$68,H64,'20.09'!$M$15:$M$68,"&gt;0")</f>
        <v>0</v>
      </c>
      <c r="AA64" s="88">
        <f>SUMIF('27.09'!$E$15:$E$68,H64,'27.09'!$M$15:$M$68)</f>
        <v>0</v>
      </c>
      <c r="AB64" s="113">
        <f>COUNTIFS('27.09'!$E$15:$E$68,H64,'27.09'!$M$15:$M$68,"&gt;0")</f>
        <v>0</v>
      </c>
      <c r="AC64" s="88">
        <f>SUMIF('04.10'!$E$15:$E$71,H64,'04.10'!$M$15:$M$71)</f>
        <v>0</v>
      </c>
      <c r="AD64" s="113">
        <f>COUNTIFS('04.10'!$E$15:$E$71,H64,'04.10'!$M$15:$M$71,"&gt;0")</f>
        <v>0</v>
      </c>
      <c r="AE64" s="88">
        <f>SUMIF('11.10'!$E$15:$E$76,H64,'11.10'!$M$15:$M$76)</f>
        <v>0</v>
      </c>
      <c r="AF64" s="113">
        <f>COUNTIFS('11.10'!$E$15:$E$76,H64,'11.10'!$L$15:$L$76,"&gt;0")</f>
        <v>0</v>
      </c>
      <c r="AG64" s="113">
        <f>SUMIF('18.10'!$E$15:$E$76,H64,'18.10'!$M$15:$M$76)</f>
        <v>0</v>
      </c>
      <c r="AH64" s="113">
        <f>COUNTIFS('18.10'!$E$15:$E$76,H64,'18.10'!$L$15:$L$76,"&gt;0")</f>
        <v>0</v>
      </c>
      <c r="AI64" s="113">
        <f>SUMIF('25.10'!$E$15:$E$78,H64,'25.10'!$M$15:$M$78)</f>
        <v>0</v>
      </c>
      <c r="AJ64" s="113">
        <f>COUNTIFS('25.10'!$E$15:$E$78,H64,'25.10'!$L$15:$L$78,"&gt;0")</f>
        <v>0</v>
      </c>
      <c r="AK64" s="113">
        <f>SUMIF('01.11'!$E$15:$E$77,H64,'01.11'!$M$15:$M$77)</f>
        <v>0</v>
      </c>
      <c r="AL64" s="113">
        <f>COUNTIFS('01.11'!$E$15:$E$77,H64,'01.11'!$M$15:$M$77,"&gt;0")</f>
        <v>0</v>
      </c>
      <c r="AM64" s="113">
        <f>SUMIF('08.11'!$E$15:$E$67,H64,'08.11'!$M$15:$M$67)</f>
        <v>0</v>
      </c>
      <c r="AN64" s="113">
        <f>COUNTIFS('08.11'!$E$15:$E$67,H64,'08.11'!$M$15:$M$67,"&gt;0")</f>
        <v>0</v>
      </c>
      <c r="AO64" s="113">
        <f>SUMIF('15.11'!$E$15:$E$71,H64,'15.11'!$M$15:$M$71)</f>
        <v>0</v>
      </c>
      <c r="AP64" s="113">
        <f>COUNTIFS('15.11'!$E$15:$E$71,H64,'15.11'!$M$15:$M$71,"&gt;0")</f>
        <v>0</v>
      </c>
      <c r="AQ64" s="113">
        <f>SUMIF('22.11'!$E$15:$E$78,H64,'22.11'!$M$15:$M$78)</f>
        <v>0</v>
      </c>
      <c r="AR64" s="113">
        <f>COUNTIFS('22.11'!$E$15:$E$78,H64,'22.11'!$M$15:$M$78,"&gt;0")</f>
        <v>0</v>
      </c>
      <c r="AS64" s="113">
        <f>SUMIF('29.11'!$E$15:$E$79,H64,'29.11'!$M$15:$M$79)</f>
        <v>0</v>
      </c>
      <c r="AT64" s="113">
        <f>COUNTIFS('29.11'!$E$15:$E$79,H64,'29.11'!$L$15:$L$79,"&gt;0")</f>
        <v>0</v>
      </c>
      <c r="AU64" s="113">
        <f>SUMIF('06.12'!$E$15:$E$82,H64,'06.12'!$M$15:$M$82)</f>
        <v>0</v>
      </c>
      <c r="AV64" s="113">
        <f>COUNTIFS('06.12'!$E$15:$E$82,H64,'06.12'!$M$15:$M$82,"&gt;0")</f>
        <v>0</v>
      </c>
      <c r="AW64" s="113">
        <f>SUMIF('13.12'!$E$15:$E$82,H64,'13.12'!$M$15:$M$82)</f>
        <v>0</v>
      </c>
      <c r="AX64" s="113">
        <f>COUNTIFS('13.12'!$E$15:$E$82,H64,'13.12'!$M$15:$M$82,"&gt;0")</f>
        <v>0</v>
      </c>
      <c r="AY64" s="113">
        <f>SUMIF('20.12'!$E$15:$E$84,H64,'20.12'!$M$15:$M$84)</f>
        <v>0</v>
      </c>
      <c r="AZ64" s="113">
        <f>COUNTIFS('20.12'!$E$15:$E$84,H64,'20.12'!$M$15:$M$84,"&gt;0")</f>
        <v>0</v>
      </c>
      <c r="BA64" s="113">
        <f>SUMIF('27.12'!$E$15:$E$84,H64,'27.12'!$M$15:$M$84)</f>
        <v>0</v>
      </c>
      <c r="BB64" s="113">
        <f>COUNTIFS('27.12'!$E$15:$E$84,H64,'27.12'!$M$15:$M$84,"&gt;0")</f>
        <v>0</v>
      </c>
      <c r="BC64" s="113">
        <f>SUMIF('03.01'!$E$15:$E$88,H64,'03.01'!$M$15:$M$88)</f>
        <v>0</v>
      </c>
      <c r="BD64" s="113">
        <f>COUNTIFS('03.01'!$E$15:$E$88,H64,'03.01'!$M$15:$M$88,"&gt;0")</f>
        <v>0</v>
      </c>
      <c r="BE64" s="113">
        <f>SUMIF('10.01'!$E$15:$E$91,H64,'10.01'!$M$15:$M$91)</f>
        <v>0</v>
      </c>
      <c r="BF64" s="113">
        <f>COUNTIFS('10.01'!$E$15:$E$91,H64,'10.01'!$M$15:$M$91,"&gt;0")</f>
        <v>0</v>
      </c>
      <c r="BG64" s="113">
        <f>SUMIF('17.01'!$E$15:$E$87,H64,'17.01'!$M$15:$M$87)</f>
        <v>0</v>
      </c>
      <c r="BH64" s="113">
        <f>COUNTIFS('17.01'!$E$15:$E$87,H64,'17.01'!$M$15:$M$87,"&gt;0")</f>
        <v>0</v>
      </c>
      <c r="BI64" s="113">
        <f>SUMIF('24.01'!$E$15:$E$86,H64,'24.01'!$M$15:$M$86)</f>
        <v>0</v>
      </c>
      <c r="BJ64" s="113">
        <f>COUNTIFS('24.01'!$E$15:$E$86,H64,'24.01'!$M$15:$M$86,"&gt;0")</f>
        <v>0</v>
      </c>
      <c r="BK64" s="113">
        <f>SUMIF('31.01'!$E$15:$E$75,H64,'31.01'!$M$15:$M$75)</f>
        <v>0</v>
      </c>
      <c r="BL64" s="113">
        <f>COUNTIFS('31.01'!$E$15:$E$75,H64,'31.01'!$M$15:$M$75,"&gt;0")</f>
        <v>0</v>
      </c>
      <c r="BM64" s="113">
        <f>SUMIF('07.02'!$E$15:$E$77,H64,'07.02'!$M$15:$M$77)</f>
        <v>0</v>
      </c>
      <c r="BN64" s="113">
        <f>COUNTIFS('07.02'!$E$15:$E$77,H64,'07.02'!$M$15:$M$77,"&gt;0")</f>
        <v>0</v>
      </c>
      <c r="BO64" s="113">
        <f>SUMIF('14.02'!$E$15:$E$81,H64,'14.02'!$M$15:$M$81)</f>
        <v>0</v>
      </c>
      <c r="BP64" s="113">
        <f>COUNTIFS('14.02'!$E$15:$E$81,H64,'14.02'!$M$15:$M$81,"&gt;0")</f>
        <v>0</v>
      </c>
      <c r="BQ64" s="113">
        <f>SUMIF('21.02'!$E$15:$E$82,H64,'21.02'!$M$15:$M$82)</f>
        <v>0</v>
      </c>
      <c r="BR64" s="113">
        <f>COUNTIFS('21.02'!$E$15:$E$82,H64,'21.02'!$M$15:$M$82,"&gt;0")</f>
        <v>0</v>
      </c>
      <c r="BS64" s="113"/>
      <c r="BT64" s="113"/>
      <c r="BU64" s="113"/>
      <c r="BV64" s="113"/>
      <c r="BW64" s="113"/>
      <c r="BX64" s="113"/>
      <c r="BY64" s="113"/>
      <c r="BZ64" s="113"/>
    </row>
    <row r="65">
      <c r="H65" s="88"/>
      <c r="I65" s="187">
        <f t="shared" ref="I65:BR65" si="4">sum(I5:I64)</f>
        <v>749</v>
      </c>
      <c r="J65" s="187">
        <f t="shared" si="4"/>
        <v>51</v>
      </c>
      <c r="K65" s="187">
        <f t="shared" si="4"/>
        <v>670</v>
      </c>
      <c r="L65" s="187">
        <f t="shared" si="4"/>
        <v>46</v>
      </c>
      <c r="M65" s="187">
        <f t="shared" si="4"/>
        <v>626</v>
      </c>
      <c r="N65" s="187">
        <f t="shared" si="4"/>
        <v>39</v>
      </c>
      <c r="O65" s="187">
        <f t="shared" si="4"/>
        <v>664</v>
      </c>
      <c r="P65" s="187">
        <f t="shared" si="4"/>
        <v>45</v>
      </c>
      <c r="Q65" s="187">
        <f t="shared" si="4"/>
        <v>702</v>
      </c>
      <c r="R65" s="187">
        <f t="shared" si="4"/>
        <v>44</v>
      </c>
      <c r="S65" s="187">
        <f t="shared" si="4"/>
        <v>662</v>
      </c>
      <c r="T65" s="187">
        <f t="shared" si="4"/>
        <v>44</v>
      </c>
      <c r="U65" s="187">
        <f t="shared" si="4"/>
        <v>611</v>
      </c>
      <c r="V65" s="187">
        <f t="shared" si="4"/>
        <v>43</v>
      </c>
      <c r="W65" s="187">
        <f t="shared" si="4"/>
        <v>598</v>
      </c>
      <c r="X65" s="187">
        <f t="shared" si="4"/>
        <v>43</v>
      </c>
      <c r="Y65" s="187">
        <f t="shared" si="4"/>
        <v>608</v>
      </c>
      <c r="Z65" s="187">
        <f t="shared" si="4"/>
        <v>40</v>
      </c>
      <c r="AA65" s="187">
        <f t="shared" si="4"/>
        <v>510</v>
      </c>
      <c r="AB65" s="187">
        <f t="shared" si="4"/>
        <v>35</v>
      </c>
      <c r="AC65" s="187">
        <f t="shared" si="4"/>
        <v>474</v>
      </c>
      <c r="AD65" s="187">
        <f t="shared" si="4"/>
        <v>36</v>
      </c>
      <c r="AE65" s="187">
        <f t="shared" si="4"/>
        <v>558</v>
      </c>
      <c r="AF65" s="187">
        <f t="shared" si="4"/>
        <v>42</v>
      </c>
      <c r="AG65" s="187">
        <f t="shared" si="4"/>
        <v>614</v>
      </c>
      <c r="AH65" s="187">
        <f t="shared" si="4"/>
        <v>45</v>
      </c>
      <c r="AI65" s="187">
        <f t="shared" si="4"/>
        <v>506</v>
      </c>
      <c r="AJ65" s="187">
        <f t="shared" si="4"/>
        <v>40</v>
      </c>
      <c r="AK65" s="187">
        <f t="shared" si="4"/>
        <v>482</v>
      </c>
      <c r="AL65" s="187">
        <f t="shared" si="4"/>
        <v>42</v>
      </c>
      <c r="AM65" s="187">
        <f t="shared" si="4"/>
        <v>450</v>
      </c>
      <c r="AN65" s="187">
        <f t="shared" si="4"/>
        <v>41</v>
      </c>
      <c r="AO65" s="187">
        <f t="shared" si="4"/>
        <v>492</v>
      </c>
      <c r="AP65" s="187">
        <f t="shared" si="4"/>
        <v>37</v>
      </c>
      <c r="AQ65" s="187">
        <f t="shared" si="4"/>
        <v>512</v>
      </c>
      <c r="AR65" s="187">
        <f t="shared" si="4"/>
        <v>44</v>
      </c>
      <c r="AS65" s="187">
        <f t="shared" si="4"/>
        <v>452</v>
      </c>
      <c r="AT65" s="187">
        <f t="shared" si="4"/>
        <v>33</v>
      </c>
      <c r="AU65" s="187">
        <f t="shared" si="4"/>
        <v>428</v>
      </c>
      <c r="AV65" s="187">
        <f t="shared" si="4"/>
        <v>35</v>
      </c>
      <c r="AW65" s="187">
        <f t="shared" si="4"/>
        <v>444</v>
      </c>
      <c r="AX65" s="187">
        <f t="shared" si="4"/>
        <v>33</v>
      </c>
      <c r="AY65" s="187">
        <f t="shared" si="4"/>
        <v>340</v>
      </c>
      <c r="AZ65" s="187">
        <f t="shared" si="4"/>
        <v>30</v>
      </c>
      <c r="BA65" s="187">
        <f t="shared" si="4"/>
        <v>320</v>
      </c>
      <c r="BB65" s="187">
        <f t="shared" si="4"/>
        <v>25</v>
      </c>
      <c r="BC65" s="187">
        <f t="shared" si="4"/>
        <v>404</v>
      </c>
      <c r="BD65" s="187">
        <f t="shared" si="4"/>
        <v>32</v>
      </c>
      <c r="BE65" s="187">
        <f t="shared" si="4"/>
        <v>304</v>
      </c>
      <c r="BF65" s="187">
        <f t="shared" si="4"/>
        <v>31</v>
      </c>
      <c r="BG65" s="187">
        <f t="shared" si="4"/>
        <v>332</v>
      </c>
      <c r="BH65" s="187">
        <f t="shared" si="4"/>
        <v>31</v>
      </c>
      <c r="BI65" s="187">
        <f t="shared" si="4"/>
        <v>212</v>
      </c>
      <c r="BJ65" s="187">
        <f t="shared" si="4"/>
        <v>17</v>
      </c>
      <c r="BK65" s="187">
        <f t="shared" si="4"/>
        <v>460</v>
      </c>
      <c r="BL65" s="187">
        <f t="shared" si="4"/>
        <v>39</v>
      </c>
      <c r="BM65" s="187">
        <f t="shared" si="4"/>
        <v>552</v>
      </c>
      <c r="BN65" s="187">
        <f t="shared" si="4"/>
        <v>45</v>
      </c>
      <c r="BO65" s="187">
        <f t="shared" si="4"/>
        <v>544</v>
      </c>
      <c r="BP65" s="187">
        <f t="shared" si="4"/>
        <v>44</v>
      </c>
      <c r="BQ65" s="187">
        <f t="shared" si="4"/>
        <v>480</v>
      </c>
      <c r="BR65" s="187">
        <f t="shared" si="4"/>
        <v>44</v>
      </c>
      <c r="BS65" s="187"/>
      <c r="BT65" s="187"/>
      <c r="BU65" s="187"/>
      <c r="BV65" s="187"/>
      <c r="BW65" s="187"/>
      <c r="BX65" s="187"/>
      <c r="BY65" s="187"/>
      <c r="BZ65" s="187"/>
    </row>
    <row r="66">
      <c r="H66" s="88"/>
      <c r="I66" s="187"/>
      <c r="J66" s="187"/>
      <c r="K66" s="187"/>
      <c r="L66" s="187"/>
      <c r="M66" s="187"/>
      <c r="N66" s="187"/>
      <c r="O66" s="187"/>
      <c r="P66" s="187"/>
      <c r="Q66" s="187"/>
      <c r="R66" s="187"/>
      <c r="S66" s="187"/>
      <c r="T66" s="187"/>
      <c r="U66" s="187"/>
      <c r="V66" s="187"/>
      <c r="W66" s="187"/>
      <c r="X66" s="187"/>
      <c r="Y66" s="187"/>
      <c r="Z66" s="187"/>
      <c r="AA66" s="187"/>
      <c r="AB66" s="187"/>
      <c r="AC66" s="187"/>
      <c r="AD66" s="187"/>
      <c r="AE66" s="187"/>
      <c r="AF66" s="187"/>
      <c r="AG66" s="187"/>
      <c r="AH66" s="187"/>
      <c r="AI66" s="187"/>
      <c r="AJ66" s="187"/>
      <c r="AK66" s="187"/>
      <c r="AL66" s="187"/>
      <c r="AM66" s="187"/>
      <c r="AN66" s="187"/>
      <c r="AO66" s="187"/>
      <c r="AP66" s="187"/>
      <c r="AQ66" s="187"/>
      <c r="AR66" s="187"/>
      <c r="AS66" s="187"/>
      <c r="AT66" s="187"/>
      <c r="AU66" s="187"/>
      <c r="AV66" s="187"/>
      <c r="AW66" s="187"/>
      <c r="AX66" s="187"/>
      <c r="AY66" s="187"/>
      <c r="AZ66" s="187"/>
      <c r="BA66" s="187"/>
      <c r="BB66" s="187"/>
      <c r="BC66" s="187"/>
      <c r="BD66" s="187"/>
      <c r="BE66" s="187"/>
      <c r="BF66" s="187"/>
      <c r="BG66" s="187"/>
      <c r="BH66" s="187"/>
      <c r="BI66" s="187"/>
      <c r="BJ66" s="187"/>
      <c r="BK66" s="187"/>
      <c r="BL66" s="187"/>
      <c r="BM66" s="187"/>
      <c r="BN66" s="187"/>
      <c r="BO66" s="187"/>
      <c r="BP66" s="187"/>
      <c r="BQ66" s="187"/>
      <c r="BR66" s="187"/>
      <c r="BS66" s="187"/>
      <c r="BT66" s="187"/>
      <c r="BU66" s="187"/>
      <c r="BV66" s="187"/>
      <c r="BW66" s="187"/>
      <c r="BX66" s="187"/>
      <c r="BY66" s="187"/>
      <c r="BZ66" s="187"/>
    </row>
    <row r="67">
      <c r="H67" s="88"/>
      <c r="I67" s="187"/>
      <c r="J67" s="187"/>
      <c r="K67" s="187"/>
      <c r="L67" s="187"/>
      <c r="M67" s="187"/>
      <c r="N67" s="187"/>
      <c r="O67" s="187"/>
      <c r="P67" s="187"/>
      <c r="Q67" s="187"/>
      <c r="R67" s="187"/>
      <c r="S67" s="187"/>
      <c r="T67" s="187"/>
      <c r="U67" s="187"/>
      <c r="V67" s="187"/>
      <c r="W67" s="187"/>
      <c r="X67" s="187"/>
      <c r="Y67" s="187"/>
      <c r="Z67" s="187"/>
      <c r="AA67" s="187"/>
      <c r="AB67" s="187"/>
      <c r="AC67" s="187"/>
      <c r="AD67" s="187"/>
      <c r="AE67" s="187"/>
      <c r="AF67" s="187"/>
      <c r="AG67" s="187"/>
      <c r="AH67" s="187"/>
      <c r="AI67" s="187"/>
      <c r="AJ67" s="187"/>
      <c r="AK67" s="187"/>
      <c r="AL67" s="187"/>
      <c r="AM67" s="187"/>
      <c r="AN67" s="187"/>
      <c r="AO67" s="187"/>
      <c r="AP67" s="187"/>
      <c r="AQ67" s="187"/>
      <c r="AR67" s="187"/>
      <c r="AS67" s="187"/>
      <c r="AT67" s="187"/>
      <c r="AU67" s="187"/>
      <c r="AV67" s="187"/>
      <c r="AW67" s="187"/>
      <c r="AX67" s="187"/>
      <c r="AY67" s="187"/>
      <c r="AZ67" s="187"/>
      <c r="BA67" s="187"/>
      <c r="BB67" s="187"/>
      <c r="BC67" s="187"/>
      <c r="BD67" s="187"/>
      <c r="BE67" s="187"/>
      <c r="BF67" s="187"/>
      <c r="BG67" s="187"/>
      <c r="BH67" s="187"/>
      <c r="BI67" s="187"/>
      <c r="BJ67" s="187"/>
      <c r="BK67" s="187"/>
      <c r="BL67" s="187"/>
      <c r="BM67" s="187"/>
      <c r="BN67" s="187"/>
      <c r="BO67" s="187"/>
      <c r="BP67" s="187"/>
      <c r="BQ67" s="187"/>
      <c r="BR67" s="187"/>
      <c r="BS67" s="187"/>
      <c r="BT67" s="187"/>
      <c r="BU67" s="187"/>
      <c r="BV67" s="187"/>
      <c r="BW67" s="187"/>
      <c r="BX67" s="187"/>
      <c r="BY67" s="187"/>
      <c r="BZ67" s="187"/>
    </row>
    <row r="68">
      <c r="H68" s="88"/>
      <c r="I68" s="187"/>
      <c r="J68" s="187"/>
      <c r="K68" s="187"/>
      <c r="L68" s="187"/>
      <c r="M68" s="187"/>
      <c r="N68" s="187"/>
      <c r="O68" s="187"/>
      <c r="P68" s="187"/>
      <c r="Q68" s="187"/>
      <c r="R68" s="187"/>
      <c r="S68" s="187"/>
      <c r="T68" s="187"/>
      <c r="U68" s="187"/>
      <c r="V68" s="187"/>
      <c r="W68" s="187"/>
      <c r="X68" s="187"/>
      <c r="Y68" s="187"/>
      <c r="Z68" s="187"/>
      <c r="AA68" s="187"/>
      <c r="AB68" s="187"/>
      <c r="AC68" s="187"/>
      <c r="AD68" s="187"/>
      <c r="AE68" s="187"/>
      <c r="AF68" s="187"/>
      <c r="AG68" s="187"/>
      <c r="AH68" s="187"/>
      <c r="AI68" s="187"/>
      <c r="AJ68" s="187"/>
      <c r="AK68" s="187"/>
      <c r="AL68" s="187"/>
      <c r="AM68" s="187"/>
      <c r="AN68" s="187"/>
      <c r="AO68" s="187"/>
      <c r="AP68" s="187"/>
      <c r="AQ68" s="187"/>
      <c r="AR68" s="187"/>
      <c r="AS68" s="187"/>
      <c r="AT68" s="187"/>
      <c r="AU68" s="187"/>
      <c r="AV68" s="187"/>
      <c r="AW68" s="187"/>
      <c r="AX68" s="187"/>
      <c r="AY68" s="187"/>
      <c r="AZ68" s="187"/>
      <c r="BA68" s="187"/>
      <c r="BB68" s="187"/>
      <c r="BC68" s="187"/>
      <c r="BD68" s="187"/>
      <c r="BE68" s="187"/>
      <c r="BF68" s="187"/>
      <c r="BG68" s="187"/>
      <c r="BH68" s="187"/>
      <c r="BI68" s="187"/>
      <c r="BJ68" s="187"/>
      <c r="BK68" s="187"/>
      <c r="BL68" s="187"/>
      <c r="BM68" s="187"/>
      <c r="BN68" s="187"/>
      <c r="BO68" s="187"/>
      <c r="BP68" s="187"/>
      <c r="BQ68" s="187"/>
      <c r="BR68" s="187"/>
      <c r="BS68" s="187"/>
      <c r="BT68" s="187"/>
      <c r="BU68" s="187"/>
      <c r="BV68" s="187"/>
      <c r="BW68" s="187"/>
      <c r="BX68" s="187"/>
      <c r="BY68" s="187"/>
      <c r="BZ68" s="187"/>
    </row>
    <row r="69">
      <c r="H69" s="88"/>
      <c r="I69" s="187"/>
      <c r="J69" s="187"/>
      <c r="K69" s="187"/>
      <c r="L69" s="187"/>
      <c r="M69" s="187"/>
      <c r="N69" s="187"/>
      <c r="O69" s="187"/>
      <c r="P69" s="187"/>
      <c r="Q69" s="187"/>
      <c r="R69" s="187"/>
      <c r="S69" s="187"/>
      <c r="T69" s="187"/>
      <c r="U69" s="187"/>
      <c r="V69" s="187"/>
      <c r="W69" s="187"/>
      <c r="X69" s="187"/>
      <c r="Y69" s="187"/>
      <c r="Z69" s="187"/>
      <c r="AA69" s="187"/>
      <c r="AB69" s="187"/>
      <c r="AC69" s="187"/>
      <c r="AD69" s="187"/>
      <c r="AE69" s="187"/>
      <c r="AF69" s="187"/>
      <c r="AG69" s="187"/>
      <c r="AH69" s="187"/>
      <c r="AI69" s="187"/>
      <c r="AJ69" s="187"/>
      <c r="AK69" s="187"/>
      <c r="AL69" s="187"/>
      <c r="AM69" s="187"/>
      <c r="AN69" s="187"/>
      <c r="AO69" s="187"/>
      <c r="AP69" s="187"/>
      <c r="AQ69" s="187"/>
      <c r="AR69" s="187"/>
      <c r="AS69" s="187"/>
      <c r="AT69" s="187"/>
      <c r="AU69" s="187"/>
      <c r="AV69" s="187"/>
      <c r="AW69" s="187"/>
      <c r="AX69" s="187"/>
      <c r="AY69" s="187"/>
      <c r="AZ69" s="187"/>
      <c r="BA69" s="187"/>
      <c r="BB69" s="187"/>
      <c r="BC69" s="187"/>
      <c r="BD69" s="187"/>
      <c r="BE69" s="187"/>
      <c r="BF69" s="187"/>
      <c r="BG69" s="187"/>
      <c r="BH69" s="187"/>
      <c r="BI69" s="187"/>
      <c r="BJ69" s="187"/>
      <c r="BK69" s="187"/>
      <c r="BL69" s="187"/>
      <c r="BM69" s="187"/>
      <c r="BN69" s="187"/>
      <c r="BO69" s="187"/>
      <c r="BP69" s="187"/>
      <c r="BQ69" s="187"/>
      <c r="BR69" s="187"/>
      <c r="BS69" s="187"/>
      <c r="BT69" s="187"/>
      <c r="BU69" s="187"/>
      <c r="BV69" s="187"/>
      <c r="BW69" s="187"/>
      <c r="BX69" s="187"/>
      <c r="BY69" s="187"/>
      <c r="BZ69" s="187"/>
    </row>
    <row r="70">
      <c r="H70" s="88"/>
      <c r="I70" s="187"/>
      <c r="J70" s="187"/>
      <c r="K70" s="187"/>
      <c r="L70" s="187"/>
      <c r="M70" s="187"/>
      <c r="N70" s="187"/>
      <c r="O70" s="187"/>
      <c r="P70" s="187"/>
      <c r="Q70" s="187"/>
      <c r="R70" s="187"/>
      <c r="S70" s="187"/>
      <c r="T70" s="187"/>
      <c r="U70" s="187"/>
      <c r="V70" s="187"/>
      <c r="W70" s="187"/>
      <c r="X70" s="187"/>
      <c r="Y70" s="187"/>
      <c r="Z70" s="187"/>
      <c r="AA70" s="187"/>
      <c r="AB70" s="187"/>
      <c r="AC70" s="187"/>
      <c r="AD70" s="187"/>
      <c r="AE70" s="187"/>
      <c r="AF70" s="187"/>
      <c r="AG70" s="187"/>
      <c r="AH70" s="187"/>
      <c r="AI70" s="187"/>
      <c r="AJ70" s="187"/>
      <c r="AK70" s="187"/>
      <c r="AL70" s="187"/>
      <c r="AM70" s="187"/>
      <c r="AN70" s="187"/>
      <c r="AO70" s="187"/>
      <c r="AP70" s="187"/>
      <c r="AQ70" s="187"/>
      <c r="AR70" s="187"/>
      <c r="AS70" s="187"/>
      <c r="AT70" s="187"/>
      <c r="AU70" s="187"/>
      <c r="AV70" s="187"/>
      <c r="AW70" s="187"/>
      <c r="AX70" s="187"/>
      <c r="AY70" s="187"/>
      <c r="AZ70" s="187"/>
      <c r="BA70" s="187"/>
      <c r="BB70" s="187"/>
      <c r="BC70" s="187"/>
      <c r="BD70" s="187"/>
      <c r="BE70" s="187"/>
      <c r="BF70" s="187"/>
      <c r="BG70" s="187"/>
      <c r="BH70" s="187"/>
      <c r="BI70" s="187"/>
      <c r="BJ70" s="187"/>
      <c r="BK70" s="187"/>
      <c r="BL70" s="187"/>
      <c r="BM70" s="187"/>
      <c r="BN70" s="187"/>
      <c r="BO70" s="187"/>
      <c r="BP70" s="187"/>
      <c r="BQ70" s="187"/>
      <c r="BR70" s="187"/>
      <c r="BS70" s="187"/>
      <c r="BT70" s="187"/>
      <c r="BU70" s="187"/>
      <c r="BV70" s="187"/>
      <c r="BW70" s="187"/>
      <c r="BX70" s="187"/>
      <c r="BY70" s="187"/>
      <c r="BZ70" s="187"/>
    </row>
    <row r="71">
      <c r="H71" s="88"/>
      <c r="I71" s="187"/>
      <c r="J71" s="187"/>
      <c r="K71" s="187"/>
      <c r="L71" s="187"/>
      <c r="M71" s="187"/>
      <c r="N71" s="187"/>
      <c r="O71" s="187"/>
      <c r="P71" s="187"/>
      <c r="Q71" s="187"/>
      <c r="R71" s="187"/>
      <c r="S71" s="187"/>
      <c r="T71" s="187"/>
      <c r="U71" s="187"/>
      <c r="V71" s="187"/>
      <c r="W71" s="187"/>
      <c r="X71" s="187"/>
      <c r="Y71" s="187"/>
      <c r="Z71" s="187"/>
      <c r="AA71" s="187"/>
      <c r="AB71" s="187"/>
      <c r="AC71" s="187"/>
      <c r="AD71" s="187"/>
      <c r="AE71" s="187"/>
      <c r="AF71" s="187"/>
      <c r="AG71" s="187"/>
      <c r="AH71" s="187"/>
      <c r="AI71" s="187"/>
      <c r="AJ71" s="187"/>
      <c r="AK71" s="187"/>
      <c r="AL71" s="187"/>
      <c r="AM71" s="187"/>
      <c r="AN71" s="187"/>
      <c r="AO71" s="187"/>
      <c r="AP71" s="187"/>
      <c r="AQ71" s="187"/>
      <c r="AR71" s="187"/>
      <c r="AS71" s="187"/>
      <c r="AT71" s="187"/>
      <c r="AU71" s="187"/>
      <c r="AV71" s="187"/>
      <c r="AW71" s="187"/>
      <c r="AX71" s="187"/>
      <c r="AY71" s="187"/>
      <c r="AZ71" s="187"/>
      <c r="BA71" s="187"/>
      <c r="BB71" s="187"/>
      <c r="BC71" s="187"/>
      <c r="BD71" s="187"/>
      <c r="BE71" s="187"/>
      <c r="BF71" s="187"/>
      <c r="BG71" s="187"/>
      <c r="BH71" s="187"/>
      <c r="BI71" s="187"/>
      <c r="BJ71" s="187"/>
      <c r="BK71" s="187"/>
      <c r="BL71" s="187"/>
      <c r="BM71" s="187"/>
      <c r="BN71" s="187"/>
      <c r="BO71" s="187"/>
      <c r="BP71" s="187"/>
      <c r="BQ71" s="187"/>
      <c r="BR71" s="187"/>
      <c r="BS71" s="187"/>
      <c r="BT71" s="187"/>
      <c r="BU71" s="187"/>
      <c r="BV71" s="187"/>
      <c r="BW71" s="187"/>
      <c r="BX71" s="187"/>
      <c r="BY71" s="187"/>
      <c r="BZ71" s="187"/>
    </row>
    <row r="72">
      <c r="H72" s="88"/>
      <c r="I72" s="187"/>
      <c r="J72" s="187"/>
      <c r="K72" s="187"/>
      <c r="L72" s="187"/>
      <c r="M72" s="187"/>
      <c r="N72" s="187"/>
      <c r="O72" s="187"/>
      <c r="P72" s="187"/>
      <c r="Q72" s="187"/>
      <c r="R72" s="187"/>
      <c r="S72" s="187"/>
      <c r="T72" s="187"/>
      <c r="U72" s="187"/>
      <c r="V72" s="187"/>
      <c r="W72" s="187"/>
      <c r="X72" s="187"/>
      <c r="Y72" s="187"/>
      <c r="Z72" s="187"/>
      <c r="AA72" s="187"/>
      <c r="AB72" s="187"/>
      <c r="AC72" s="187"/>
      <c r="AD72" s="187"/>
      <c r="AE72" s="187"/>
      <c r="AF72" s="187"/>
      <c r="AG72" s="187"/>
      <c r="AH72" s="187"/>
      <c r="AI72" s="187"/>
      <c r="AJ72" s="187"/>
      <c r="AK72" s="187"/>
      <c r="AL72" s="187"/>
      <c r="AM72" s="187"/>
      <c r="AN72" s="187"/>
      <c r="AO72" s="187"/>
      <c r="AP72" s="187"/>
      <c r="AQ72" s="187"/>
      <c r="AR72" s="187"/>
      <c r="AS72" s="187"/>
      <c r="AT72" s="187"/>
      <c r="AU72" s="187"/>
      <c r="AV72" s="187"/>
      <c r="AW72" s="187"/>
      <c r="AX72" s="187"/>
      <c r="AY72" s="187"/>
      <c r="AZ72" s="187"/>
      <c r="BA72" s="187"/>
      <c r="BB72" s="187"/>
      <c r="BC72" s="187"/>
      <c r="BD72" s="187"/>
      <c r="BE72" s="187"/>
      <c r="BF72" s="187"/>
      <c r="BG72" s="187"/>
      <c r="BH72" s="187"/>
      <c r="BI72" s="187"/>
      <c r="BJ72" s="187"/>
      <c r="BK72" s="187"/>
      <c r="BL72" s="187"/>
      <c r="BM72" s="187"/>
      <c r="BN72" s="187"/>
      <c r="BO72" s="187"/>
      <c r="BP72" s="187"/>
      <c r="BQ72" s="187"/>
      <c r="BR72" s="187"/>
      <c r="BS72" s="187"/>
      <c r="BT72" s="187"/>
      <c r="BU72" s="187"/>
      <c r="BV72" s="187"/>
      <c r="BW72" s="187"/>
      <c r="BX72" s="187"/>
      <c r="BY72" s="187"/>
      <c r="BZ72" s="187"/>
    </row>
    <row r="73">
      <c r="H73" s="88"/>
      <c r="I73" s="187"/>
      <c r="J73" s="187"/>
      <c r="K73" s="187"/>
      <c r="L73" s="187"/>
      <c r="M73" s="187"/>
      <c r="N73" s="187"/>
      <c r="O73" s="187"/>
      <c r="P73" s="187"/>
      <c r="Q73" s="187"/>
      <c r="R73" s="187"/>
      <c r="S73" s="187"/>
      <c r="T73" s="187"/>
      <c r="U73" s="187"/>
      <c r="V73" s="187"/>
      <c r="W73" s="187"/>
      <c r="X73" s="187"/>
      <c r="Y73" s="187"/>
      <c r="Z73" s="187"/>
      <c r="AA73" s="187"/>
      <c r="AB73" s="187"/>
      <c r="AC73" s="187"/>
      <c r="AD73" s="187"/>
      <c r="AE73" s="187"/>
      <c r="AF73" s="187"/>
      <c r="AG73" s="187"/>
      <c r="AH73" s="187"/>
      <c r="AI73" s="187"/>
      <c r="AJ73" s="187"/>
      <c r="AK73" s="187"/>
      <c r="AL73" s="187"/>
      <c r="AM73" s="187"/>
      <c r="AN73" s="187"/>
      <c r="AO73" s="187"/>
      <c r="AP73" s="187"/>
      <c r="AQ73" s="187"/>
      <c r="AR73" s="187"/>
      <c r="AS73" s="187"/>
      <c r="AT73" s="187"/>
      <c r="AU73" s="187"/>
      <c r="AV73" s="187"/>
      <c r="AW73" s="187"/>
      <c r="AX73" s="187"/>
      <c r="AY73" s="187"/>
      <c r="AZ73" s="187"/>
      <c r="BA73" s="187"/>
      <c r="BB73" s="187"/>
      <c r="BC73" s="187"/>
      <c r="BD73" s="187"/>
      <c r="BE73" s="187"/>
      <c r="BF73" s="187"/>
      <c r="BG73" s="187"/>
      <c r="BH73" s="187"/>
      <c r="BI73" s="187"/>
      <c r="BJ73" s="187"/>
      <c r="BK73" s="187"/>
      <c r="BL73" s="187"/>
      <c r="BM73" s="187"/>
      <c r="BN73" s="187"/>
      <c r="BO73" s="187"/>
      <c r="BP73" s="187"/>
      <c r="BQ73" s="187"/>
      <c r="BR73" s="187"/>
      <c r="BS73" s="187"/>
      <c r="BT73" s="187"/>
      <c r="BU73" s="187"/>
      <c r="BV73" s="187"/>
      <c r="BW73" s="187"/>
      <c r="BX73" s="187"/>
      <c r="BY73" s="187"/>
      <c r="BZ73" s="187"/>
    </row>
    <row r="74">
      <c r="H74" s="88"/>
      <c r="I74" s="187"/>
      <c r="J74" s="187"/>
      <c r="K74" s="187"/>
      <c r="L74" s="187"/>
      <c r="M74" s="187"/>
      <c r="N74" s="187"/>
      <c r="O74" s="187"/>
      <c r="P74" s="187"/>
      <c r="Q74" s="187"/>
      <c r="R74" s="187"/>
      <c r="S74" s="187"/>
      <c r="T74" s="187"/>
      <c r="U74" s="187"/>
      <c r="V74" s="187"/>
      <c r="W74" s="187"/>
      <c r="X74" s="187"/>
      <c r="Y74" s="187"/>
      <c r="Z74" s="187"/>
      <c r="AA74" s="187"/>
      <c r="AB74" s="187"/>
      <c r="AC74" s="187"/>
      <c r="AD74" s="187"/>
      <c r="AE74" s="187"/>
      <c r="AF74" s="187"/>
      <c r="AG74" s="187"/>
      <c r="AH74" s="187"/>
      <c r="AI74" s="187"/>
      <c r="AJ74" s="187"/>
      <c r="AK74" s="187"/>
      <c r="AL74" s="187"/>
      <c r="AM74" s="187"/>
      <c r="AN74" s="187"/>
      <c r="AO74" s="187"/>
      <c r="AP74" s="187"/>
      <c r="AQ74" s="187"/>
      <c r="AR74" s="187"/>
      <c r="AS74" s="187"/>
      <c r="AT74" s="187"/>
      <c r="AU74" s="187"/>
      <c r="AV74" s="187"/>
      <c r="AW74" s="187"/>
      <c r="AX74" s="187"/>
      <c r="AY74" s="187"/>
      <c r="AZ74" s="187"/>
      <c r="BA74" s="187"/>
      <c r="BB74" s="187"/>
      <c r="BC74" s="187"/>
      <c r="BD74" s="187"/>
      <c r="BE74" s="187"/>
      <c r="BF74" s="187"/>
      <c r="BG74" s="187"/>
      <c r="BH74" s="187"/>
      <c r="BI74" s="187"/>
      <c r="BJ74" s="187"/>
      <c r="BK74" s="187"/>
      <c r="BL74" s="187"/>
      <c r="BM74" s="187"/>
      <c r="BN74" s="187"/>
      <c r="BO74" s="187"/>
      <c r="BP74" s="187"/>
      <c r="BQ74" s="187"/>
      <c r="BR74" s="187"/>
      <c r="BS74" s="187"/>
      <c r="BT74" s="187"/>
      <c r="BU74" s="187"/>
      <c r="BV74" s="187"/>
      <c r="BW74" s="187"/>
      <c r="BX74" s="187"/>
      <c r="BY74" s="187"/>
      <c r="BZ74" s="187"/>
    </row>
    <row r="75">
      <c r="H75" s="88"/>
      <c r="I75" s="187"/>
      <c r="J75" s="187"/>
      <c r="K75" s="187"/>
      <c r="L75" s="187"/>
      <c r="M75" s="187"/>
      <c r="N75" s="187"/>
      <c r="O75" s="187"/>
      <c r="P75" s="187"/>
      <c r="Q75" s="187"/>
      <c r="R75" s="187"/>
      <c r="S75" s="187"/>
      <c r="T75" s="187"/>
      <c r="U75" s="187"/>
      <c r="V75" s="187"/>
      <c r="W75" s="187"/>
      <c r="X75" s="187"/>
      <c r="Y75" s="187"/>
      <c r="Z75" s="187"/>
      <c r="AA75" s="187"/>
      <c r="AB75" s="187"/>
      <c r="AC75" s="187"/>
      <c r="AD75" s="187"/>
      <c r="AE75" s="187"/>
      <c r="AF75" s="187"/>
      <c r="AG75" s="187"/>
      <c r="AH75" s="187"/>
      <c r="AI75" s="187"/>
      <c r="AJ75" s="187"/>
      <c r="AK75" s="187"/>
      <c r="AL75" s="187"/>
      <c r="AM75" s="187"/>
      <c r="AN75" s="187"/>
      <c r="AO75" s="187"/>
      <c r="AP75" s="187"/>
      <c r="AQ75" s="187"/>
      <c r="AR75" s="187"/>
      <c r="AS75" s="187"/>
      <c r="AT75" s="187"/>
      <c r="AU75" s="187"/>
      <c r="AV75" s="187"/>
      <c r="AW75" s="187"/>
      <c r="AX75" s="187"/>
      <c r="AY75" s="187"/>
      <c r="AZ75" s="187"/>
      <c r="BA75" s="187"/>
      <c r="BB75" s="187"/>
      <c r="BC75" s="187"/>
      <c r="BD75" s="187"/>
      <c r="BE75" s="187"/>
      <c r="BF75" s="187"/>
      <c r="BG75" s="187"/>
      <c r="BH75" s="187"/>
      <c r="BI75" s="187"/>
      <c r="BJ75" s="187"/>
      <c r="BK75" s="187"/>
      <c r="BL75" s="187"/>
      <c r="BM75" s="187"/>
      <c r="BN75" s="187"/>
      <c r="BO75" s="187"/>
      <c r="BP75" s="187"/>
      <c r="BQ75" s="187"/>
      <c r="BR75" s="187"/>
      <c r="BS75" s="187"/>
      <c r="BT75" s="187"/>
      <c r="BU75" s="187"/>
      <c r="BV75" s="187"/>
      <c r="BW75" s="187"/>
      <c r="BX75" s="187"/>
      <c r="BY75" s="187"/>
      <c r="BZ75" s="187"/>
    </row>
    <row r="76">
      <c r="H76" s="88"/>
      <c r="I76" s="187"/>
      <c r="J76" s="187"/>
      <c r="K76" s="187"/>
      <c r="L76" s="187"/>
      <c r="M76" s="187"/>
      <c r="N76" s="187"/>
      <c r="O76" s="187"/>
      <c r="P76" s="187"/>
      <c r="Q76" s="187"/>
      <c r="R76" s="187"/>
      <c r="S76" s="187"/>
      <c r="T76" s="187"/>
      <c r="U76" s="187"/>
      <c r="V76" s="187"/>
      <c r="W76" s="187"/>
      <c r="X76" s="187"/>
      <c r="Y76" s="187"/>
      <c r="Z76" s="187"/>
      <c r="AA76" s="187"/>
      <c r="AB76" s="187"/>
      <c r="AC76" s="187"/>
      <c r="AD76" s="187"/>
      <c r="AE76" s="187"/>
      <c r="AF76" s="187"/>
      <c r="AG76" s="187"/>
      <c r="AH76" s="187"/>
      <c r="AI76" s="187"/>
      <c r="AJ76" s="187"/>
      <c r="AK76" s="187"/>
      <c r="AL76" s="187"/>
      <c r="AM76" s="187"/>
      <c r="AN76" s="187"/>
      <c r="AO76" s="187"/>
      <c r="AP76" s="187"/>
      <c r="AQ76" s="187"/>
      <c r="AR76" s="187"/>
      <c r="AS76" s="187"/>
      <c r="AT76" s="187"/>
      <c r="AU76" s="187"/>
      <c r="AV76" s="187"/>
      <c r="AW76" s="187"/>
      <c r="AX76" s="187"/>
      <c r="AY76" s="187"/>
      <c r="AZ76" s="187"/>
      <c r="BA76" s="187"/>
      <c r="BB76" s="187"/>
      <c r="BC76" s="187"/>
      <c r="BD76" s="187"/>
      <c r="BE76" s="187"/>
      <c r="BF76" s="187"/>
      <c r="BG76" s="187"/>
      <c r="BH76" s="187"/>
      <c r="BI76" s="187"/>
      <c r="BJ76" s="187"/>
      <c r="BK76" s="187"/>
      <c r="BL76" s="187"/>
      <c r="BM76" s="187"/>
      <c r="BN76" s="187"/>
      <c r="BO76" s="187"/>
      <c r="BP76" s="187"/>
      <c r="BQ76" s="187"/>
      <c r="BR76" s="187"/>
      <c r="BS76" s="187"/>
      <c r="BT76" s="187"/>
      <c r="BU76" s="187"/>
      <c r="BV76" s="187"/>
      <c r="BW76" s="187"/>
      <c r="BX76" s="187"/>
      <c r="BY76" s="187"/>
      <c r="BZ76" s="187"/>
    </row>
    <row r="77">
      <c r="H77" s="88"/>
      <c r="I77" s="187"/>
      <c r="J77" s="187"/>
      <c r="K77" s="187"/>
      <c r="L77" s="187"/>
      <c r="M77" s="187"/>
      <c r="N77" s="187"/>
      <c r="O77" s="187"/>
      <c r="P77" s="187"/>
      <c r="Q77" s="187"/>
      <c r="R77" s="187"/>
      <c r="S77" s="187"/>
      <c r="T77" s="187"/>
      <c r="U77" s="187"/>
      <c r="V77" s="187"/>
      <c r="W77" s="187"/>
      <c r="X77" s="187"/>
      <c r="Y77" s="187"/>
      <c r="Z77" s="187"/>
      <c r="AA77" s="187"/>
      <c r="AB77" s="187"/>
      <c r="AC77" s="187"/>
      <c r="AD77" s="187"/>
      <c r="AE77" s="187"/>
      <c r="AF77" s="187"/>
      <c r="AG77" s="187"/>
      <c r="AH77" s="187"/>
      <c r="AI77" s="187"/>
      <c r="AJ77" s="187"/>
      <c r="AK77" s="187"/>
      <c r="AL77" s="187"/>
      <c r="AM77" s="187"/>
      <c r="AN77" s="187"/>
      <c r="AO77" s="187"/>
      <c r="AP77" s="187"/>
      <c r="AQ77" s="187"/>
      <c r="AR77" s="187"/>
      <c r="AS77" s="187"/>
      <c r="AT77" s="187"/>
      <c r="AU77" s="187"/>
      <c r="AV77" s="187"/>
      <c r="AW77" s="187"/>
      <c r="AX77" s="187"/>
      <c r="AY77" s="187"/>
      <c r="AZ77" s="187"/>
      <c r="BA77" s="187"/>
      <c r="BB77" s="187"/>
      <c r="BC77" s="187"/>
      <c r="BD77" s="187"/>
      <c r="BE77" s="187"/>
      <c r="BF77" s="187"/>
      <c r="BG77" s="187"/>
      <c r="BH77" s="187"/>
      <c r="BI77" s="187"/>
      <c r="BJ77" s="187"/>
      <c r="BK77" s="187"/>
      <c r="BL77" s="187"/>
      <c r="BM77" s="187"/>
      <c r="BN77" s="187"/>
      <c r="BO77" s="187"/>
      <c r="BP77" s="187"/>
      <c r="BQ77" s="187"/>
      <c r="BR77" s="187"/>
      <c r="BS77" s="187"/>
      <c r="BT77" s="187"/>
      <c r="BU77" s="187"/>
      <c r="BV77" s="187"/>
      <c r="BW77" s="187"/>
      <c r="BX77" s="187"/>
      <c r="BY77" s="187"/>
      <c r="BZ77" s="187"/>
    </row>
    <row r="78">
      <c r="H78" s="88"/>
      <c r="I78" s="187"/>
      <c r="J78" s="187"/>
      <c r="K78" s="187"/>
      <c r="L78" s="187"/>
      <c r="M78" s="187"/>
      <c r="N78" s="187"/>
      <c r="O78" s="187"/>
      <c r="P78" s="187"/>
      <c r="Q78" s="187"/>
      <c r="R78" s="187"/>
      <c r="S78" s="187"/>
      <c r="T78" s="187"/>
      <c r="U78" s="187"/>
      <c r="V78" s="187"/>
      <c r="W78" s="187"/>
      <c r="X78" s="187"/>
      <c r="Y78" s="187"/>
      <c r="Z78" s="187"/>
      <c r="AA78" s="187"/>
      <c r="AB78" s="187"/>
      <c r="AC78" s="187"/>
      <c r="AD78" s="187"/>
      <c r="AE78" s="187"/>
      <c r="AF78" s="187"/>
      <c r="AG78" s="187"/>
      <c r="AH78" s="187"/>
      <c r="AI78" s="187"/>
      <c r="AJ78" s="187"/>
      <c r="AK78" s="187"/>
      <c r="AL78" s="187"/>
      <c r="AM78" s="187"/>
      <c r="AN78" s="187"/>
      <c r="AO78" s="187"/>
      <c r="AP78" s="187"/>
      <c r="AQ78" s="187"/>
      <c r="AR78" s="187"/>
      <c r="AS78" s="187"/>
      <c r="AT78" s="187"/>
      <c r="AU78" s="187"/>
      <c r="AV78" s="187"/>
      <c r="AW78" s="187"/>
      <c r="AX78" s="187"/>
      <c r="AY78" s="187"/>
      <c r="AZ78" s="187"/>
      <c r="BA78" s="187"/>
      <c r="BB78" s="187"/>
      <c r="BC78" s="187"/>
      <c r="BD78" s="187"/>
      <c r="BE78" s="187"/>
      <c r="BF78" s="187"/>
      <c r="BG78" s="187"/>
      <c r="BH78" s="187"/>
      <c r="BI78" s="187"/>
      <c r="BJ78" s="187"/>
      <c r="BK78" s="187"/>
      <c r="BL78" s="187"/>
      <c r="BM78" s="187"/>
      <c r="BN78" s="187"/>
      <c r="BO78" s="187"/>
      <c r="BP78" s="187"/>
      <c r="BQ78" s="187"/>
      <c r="BR78" s="187"/>
      <c r="BS78" s="187"/>
      <c r="BT78" s="187"/>
      <c r="BU78" s="187"/>
      <c r="BV78" s="187"/>
      <c r="BW78" s="187"/>
      <c r="BX78" s="187"/>
      <c r="BY78" s="187"/>
      <c r="BZ78" s="187"/>
    </row>
    <row r="79">
      <c r="H79" s="88"/>
      <c r="I79" s="187"/>
      <c r="J79" s="187"/>
      <c r="K79" s="187"/>
      <c r="L79" s="187"/>
      <c r="M79" s="187"/>
      <c r="N79" s="187"/>
      <c r="O79" s="187"/>
      <c r="P79" s="187"/>
      <c r="Q79" s="187"/>
      <c r="R79" s="187"/>
      <c r="S79" s="187"/>
      <c r="T79" s="187"/>
      <c r="U79" s="187"/>
      <c r="V79" s="187"/>
      <c r="W79" s="187"/>
      <c r="X79" s="187"/>
      <c r="Y79" s="187"/>
      <c r="Z79" s="187"/>
      <c r="AA79" s="187"/>
      <c r="AB79" s="187"/>
      <c r="AC79" s="187"/>
      <c r="AD79" s="187"/>
      <c r="AE79" s="187"/>
      <c r="AF79" s="187"/>
      <c r="AG79" s="187"/>
      <c r="AH79" s="187"/>
      <c r="AI79" s="187"/>
      <c r="AJ79" s="187"/>
      <c r="AK79" s="187"/>
      <c r="AL79" s="187"/>
      <c r="AM79" s="187"/>
      <c r="AN79" s="187"/>
      <c r="AO79" s="187"/>
      <c r="AP79" s="187"/>
      <c r="AQ79" s="187"/>
      <c r="AR79" s="187"/>
      <c r="AS79" s="187"/>
      <c r="AT79" s="187"/>
      <c r="AU79" s="187"/>
      <c r="AV79" s="187"/>
      <c r="AW79" s="187"/>
      <c r="AX79" s="187"/>
      <c r="AY79" s="187"/>
      <c r="AZ79" s="187"/>
      <c r="BA79" s="187"/>
      <c r="BB79" s="187"/>
      <c r="BC79" s="187"/>
      <c r="BD79" s="187"/>
      <c r="BE79" s="187"/>
      <c r="BF79" s="187"/>
      <c r="BG79" s="187"/>
      <c r="BH79" s="187"/>
      <c r="BI79" s="187"/>
      <c r="BJ79" s="187"/>
      <c r="BK79" s="187"/>
      <c r="BL79" s="187"/>
      <c r="BM79" s="187"/>
      <c r="BN79" s="187"/>
      <c r="BO79" s="187"/>
      <c r="BP79" s="187"/>
      <c r="BQ79" s="187"/>
      <c r="BR79" s="187"/>
      <c r="BS79" s="187"/>
      <c r="BT79" s="187"/>
      <c r="BU79" s="187"/>
      <c r="BV79" s="187"/>
      <c r="BW79" s="187"/>
      <c r="BX79" s="187"/>
      <c r="BY79" s="187"/>
      <c r="BZ79" s="187"/>
    </row>
    <row r="80">
      <c r="H80" s="88"/>
      <c r="I80" s="187"/>
      <c r="J80" s="187"/>
      <c r="K80" s="187"/>
      <c r="L80" s="187"/>
      <c r="M80" s="187"/>
      <c r="N80" s="187"/>
      <c r="O80" s="187"/>
      <c r="P80" s="187"/>
      <c r="Q80" s="187"/>
      <c r="R80" s="187"/>
      <c r="S80" s="187"/>
      <c r="T80" s="187"/>
      <c r="U80" s="187"/>
      <c r="V80" s="187"/>
      <c r="W80" s="187"/>
      <c r="X80" s="187"/>
      <c r="Y80" s="187"/>
      <c r="Z80" s="187"/>
      <c r="AA80" s="187"/>
      <c r="AB80" s="187"/>
      <c r="AC80" s="187"/>
      <c r="AD80" s="187"/>
      <c r="AE80" s="187"/>
      <c r="AF80" s="187"/>
      <c r="AG80" s="187"/>
      <c r="AH80" s="187"/>
      <c r="AI80" s="187"/>
      <c r="AJ80" s="187"/>
      <c r="AK80" s="187"/>
      <c r="AL80" s="187"/>
      <c r="AM80" s="187"/>
      <c r="AN80" s="187"/>
      <c r="AO80" s="187"/>
      <c r="AP80" s="187"/>
      <c r="AQ80" s="187"/>
      <c r="AR80" s="187"/>
      <c r="AS80" s="187"/>
      <c r="AT80" s="187"/>
      <c r="AU80" s="187"/>
      <c r="AV80" s="187"/>
      <c r="AW80" s="187"/>
      <c r="AX80" s="187"/>
      <c r="AY80" s="187"/>
      <c r="AZ80" s="187"/>
      <c r="BA80" s="187"/>
      <c r="BB80" s="187"/>
      <c r="BC80" s="187"/>
      <c r="BD80" s="187"/>
      <c r="BE80" s="187"/>
      <c r="BF80" s="187"/>
      <c r="BG80" s="187"/>
      <c r="BH80" s="187"/>
      <c r="BI80" s="187"/>
      <c r="BJ80" s="187"/>
      <c r="BK80" s="187"/>
      <c r="BL80" s="187"/>
      <c r="BM80" s="187"/>
      <c r="BN80" s="187"/>
      <c r="BO80" s="187"/>
      <c r="BP80" s="187"/>
      <c r="BQ80" s="187"/>
      <c r="BR80" s="187"/>
      <c r="BS80" s="187"/>
      <c r="BT80" s="187"/>
      <c r="BU80" s="187"/>
      <c r="BV80" s="187"/>
      <c r="BW80" s="187"/>
      <c r="BX80" s="187"/>
      <c r="BY80" s="187"/>
      <c r="BZ80" s="187"/>
    </row>
    <row r="81">
      <c r="H81" s="88"/>
      <c r="I81" s="187"/>
      <c r="J81" s="187"/>
      <c r="K81" s="187"/>
      <c r="L81" s="187"/>
      <c r="M81" s="187"/>
      <c r="N81" s="187"/>
      <c r="O81" s="187"/>
      <c r="P81" s="187"/>
      <c r="Q81" s="187"/>
      <c r="R81" s="187"/>
      <c r="S81" s="187"/>
      <c r="T81" s="187"/>
      <c r="U81" s="187"/>
      <c r="V81" s="187"/>
      <c r="W81" s="187"/>
      <c r="X81" s="187"/>
      <c r="Y81" s="187"/>
      <c r="Z81" s="187"/>
      <c r="AA81" s="187"/>
      <c r="AB81" s="187"/>
      <c r="AC81" s="187"/>
      <c r="AD81" s="187"/>
      <c r="AE81" s="187"/>
      <c r="AF81" s="187"/>
      <c r="AG81" s="187"/>
      <c r="AH81" s="187"/>
      <c r="AI81" s="187"/>
      <c r="AJ81" s="187"/>
      <c r="AK81" s="187"/>
      <c r="AL81" s="187"/>
      <c r="AM81" s="187"/>
      <c r="AN81" s="187"/>
      <c r="AO81" s="187"/>
      <c r="AP81" s="187"/>
      <c r="AQ81" s="187"/>
      <c r="AR81" s="187"/>
      <c r="AS81" s="187"/>
      <c r="AT81" s="187"/>
      <c r="AU81" s="187"/>
      <c r="AV81" s="187"/>
      <c r="AW81" s="187"/>
      <c r="AX81" s="187"/>
      <c r="AY81" s="187"/>
      <c r="AZ81" s="187"/>
      <c r="BA81" s="187"/>
      <c r="BB81" s="187"/>
      <c r="BC81" s="187"/>
      <c r="BD81" s="187"/>
      <c r="BE81" s="187"/>
      <c r="BF81" s="187"/>
      <c r="BG81" s="187"/>
      <c r="BH81" s="187"/>
      <c r="BI81" s="187"/>
      <c r="BJ81" s="187"/>
      <c r="BK81" s="187"/>
      <c r="BL81" s="187"/>
      <c r="BM81" s="187"/>
      <c r="BN81" s="187"/>
      <c r="BO81" s="187"/>
      <c r="BP81" s="187"/>
      <c r="BQ81" s="187"/>
      <c r="BR81" s="187"/>
      <c r="BS81" s="187"/>
      <c r="BT81" s="187"/>
      <c r="BU81" s="187"/>
      <c r="BV81" s="187"/>
      <c r="BW81" s="187"/>
      <c r="BX81" s="187"/>
      <c r="BY81" s="187"/>
      <c r="BZ81" s="187"/>
    </row>
    <row r="82">
      <c r="H82" s="88"/>
      <c r="I82" s="187"/>
      <c r="J82" s="187"/>
      <c r="K82" s="187"/>
      <c r="L82" s="187"/>
      <c r="M82" s="187"/>
      <c r="N82" s="187"/>
      <c r="O82" s="187"/>
      <c r="P82" s="187"/>
      <c r="Q82" s="187"/>
      <c r="R82" s="187"/>
      <c r="S82" s="187"/>
      <c r="T82" s="187"/>
      <c r="U82" s="187"/>
      <c r="V82" s="187"/>
      <c r="W82" s="187"/>
      <c r="X82" s="187"/>
      <c r="Y82" s="187"/>
      <c r="Z82" s="187"/>
      <c r="AA82" s="187"/>
      <c r="AB82" s="187"/>
      <c r="AC82" s="187"/>
      <c r="AD82" s="187"/>
      <c r="AE82" s="187"/>
      <c r="AF82" s="187"/>
      <c r="AG82" s="187"/>
      <c r="AH82" s="187"/>
      <c r="AI82" s="187"/>
      <c r="AJ82" s="187"/>
      <c r="AK82" s="187"/>
      <c r="AL82" s="187"/>
      <c r="AM82" s="187"/>
      <c r="AN82" s="187"/>
      <c r="AO82" s="187"/>
      <c r="AP82" s="187"/>
      <c r="AQ82" s="187"/>
      <c r="AR82" s="187"/>
      <c r="AS82" s="187"/>
      <c r="AT82" s="187"/>
      <c r="AU82" s="187"/>
      <c r="AV82" s="187"/>
      <c r="AW82" s="187"/>
      <c r="AX82" s="187"/>
      <c r="AY82" s="187"/>
      <c r="AZ82" s="187"/>
      <c r="BA82" s="187"/>
      <c r="BB82" s="187"/>
      <c r="BC82" s="187"/>
      <c r="BD82" s="187"/>
      <c r="BE82" s="187"/>
      <c r="BF82" s="187"/>
      <c r="BG82" s="187"/>
      <c r="BH82" s="187"/>
      <c r="BI82" s="187"/>
      <c r="BJ82" s="187"/>
      <c r="BK82" s="187"/>
      <c r="BL82" s="187"/>
      <c r="BM82" s="187"/>
      <c r="BN82" s="187"/>
      <c r="BO82" s="187"/>
      <c r="BP82" s="187"/>
      <c r="BQ82" s="187"/>
      <c r="BR82" s="187"/>
      <c r="BS82" s="187"/>
      <c r="BT82" s="187"/>
      <c r="BU82" s="187"/>
      <c r="BV82" s="187"/>
      <c r="BW82" s="187"/>
      <c r="BX82" s="187"/>
      <c r="BY82" s="187"/>
      <c r="BZ82" s="187"/>
    </row>
    <row r="83">
      <c r="H83" s="88"/>
      <c r="I83" s="187"/>
      <c r="J83" s="187"/>
      <c r="K83" s="187"/>
      <c r="L83" s="187"/>
      <c r="M83" s="187"/>
      <c r="N83" s="187"/>
      <c r="O83" s="187"/>
      <c r="P83" s="187"/>
      <c r="Q83" s="187"/>
      <c r="R83" s="187"/>
      <c r="S83" s="187"/>
      <c r="T83" s="187"/>
      <c r="U83" s="187"/>
      <c r="V83" s="187"/>
      <c r="W83" s="187"/>
      <c r="X83" s="187"/>
      <c r="Y83" s="187"/>
      <c r="Z83" s="187"/>
      <c r="AA83" s="187"/>
      <c r="AB83" s="187"/>
      <c r="AC83" s="187"/>
      <c r="AD83" s="187"/>
      <c r="AE83" s="187"/>
      <c r="AF83" s="187"/>
      <c r="AG83" s="187"/>
      <c r="AH83" s="187"/>
      <c r="AI83" s="187"/>
      <c r="AJ83" s="187"/>
      <c r="AK83" s="187"/>
      <c r="AL83" s="187"/>
      <c r="AM83" s="187"/>
      <c r="AN83" s="187"/>
      <c r="AO83" s="187"/>
      <c r="AP83" s="187"/>
      <c r="AQ83" s="187"/>
      <c r="AR83" s="187"/>
      <c r="AS83" s="187"/>
      <c r="AT83" s="187"/>
      <c r="AU83" s="187"/>
      <c r="AV83" s="187"/>
      <c r="AW83" s="187"/>
      <c r="AX83" s="187"/>
      <c r="AY83" s="187"/>
      <c r="AZ83" s="187"/>
      <c r="BA83" s="187"/>
      <c r="BB83" s="187"/>
      <c r="BC83" s="187"/>
      <c r="BD83" s="187"/>
      <c r="BE83" s="187"/>
      <c r="BF83" s="187"/>
      <c r="BG83" s="187"/>
      <c r="BH83" s="187"/>
      <c r="BI83" s="187"/>
      <c r="BJ83" s="187"/>
      <c r="BK83" s="187"/>
      <c r="BL83" s="187"/>
      <c r="BM83" s="187"/>
      <c r="BN83" s="187"/>
      <c r="BO83" s="187"/>
      <c r="BP83" s="187"/>
      <c r="BQ83" s="187"/>
      <c r="BR83" s="187"/>
      <c r="BS83" s="187"/>
      <c r="BT83" s="187"/>
      <c r="BU83" s="187"/>
      <c r="BV83" s="187"/>
      <c r="BW83" s="187"/>
      <c r="BX83" s="187"/>
      <c r="BY83" s="187"/>
      <c r="BZ83" s="187"/>
    </row>
    <row r="84">
      <c r="H84" s="88"/>
      <c r="I84" s="187"/>
      <c r="J84" s="187"/>
      <c r="K84" s="187"/>
      <c r="L84" s="187"/>
      <c r="M84" s="187"/>
      <c r="N84" s="187"/>
      <c r="O84" s="187"/>
      <c r="P84" s="187"/>
      <c r="Q84" s="187"/>
      <c r="R84" s="187"/>
      <c r="S84" s="187"/>
      <c r="T84" s="187"/>
      <c r="U84" s="187"/>
      <c r="V84" s="187"/>
      <c r="W84" s="187"/>
      <c r="X84" s="187"/>
      <c r="Y84" s="187"/>
      <c r="Z84" s="187"/>
      <c r="AA84" s="187"/>
      <c r="AB84" s="187"/>
      <c r="AC84" s="187"/>
      <c r="AD84" s="187"/>
      <c r="AE84" s="187"/>
      <c r="AF84" s="187"/>
      <c r="AG84" s="187"/>
      <c r="AH84" s="187"/>
      <c r="AI84" s="187"/>
      <c r="AJ84" s="187"/>
      <c r="AK84" s="187"/>
      <c r="AL84" s="187"/>
      <c r="AM84" s="187"/>
      <c r="AN84" s="187"/>
      <c r="AO84" s="187"/>
      <c r="AP84" s="187"/>
      <c r="AQ84" s="187"/>
      <c r="AR84" s="187"/>
      <c r="AS84" s="187"/>
      <c r="AT84" s="187"/>
      <c r="AU84" s="187"/>
      <c r="AV84" s="187"/>
      <c r="AW84" s="187"/>
      <c r="AX84" s="187"/>
      <c r="AY84" s="187"/>
      <c r="AZ84" s="187"/>
      <c r="BA84" s="187"/>
      <c r="BB84" s="187"/>
      <c r="BC84" s="187"/>
      <c r="BD84" s="187"/>
      <c r="BE84" s="187"/>
      <c r="BF84" s="187"/>
      <c r="BG84" s="187"/>
      <c r="BH84" s="187"/>
      <c r="BI84" s="187"/>
      <c r="BJ84" s="187"/>
      <c r="BK84" s="187"/>
      <c r="BL84" s="187"/>
      <c r="BM84" s="187"/>
      <c r="BN84" s="187"/>
      <c r="BO84" s="187"/>
      <c r="BP84" s="187"/>
      <c r="BQ84" s="187"/>
      <c r="BR84" s="187"/>
      <c r="BS84" s="187"/>
      <c r="BT84" s="187"/>
      <c r="BU84" s="187"/>
      <c r="BV84" s="187"/>
      <c r="BW84" s="187"/>
      <c r="BX84" s="187"/>
      <c r="BY84" s="187"/>
      <c r="BZ84" s="187"/>
    </row>
    <row r="85">
      <c r="H85" s="88"/>
      <c r="I85" s="187"/>
      <c r="J85" s="187"/>
      <c r="K85" s="187"/>
      <c r="L85" s="187"/>
      <c r="M85" s="187"/>
      <c r="N85" s="187"/>
      <c r="O85" s="187"/>
      <c r="P85" s="187"/>
      <c r="Q85" s="187"/>
      <c r="R85" s="187"/>
      <c r="S85" s="187"/>
      <c r="T85" s="187"/>
      <c r="U85" s="187"/>
      <c r="V85" s="187"/>
      <c r="W85" s="187"/>
      <c r="X85" s="187"/>
      <c r="Y85" s="187"/>
      <c r="Z85" s="187"/>
      <c r="AA85" s="187"/>
      <c r="AB85" s="187"/>
      <c r="AC85" s="187"/>
      <c r="AD85" s="187"/>
      <c r="AE85" s="187"/>
      <c r="AF85" s="187"/>
      <c r="AG85" s="187"/>
      <c r="AH85" s="187"/>
      <c r="AI85" s="187"/>
      <c r="AJ85" s="187"/>
      <c r="AK85" s="187"/>
      <c r="AL85" s="187"/>
      <c r="AM85" s="187"/>
      <c r="AN85" s="187"/>
      <c r="AO85" s="187"/>
      <c r="AP85" s="187"/>
      <c r="AQ85" s="187"/>
      <c r="AR85" s="187"/>
      <c r="AS85" s="187"/>
      <c r="AT85" s="187"/>
      <c r="AU85" s="187"/>
      <c r="AV85" s="187"/>
      <c r="AW85" s="187"/>
      <c r="AX85" s="187"/>
      <c r="AY85" s="187"/>
      <c r="AZ85" s="187"/>
      <c r="BA85" s="187"/>
      <c r="BB85" s="187"/>
      <c r="BC85" s="187"/>
      <c r="BD85" s="187"/>
      <c r="BE85" s="187"/>
      <c r="BF85" s="187"/>
      <c r="BG85" s="187"/>
      <c r="BH85" s="187"/>
      <c r="BI85" s="187"/>
      <c r="BJ85" s="187"/>
      <c r="BK85" s="187"/>
      <c r="BL85" s="187"/>
      <c r="BM85" s="187"/>
      <c r="BN85" s="187"/>
      <c r="BO85" s="187"/>
      <c r="BP85" s="187"/>
      <c r="BQ85" s="187"/>
      <c r="BR85" s="187"/>
      <c r="BS85" s="187"/>
      <c r="BT85" s="187"/>
      <c r="BU85" s="187"/>
      <c r="BV85" s="187"/>
      <c r="BW85" s="187"/>
      <c r="BX85" s="187"/>
      <c r="BY85" s="187"/>
      <c r="BZ85" s="187"/>
    </row>
    <row r="86">
      <c r="H86" s="88"/>
      <c r="I86" s="187"/>
      <c r="J86" s="187"/>
      <c r="K86" s="187"/>
      <c r="L86" s="187"/>
      <c r="M86" s="187"/>
      <c r="N86" s="187"/>
      <c r="O86" s="187"/>
      <c r="P86" s="187"/>
      <c r="Q86" s="187"/>
      <c r="R86" s="187"/>
      <c r="S86" s="187"/>
      <c r="T86" s="187"/>
      <c r="U86" s="187"/>
      <c r="V86" s="187"/>
      <c r="W86" s="187"/>
      <c r="X86" s="187"/>
      <c r="Y86" s="187"/>
      <c r="Z86" s="187"/>
      <c r="AA86" s="187"/>
      <c r="AB86" s="187"/>
      <c r="AC86" s="187"/>
      <c r="AD86" s="187"/>
      <c r="AE86" s="187"/>
      <c r="AF86" s="187"/>
      <c r="AG86" s="187"/>
      <c r="AH86" s="187"/>
      <c r="AI86" s="187"/>
      <c r="AJ86" s="187"/>
      <c r="AK86" s="187"/>
      <c r="AL86" s="187"/>
      <c r="AM86" s="187"/>
      <c r="AN86" s="187"/>
      <c r="AO86" s="187"/>
      <c r="AP86" s="187"/>
      <c r="AQ86" s="187"/>
      <c r="AR86" s="187"/>
      <c r="AS86" s="187"/>
      <c r="AT86" s="187"/>
      <c r="AU86" s="187"/>
      <c r="AV86" s="187"/>
      <c r="AW86" s="187"/>
      <c r="AX86" s="187"/>
      <c r="AY86" s="187"/>
      <c r="AZ86" s="187"/>
      <c r="BA86" s="187"/>
      <c r="BB86" s="187"/>
      <c r="BC86" s="187"/>
      <c r="BD86" s="187"/>
      <c r="BE86" s="187"/>
      <c r="BF86" s="187"/>
      <c r="BG86" s="187"/>
      <c r="BH86" s="187"/>
      <c r="BI86" s="187"/>
      <c r="BJ86" s="187"/>
      <c r="BK86" s="187"/>
      <c r="BL86" s="187"/>
      <c r="BM86" s="187"/>
      <c r="BN86" s="187"/>
      <c r="BO86" s="187"/>
      <c r="BP86" s="187"/>
      <c r="BQ86" s="187"/>
      <c r="BR86" s="187"/>
      <c r="BS86" s="187"/>
      <c r="BT86" s="187"/>
      <c r="BU86" s="187"/>
      <c r="BV86" s="187"/>
      <c r="BW86" s="187"/>
      <c r="BX86" s="187"/>
      <c r="BY86" s="187"/>
      <c r="BZ86" s="187"/>
    </row>
    <row r="87">
      <c r="H87" s="88"/>
      <c r="I87" s="188"/>
      <c r="J87" s="188"/>
      <c r="K87" s="188"/>
      <c r="L87" s="188"/>
      <c r="M87" s="188"/>
      <c r="N87" s="188"/>
      <c r="O87" s="188"/>
      <c r="P87" s="188"/>
      <c r="Q87" s="188"/>
      <c r="R87" s="188"/>
      <c r="S87" s="188"/>
      <c r="T87" s="188"/>
      <c r="U87" s="188"/>
      <c r="V87" s="188"/>
      <c r="W87" s="188"/>
      <c r="X87" s="188"/>
      <c r="Y87" s="188"/>
      <c r="Z87" s="188"/>
      <c r="AA87" s="188"/>
      <c r="AB87" s="188"/>
      <c r="AC87" s="188"/>
      <c r="AD87" s="188"/>
    </row>
    <row r="88">
      <c r="H88" s="88"/>
      <c r="I88" s="188"/>
      <c r="J88" s="188"/>
      <c r="K88" s="188"/>
      <c r="L88" s="188"/>
      <c r="M88" s="188"/>
      <c r="N88" s="188"/>
      <c r="O88" s="188"/>
      <c r="P88" s="188"/>
      <c r="Q88" s="188"/>
      <c r="R88" s="188"/>
      <c r="S88" s="188"/>
      <c r="T88" s="188"/>
      <c r="U88" s="188"/>
      <c r="V88" s="188"/>
      <c r="W88" s="188"/>
      <c r="X88" s="188"/>
      <c r="Y88" s="188"/>
      <c r="Z88" s="188"/>
      <c r="AA88" s="188"/>
      <c r="AB88" s="188"/>
      <c r="AC88" s="188"/>
      <c r="AD88" s="188"/>
    </row>
    <row r="89">
      <c r="H89" s="88"/>
    </row>
    <row r="91">
      <c r="A91" s="180"/>
      <c r="B91" s="180"/>
      <c r="C91" s="180"/>
      <c r="D91" s="180"/>
      <c r="E91" s="180"/>
      <c r="F91" s="180"/>
    </row>
    <row r="92">
      <c r="A92" s="181"/>
      <c r="B92" s="181"/>
      <c r="C92" s="181"/>
      <c r="D92" s="181"/>
      <c r="E92" s="181"/>
      <c r="F92" s="181"/>
    </row>
    <row r="93">
      <c r="A93" s="181"/>
      <c r="B93" s="181"/>
      <c r="C93" s="181"/>
      <c r="D93" s="181"/>
      <c r="E93" s="181"/>
      <c r="F93" s="181"/>
    </row>
    <row r="94">
      <c r="A94" s="181"/>
      <c r="B94" s="181"/>
      <c r="C94" s="181"/>
      <c r="D94" s="181"/>
      <c r="E94" s="181"/>
      <c r="F94" s="181"/>
    </row>
    <row r="95">
      <c r="A95" s="181"/>
      <c r="B95" s="181"/>
      <c r="C95" s="181"/>
      <c r="D95" s="181"/>
      <c r="E95" s="181"/>
      <c r="F95" s="181"/>
    </row>
    <row r="96">
      <c r="A96" s="181"/>
      <c r="B96" s="181"/>
      <c r="C96" s="181"/>
      <c r="D96" s="181"/>
      <c r="E96" s="181"/>
      <c r="F96" s="181"/>
    </row>
    <row r="97">
      <c r="A97" s="181"/>
      <c r="B97" s="181"/>
      <c r="C97" s="181"/>
      <c r="D97" s="181"/>
      <c r="E97" s="181"/>
      <c r="F97" s="181"/>
    </row>
    <row r="98">
      <c r="A98" s="181"/>
      <c r="B98" s="181"/>
      <c r="C98" s="181"/>
      <c r="D98" s="181"/>
      <c r="E98" s="181"/>
      <c r="F98" s="181"/>
    </row>
    <row r="99">
      <c r="A99" s="181"/>
      <c r="B99" s="181"/>
      <c r="C99" s="181"/>
      <c r="D99" s="181"/>
      <c r="E99" s="181"/>
      <c r="F99" s="181"/>
    </row>
    <row r="100">
      <c r="A100" s="181"/>
      <c r="B100" s="181"/>
      <c r="C100" s="181"/>
      <c r="D100" s="181"/>
      <c r="E100" s="181"/>
      <c r="F100" s="181"/>
    </row>
    <row r="101">
      <c r="A101" s="148"/>
      <c r="B101" s="148"/>
      <c r="C101" s="148"/>
      <c r="D101" s="148"/>
      <c r="E101" s="148"/>
      <c r="F101" s="148"/>
    </row>
    <row r="102">
      <c r="A102" s="148"/>
      <c r="B102" s="148"/>
      <c r="C102" s="148"/>
      <c r="D102" s="148"/>
      <c r="E102" s="148"/>
      <c r="F102" s="148"/>
    </row>
    <row r="103">
      <c r="A103" s="148"/>
      <c r="B103" s="148"/>
      <c r="C103" s="148"/>
      <c r="D103" s="148"/>
      <c r="E103" s="148"/>
      <c r="F103" s="148"/>
    </row>
    <row r="104">
      <c r="A104" s="148"/>
      <c r="B104" s="148"/>
      <c r="C104" s="148"/>
      <c r="D104" s="148"/>
      <c r="E104" s="148"/>
      <c r="F104" s="148"/>
    </row>
    <row r="105">
      <c r="A105" s="148"/>
      <c r="B105" s="148"/>
      <c r="C105" s="148"/>
      <c r="D105" s="148"/>
      <c r="E105" s="148"/>
      <c r="F105" s="148"/>
    </row>
    <row r="106">
      <c r="A106" s="148"/>
      <c r="B106" s="148"/>
      <c r="C106" s="148"/>
      <c r="D106" s="148"/>
      <c r="E106" s="148"/>
      <c r="F106" s="148"/>
    </row>
    <row r="107">
      <c r="A107" s="148"/>
      <c r="B107" s="148"/>
      <c r="C107" s="148"/>
      <c r="D107" s="148"/>
      <c r="E107" s="148"/>
      <c r="F107" s="148"/>
    </row>
    <row r="108">
      <c r="A108" s="148"/>
      <c r="B108" s="148"/>
      <c r="C108" s="148"/>
      <c r="D108" s="148"/>
      <c r="E108" s="148"/>
      <c r="F108" s="148"/>
    </row>
    <row r="109">
      <c r="A109" s="148"/>
      <c r="B109" s="148"/>
      <c r="C109" s="148"/>
      <c r="D109" s="148"/>
      <c r="E109" s="148"/>
      <c r="F109" s="148"/>
    </row>
    <row r="110">
      <c r="A110" s="148"/>
      <c r="B110" s="148"/>
      <c r="C110" s="148"/>
      <c r="D110" s="148"/>
      <c r="E110" s="148"/>
      <c r="F110" s="148"/>
    </row>
    <row r="111">
      <c r="A111" s="148"/>
      <c r="B111" s="148"/>
      <c r="C111" s="148"/>
      <c r="D111" s="148"/>
      <c r="E111" s="148"/>
      <c r="F111" s="148"/>
    </row>
    <row r="112">
      <c r="A112" s="148"/>
      <c r="B112" s="148"/>
      <c r="C112" s="148"/>
      <c r="D112" s="148"/>
      <c r="E112" s="148"/>
      <c r="F112" s="148"/>
    </row>
    <row r="113">
      <c r="A113" s="148"/>
      <c r="B113" s="148"/>
      <c r="C113" s="148"/>
      <c r="D113" s="148"/>
      <c r="E113" s="148"/>
      <c r="F113" s="148"/>
    </row>
    <row r="114">
      <c r="A114" s="148"/>
      <c r="B114" s="148"/>
      <c r="C114" s="148"/>
      <c r="D114" s="148"/>
      <c r="E114" s="148"/>
      <c r="F114" s="148"/>
    </row>
    <row r="115">
      <c r="A115" s="148"/>
      <c r="B115" s="148"/>
      <c r="C115" s="148"/>
      <c r="D115" s="148"/>
      <c r="E115" s="148"/>
      <c r="F115" s="148"/>
    </row>
    <row r="116">
      <c r="A116" s="148"/>
      <c r="B116" s="148"/>
      <c r="C116" s="148"/>
      <c r="D116" s="148"/>
      <c r="E116" s="148"/>
      <c r="F116" s="148"/>
    </row>
    <row r="117">
      <c r="A117" s="148"/>
      <c r="B117" s="148"/>
      <c r="C117" s="148"/>
      <c r="D117" s="148"/>
      <c r="E117" s="148"/>
      <c r="F117" s="148"/>
    </row>
    <row r="118">
      <c r="A118" s="177"/>
      <c r="B118" s="177"/>
      <c r="C118" s="177"/>
      <c r="D118" s="177"/>
      <c r="E118" s="177"/>
      <c r="F118" s="177"/>
    </row>
    <row r="119">
      <c r="A119" s="148"/>
      <c r="B119" s="148"/>
      <c r="C119" s="148"/>
      <c r="D119" s="148"/>
      <c r="E119" s="148"/>
      <c r="F119" s="148"/>
    </row>
    <row r="120">
      <c r="A120" s="148"/>
      <c r="B120" s="148"/>
      <c r="C120" s="148"/>
      <c r="D120" s="148"/>
      <c r="E120" s="148"/>
      <c r="F120" s="148"/>
    </row>
    <row r="121">
      <c r="A121" s="148"/>
      <c r="B121" s="148"/>
      <c r="C121" s="148"/>
      <c r="D121" s="148"/>
      <c r="E121" s="148"/>
      <c r="F121" s="148"/>
    </row>
    <row r="122">
      <c r="A122" s="148"/>
      <c r="B122" s="148"/>
      <c r="C122" s="148"/>
      <c r="D122" s="148"/>
      <c r="E122" s="148"/>
      <c r="F122" s="148"/>
    </row>
    <row r="123">
      <c r="H123" s="180"/>
      <c r="I123" s="148"/>
      <c r="J123" s="148"/>
      <c r="K123" s="180"/>
      <c r="L123" s="182"/>
    </row>
    <row r="124">
      <c r="H124" s="180"/>
      <c r="I124" s="148"/>
      <c r="J124" s="148"/>
      <c r="K124" s="180"/>
      <c r="L124" s="182"/>
    </row>
    <row r="125">
      <c r="H125" s="180"/>
      <c r="I125" s="148"/>
      <c r="J125" s="148"/>
      <c r="K125" s="180"/>
      <c r="L125" s="182"/>
    </row>
    <row r="126">
      <c r="H126" s="180"/>
      <c r="I126" s="148"/>
      <c r="J126" s="148"/>
      <c r="K126" s="180"/>
      <c r="L126" s="182"/>
    </row>
    <row r="140">
      <c r="J140" s="189"/>
      <c r="K140" s="189"/>
      <c r="L140" s="189"/>
      <c r="M140" s="189"/>
      <c r="N140" s="189"/>
      <c r="O140" s="189"/>
      <c r="P140" s="189"/>
      <c r="Q140" s="189"/>
      <c r="R140" s="189"/>
      <c r="S140" s="189"/>
      <c r="T140" s="189"/>
      <c r="U140" s="189"/>
      <c r="V140" s="189"/>
      <c r="W140" s="189"/>
      <c r="X140" s="189"/>
      <c r="Y140" s="189"/>
      <c r="Z140" s="189"/>
      <c r="AA140" s="189"/>
      <c r="AB140" s="189"/>
      <c r="AC140" s="189"/>
      <c r="AD140" s="189"/>
      <c r="AE140" s="189"/>
      <c r="AF140" s="189"/>
      <c r="AG140" s="189"/>
      <c r="AH140" s="189"/>
      <c r="AI140" s="189"/>
      <c r="AJ140" s="189"/>
      <c r="AK140" s="189"/>
      <c r="AL140" s="189"/>
      <c r="AM140" s="189"/>
      <c r="AN140" s="189"/>
      <c r="AO140" s="189"/>
      <c r="AP140" s="189"/>
      <c r="AQ140" s="189"/>
      <c r="AR140" s="189"/>
      <c r="AS140" s="189"/>
      <c r="AT140" s="189"/>
      <c r="AU140" s="189"/>
      <c r="AV140" s="189"/>
      <c r="AW140" s="189"/>
      <c r="AX140" s="189"/>
      <c r="AY140" s="189"/>
      <c r="AZ140" s="189"/>
      <c r="BA140" s="189"/>
      <c r="BB140" s="189"/>
      <c r="BC140" s="189"/>
      <c r="BD140" s="189"/>
      <c r="BE140" s="189"/>
      <c r="BF140" s="189"/>
    </row>
    <row r="143">
      <c r="J143" s="149"/>
    </row>
    <row r="144">
      <c r="J144" s="149"/>
    </row>
    <row r="145">
      <c r="J145" s="149"/>
    </row>
    <row r="146">
      <c r="J146" s="149"/>
    </row>
    <row r="147">
      <c r="J147" s="149"/>
    </row>
    <row r="148">
      <c r="J148" s="149"/>
    </row>
    <row r="149">
      <c r="J149" s="149"/>
    </row>
    <row r="150">
      <c r="J150" s="149"/>
    </row>
    <row r="151">
      <c r="J151" s="149"/>
    </row>
    <row r="152">
      <c r="J152" s="149"/>
    </row>
    <row r="153">
      <c r="J153" s="149"/>
    </row>
    <row r="154">
      <c r="J154" s="149"/>
    </row>
    <row r="155">
      <c r="J155" s="149"/>
    </row>
    <row r="156">
      <c r="J156" s="149"/>
    </row>
    <row r="157">
      <c r="J157" s="149"/>
    </row>
    <row r="158">
      <c r="J158" s="149"/>
    </row>
    <row r="159">
      <c r="J159" s="149"/>
    </row>
    <row r="160">
      <c r="J160" s="149"/>
    </row>
    <row r="161">
      <c r="J161" s="149"/>
    </row>
    <row r="162">
      <c r="J162" s="149"/>
    </row>
    <row r="163">
      <c r="J163" s="149"/>
    </row>
    <row r="164">
      <c r="J164" s="149"/>
    </row>
    <row r="165">
      <c r="J165" s="190"/>
    </row>
    <row r="166">
      <c r="J166" s="149"/>
    </row>
    <row r="167">
      <c r="J167" s="149"/>
    </row>
    <row r="168">
      <c r="J168" s="149"/>
    </row>
    <row r="169">
      <c r="J169" s="149"/>
    </row>
    <row r="170">
      <c r="J170" s="149"/>
    </row>
    <row r="171">
      <c r="J171" s="149"/>
    </row>
    <row r="172">
      <c r="J172" s="149"/>
    </row>
    <row r="173">
      <c r="J173" s="149"/>
    </row>
    <row r="174">
      <c r="J174" s="149"/>
    </row>
    <row r="175">
      <c r="J175" s="149"/>
    </row>
    <row r="176">
      <c r="J176" s="149"/>
    </row>
    <row r="177">
      <c r="J177" s="149"/>
    </row>
    <row r="178">
      <c r="J178" s="149"/>
    </row>
    <row r="179">
      <c r="J179" s="149"/>
    </row>
    <row r="180">
      <c r="J180" s="149"/>
    </row>
    <row r="181">
      <c r="J181" s="149"/>
    </row>
    <row r="182">
      <c r="J182" s="149"/>
    </row>
    <row r="183">
      <c r="J183" s="149"/>
    </row>
    <row r="184">
      <c r="J184" s="149"/>
    </row>
    <row r="185">
      <c r="J185" s="149"/>
    </row>
    <row r="186">
      <c r="J186" s="149"/>
    </row>
    <row r="187">
      <c r="J187" s="149"/>
    </row>
    <row r="188">
      <c r="J188" s="149"/>
    </row>
    <row r="189">
      <c r="J189" s="149"/>
    </row>
    <row r="190">
      <c r="J190" s="149"/>
    </row>
    <row r="191">
      <c r="J191" s="149"/>
    </row>
  </sheetData>
  <mergeCells count="31">
    <mergeCell ref="I3:J3"/>
    <mergeCell ref="K3:L3"/>
    <mergeCell ref="M3:N3"/>
    <mergeCell ref="O3:P3"/>
    <mergeCell ref="Q3:R3"/>
    <mergeCell ref="S3:T3"/>
    <mergeCell ref="U3:V3"/>
    <mergeCell ref="W3:X3"/>
    <mergeCell ref="Y3:Z3"/>
    <mergeCell ref="AA3:AB3"/>
    <mergeCell ref="AC3:AD3"/>
    <mergeCell ref="AE3:AF3"/>
    <mergeCell ref="AG3:AH3"/>
    <mergeCell ref="AI3:AJ3"/>
    <mergeCell ref="AK3:AL3"/>
    <mergeCell ref="AM3:AN3"/>
    <mergeCell ref="AO3:AP3"/>
    <mergeCell ref="AQ3:AR3"/>
    <mergeCell ref="AS3:AT3"/>
    <mergeCell ref="AU3:AV3"/>
    <mergeCell ref="AW3:AX3"/>
    <mergeCell ref="BM3:BN3"/>
    <mergeCell ref="BO3:BP3"/>
    <mergeCell ref="BQ3:BR3"/>
    <mergeCell ref="AY3:AZ3"/>
    <mergeCell ref="BA3:BB3"/>
    <mergeCell ref="BC3:BD3"/>
    <mergeCell ref="BE3:BF3"/>
    <mergeCell ref="BG3:BH3"/>
    <mergeCell ref="BI3:BJ3"/>
    <mergeCell ref="BK3:BL3"/>
  </mergeCells>
  <conditionalFormatting sqref="I3 K3 M3 I5:AD88 AE5:BZ86">
    <cfRule type="cellIs" dxfId="1" priority="1" operator="equal">
      <formula>0</formula>
    </cfRule>
  </conditionalFormatting>
  <drawing r:id="rId1"/>
</worksheet>
</file>